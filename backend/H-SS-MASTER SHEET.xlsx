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herschel-my.sharepoint.com/personal/aklopper_herschel_org_za/Documents/Documents/Sport Science/Sport science DATA/Master/"/>
    </mc:Choice>
  </mc:AlternateContent>
  <xr:revisionPtr revIDLastSave="0" documentId="8_{131AE049-78E1-42FC-9866-1C0716B85B92}" xr6:coauthVersionLast="47" xr6:coauthVersionMax="47" xr10:uidLastSave="{00000000-0000-0000-0000-000000000000}"/>
  <bookViews>
    <workbookView minimized="1" xWindow="-24180" yWindow="2190" windowWidth="21600" windowHeight="11235" xr2:uid="{012C1449-5E5B-4095-B364-6C44403FA28A}"/>
  </bookViews>
  <sheets>
    <sheet name="RAW DATA" sheetId="1" r:id="rId1"/>
    <sheet name="Normative data" sheetId="3" r:id="rId2"/>
    <sheet name="VLOOKUP" sheetId="2" r:id="rId3"/>
  </sheets>
  <definedNames>
    <definedName name="_xlnm._FilterDatabase" localSheetId="0" hidden="1">'RAW DATA'!$A$1:$CW$1223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R3" i="1" l="1" a="1"/>
  <c r="CR3" i="1" s="1"/>
  <c r="CR4" i="1" a="1"/>
  <c r="CR4" i="1" s="1"/>
  <c r="CR5" i="1" a="1"/>
  <c r="CR5" i="1" s="1"/>
  <c r="CR6" i="1" a="1"/>
  <c r="CR6" i="1" s="1"/>
  <c r="CR7" i="1" a="1"/>
  <c r="CR7" i="1" s="1"/>
  <c r="CR8" i="1" a="1"/>
  <c r="CR8" i="1" s="1"/>
  <c r="CR9" i="1" a="1"/>
  <c r="CR9" i="1" s="1"/>
  <c r="CR10" i="1" a="1"/>
  <c r="CR10" i="1" s="1"/>
  <c r="CR11" i="1" a="1"/>
  <c r="CR11" i="1" s="1"/>
  <c r="CR12" i="1" a="1"/>
  <c r="CR12" i="1" s="1"/>
  <c r="CR13" i="1" a="1"/>
  <c r="CR13" i="1" s="1"/>
  <c r="CR14" i="1" a="1"/>
  <c r="CR14" i="1" s="1"/>
  <c r="CR15" i="1" a="1"/>
  <c r="CR15" i="1" s="1"/>
  <c r="CR16" i="1" a="1"/>
  <c r="CR16" i="1" s="1"/>
  <c r="CR17" i="1" a="1"/>
  <c r="CR17" i="1" s="1"/>
  <c r="CR18" i="1" a="1"/>
  <c r="CR18" i="1" s="1"/>
  <c r="CR19" i="1" a="1"/>
  <c r="CR19" i="1" s="1"/>
  <c r="CR20" i="1" a="1"/>
  <c r="CR20" i="1" s="1"/>
  <c r="CR21" i="1" a="1"/>
  <c r="CR21" i="1" s="1"/>
  <c r="CR22" i="1" a="1"/>
  <c r="CR22" i="1" s="1"/>
  <c r="CR23" i="1" a="1"/>
  <c r="CR23" i="1" s="1"/>
  <c r="CR24" i="1" a="1"/>
  <c r="CR24" i="1" s="1"/>
  <c r="BZ5" i="1"/>
  <c r="BZ6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4" i="1"/>
  <c r="BZ95" i="1"/>
  <c r="BZ96" i="1"/>
  <c r="BZ97" i="1"/>
  <c r="BZ98" i="1"/>
  <c r="BZ99" i="1"/>
  <c r="BZ100" i="1"/>
  <c r="BZ101" i="1"/>
  <c r="BZ102" i="1"/>
  <c r="BZ103" i="1"/>
  <c r="BZ104" i="1"/>
  <c r="BZ105" i="1"/>
  <c r="BZ106" i="1"/>
  <c r="BZ107" i="1"/>
  <c r="BZ108" i="1"/>
  <c r="BZ109" i="1"/>
  <c r="BZ110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6" i="1"/>
  <c r="BZ137" i="1"/>
  <c r="BZ138" i="1"/>
  <c r="BZ139" i="1"/>
  <c r="BZ140" i="1"/>
  <c r="BZ141" i="1"/>
  <c r="BZ142" i="1"/>
  <c r="BZ143" i="1"/>
  <c r="BZ144" i="1"/>
  <c r="BZ145" i="1"/>
  <c r="BZ146" i="1"/>
  <c r="BZ147" i="1"/>
  <c r="BZ148" i="1"/>
  <c r="BZ149" i="1"/>
  <c r="BZ150" i="1"/>
  <c r="BZ151" i="1"/>
  <c r="BZ152" i="1"/>
  <c r="BZ153" i="1"/>
  <c r="BZ154" i="1"/>
  <c r="BZ155" i="1"/>
  <c r="BZ156" i="1"/>
  <c r="BZ157" i="1"/>
  <c r="BZ158" i="1"/>
  <c r="BZ159" i="1"/>
  <c r="BZ160" i="1"/>
  <c r="BZ161" i="1"/>
  <c r="BZ162" i="1"/>
  <c r="BZ163" i="1"/>
  <c r="BZ164" i="1"/>
  <c r="BZ165" i="1"/>
  <c r="BZ166" i="1"/>
  <c r="BZ167" i="1"/>
  <c r="BZ168" i="1"/>
  <c r="BZ169" i="1"/>
  <c r="BZ170" i="1"/>
  <c r="BZ171" i="1"/>
  <c r="BZ172" i="1"/>
  <c r="BZ173" i="1"/>
  <c r="BZ174" i="1"/>
  <c r="BZ175" i="1"/>
  <c r="BZ176" i="1"/>
  <c r="BZ177" i="1"/>
  <c r="BZ178" i="1"/>
  <c r="BZ179" i="1"/>
  <c r="BZ180" i="1"/>
  <c r="BZ181" i="1"/>
  <c r="BZ182" i="1"/>
  <c r="BZ183" i="1"/>
  <c r="BZ184" i="1"/>
  <c r="BZ185" i="1"/>
  <c r="BZ186" i="1"/>
  <c r="BZ187" i="1"/>
  <c r="BZ188" i="1"/>
  <c r="BZ189" i="1"/>
  <c r="BZ190" i="1"/>
  <c r="BZ191" i="1"/>
  <c r="BZ192" i="1"/>
  <c r="BZ193" i="1"/>
  <c r="BZ194" i="1"/>
  <c r="BZ195" i="1"/>
  <c r="BZ196" i="1"/>
  <c r="BZ197" i="1"/>
  <c r="BZ198" i="1"/>
  <c r="BZ199" i="1"/>
  <c r="BZ200" i="1"/>
  <c r="BZ201" i="1"/>
  <c r="BZ202" i="1"/>
  <c r="BZ203" i="1"/>
  <c r="BZ204" i="1"/>
  <c r="BZ205" i="1"/>
  <c r="BZ206" i="1"/>
  <c r="BZ207" i="1"/>
  <c r="BZ208" i="1"/>
  <c r="BZ209" i="1"/>
  <c r="BZ210" i="1"/>
  <c r="BZ211" i="1"/>
  <c r="BZ212" i="1"/>
  <c r="BZ213" i="1"/>
  <c r="BZ214" i="1"/>
  <c r="BZ215" i="1"/>
  <c r="BZ216" i="1"/>
  <c r="BZ217" i="1"/>
  <c r="BZ218" i="1"/>
  <c r="BZ219" i="1"/>
  <c r="BZ220" i="1"/>
  <c r="BZ221" i="1"/>
  <c r="BZ222" i="1"/>
  <c r="BZ223" i="1"/>
  <c r="BZ224" i="1"/>
  <c r="BZ225" i="1"/>
  <c r="BZ226" i="1"/>
  <c r="BZ227" i="1"/>
  <c r="BZ228" i="1"/>
  <c r="BZ229" i="1"/>
  <c r="BZ230" i="1"/>
  <c r="BZ231" i="1"/>
  <c r="BZ232" i="1"/>
  <c r="BZ233" i="1"/>
  <c r="BZ234" i="1"/>
  <c r="BZ235" i="1"/>
  <c r="BZ236" i="1"/>
  <c r="BZ237" i="1"/>
  <c r="BZ238" i="1"/>
  <c r="BZ239" i="1"/>
  <c r="BZ240" i="1"/>
  <c r="BZ241" i="1"/>
  <c r="BZ242" i="1"/>
  <c r="BZ243" i="1"/>
  <c r="BZ244" i="1"/>
  <c r="BZ245" i="1"/>
  <c r="BZ246" i="1"/>
  <c r="BZ247" i="1"/>
  <c r="BZ248" i="1"/>
  <c r="BZ249" i="1"/>
  <c r="BZ250" i="1"/>
  <c r="BZ251" i="1"/>
  <c r="BZ252" i="1"/>
  <c r="BZ253" i="1"/>
  <c r="BZ254" i="1"/>
  <c r="BZ255" i="1"/>
  <c r="BZ256" i="1"/>
  <c r="BZ257" i="1"/>
  <c r="BZ258" i="1"/>
  <c r="BZ259" i="1"/>
  <c r="BZ260" i="1"/>
  <c r="BZ261" i="1"/>
  <c r="BZ262" i="1"/>
  <c r="BZ263" i="1"/>
  <c r="BZ264" i="1"/>
  <c r="BZ265" i="1"/>
  <c r="BZ266" i="1"/>
  <c r="BZ267" i="1"/>
  <c r="BZ268" i="1"/>
  <c r="BZ269" i="1"/>
  <c r="BZ270" i="1"/>
  <c r="BZ271" i="1"/>
  <c r="BZ272" i="1"/>
  <c r="BZ273" i="1"/>
  <c r="BZ274" i="1"/>
  <c r="BZ275" i="1"/>
  <c r="BZ276" i="1"/>
  <c r="BZ277" i="1"/>
  <c r="BZ278" i="1"/>
  <c r="BZ279" i="1"/>
  <c r="BZ280" i="1"/>
  <c r="BZ281" i="1"/>
  <c r="BZ282" i="1"/>
  <c r="BZ283" i="1"/>
  <c r="BZ284" i="1"/>
  <c r="BZ285" i="1"/>
  <c r="BZ286" i="1"/>
  <c r="BZ287" i="1"/>
  <c r="BZ288" i="1"/>
  <c r="BZ289" i="1"/>
  <c r="BZ290" i="1"/>
  <c r="BZ291" i="1"/>
  <c r="BZ292" i="1"/>
  <c r="BZ293" i="1"/>
  <c r="BZ294" i="1"/>
  <c r="BZ295" i="1"/>
  <c r="BZ296" i="1"/>
  <c r="BZ297" i="1"/>
  <c r="BZ298" i="1"/>
  <c r="BZ299" i="1"/>
  <c r="BZ300" i="1"/>
  <c r="BZ301" i="1"/>
  <c r="BZ302" i="1"/>
  <c r="BZ303" i="1"/>
  <c r="BZ304" i="1"/>
  <c r="BZ305" i="1"/>
  <c r="BZ306" i="1"/>
  <c r="BZ307" i="1"/>
  <c r="BZ308" i="1"/>
  <c r="BZ309" i="1"/>
  <c r="BZ310" i="1"/>
  <c r="BZ311" i="1"/>
  <c r="BZ312" i="1"/>
  <c r="BZ313" i="1"/>
  <c r="BZ314" i="1"/>
  <c r="BZ315" i="1"/>
  <c r="BZ316" i="1"/>
  <c r="BZ317" i="1"/>
  <c r="BZ318" i="1"/>
  <c r="BZ319" i="1"/>
  <c r="BZ320" i="1"/>
  <c r="BZ321" i="1"/>
  <c r="BZ322" i="1"/>
  <c r="BZ323" i="1"/>
  <c r="BZ324" i="1"/>
  <c r="BZ325" i="1"/>
  <c r="BZ326" i="1"/>
  <c r="BZ327" i="1"/>
  <c r="BZ328" i="1"/>
  <c r="BZ329" i="1"/>
  <c r="BZ330" i="1"/>
  <c r="BZ331" i="1"/>
  <c r="BZ332" i="1"/>
  <c r="BZ333" i="1"/>
  <c r="BZ334" i="1"/>
  <c r="BZ335" i="1"/>
  <c r="BZ336" i="1"/>
  <c r="BZ337" i="1"/>
  <c r="BZ338" i="1"/>
  <c r="BZ339" i="1"/>
  <c r="BZ340" i="1"/>
  <c r="BZ341" i="1"/>
  <c r="BZ342" i="1"/>
  <c r="BZ343" i="1"/>
  <c r="BZ344" i="1"/>
  <c r="BZ345" i="1"/>
  <c r="BZ346" i="1"/>
  <c r="BZ347" i="1"/>
  <c r="BZ348" i="1"/>
  <c r="BZ349" i="1"/>
  <c r="BZ350" i="1"/>
  <c r="BZ351" i="1"/>
  <c r="BZ352" i="1"/>
  <c r="BZ353" i="1"/>
  <c r="BZ354" i="1"/>
  <c r="BZ355" i="1"/>
  <c r="BZ356" i="1"/>
  <c r="BZ357" i="1"/>
  <c r="BZ358" i="1"/>
  <c r="BZ359" i="1"/>
  <c r="BZ360" i="1"/>
  <c r="BZ361" i="1"/>
  <c r="BZ362" i="1"/>
  <c r="BZ363" i="1"/>
  <c r="BZ364" i="1"/>
  <c r="BZ365" i="1"/>
  <c r="BZ366" i="1"/>
  <c r="BZ367" i="1"/>
  <c r="BZ368" i="1"/>
  <c r="BZ369" i="1"/>
  <c r="BZ370" i="1"/>
  <c r="BZ371" i="1"/>
  <c r="BZ372" i="1"/>
  <c r="BZ373" i="1"/>
  <c r="BZ374" i="1"/>
  <c r="BZ375" i="1"/>
  <c r="BZ376" i="1"/>
  <c r="BZ377" i="1"/>
  <c r="BZ378" i="1"/>
  <c r="BZ379" i="1"/>
  <c r="BZ380" i="1"/>
  <c r="BZ381" i="1"/>
  <c r="BZ382" i="1"/>
  <c r="BZ383" i="1"/>
  <c r="BZ384" i="1"/>
  <c r="BZ385" i="1"/>
  <c r="BZ386" i="1"/>
  <c r="BZ387" i="1"/>
  <c r="BZ388" i="1"/>
  <c r="BZ389" i="1"/>
  <c r="BZ390" i="1"/>
  <c r="BZ391" i="1"/>
  <c r="BZ392" i="1"/>
  <c r="BZ393" i="1"/>
  <c r="BZ394" i="1"/>
  <c r="BZ395" i="1"/>
  <c r="BZ396" i="1"/>
  <c r="BZ397" i="1"/>
  <c r="BZ398" i="1"/>
  <c r="BZ399" i="1"/>
  <c r="BZ400" i="1"/>
  <c r="BZ401" i="1"/>
  <c r="BZ402" i="1"/>
  <c r="BZ403" i="1"/>
  <c r="BZ404" i="1"/>
  <c r="BZ405" i="1"/>
  <c r="BZ406" i="1"/>
  <c r="BZ407" i="1"/>
  <c r="BZ408" i="1"/>
  <c r="BZ409" i="1"/>
  <c r="BZ410" i="1"/>
  <c r="BZ411" i="1"/>
  <c r="BZ412" i="1"/>
  <c r="BZ413" i="1"/>
  <c r="BZ414" i="1"/>
  <c r="BZ415" i="1"/>
  <c r="BZ416" i="1"/>
  <c r="BZ417" i="1"/>
  <c r="BZ418" i="1"/>
  <c r="BZ419" i="1"/>
  <c r="BZ420" i="1"/>
  <c r="BZ421" i="1"/>
  <c r="BZ422" i="1"/>
  <c r="BZ423" i="1"/>
  <c r="BZ424" i="1"/>
  <c r="BZ425" i="1"/>
  <c r="BZ426" i="1"/>
  <c r="BZ427" i="1"/>
  <c r="BZ428" i="1"/>
  <c r="BZ429" i="1"/>
  <c r="BZ430" i="1"/>
  <c r="BZ431" i="1"/>
  <c r="BZ432" i="1"/>
  <c r="BZ433" i="1"/>
  <c r="BZ434" i="1"/>
  <c r="BZ435" i="1"/>
  <c r="BZ436" i="1"/>
  <c r="BZ437" i="1"/>
  <c r="BZ438" i="1"/>
  <c r="BZ439" i="1"/>
  <c r="BZ440" i="1"/>
  <c r="BZ441" i="1"/>
  <c r="BZ442" i="1"/>
  <c r="BZ443" i="1"/>
  <c r="BZ444" i="1"/>
  <c r="BZ445" i="1"/>
  <c r="BZ446" i="1"/>
  <c r="BZ447" i="1"/>
  <c r="BZ448" i="1"/>
  <c r="BZ449" i="1"/>
  <c r="BZ450" i="1"/>
  <c r="BZ451" i="1"/>
  <c r="BZ452" i="1"/>
  <c r="BZ453" i="1"/>
  <c r="BZ454" i="1"/>
  <c r="BZ455" i="1"/>
  <c r="BZ456" i="1"/>
  <c r="BZ457" i="1"/>
  <c r="BZ458" i="1"/>
  <c r="BZ459" i="1"/>
  <c r="BZ460" i="1"/>
  <c r="BZ461" i="1"/>
  <c r="BZ462" i="1"/>
  <c r="BZ463" i="1"/>
  <c r="BZ464" i="1"/>
  <c r="BZ465" i="1"/>
  <c r="BZ466" i="1"/>
  <c r="BZ467" i="1"/>
  <c r="BZ468" i="1"/>
  <c r="BZ469" i="1"/>
  <c r="BZ470" i="1"/>
  <c r="BZ471" i="1"/>
  <c r="BZ472" i="1"/>
  <c r="BZ473" i="1"/>
  <c r="BZ474" i="1"/>
  <c r="BZ475" i="1"/>
  <c r="BZ476" i="1"/>
  <c r="BZ477" i="1"/>
  <c r="BZ478" i="1"/>
  <c r="BZ479" i="1"/>
  <c r="BZ480" i="1"/>
  <c r="BZ481" i="1"/>
  <c r="BZ482" i="1"/>
  <c r="BZ483" i="1"/>
  <c r="BZ484" i="1"/>
  <c r="BZ485" i="1"/>
  <c r="BZ486" i="1"/>
  <c r="BZ487" i="1"/>
  <c r="BZ488" i="1"/>
  <c r="BZ489" i="1"/>
  <c r="BZ490" i="1"/>
  <c r="BZ491" i="1"/>
  <c r="BZ492" i="1"/>
  <c r="BZ493" i="1"/>
  <c r="BZ494" i="1"/>
  <c r="BZ495" i="1"/>
  <c r="BZ496" i="1"/>
  <c r="BZ497" i="1"/>
  <c r="BZ498" i="1"/>
  <c r="BZ499" i="1"/>
  <c r="BZ500" i="1"/>
  <c r="BZ501" i="1"/>
  <c r="BZ502" i="1"/>
  <c r="BZ503" i="1"/>
  <c r="BZ504" i="1"/>
  <c r="BZ505" i="1"/>
  <c r="BZ506" i="1"/>
  <c r="BZ507" i="1"/>
  <c r="BZ508" i="1"/>
  <c r="BZ509" i="1"/>
  <c r="BZ510" i="1"/>
  <c r="BZ511" i="1"/>
  <c r="BZ512" i="1"/>
  <c r="BZ513" i="1"/>
  <c r="BZ514" i="1"/>
  <c r="BZ515" i="1"/>
  <c r="BZ516" i="1"/>
  <c r="BZ517" i="1"/>
  <c r="BZ518" i="1"/>
  <c r="BZ519" i="1"/>
  <c r="BZ520" i="1"/>
  <c r="BZ521" i="1"/>
  <c r="BZ522" i="1"/>
  <c r="BZ523" i="1"/>
  <c r="BZ524" i="1"/>
  <c r="BZ525" i="1"/>
  <c r="BZ526" i="1"/>
  <c r="BZ527" i="1"/>
  <c r="BZ528" i="1"/>
  <c r="BZ529" i="1"/>
  <c r="BZ530" i="1"/>
  <c r="BZ531" i="1"/>
  <c r="BZ532" i="1"/>
  <c r="BZ533" i="1"/>
  <c r="BZ534" i="1"/>
  <c r="BZ535" i="1"/>
  <c r="BZ536" i="1"/>
  <c r="BZ537" i="1"/>
  <c r="BZ538" i="1"/>
  <c r="BZ539" i="1"/>
  <c r="BZ540" i="1"/>
  <c r="BZ541" i="1"/>
  <c r="BZ542" i="1"/>
  <c r="BZ543" i="1"/>
  <c r="BZ544" i="1"/>
  <c r="BZ545" i="1"/>
  <c r="BZ546" i="1"/>
  <c r="BZ547" i="1"/>
  <c r="BZ548" i="1"/>
  <c r="BZ549" i="1"/>
  <c r="BZ550" i="1"/>
  <c r="BZ551" i="1"/>
  <c r="BZ552" i="1"/>
  <c r="BZ553" i="1"/>
  <c r="BZ554" i="1"/>
  <c r="BZ555" i="1"/>
  <c r="BZ556" i="1"/>
  <c r="BZ557" i="1"/>
  <c r="BZ558" i="1"/>
  <c r="BZ559" i="1"/>
  <c r="BZ560" i="1"/>
  <c r="BZ561" i="1"/>
  <c r="BZ562" i="1"/>
  <c r="BZ563" i="1"/>
  <c r="BZ564" i="1"/>
  <c r="BZ565" i="1"/>
  <c r="BZ566" i="1"/>
  <c r="BZ567" i="1"/>
  <c r="BZ568" i="1"/>
  <c r="BZ569" i="1"/>
  <c r="BZ570" i="1"/>
  <c r="BZ571" i="1"/>
  <c r="BZ572" i="1"/>
  <c r="BZ573" i="1"/>
  <c r="BZ574" i="1"/>
  <c r="BZ575" i="1"/>
  <c r="BZ576" i="1"/>
  <c r="BZ577" i="1"/>
  <c r="BZ578" i="1"/>
  <c r="BZ579" i="1"/>
  <c r="BZ580" i="1"/>
  <c r="BZ581" i="1"/>
  <c r="BZ582" i="1"/>
  <c r="BZ583" i="1"/>
  <c r="BZ584" i="1"/>
  <c r="BZ585" i="1"/>
  <c r="BZ586" i="1"/>
  <c r="BZ587" i="1"/>
  <c r="BZ588" i="1"/>
  <c r="BZ589" i="1"/>
  <c r="BZ590" i="1"/>
  <c r="BZ591" i="1"/>
  <c r="BZ592" i="1"/>
  <c r="BZ593" i="1"/>
  <c r="BZ594" i="1"/>
  <c r="BZ595" i="1"/>
  <c r="BZ596" i="1"/>
  <c r="BZ597" i="1"/>
  <c r="BZ598" i="1"/>
  <c r="BZ599" i="1"/>
  <c r="BZ600" i="1"/>
  <c r="BZ601" i="1"/>
  <c r="BZ602" i="1"/>
  <c r="BZ603" i="1"/>
  <c r="BZ604" i="1"/>
  <c r="BZ605" i="1"/>
  <c r="BZ606" i="1"/>
  <c r="BZ607" i="1"/>
  <c r="BZ608" i="1"/>
  <c r="BZ609" i="1"/>
  <c r="BZ610" i="1"/>
  <c r="BZ611" i="1"/>
  <c r="BZ612" i="1"/>
  <c r="BZ613" i="1"/>
  <c r="BZ614" i="1"/>
  <c r="BZ615" i="1"/>
  <c r="BZ616" i="1"/>
  <c r="BZ617" i="1"/>
  <c r="BZ618" i="1"/>
  <c r="BZ619" i="1"/>
  <c r="BZ620" i="1"/>
  <c r="BZ621" i="1"/>
  <c r="BZ622" i="1"/>
  <c r="BZ623" i="1"/>
  <c r="BZ624" i="1"/>
  <c r="BZ625" i="1"/>
  <c r="BZ626" i="1"/>
  <c r="BZ627" i="1"/>
  <c r="BZ628" i="1"/>
  <c r="BZ629" i="1"/>
  <c r="BZ630" i="1"/>
  <c r="BZ631" i="1"/>
  <c r="BZ632" i="1"/>
  <c r="BZ633" i="1"/>
  <c r="BZ634" i="1"/>
  <c r="BZ635" i="1"/>
  <c r="BZ636" i="1"/>
  <c r="BZ637" i="1"/>
  <c r="BZ638" i="1"/>
  <c r="BZ639" i="1"/>
  <c r="BZ640" i="1"/>
  <c r="BZ641" i="1"/>
  <c r="BZ642" i="1"/>
  <c r="BZ643" i="1"/>
  <c r="BZ644" i="1"/>
  <c r="BZ645" i="1"/>
  <c r="BZ646" i="1"/>
  <c r="BZ647" i="1"/>
  <c r="BZ648" i="1"/>
  <c r="BZ649" i="1"/>
  <c r="BZ650" i="1"/>
  <c r="BZ651" i="1"/>
  <c r="BZ652" i="1"/>
  <c r="BZ653" i="1"/>
  <c r="BZ654" i="1"/>
  <c r="BZ655" i="1"/>
  <c r="BZ656" i="1"/>
  <c r="BZ657" i="1"/>
  <c r="BZ658" i="1"/>
  <c r="BZ659" i="1"/>
  <c r="BZ660" i="1"/>
  <c r="BZ661" i="1"/>
  <c r="BZ662" i="1"/>
  <c r="BZ663" i="1"/>
  <c r="BZ664" i="1"/>
  <c r="BZ665" i="1"/>
  <c r="BZ666" i="1"/>
  <c r="BZ667" i="1"/>
  <c r="BZ668" i="1"/>
  <c r="BZ669" i="1"/>
  <c r="BZ670" i="1"/>
  <c r="BZ671" i="1"/>
  <c r="BZ672" i="1"/>
  <c r="BZ673" i="1"/>
  <c r="BZ674" i="1"/>
  <c r="BZ675" i="1"/>
  <c r="BZ676" i="1"/>
  <c r="BZ677" i="1"/>
  <c r="BZ678" i="1"/>
  <c r="BZ679" i="1"/>
  <c r="BZ680" i="1"/>
  <c r="BZ681" i="1"/>
  <c r="BZ682" i="1"/>
  <c r="BZ683" i="1"/>
  <c r="BZ684" i="1"/>
  <c r="BZ685" i="1"/>
  <c r="BZ686" i="1"/>
  <c r="BZ687" i="1"/>
  <c r="BZ688" i="1"/>
  <c r="BZ689" i="1"/>
  <c r="BZ690" i="1"/>
  <c r="BZ691" i="1"/>
  <c r="BZ692" i="1"/>
  <c r="BZ693" i="1"/>
  <c r="BZ694" i="1"/>
  <c r="BZ695" i="1"/>
  <c r="BZ696" i="1"/>
  <c r="BZ697" i="1"/>
  <c r="BZ698" i="1"/>
  <c r="BZ699" i="1"/>
  <c r="BZ700" i="1"/>
  <c r="BZ701" i="1"/>
  <c r="BZ702" i="1"/>
  <c r="BZ703" i="1"/>
  <c r="BZ704" i="1"/>
  <c r="BZ705" i="1"/>
  <c r="BZ706" i="1"/>
  <c r="BZ707" i="1"/>
  <c r="BZ708" i="1"/>
  <c r="BZ709" i="1"/>
  <c r="BZ710" i="1"/>
  <c r="BZ711" i="1"/>
  <c r="BZ712" i="1"/>
  <c r="BZ713" i="1"/>
  <c r="BZ714" i="1"/>
  <c r="BZ715" i="1"/>
  <c r="BZ716" i="1"/>
  <c r="BZ717" i="1"/>
  <c r="BZ718" i="1"/>
  <c r="BZ719" i="1"/>
  <c r="BZ720" i="1"/>
  <c r="BZ721" i="1"/>
  <c r="BZ722" i="1"/>
  <c r="BZ723" i="1"/>
  <c r="BZ724" i="1"/>
  <c r="BZ725" i="1"/>
  <c r="BZ726" i="1"/>
  <c r="BZ727" i="1"/>
  <c r="BZ728" i="1"/>
  <c r="BZ729" i="1"/>
  <c r="BZ730" i="1"/>
  <c r="BZ731" i="1"/>
  <c r="BZ732" i="1"/>
  <c r="BZ733" i="1"/>
  <c r="BZ734" i="1"/>
  <c r="BZ735" i="1"/>
  <c r="BZ736" i="1"/>
  <c r="BZ737" i="1"/>
  <c r="BZ738" i="1"/>
  <c r="BZ739" i="1"/>
  <c r="BZ740" i="1"/>
  <c r="BZ741" i="1"/>
  <c r="BZ742" i="1"/>
  <c r="BZ743" i="1"/>
  <c r="BZ744" i="1"/>
  <c r="BZ745" i="1"/>
  <c r="BZ746" i="1"/>
  <c r="BZ747" i="1"/>
  <c r="BZ748" i="1"/>
  <c r="BZ749" i="1"/>
  <c r="BZ750" i="1"/>
  <c r="BZ751" i="1"/>
  <c r="BZ752" i="1"/>
  <c r="BZ753" i="1"/>
  <c r="BZ754" i="1"/>
  <c r="BZ755" i="1"/>
  <c r="BZ756" i="1"/>
  <c r="BZ757" i="1"/>
  <c r="BZ758" i="1"/>
  <c r="BZ759" i="1"/>
  <c r="BZ760" i="1"/>
  <c r="BZ761" i="1"/>
  <c r="BZ762" i="1"/>
  <c r="BZ763" i="1"/>
  <c r="BZ764" i="1"/>
  <c r="BZ765" i="1"/>
  <c r="BZ766" i="1"/>
  <c r="BZ767" i="1"/>
  <c r="BZ768" i="1"/>
  <c r="BZ769" i="1"/>
  <c r="BZ770" i="1"/>
  <c r="BZ771" i="1"/>
  <c r="BZ772" i="1"/>
  <c r="BZ773" i="1"/>
  <c r="BZ774" i="1"/>
  <c r="BZ775" i="1"/>
  <c r="BZ776" i="1"/>
  <c r="BZ777" i="1"/>
  <c r="BZ778" i="1"/>
  <c r="BZ779" i="1"/>
  <c r="BZ780" i="1"/>
  <c r="BZ781" i="1"/>
  <c r="BZ782" i="1"/>
  <c r="BZ783" i="1"/>
  <c r="BZ784" i="1"/>
  <c r="BZ785" i="1"/>
  <c r="BZ786" i="1"/>
  <c r="BZ787" i="1"/>
  <c r="BZ788" i="1"/>
  <c r="BZ789" i="1"/>
  <c r="BZ790" i="1"/>
  <c r="BZ791" i="1"/>
  <c r="BZ792" i="1"/>
  <c r="BZ793" i="1"/>
  <c r="BZ794" i="1"/>
  <c r="BZ795" i="1"/>
  <c r="BZ796" i="1"/>
  <c r="BZ797" i="1"/>
  <c r="BZ798" i="1"/>
  <c r="BZ799" i="1"/>
  <c r="BZ800" i="1"/>
  <c r="BZ801" i="1"/>
  <c r="BZ802" i="1"/>
  <c r="BZ803" i="1"/>
  <c r="BZ804" i="1"/>
  <c r="BZ805" i="1"/>
  <c r="BZ806" i="1"/>
  <c r="BZ807" i="1"/>
  <c r="BZ808" i="1"/>
  <c r="BZ809" i="1"/>
  <c r="BZ810" i="1"/>
  <c r="BZ811" i="1"/>
  <c r="BZ812" i="1"/>
  <c r="BZ813" i="1"/>
  <c r="BZ814" i="1"/>
  <c r="BZ815" i="1"/>
  <c r="BZ816" i="1"/>
  <c r="BZ817" i="1"/>
  <c r="BZ818" i="1"/>
  <c r="BZ819" i="1"/>
  <c r="BZ820" i="1"/>
  <c r="BZ821" i="1"/>
  <c r="BZ822" i="1"/>
  <c r="BZ823" i="1"/>
  <c r="BZ824" i="1"/>
  <c r="BZ825" i="1"/>
  <c r="BZ826" i="1"/>
  <c r="BZ827" i="1"/>
  <c r="BZ828" i="1"/>
  <c r="BZ829" i="1"/>
  <c r="BZ830" i="1"/>
  <c r="BZ831" i="1"/>
  <c r="BZ832" i="1"/>
  <c r="BZ833" i="1"/>
  <c r="BZ834" i="1"/>
  <c r="BZ835" i="1"/>
  <c r="BZ836" i="1"/>
  <c r="BZ837" i="1"/>
  <c r="BZ838" i="1"/>
  <c r="BZ839" i="1"/>
  <c r="BZ840" i="1"/>
  <c r="BZ841" i="1"/>
  <c r="BZ842" i="1"/>
  <c r="BZ843" i="1"/>
  <c r="BZ844" i="1"/>
  <c r="BZ845" i="1"/>
  <c r="BZ846" i="1"/>
  <c r="BZ847" i="1"/>
  <c r="BZ848" i="1"/>
  <c r="BZ849" i="1"/>
  <c r="BZ850" i="1"/>
  <c r="BZ851" i="1"/>
  <c r="BZ852" i="1"/>
  <c r="BZ853" i="1"/>
  <c r="BZ854" i="1"/>
  <c r="BZ855" i="1"/>
  <c r="BZ856" i="1"/>
  <c r="BZ857" i="1"/>
  <c r="BZ858" i="1"/>
  <c r="BZ859" i="1"/>
  <c r="BZ860" i="1"/>
  <c r="BZ861" i="1"/>
  <c r="BZ862" i="1"/>
  <c r="BZ863" i="1"/>
  <c r="BZ864" i="1"/>
  <c r="BZ865" i="1"/>
  <c r="BZ866" i="1"/>
  <c r="BZ867" i="1"/>
  <c r="BZ868" i="1"/>
  <c r="BZ869" i="1"/>
  <c r="BZ870" i="1"/>
  <c r="BZ871" i="1"/>
  <c r="BZ872" i="1"/>
  <c r="BZ873" i="1"/>
  <c r="BZ874" i="1"/>
  <c r="BZ875" i="1"/>
  <c r="BZ876" i="1"/>
  <c r="BZ877" i="1"/>
  <c r="BZ878" i="1"/>
  <c r="BZ879" i="1"/>
  <c r="BZ880" i="1"/>
  <c r="BZ881" i="1"/>
  <c r="BZ882" i="1"/>
  <c r="BZ883" i="1"/>
  <c r="BZ884" i="1"/>
  <c r="BZ885" i="1"/>
  <c r="BZ886" i="1"/>
  <c r="BZ887" i="1"/>
  <c r="BZ888" i="1"/>
  <c r="BZ889" i="1"/>
  <c r="BZ890" i="1"/>
  <c r="BZ891" i="1"/>
  <c r="BZ892" i="1"/>
  <c r="BZ893" i="1"/>
  <c r="BZ894" i="1"/>
  <c r="BZ895" i="1"/>
  <c r="BZ896" i="1"/>
  <c r="BZ897" i="1"/>
  <c r="BZ898" i="1"/>
  <c r="BZ899" i="1"/>
  <c r="BZ900" i="1"/>
  <c r="BZ901" i="1"/>
  <c r="BZ902" i="1"/>
  <c r="BZ903" i="1"/>
  <c r="BZ904" i="1"/>
  <c r="BZ905" i="1"/>
  <c r="BZ906" i="1"/>
  <c r="BZ907" i="1"/>
  <c r="BZ908" i="1"/>
  <c r="BZ909" i="1"/>
  <c r="BZ910" i="1"/>
  <c r="BZ911" i="1"/>
  <c r="BZ912" i="1"/>
  <c r="BZ913" i="1"/>
  <c r="BZ914" i="1"/>
  <c r="BZ915" i="1"/>
  <c r="BZ916" i="1"/>
  <c r="BZ917" i="1"/>
  <c r="BZ918" i="1"/>
  <c r="BZ919" i="1"/>
  <c r="BZ920" i="1"/>
  <c r="BZ921" i="1"/>
  <c r="BZ922" i="1"/>
  <c r="BZ923" i="1"/>
  <c r="BZ924" i="1"/>
  <c r="BZ925" i="1"/>
  <c r="BZ926" i="1"/>
  <c r="BZ927" i="1"/>
  <c r="BZ928" i="1"/>
  <c r="BZ929" i="1"/>
  <c r="BZ930" i="1"/>
  <c r="BZ931" i="1"/>
  <c r="BZ932" i="1"/>
  <c r="BZ933" i="1"/>
  <c r="BZ934" i="1"/>
  <c r="BZ935" i="1"/>
  <c r="BZ936" i="1"/>
  <c r="BZ937" i="1"/>
  <c r="BZ938" i="1"/>
  <c r="BZ939" i="1"/>
  <c r="BZ940" i="1"/>
  <c r="BZ941" i="1"/>
  <c r="BZ942" i="1"/>
  <c r="BZ943" i="1"/>
  <c r="BZ944" i="1"/>
  <c r="BZ945" i="1"/>
  <c r="BZ946" i="1"/>
  <c r="BZ947" i="1"/>
  <c r="BZ948" i="1"/>
  <c r="BZ949" i="1"/>
  <c r="BZ950" i="1"/>
  <c r="BZ951" i="1"/>
  <c r="BZ952" i="1"/>
  <c r="BZ953" i="1"/>
  <c r="BZ954" i="1"/>
  <c r="BZ955" i="1"/>
  <c r="BZ956" i="1"/>
  <c r="BZ957" i="1"/>
  <c r="BZ958" i="1"/>
  <c r="BZ959" i="1"/>
  <c r="BZ960" i="1"/>
  <c r="BZ961" i="1"/>
  <c r="BZ962" i="1"/>
  <c r="BZ963" i="1"/>
  <c r="BZ964" i="1"/>
  <c r="BZ965" i="1"/>
  <c r="BZ966" i="1"/>
  <c r="BZ967" i="1"/>
  <c r="BZ968" i="1"/>
  <c r="BZ969" i="1"/>
  <c r="BZ970" i="1"/>
  <c r="BZ971" i="1"/>
  <c r="BZ972" i="1"/>
  <c r="BZ973" i="1"/>
  <c r="BZ974" i="1"/>
  <c r="BZ975" i="1"/>
  <c r="BZ976" i="1"/>
  <c r="BZ977" i="1"/>
  <c r="BZ978" i="1"/>
  <c r="BZ979" i="1"/>
  <c r="BZ980" i="1"/>
  <c r="BZ981" i="1"/>
  <c r="BZ982" i="1"/>
  <c r="BZ983" i="1"/>
  <c r="BZ984" i="1"/>
  <c r="BZ985" i="1"/>
  <c r="BZ986" i="1"/>
  <c r="BZ987" i="1"/>
  <c r="BZ988" i="1"/>
  <c r="BZ989" i="1"/>
  <c r="BZ990" i="1"/>
  <c r="BZ991" i="1"/>
  <c r="BZ992" i="1"/>
  <c r="BZ993" i="1"/>
  <c r="BZ994" i="1"/>
  <c r="BZ995" i="1"/>
  <c r="BZ996" i="1"/>
  <c r="BZ997" i="1"/>
  <c r="BZ998" i="1"/>
  <c r="BZ999" i="1"/>
  <c r="BZ1000" i="1"/>
  <c r="BZ1001" i="1"/>
  <c r="BZ1002" i="1"/>
  <c r="BZ1003" i="1"/>
  <c r="BZ1004" i="1"/>
  <c r="BZ1005" i="1"/>
  <c r="BZ1006" i="1"/>
  <c r="BZ1007" i="1"/>
  <c r="BZ1008" i="1"/>
  <c r="BZ1009" i="1"/>
  <c r="BZ1010" i="1"/>
  <c r="BZ1011" i="1"/>
  <c r="BZ1012" i="1"/>
  <c r="BZ1013" i="1"/>
  <c r="BZ1014" i="1"/>
  <c r="BZ1015" i="1"/>
  <c r="BZ1016" i="1"/>
  <c r="BZ1017" i="1"/>
  <c r="BZ1018" i="1"/>
  <c r="BZ1019" i="1"/>
  <c r="BZ1020" i="1"/>
  <c r="BZ1021" i="1"/>
  <c r="BZ1022" i="1"/>
  <c r="BZ1023" i="1"/>
  <c r="BZ1024" i="1"/>
  <c r="BZ1025" i="1"/>
  <c r="BZ1026" i="1"/>
  <c r="BZ1027" i="1"/>
  <c r="BZ1028" i="1"/>
  <c r="BZ1029" i="1"/>
  <c r="BZ1030" i="1"/>
  <c r="BZ1031" i="1"/>
  <c r="BZ1032" i="1"/>
  <c r="BZ1033" i="1"/>
  <c r="BZ1034" i="1"/>
  <c r="BZ1035" i="1"/>
  <c r="BZ1036" i="1"/>
  <c r="BZ1037" i="1"/>
  <c r="BZ1038" i="1"/>
  <c r="BZ1039" i="1"/>
  <c r="BZ1040" i="1"/>
  <c r="BZ1041" i="1"/>
  <c r="BZ1042" i="1"/>
  <c r="BZ1043" i="1"/>
  <c r="BZ1044" i="1"/>
  <c r="BZ1045" i="1"/>
  <c r="BZ1046" i="1"/>
  <c r="BZ1047" i="1"/>
  <c r="BZ1048" i="1"/>
  <c r="BZ1049" i="1"/>
  <c r="BZ1050" i="1"/>
  <c r="BZ1051" i="1"/>
  <c r="BZ1052" i="1"/>
  <c r="BZ1053" i="1"/>
  <c r="BZ1054" i="1"/>
  <c r="BZ1055" i="1"/>
  <c r="BZ1056" i="1"/>
  <c r="BZ1057" i="1"/>
  <c r="BZ1058" i="1"/>
  <c r="BZ1059" i="1"/>
  <c r="BZ1060" i="1"/>
  <c r="BZ1061" i="1"/>
  <c r="BZ1062" i="1"/>
  <c r="BZ1063" i="1"/>
  <c r="BZ1064" i="1"/>
  <c r="BZ1065" i="1"/>
  <c r="BZ1066" i="1"/>
  <c r="BZ1067" i="1"/>
  <c r="BZ1068" i="1"/>
  <c r="BZ1069" i="1"/>
  <c r="BZ1070" i="1"/>
  <c r="BZ1071" i="1"/>
  <c r="BZ1072" i="1"/>
  <c r="BZ1073" i="1"/>
  <c r="BZ1074" i="1"/>
  <c r="BZ1075" i="1"/>
  <c r="BZ1076" i="1"/>
  <c r="BZ1077" i="1"/>
  <c r="BZ1078" i="1"/>
  <c r="BZ1079" i="1"/>
  <c r="BZ1080" i="1"/>
  <c r="BZ1081" i="1"/>
  <c r="BZ1082" i="1"/>
  <c r="BZ1083" i="1"/>
  <c r="BZ1084" i="1"/>
  <c r="BZ1085" i="1"/>
  <c r="BZ1086" i="1"/>
  <c r="BZ1087" i="1"/>
  <c r="BZ1088" i="1"/>
  <c r="BZ1089" i="1"/>
  <c r="BZ1090" i="1"/>
  <c r="BZ1091" i="1"/>
  <c r="BZ1092" i="1"/>
  <c r="BZ1093" i="1"/>
  <c r="BZ1094" i="1"/>
  <c r="BZ1095" i="1"/>
  <c r="BZ1096" i="1"/>
  <c r="BZ1097" i="1"/>
  <c r="BZ1098" i="1"/>
  <c r="BZ1099" i="1"/>
  <c r="BZ1100" i="1"/>
  <c r="BZ1101" i="1"/>
  <c r="BZ1102" i="1"/>
  <c r="BZ1103" i="1"/>
  <c r="BZ1104" i="1"/>
  <c r="BZ1105" i="1"/>
  <c r="BZ1106" i="1"/>
  <c r="BZ1107" i="1"/>
  <c r="BZ1108" i="1"/>
  <c r="BZ1109" i="1"/>
  <c r="BZ1110" i="1"/>
  <c r="BZ1111" i="1"/>
  <c r="BZ1112" i="1"/>
  <c r="BZ1113" i="1"/>
  <c r="BZ1114" i="1"/>
  <c r="BZ1115" i="1"/>
  <c r="BZ1116" i="1"/>
  <c r="BZ1117" i="1"/>
  <c r="BZ1118" i="1"/>
  <c r="BZ1119" i="1"/>
  <c r="BZ1120" i="1"/>
  <c r="BZ1121" i="1"/>
  <c r="BZ1122" i="1"/>
  <c r="BZ1123" i="1"/>
  <c r="BZ1124" i="1"/>
  <c r="BZ1125" i="1"/>
  <c r="BZ1126" i="1"/>
  <c r="BZ1127" i="1"/>
  <c r="BZ1128" i="1"/>
  <c r="BZ1129" i="1"/>
  <c r="BZ1130" i="1"/>
  <c r="BZ1131" i="1"/>
  <c r="BZ1132" i="1"/>
  <c r="BZ1133" i="1"/>
  <c r="BZ1134" i="1"/>
  <c r="BZ1135" i="1"/>
  <c r="BZ1136" i="1"/>
  <c r="BZ1137" i="1"/>
  <c r="BZ1138" i="1"/>
  <c r="BZ1139" i="1"/>
  <c r="BZ1140" i="1"/>
  <c r="BZ1141" i="1"/>
  <c r="BZ1142" i="1"/>
  <c r="BZ1143" i="1"/>
  <c r="BZ1144" i="1"/>
  <c r="BZ1145" i="1"/>
  <c r="BZ1146" i="1"/>
  <c r="BZ1147" i="1"/>
  <c r="BZ1148" i="1"/>
  <c r="BZ1149" i="1"/>
  <c r="BZ1150" i="1"/>
  <c r="BZ1151" i="1"/>
  <c r="BZ1152" i="1"/>
  <c r="BZ1153" i="1"/>
  <c r="BZ1154" i="1"/>
  <c r="BZ1155" i="1"/>
  <c r="BZ1156" i="1"/>
  <c r="BZ1157" i="1"/>
  <c r="BZ1158" i="1"/>
  <c r="BZ1159" i="1"/>
  <c r="BZ1160" i="1"/>
  <c r="BZ1161" i="1"/>
  <c r="BZ1162" i="1"/>
  <c r="BZ1163" i="1"/>
  <c r="BZ1164" i="1"/>
  <c r="BZ1165" i="1"/>
  <c r="BZ1166" i="1"/>
  <c r="BZ1167" i="1"/>
  <c r="BZ1168" i="1"/>
  <c r="BZ1169" i="1"/>
  <c r="BZ1170" i="1"/>
  <c r="BZ1171" i="1"/>
  <c r="BZ1172" i="1"/>
  <c r="BZ1173" i="1"/>
  <c r="BZ1174" i="1"/>
  <c r="BZ1175" i="1"/>
  <c r="BZ1176" i="1"/>
  <c r="BZ1177" i="1"/>
  <c r="BZ1178" i="1"/>
  <c r="BZ1179" i="1"/>
  <c r="BZ1180" i="1"/>
  <c r="BZ1181" i="1"/>
  <c r="BZ1182" i="1"/>
  <c r="BZ1183" i="1"/>
  <c r="BZ1184" i="1"/>
  <c r="BZ1185" i="1"/>
  <c r="BZ1186" i="1"/>
  <c r="BZ1187" i="1"/>
  <c r="BZ1188" i="1"/>
  <c r="BZ1189" i="1"/>
  <c r="BZ1190" i="1"/>
  <c r="BZ1191" i="1"/>
  <c r="BZ1192" i="1"/>
  <c r="BZ1193" i="1"/>
  <c r="BZ1194" i="1"/>
  <c r="BZ1195" i="1"/>
  <c r="BZ1196" i="1"/>
  <c r="BZ1197" i="1"/>
  <c r="BZ1198" i="1"/>
  <c r="BZ1199" i="1"/>
  <c r="BZ1200" i="1"/>
  <c r="BZ1201" i="1"/>
  <c r="BZ1202" i="1"/>
  <c r="BZ1203" i="1"/>
  <c r="BZ1204" i="1"/>
  <c r="BZ1205" i="1"/>
  <c r="BZ1206" i="1"/>
  <c r="BZ1207" i="1"/>
  <c r="BZ1208" i="1"/>
  <c r="BZ1209" i="1"/>
  <c r="BZ1210" i="1"/>
  <c r="BZ1211" i="1"/>
  <c r="BZ1212" i="1"/>
  <c r="BZ1213" i="1"/>
  <c r="BZ1214" i="1"/>
  <c r="BZ1215" i="1"/>
  <c r="BZ1216" i="1"/>
  <c r="BZ1217" i="1"/>
  <c r="BZ1218" i="1"/>
  <c r="BZ1219" i="1"/>
  <c r="BZ1220" i="1"/>
  <c r="BZ1221" i="1"/>
  <c r="BZ1222" i="1"/>
  <c r="BZ1223" i="1"/>
  <c r="BZ3" i="1"/>
  <c r="BZ4" i="1"/>
  <c r="BZ2" i="1"/>
  <c r="BX3" i="1"/>
  <c r="BX4" i="1"/>
  <c r="BX5" i="1"/>
  <c r="BX6" i="1"/>
  <c r="BX7" i="1"/>
  <c r="BX2" i="1"/>
  <c r="BX1177" i="1"/>
  <c r="BX1178" i="1"/>
  <c r="BX1179" i="1"/>
  <c r="BX1180" i="1"/>
  <c r="BX1181" i="1"/>
  <c r="BX1182" i="1"/>
  <c r="BX1183" i="1"/>
  <c r="BX1184" i="1"/>
  <c r="BX1185" i="1"/>
  <c r="BX1186" i="1"/>
  <c r="BX1187" i="1"/>
  <c r="BX1188" i="1"/>
  <c r="BX1189" i="1"/>
  <c r="BX1176" i="1"/>
  <c r="BX117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10" i="1"/>
  <c r="BX111" i="1"/>
  <c r="BX112" i="1"/>
  <c r="BX113" i="1"/>
  <c r="BX114" i="1"/>
  <c r="BX115" i="1"/>
  <c r="BX116" i="1"/>
  <c r="BX117" i="1"/>
  <c r="BX118" i="1"/>
  <c r="BX119" i="1"/>
  <c r="BX120" i="1"/>
  <c r="BX121" i="1"/>
  <c r="BX122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X136" i="1"/>
  <c r="BX137" i="1"/>
  <c r="BX138" i="1"/>
  <c r="BX139" i="1"/>
  <c r="BX140" i="1"/>
  <c r="BX141" i="1"/>
  <c r="BX142" i="1"/>
  <c r="BX143" i="1"/>
  <c r="BX144" i="1"/>
  <c r="BX145" i="1"/>
  <c r="BX146" i="1"/>
  <c r="BX147" i="1"/>
  <c r="BX148" i="1"/>
  <c r="BX149" i="1"/>
  <c r="BX150" i="1"/>
  <c r="BX151" i="1"/>
  <c r="BX152" i="1"/>
  <c r="BX153" i="1"/>
  <c r="BX154" i="1"/>
  <c r="BX155" i="1"/>
  <c r="BX156" i="1"/>
  <c r="BX157" i="1"/>
  <c r="BX158" i="1"/>
  <c r="BX159" i="1"/>
  <c r="BX160" i="1"/>
  <c r="BX161" i="1"/>
  <c r="BX162" i="1"/>
  <c r="BX163" i="1"/>
  <c r="BX164" i="1"/>
  <c r="BX165" i="1"/>
  <c r="BX166" i="1"/>
  <c r="BX167" i="1"/>
  <c r="BX168" i="1"/>
  <c r="BX169" i="1"/>
  <c r="BX170" i="1"/>
  <c r="BX171" i="1"/>
  <c r="BX172" i="1"/>
  <c r="BX173" i="1"/>
  <c r="BX174" i="1"/>
  <c r="BX175" i="1"/>
  <c r="BX176" i="1"/>
  <c r="BX177" i="1"/>
  <c r="BX178" i="1"/>
  <c r="BX179" i="1"/>
  <c r="BX180" i="1"/>
  <c r="BX181" i="1"/>
  <c r="BX182" i="1"/>
  <c r="BX183" i="1"/>
  <c r="BX184" i="1"/>
  <c r="BX185" i="1"/>
  <c r="BX186" i="1"/>
  <c r="BX187" i="1"/>
  <c r="BX188" i="1"/>
  <c r="BX189" i="1"/>
  <c r="BX190" i="1"/>
  <c r="BX191" i="1"/>
  <c r="BX192" i="1"/>
  <c r="BX193" i="1"/>
  <c r="BX194" i="1"/>
  <c r="BX195" i="1"/>
  <c r="BX196" i="1"/>
  <c r="BX197" i="1"/>
  <c r="BX198" i="1"/>
  <c r="BX199" i="1"/>
  <c r="BX200" i="1"/>
  <c r="BX201" i="1"/>
  <c r="BX202" i="1"/>
  <c r="BX203" i="1"/>
  <c r="BX204" i="1"/>
  <c r="BX205" i="1"/>
  <c r="BX206" i="1"/>
  <c r="BX207" i="1"/>
  <c r="BX208" i="1"/>
  <c r="BX209" i="1"/>
  <c r="BX210" i="1"/>
  <c r="BX211" i="1"/>
  <c r="BX212" i="1"/>
  <c r="BX213" i="1"/>
  <c r="BX214" i="1"/>
  <c r="BX215" i="1"/>
  <c r="BX216" i="1"/>
  <c r="BX217" i="1"/>
  <c r="BX218" i="1"/>
  <c r="BX219" i="1"/>
  <c r="BX220" i="1"/>
  <c r="BX221" i="1"/>
  <c r="BX222" i="1"/>
  <c r="BX223" i="1"/>
  <c r="BX224" i="1"/>
  <c r="BX225" i="1"/>
  <c r="BX226" i="1"/>
  <c r="BX227" i="1"/>
  <c r="BX228" i="1"/>
  <c r="BX229" i="1"/>
  <c r="BX230" i="1"/>
  <c r="BX231" i="1"/>
  <c r="BX232" i="1"/>
  <c r="BX233" i="1"/>
  <c r="BX234" i="1"/>
  <c r="BX235" i="1"/>
  <c r="BX236" i="1"/>
  <c r="BX237" i="1"/>
  <c r="BX238" i="1"/>
  <c r="BX239" i="1"/>
  <c r="BX240" i="1"/>
  <c r="BX241" i="1"/>
  <c r="BX242" i="1"/>
  <c r="BX243" i="1"/>
  <c r="BX244" i="1"/>
  <c r="BX245" i="1"/>
  <c r="BX246" i="1"/>
  <c r="BX247" i="1"/>
  <c r="BX248" i="1"/>
  <c r="BX249" i="1"/>
  <c r="BX250" i="1"/>
  <c r="BX251" i="1"/>
  <c r="BX252" i="1"/>
  <c r="BX253" i="1"/>
  <c r="BX254" i="1"/>
  <c r="BX255" i="1"/>
  <c r="BX256" i="1"/>
  <c r="BX257" i="1"/>
  <c r="BX258" i="1"/>
  <c r="BX259" i="1"/>
  <c r="BX260" i="1"/>
  <c r="BX261" i="1"/>
  <c r="BX262" i="1"/>
  <c r="BX263" i="1"/>
  <c r="BX264" i="1"/>
  <c r="BX265" i="1"/>
  <c r="BX266" i="1"/>
  <c r="BX267" i="1"/>
  <c r="BX268" i="1"/>
  <c r="BX269" i="1"/>
  <c r="BX270" i="1"/>
  <c r="BX271" i="1"/>
  <c r="BX272" i="1"/>
  <c r="BX273" i="1"/>
  <c r="BX274" i="1"/>
  <c r="BX275" i="1"/>
  <c r="BX276" i="1"/>
  <c r="BX277" i="1"/>
  <c r="BX278" i="1"/>
  <c r="BX279" i="1"/>
  <c r="BX280" i="1"/>
  <c r="BX281" i="1"/>
  <c r="BX282" i="1"/>
  <c r="BX283" i="1"/>
  <c r="BX284" i="1"/>
  <c r="BX285" i="1"/>
  <c r="BX286" i="1"/>
  <c r="BX287" i="1"/>
  <c r="BX288" i="1"/>
  <c r="BX289" i="1"/>
  <c r="BX290" i="1"/>
  <c r="BX291" i="1"/>
  <c r="BX292" i="1"/>
  <c r="BX293" i="1"/>
  <c r="BX294" i="1"/>
  <c r="BX295" i="1"/>
  <c r="BX296" i="1"/>
  <c r="BX297" i="1"/>
  <c r="BX298" i="1"/>
  <c r="BX299" i="1"/>
  <c r="BX300" i="1"/>
  <c r="BX301" i="1"/>
  <c r="BX302" i="1"/>
  <c r="BX303" i="1"/>
  <c r="BX304" i="1"/>
  <c r="BX305" i="1"/>
  <c r="BX306" i="1"/>
  <c r="BX307" i="1"/>
  <c r="BX308" i="1"/>
  <c r="BX309" i="1"/>
  <c r="BX310" i="1"/>
  <c r="BX311" i="1"/>
  <c r="BX312" i="1"/>
  <c r="BX313" i="1"/>
  <c r="BX314" i="1"/>
  <c r="BX315" i="1"/>
  <c r="BX316" i="1"/>
  <c r="BX317" i="1"/>
  <c r="BX318" i="1"/>
  <c r="BX319" i="1"/>
  <c r="BX320" i="1"/>
  <c r="BX321" i="1"/>
  <c r="BX322" i="1"/>
  <c r="BX323" i="1"/>
  <c r="BX324" i="1"/>
  <c r="BX325" i="1"/>
  <c r="BX326" i="1"/>
  <c r="BX327" i="1"/>
  <c r="BX328" i="1"/>
  <c r="BX329" i="1"/>
  <c r="BX330" i="1"/>
  <c r="BX331" i="1"/>
  <c r="BX332" i="1"/>
  <c r="BX333" i="1"/>
  <c r="BX334" i="1"/>
  <c r="BX335" i="1"/>
  <c r="BX336" i="1"/>
  <c r="BX337" i="1"/>
  <c r="BX338" i="1"/>
  <c r="BX339" i="1"/>
  <c r="BX340" i="1"/>
  <c r="BX341" i="1"/>
  <c r="BX342" i="1"/>
  <c r="BX343" i="1"/>
  <c r="BX344" i="1"/>
  <c r="BX345" i="1"/>
  <c r="BX346" i="1"/>
  <c r="BX347" i="1"/>
  <c r="BX348" i="1"/>
  <c r="BX349" i="1"/>
  <c r="BX350" i="1"/>
  <c r="BX351" i="1"/>
  <c r="BX352" i="1"/>
  <c r="BX353" i="1"/>
  <c r="BX354" i="1"/>
  <c r="BX355" i="1"/>
  <c r="BX356" i="1"/>
  <c r="BX357" i="1"/>
  <c r="BX358" i="1"/>
  <c r="BX359" i="1"/>
  <c r="BX360" i="1"/>
  <c r="BX361" i="1"/>
  <c r="BX362" i="1"/>
  <c r="BX363" i="1"/>
  <c r="BX364" i="1"/>
  <c r="BX365" i="1"/>
  <c r="BX366" i="1"/>
  <c r="BX367" i="1"/>
  <c r="BX368" i="1"/>
  <c r="BX369" i="1"/>
  <c r="BX370" i="1"/>
  <c r="BX371" i="1"/>
  <c r="BX372" i="1"/>
  <c r="BX373" i="1"/>
  <c r="BX374" i="1"/>
  <c r="BX375" i="1"/>
  <c r="BX376" i="1"/>
  <c r="BX377" i="1"/>
  <c r="BX378" i="1"/>
  <c r="BX379" i="1"/>
  <c r="BX380" i="1"/>
  <c r="BX381" i="1"/>
  <c r="BX382" i="1"/>
  <c r="BX383" i="1"/>
  <c r="BX384" i="1"/>
  <c r="BX385" i="1"/>
  <c r="BX386" i="1"/>
  <c r="BX387" i="1"/>
  <c r="BX388" i="1"/>
  <c r="BX389" i="1"/>
  <c r="BX390" i="1"/>
  <c r="BX391" i="1"/>
  <c r="BX392" i="1"/>
  <c r="BX393" i="1"/>
  <c r="BX394" i="1"/>
  <c r="BX395" i="1"/>
  <c r="BX396" i="1"/>
  <c r="BX397" i="1"/>
  <c r="BX398" i="1"/>
  <c r="BX399" i="1"/>
  <c r="BX400" i="1"/>
  <c r="BX401" i="1"/>
  <c r="BX402" i="1"/>
  <c r="BX403" i="1"/>
  <c r="BX404" i="1"/>
  <c r="BX405" i="1"/>
  <c r="BX406" i="1"/>
  <c r="BX407" i="1"/>
  <c r="BX408" i="1"/>
  <c r="BX409" i="1"/>
  <c r="BX410" i="1"/>
  <c r="BX411" i="1"/>
  <c r="BX412" i="1"/>
  <c r="BX413" i="1"/>
  <c r="BX414" i="1"/>
  <c r="BX415" i="1"/>
  <c r="BX416" i="1"/>
  <c r="BX417" i="1"/>
  <c r="BX418" i="1"/>
  <c r="BX419" i="1"/>
  <c r="BX420" i="1"/>
  <c r="BX421" i="1"/>
  <c r="BX422" i="1"/>
  <c r="BX423" i="1"/>
  <c r="BX424" i="1"/>
  <c r="BX425" i="1"/>
  <c r="BX426" i="1"/>
  <c r="BX427" i="1"/>
  <c r="BX428" i="1"/>
  <c r="BX429" i="1"/>
  <c r="BX430" i="1"/>
  <c r="BX431" i="1"/>
  <c r="BX432" i="1"/>
  <c r="BX433" i="1"/>
  <c r="BX434" i="1"/>
  <c r="BX435" i="1"/>
  <c r="BX436" i="1"/>
  <c r="BX437" i="1"/>
  <c r="BX438" i="1"/>
  <c r="BX439" i="1"/>
  <c r="BX440" i="1"/>
  <c r="BX441" i="1"/>
  <c r="BX442" i="1"/>
  <c r="BX443" i="1"/>
  <c r="BX444" i="1"/>
  <c r="BX445" i="1"/>
  <c r="BX446" i="1"/>
  <c r="BX447" i="1"/>
  <c r="BX448" i="1"/>
  <c r="BX449" i="1"/>
  <c r="BX450" i="1"/>
  <c r="BX451" i="1"/>
  <c r="BX452" i="1"/>
  <c r="BX453" i="1"/>
  <c r="BX454" i="1"/>
  <c r="BX455" i="1"/>
  <c r="BX456" i="1"/>
  <c r="BX457" i="1"/>
  <c r="BX458" i="1"/>
  <c r="BX459" i="1"/>
  <c r="BX460" i="1"/>
  <c r="BX461" i="1"/>
  <c r="BX462" i="1"/>
  <c r="BX463" i="1"/>
  <c r="BX464" i="1"/>
  <c r="BX465" i="1"/>
  <c r="BX466" i="1"/>
  <c r="BX467" i="1"/>
  <c r="BX468" i="1"/>
  <c r="BX469" i="1"/>
  <c r="BX470" i="1"/>
  <c r="BX471" i="1"/>
  <c r="BX472" i="1"/>
  <c r="BX473" i="1"/>
  <c r="BX474" i="1"/>
  <c r="BX475" i="1"/>
  <c r="BX476" i="1"/>
  <c r="BX477" i="1"/>
  <c r="BX478" i="1"/>
  <c r="BX479" i="1"/>
  <c r="BX480" i="1"/>
  <c r="BX481" i="1"/>
  <c r="BX482" i="1"/>
  <c r="BX483" i="1"/>
  <c r="BX484" i="1"/>
  <c r="BX485" i="1"/>
  <c r="BX486" i="1"/>
  <c r="BX487" i="1"/>
  <c r="BX488" i="1"/>
  <c r="BX489" i="1"/>
  <c r="BX490" i="1"/>
  <c r="BX491" i="1"/>
  <c r="BX492" i="1"/>
  <c r="BX493" i="1"/>
  <c r="BX494" i="1"/>
  <c r="BX495" i="1"/>
  <c r="BX496" i="1"/>
  <c r="BX497" i="1"/>
  <c r="BX498" i="1"/>
  <c r="BX499" i="1"/>
  <c r="BX500" i="1"/>
  <c r="BX501" i="1"/>
  <c r="BX502" i="1"/>
  <c r="BX503" i="1"/>
  <c r="BX504" i="1"/>
  <c r="BX505" i="1"/>
  <c r="BX506" i="1"/>
  <c r="BX507" i="1"/>
  <c r="BX508" i="1"/>
  <c r="BX509" i="1"/>
  <c r="BX510" i="1"/>
  <c r="BX511" i="1"/>
  <c r="BX512" i="1"/>
  <c r="BX513" i="1"/>
  <c r="BX514" i="1"/>
  <c r="BX515" i="1"/>
  <c r="BX516" i="1"/>
  <c r="BX517" i="1"/>
  <c r="BX518" i="1"/>
  <c r="BX519" i="1"/>
  <c r="BX520" i="1"/>
  <c r="BX521" i="1"/>
  <c r="BX522" i="1"/>
  <c r="BX523" i="1"/>
  <c r="BX524" i="1"/>
  <c r="BX525" i="1"/>
  <c r="BX526" i="1"/>
  <c r="BX527" i="1"/>
  <c r="BX528" i="1"/>
  <c r="BX529" i="1"/>
  <c r="BX530" i="1"/>
  <c r="BX531" i="1"/>
  <c r="BX532" i="1"/>
  <c r="BX533" i="1"/>
  <c r="BX534" i="1"/>
  <c r="BX535" i="1"/>
  <c r="BX536" i="1"/>
  <c r="BX537" i="1"/>
  <c r="BX538" i="1"/>
  <c r="BX539" i="1"/>
  <c r="BX540" i="1"/>
  <c r="BX541" i="1"/>
  <c r="BX542" i="1"/>
  <c r="BX543" i="1"/>
  <c r="BX544" i="1"/>
  <c r="BX545" i="1"/>
  <c r="BX546" i="1"/>
  <c r="BX547" i="1"/>
  <c r="BX548" i="1"/>
  <c r="BX549" i="1"/>
  <c r="BX550" i="1"/>
  <c r="BX551" i="1"/>
  <c r="BX552" i="1"/>
  <c r="BX553" i="1"/>
  <c r="BX554" i="1"/>
  <c r="BX555" i="1"/>
  <c r="BX556" i="1"/>
  <c r="BX557" i="1"/>
  <c r="BX558" i="1"/>
  <c r="BX559" i="1"/>
  <c r="BX560" i="1"/>
  <c r="BX561" i="1"/>
  <c r="BX562" i="1"/>
  <c r="BX563" i="1"/>
  <c r="BX564" i="1"/>
  <c r="BX565" i="1"/>
  <c r="BX566" i="1"/>
  <c r="BX567" i="1"/>
  <c r="BX568" i="1"/>
  <c r="BX569" i="1"/>
  <c r="BX570" i="1"/>
  <c r="BX571" i="1"/>
  <c r="BX572" i="1"/>
  <c r="BX573" i="1"/>
  <c r="BX574" i="1"/>
  <c r="BX575" i="1"/>
  <c r="BX576" i="1"/>
  <c r="BX577" i="1"/>
  <c r="BX578" i="1"/>
  <c r="BX579" i="1"/>
  <c r="BX580" i="1"/>
  <c r="BX581" i="1"/>
  <c r="BX582" i="1"/>
  <c r="BX583" i="1"/>
  <c r="BX584" i="1"/>
  <c r="BX585" i="1"/>
  <c r="BX586" i="1"/>
  <c r="BX587" i="1"/>
  <c r="BX588" i="1"/>
  <c r="BX589" i="1"/>
  <c r="BX590" i="1"/>
  <c r="BX591" i="1"/>
  <c r="BX592" i="1"/>
  <c r="BX593" i="1"/>
  <c r="BX594" i="1"/>
  <c r="BX595" i="1"/>
  <c r="BX596" i="1"/>
  <c r="BX597" i="1"/>
  <c r="BX598" i="1"/>
  <c r="BX599" i="1"/>
  <c r="BX600" i="1"/>
  <c r="BX601" i="1"/>
  <c r="BX602" i="1"/>
  <c r="BX603" i="1"/>
  <c r="BX604" i="1"/>
  <c r="BX605" i="1"/>
  <c r="BX606" i="1"/>
  <c r="BX607" i="1"/>
  <c r="BX608" i="1"/>
  <c r="BX609" i="1"/>
  <c r="BX610" i="1"/>
  <c r="BX611" i="1"/>
  <c r="BX612" i="1"/>
  <c r="BX613" i="1"/>
  <c r="BX614" i="1"/>
  <c r="BX615" i="1"/>
  <c r="BX616" i="1"/>
  <c r="BX617" i="1"/>
  <c r="BX618" i="1"/>
  <c r="BX619" i="1"/>
  <c r="BX620" i="1"/>
  <c r="BX621" i="1"/>
  <c r="BX622" i="1"/>
  <c r="BX623" i="1"/>
  <c r="BX624" i="1"/>
  <c r="BX625" i="1"/>
  <c r="BX626" i="1"/>
  <c r="BX627" i="1"/>
  <c r="BX628" i="1"/>
  <c r="BX629" i="1"/>
  <c r="BX630" i="1"/>
  <c r="BX631" i="1"/>
  <c r="BX632" i="1"/>
  <c r="BX633" i="1"/>
  <c r="BX634" i="1"/>
  <c r="BX635" i="1"/>
  <c r="BX636" i="1"/>
  <c r="BX637" i="1"/>
  <c r="BX638" i="1"/>
  <c r="BX639" i="1"/>
  <c r="BX640" i="1"/>
  <c r="BX641" i="1"/>
  <c r="BX642" i="1"/>
  <c r="BX643" i="1"/>
  <c r="BX644" i="1"/>
  <c r="BX645" i="1"/>
  <c r="BX646" i="1"/>
  <c r="BX647" i="1"/>
  <c r="BX648" i="1"/>
  <c r="BX649" i="1"/>
  <c r="BX650" i="1"/>
  <c r="BX651" i="1"/>
  <c r="BX652" i="1"/>
  <c r="BX653" i="1"/>
  <c r="BX654" i="1"/>
  <c r="BX655" i="1"/>
  <c r="BX656" i="1"/>
  <c r="BX657" i="1"/>
  <c r="BX658" i="1"/>
  <c r="BX659" i="1"/>
  <c r="BX660" i="1"/>
  <c r="BX661" i="1"/>
  <c r="BX662" i="1"/>
  <c r="BX663" i="1"/>
  <c r="BX664" i="1"/>
  <c r="BX665" i="1"/>
  <c r="BX666" i="1"/>
  <c r="BX667" i="1"/>
  <c r="BX668" i="1"/>
  <c r="BX669" i="1"/>
  <c r="BX670" i="1"/>
  <c r="BX671" i="1"/>
  <c r="BX672" i="1"/>
  <c r="BX673" i="1"/>
  <c r="BX674" i="1"/>
  <c r="BX675" i="1"/>
  <c r="BX676" i="1"/>
  <c r="BX677" i="1"/>
  <c r="BX678" i="1"/>
  <c r="BX679" i="1"/>
  <c r="BX680" i="1"/>
  <c r="BX681" i="1"/>
  <c r="BX682" i="1"/>
  <c r="BX683" i="1"/>
  <c r="BX684" i="1"/>
  <c r="BX685" i="1"/>
  <c r="BX686" i="1"/>
  <c r="BX687" i="1"/>
  <c r="BX688" i="1"/>
  <c r="BX689" i="1"/>
  <c r="BX690" i="1"/>
  <c r="BX691" i="1"/>
  <c r="BX692" i="1"/>
  <c r="BX693" i="1"/>
  <c r="BX694" i="1"/>
  <c r="BX695" i="1"/>
  <c r="BX696" i="1"/>
  <c r="BX697" i="1"/>
  <c r="BX698" i="1"/>
  <c r="BX699" i="1"/>
  <c r="BX700" i="1"/>
  <c r="BX701" i="1"/>
  <c r="BX702" i="1"/>
  <c r="BX703" i="1"/>
  <c r="BX704" i="1"/>
  <c r="BX705" i="1"/>
  <c r="BX706" i="1"/>
  <c r="BX707" i="1"/>
  <c r="BX708" i="1"/>
  <c r="BX709" i="1"/>
  <c r="BX710" i="1"/>
  <c r="BX711" i="1"/>
  <c r="BX712" i="1"/>
  <c r="BX713" i="1"/>
  <c r="BX714" i="1"/>
  <c r="BX715" i="1"/>
  <c r="BX716" i="1"/>
  <c r="BX717" i="1"/>
  <c r="BX718" i="1"/>
  <c r="BX719" i="1"/>
  <c r="BX720" i="1"/>
  <c r="BX721" i="1"/>
  <c r="BX722" i="1"/>
  <c r="BX723" i="1"/>
  <c r="BX724" i="1"/>
  <c r="BX725" i="1"/>
  <c r="BX726" i="1"/>
  <c r="BX727" i="1"/>
  <c r="BX728" i="1"/>
  <c r="BX729" i="1"/>
  <c r="BX730" i="1"/>
  <c r="BX731" i="1"/>
  <c r="BX732" i="1"/>
  <c r="BX733" i="1"/>
  <c r="BX734" i="1"/>
  <c r="BX735" i="1"/>
  <c r="BX736" i="1"/>
  <c r="BX737" i="1"/>
  <c r="BX738" i="1"/>
  <c r="BX739" i="1"/>
  <c r="BX740" i="1"/>
  <c r="BX741" i="1"/>
  <c r="BX742" i="1"/>
  <c r="BX743" i="1"/>
  <c r="BX744" i="1"/>
  <c r="BX745" i="1"/>
  <c r="BX746" i="1"/>
  <c r="BX747" i="1"/>
  <c r="BX748" i="1"/>
  <c r="BX749" i="1"/>
  <c r="BX750" i="1"/>
  <c r="BX751" i="1"/>
  <c r="BX752" i="1"/>
  <c r="BX753" i="1"/>
  <c r="BX754" i="1"/>
  <c r="BX755" i="1"/>
  <c r="BX756" i="1"/>
  <c r="BX757" i="1"/>
  <c r="BX758" i="1"/>
  <c r="BX759" i="1"/>
  <c r="BX760" i="1"/>
  <c r="BX761" i="1"/>
  <c r="BX762" i="1"/>
  <c r="BX763" i="1"/>
  <c r="BX764" i="1"/>
  <c r="BX765" i="1"/>
  <c r="BX766" i="1"/>
  <c r="BX767" i="1"/>
  <c r="BX768" i="1"/>
  <c r="BX769" i="1"/>
  <c r="BX770" i="1"/>
  <c r="BX771" i="1"/>
  <c r="BX772" i="1"/>
  <c r="BX773" i="1"/>
  <c r="BX774" i="1"/>
  <c r="BX775" i="1"/>
  <c r="BX776" i="1"/>
  <c r="BX777" i="1"/>
  <c r="BX778" i="1"/>
  <c r="BX779" i="1"/>
  <c r="BX780" i="1"/>
  <c r="BX781" i="1"/>
  <c r="BX782" i="1"/>
  <c r="BX783" i="1"/>
  <c r="BX784" i="1"/>
  <c r="BX785" i="1"/>
  <c r="BX786" i="1"/>
  <c r="BX787" i="1"/>
  <c r="BX788" i="1"/>
  <c r="BX789" i="1"/>
  <c r="BX790" i="1"/>
  <c r="BX791" i="1"/>
  <c r="BX792" i="1"/>
  <c r="BX793" i="1"/>
  <c r="BX794" i="1"/>
  <c r="BX795" i="1"/>
  <c r="BX796" i="1"/>
  <c r="BX797" i="1"/>
  <c r="BX798" i="1"/>
  <c r="BX799" i="1"/>
  <c r="BX800" i="1"/>
  <c r="BX801" i="1"/>
  <c r="BX802" i="1"/>
  <c r="BX803" i="1"/>
  <c r="BX804" i="1"/>
  <c r="BX805" i="1"/>
  <c r="BX806" i="1"/>
  <c r="BX807" i="1"/>
  <c r="BX808" i="1"/>
  <c r="BX809" i="1"/>
  <c r="BX810" i="1"/>
  <c r="BX811" i="1"/>
  <c r="BX812" i="1"/>
  <c r="BX813" i="1"/>
  <c r="BX814" i="1"/>
  <c r="BX815" i="1"/>
  <c r="BX816" i="1"/>
  <c r="BX817" i="1"/>
  <c r="BX818" i="1"/>
  <c r="BX819" i="1"/>
  <c r="BX820" i="1"/>
  <c r="BX821" i="1"/>
  <c r="BX822" i="1"/>
  <c r="BX823" i="1"/>
  <c r="BX824" i="1"/>
  <c r="BX825" i="1"/>
  <c r="BX826" i="1"/>
  <c r="BX827" i="1"/>
  <c r="BX828" i="1"/>
  <c r="BX829" i="1"/>
  <c r="BX830" i="1"/>
  <c r="BX831" i="1"/>
  <c r="BX832" i="1"/>
  <c r="BX833" i="1"/>
  <c r="BX834" i="1"/>
  <c r="BX835" i="1"/>
  <c r="BX836" i="1"/>
  <c r="BX837" i="1"/>
  <c r="BX838" i="1"/>
  <c r="BX839" i="1"/>
  <c r="BX840" i="1"/>
  <c r="BX841" i="1"/>
  <c r="BX842" i="1"/>
  <c r="BX843" i="1"/>
  <c r="BX844" i="1"/>
  <c r="BX845" i="1"/>
  <c r="BX846" i="1"/>
  <c r="BX847" i="1"/>
  <c r="BX848" i="1"/>
  <c r="BX849" i="1"/>
  <c r="BX850" i="1"/>
  <c r="BX851" i="1"/>
  <c r="BX852" i="1"/>
  <c r="BX853" i="1"/>
  <c r="BX854" i="1"/>
  <c r="BX855" i="1"/>
  <c r="BX856" i="1"/>
  <c r="BX857" i="1"/>
  <c r="BX858" i="1"/>
  <c r="BX859" i="1"/>
  <c r="BX860" i="1"/>
  <c r="BX861" i="1"/>
  <c r="BX862" i="1"/>
  <c r="BX863" i="1"/>
  <c r="BX864" i="1"/>
  <c r="BX865" i="1"/>
  <c r="BX866" i="1"/>
  <c r="BX867" i="1"/>
  <c r="BX868" i="1"/>
  <c r="BX869" i="1"/>
  <c r="BX870" i="1"/>
  <c r="BX871" i="1"/>
  <c r="BX872" i="1"/>
  <c r="BX873" i="1"/>
  <c r="BX874" i="1"/>
  <c r="BX875" i="1"/>
  <c r="BX876" i="1"/>
  <c r="BX877" i="1"/>
  <c r="BX878" i="1"/>
  <c r="BX879" i="1"/>
  <c r="BX880" i="1"/>
  <c r="BX881" i="1"/>
  <c r="BX882" i="1"/>
  <c r="BX883" i="1"/>
  <c r="BX884" i="1"/>
  <c r="BX885" i="1"/>
  <c r="BX886" i="1"/>
  <c r="BX887" i="1"/>
  <c r="BX888" i="1"/>
  <c r="BX889" i="1"/>
  <c r="BX890" i="1"/>
  <c r="BX891" i="1"/>
  <c r="BX892" i="1"/>
  <c r="BX893" i="1"/>
  <c r="BX894" i="1"/>
  <c r="BX895" i="1"/>
  <c r="BX896" i="1"/>
  <c r="BX897" i="1"/>
  <c r="BX898" i="1"/>
  <c r="BX899" i="1"/>
  <c r="BX900" i="1"/>
  <c r="BX901" i="1"/>
  <c r="BX902" i="1"/>
  <c r="BX903" i="1"/>
  <c r="BX904" i="1"/>
  <c r="BX905" i="1"/>
  <c r="BX906" i="1"/>
  <c r="BX907" i="1"/>
  <c r="BX908" i="1"/>
  <c r="BX909" i="1"/>
  <c r="BX910" i="1"/>
  <c r="BX911" i="1"/>
  <c r="BX912" i="1"/>
  <c r="BX913" i="1"/>
  <c r="BX914" i="1"/>
  <c r="BX915" i="1"/>
  <c r="BX916" i="1"/>
  <c r="BX917" i="1"/>
  <c r="BX918" i="1"/>
  <c r="BX919" i="1"/>
  <c r="BX920" i="1"/>
  <c r="BX921" i="1"/>
  <c r="BX922" i="1"/>
  <c r="BX923" i="1"/>
  <c r="BX924" i="1"/>
  <c r="BX925" i="1"/>
  <c r="BX926" i="1"/>
  <c r="BX927" i="1"/>
  <c r="BX928" i="1"/>
  <c r="BX929" i="1"/>
  <c r="BX930" i="1"/>
  <c r="BX931" i="1"/>
  <c r="BX932" i="1"/>
  <c r="BX933" i="1"/>
  <c r="BX934" i="1"/>
  <c r="BX935" i="1"/>
  <c r="BX936" i="1"/>
  <c r="BX937" i="1"/>
  <c r="BX938" i="1"/>
  <c r="BX939" i="1"/>
  <c r="BX940" i="1"/>
  <c r="BX941" i="1"/>
  <c r="BX942" i="1"/>
  <c r="BX943" i="1"/>
  <c r="BX944" i="1"/>
  <c r="BX945" i="1"/>
  <c r="BX946" i="1"/>
  <c r="BX947" i="1"/>
  <c r="BX948" i="1"/>
  <c r="BX949" i="1"/>
  <c r="BX950" i="1"/>
  <c r="BX951" i="1"/>
  <c r="BX952" i="1"/>
  <c r="BX953" i="1"/>
  <c r="BX954" i="1"/>
  <c r="BX955" i="1"/>
  <c r="BX956" i="1"/>
  <c r="BX957" i="1"/>
  <c r="BX958" i="1"/>
  <c r="BX959" i="1"/>
  <c r="BX960" i="1"/>
  <c r="BX961" i="1"/>
  <c r="BX962" i="1"/>
  <c r="BX963" i="1"/>
  <c r="BX964" i="1"/>
  <c r="BX965" i="1"/>
  <c r="BX966" i="1"/>
  <c r="BX967" i="1"/>
  <c r="BX968" i="1"/>
  <c r="BX969" i="1"/>
  <c r="BX970" i="1"/>
  <c r="BX971" i="1"/>
  <c r="BX972" i="1"/>
  <c r="BX973" i="1"/>
  <c r="BX974" i="1"/>
  <c r="BX975" i="1"/>
  <c r="BX976" i="1"/>
  <c r="BX977" i="1"/>
  <c r="BX978" i="1"/>
  <c r="BX979" i="1"/>
  <c r="BX980" i="1"/>
  <c r="BX981" i="1"/>
  <c r="BX982" i="1"/>
  <c r="BX983" i="1"/>
  <c r="BX984" i="1"/>
  <c r="BX985" i="1"/>
  <c r="BX986" i="1"/>
  <c r="BX987" i="1"/>
  <c r="BX988" i="1"/>
  <c r="BX989" i="1"/>
  <c r="BX990" i="1"/>
  <c r="BX991" i="1"/>
  <c r="BX992" i="1"/>
  <c r="BX993" i="1"/>
  <c r="BX994" i="1"/>
  <c r="BX995" i="1"/>
  <c r="BX996" i="1"/>
  <c r="BX997" i="1"/>
  <c r="BX998" i="1"/>
  <c r="BX999" i="1"/>
  <c r="BX1000" i="1"/>
  <c r="BX1001" i="1"/>
  <c r="BX1002" i="1"/>
  <c r="BX1003" i="1"/>
  <c r="BX1004" i="1"/>
  <c r="BX1005" i="1"/>
  <c r="BX1006" i="1"/>
  <c r="BX1007" i="1"/>
  <c r="BX1008" i="1"/>
  <c r="BX1009" i="1"/>
  <c r="BX1010" i="1"/>
  <c r="BX1011" i="1"/>
  <c r="BX1012" i="1"/>
  <c r="BX1013" i="1"/>
  <c r="BX1014" i="1"/>
  <c r="BX1015" i="1"/>
  <c r="BX1016" i="1"/>
  <c r="BX1017" i="1"/>
  <c r="BX1018" i="1"/>
  <c r="BX1019" i="1"/>
  <c r="BX1020" i="1"/>
  <c r="BX1021" i="1"/>
  <c r="BX1022" i="1"/>
  <c r="BX1023" i="1"/>
  <c r="BX1024" i="1"/>
  <c r="BX1025" i="1"/>
  <c r="BX1026" i="1"/>
  <c r="BX1027" i="1"/>
  <c r="BX1028" i="1"/>
  <c r="BX1029" i="1"/>
  <c r="BX1030" i="1"/>
  <c r="BX1031" i="1"/>
  <c r="BX1032" i="1"/>
  <c r="BX1033" i="1"/>
  <c r="BX1034" i="1"/>
  <c r="BX1035" i="1"/>
  <c r="BX1036" i="1"/>
  <c r="BX1037" i="1"/>
  <c r="BX1038" i="1"/>
  <c r="BX1039" i="1"/>
  <c r="BX1040" i="1"/>
  <c r="BX1041" i="1"/>
  <c r="BX1042" i="1"/>
  <c r="BX1043" i="1"/>
  <c r="BX1044" i="1"/>
  <c r="BX1045" i="1"/>
  <c r="BX1046" i="1"/>
  <c r="BX1047" i="1"/>
  <c r="BX1048" i="1"/>
  <c r="BX1049" i="1"/>
  <c r="BX1050" i="1"/>
  <c r="BX1051" i="1"/>
  <c r="BX1052" i="1"/>
  <c r="BX1053" i="1"/>
  <c r="BX1054" i="1"/>
  <c r="BX1055" i="1"/>
  <c r="BX1056" i="1"/>
  <c r="BX1057" i="1"/>
  <c r="BX1058" i="1"/>
  <c r="BX1059" i="1"/>
  <c r="BX1060" i="1"/>
  <c r="BX1061" i="1"/>
  <c r="BX1062" i="1"/>
  <c r="BX1063" i="1"/>
  <c r="BX1064" i="1"/>
  <c r="BX1065" i="1"/>
  <c r="BX1066" i="1"/>
  <c r="BX1067" i="1"/>
  <c r="BX1068" i="1"/>
  <c r="BX1069" i="1"/>
  <c r="BX1070" i="1"/>
  <c r="BX1071" i="1"/>
  <c r="BX1072" i="1"/>
  <c r="BX1073" i="1"/>
  <c r="BX1074" i="1"/>
  <c r="BX1075" i="1"/>
  <c r="BX1076" i="1"/>
  <c r="BX1077" i="1"/>
  <c r="BX1078" i="1"/>
  <c r="BX1079" i="1"/>
  <c r="BX1080" i="1"/>
  <c r="BX1081" i="1"/>
  <c r="BX1082" i="1"/>
  <c r="BX1083" i="1"/>
  <c r="BX1084" i="1"/>
  <c r="BX1085" i="1"/>
  <c r="BX1086" i="1"/>
  <c r="BX1087" i="1"/>
  <c r="BX1088" i="1"/>
  <c r="BX1089" i="1"/>
  <c r="BX1090" i="1"/>
  <c r="BX1091" i="1"/>
  <c r="BX1092" i="1"/>
  <c r="BX1093" i="1"/>
  <c r="BX1094" i="1"/>
  <c r="BX1095" i="1"/>
  <c r="BX1096" i="1"/>
  <c r="BX1097" i="1"/>
  <c r="BX1098" i="1"/>
  <c r="BX1099" i="1"/>
  <c r="BX1100" i="1"/>
  <c r="BX1101" i="1"/>
  <c r="BX1102" i="1"/>
  <c r="BX1103" i="1"/>
  <c r="BX1104" i="1"/>
  <c r="BX1105" i="1"/>
  <c r="BX1106" i="1"/>
  <c r="BX1107" i="1"/>
  <c r="BX1108" i="1"/>
  <c r="BX1109" i="1"/>
  <c r="BX1110" i="1"/>
  <c r="BX1111" i="1"/>
  <c r="BX1112" i="1"/>
  <c r="BX1113" i="1"/>
  <c r="BX1114" i="1"/>
  <c r="BX1115" i="1"/>
  <c r="BX1116" i="1"/>
  <c r="BX1117" i="1"/>
  <c r="BX1118" i="1"/>
  <c r="BX1119" i="1"/>
  <c r="BX1120" i="1"/>
  <c r="BX1121" i="1"/>
  <c r="BX1122" i="1"/>
  <c r="BX1123" i="1"/>
  <c r="BX1124" i="1"/>
  <c r="BX1125" i="1"/>
  <c r="BX1126" i="1"/>
  <c r="BX1127" i="1"/>
  <c r="BX1128" i="1"/>
  <c r="BX1129" i="1"/>
  <c r="BX1130" i="1"/>
  <c r="BX1131" i="1"/>
  <c r="BX1132" i="1"/>
  <c r="BX1133" i="1"/>
  <c r="BX1134" i="1"/>
  <c r="BX1135" i="1"/>
  <c r="BX1136" i="1"/>
  <c r="BX1137" i="1"/>
  <c r="BX1138" i="1"/>
  <c r="BX1139" i="1"/>
  <c r="BX1140" i="1"/>
  <c r="BX1141" i="1"/>
  <c r="BX1142" i="1"/>
  <c r="BX1143" i="1"/>
  <c r="BX1144" i="1"/>
  <c r="BX1145" i="1"/>
  <c r="BX1146" i="1"/>
  <c r="BX1147" i="1"/>
  <c r="BX1148" i="1"/>
  <c r="BX1149" i="1"/>
  <c r="BX1150" i="1"/>
  <c r="BX1151" i="1"/>
  <c r="BX1152" i="1"/>
  <c r="BX1153" i="1"/>
  <c r="BX1154" i="1"/>
  <c r="BX1155" i="1"/>
  <c r="BX1156" i="1"/>
  <c r="BX1157" i="1"/>
  <c r="BX1158" i="1"/>
  <c r="BX1159" i="1"/>
  <c r="BX1160" i="1"/>
  <c r="BX1161" i="1"/>
  <c r="BX1162" i="1"/>
  <c r="BX1163" i="1"/>
  <c r="BX1164" i="1"/>
  <c r="BX1165" i="1"/>
  <c r="BX1166" i="1"/>
  <c r="BX1167" i="1"/>
  <c r="BX1168" i="1"/>
  <c r="BX1169" i="1"/>
  <c r="BX1170" i="1"/>
  <c r="BX1171" i="1"/>
  <c r="BX1172" i="1"/>
  <c r="BX1173" i="1"/>
  <c r="BX1174" i="1"/>
  <c r="BX1190" i="1"/>
  <c r="BX1191" i="1"/>
  <c r="BX1192" i="1"/>
  <c r="BX1193" i="1"/>
  <c r="BX1194" i="1"/>
  <c r="BX1195" i="1"/>
  <c r="BX1196" i="1"/>
  <c r="BX1197" i="1"/>
  <c r="BX1198" i="1"/>
  <c r="BX1199" i="1"/>
  <c r="BX1200" i="1"/>
  <c r="BX1201" i="1"/>
  <c r="BX1202" i="1"/>
  <c r="BX1203" i="1"/>
  <c r="BX1204" i="1"/>
  <c r="BX1205" i="1"/>
  <c r="BX1206" i="1"/>
  <c r="BX1207" i="1"/>
  <c r="BX1208" i="1"/>
  <c r="BX1209" i="1"/>
  <c r="BX1210" i="1"/>
  <c r="BX1211" i="1"/>
  <c r="BX1212" i="1"/>
  <c r="BX1213" i="1"/>
  <c r="BX1214" i="1"/>
  <c r="BX1215" i="1"/>
  <c r="BX1216" i="1"/>
  <c r="BX1217" i="1"/>
  <c r="BX1218" i="1"/>
  <c r="BX1219" i="1"/>
  <c r="BX1220" i="1"/>
  <c r="BX1221" i="1"/>
  <c r="BX1222" i="1"/>
  <c r="BX1223" i="1"/>
  <c r="BX8" i="1"/>
  <c r="BX9" i="1"/>
  <c r="BX10" i="1"/>
  <c r="BX11" i="1"/>
  <c r="BX12" i="1"/>
  <c r="BX13" i="1"/>
  <c r="BX14" i="1"/>
  <c r="BX15" i="1"/>
  <c r="CH2" i="1"/>
  <c r="CJ3" i="1"/>
  <c r="CJ4" i="1"/>
  <c r="CJ5" i="1"/>
  <c r="CJ6" i="1"/>
  <c r="CJ7" i="1"/>
  <c r="CJ8" i="1"/>
  <c r="CJ9" i="1"/>
  <c r="CJ10" i="1"/>
  <c r="CJ11" i="1"/>
  <c r="CJ12" i="1"/>
  <c r="CJ13" i="1"/>
  <c r="CJ14" i="1"/>
  <c r="CJ15" i="1"/>
  <c r="CJ16" i="1"/>
  <c r="CJ17" i="1"/>
  <c r="CJ18" i="1"/>
  <c r="CJ19" i="1"/>
  <c r="CJ20" i="1"/>
  <c r="CJ21" i="1"/>
  <c r="CJ22" i="1"/>
  <c r="CJ23" i="1"/>
  <c r="CH3" i="1"/>
  <c r="CH4" i="1"/>
  <c r="CH5" i="1"/>
  <c r="CH6" i="1"/>
  <c r="CH7" i="1"/>
  <c r="CH8" i="1"/>
  <c r="CH9" i="1"/>
  <c r="CH10" i="1"/>
  <c r="CH11" i="1"/>
  <c r="CH12" i="1"/>
  <c r="CH13" i="1"/>
  <c r="CH14" i="1"/>
  <c r="CH15" i="1"/>
  <c r="CH16" i="1"/>
  <c r="CH17" i="1"/>
  <c r="CH18" i="1"/>
  <c r="CH19" i="1"/>
  <c r="CH20" i="1"/>
  <c r="CH21" i="1"/>
  <c r="CH22" i="1"/>
  <c r="CH23" i="1"/>
  <c r="CH24" i="1"/>
  <c r="X1035" i="1"/>
  <c r="AY704" i="1"/>
  <c r="BA704" i="1"/>
  <c r="BC704" i="1"/>
  <c r="BE704" i="1"/>
  <c r="BI704" i="1"/>
  <c r="BW704" i="1"/>
  <c r="BY704" i="1"/>
  <c r="CH704" i="1"/>
  <c r="CJ704" i="1"/>
  <c r="CR704" i="1" a="1"/>
  <c r="CR704" i="1" s="1"/>
  <c r="CU704" i="1" a="1"/>
  <c r="CU704" i="1" s="1"/>
  <c r="CV704" i="1" s="1" a="1"/>
  <c r="CV704" i="1" s="1"/>
  <c r="CW704" i="1" a="1"/>
  <c r="CW704" i="1" s="1"/>
  <c r="BW473" i="1"/>
  <c r="BW1213" i="1"/>
  <c r="BW41" i="1"/>
  <c r="BW645" i="1"/>
  <c r="BW431" i="1"/>
  <c r="BW995" i="1"/>
  <c r="BW1051" i="1"/>
  <c r="BW104" i="1"/>
  <c r="BW1067" i="1"/>
  <c r="BW324" i="1"/>
  <c r="BW614" i="1"/>
  <c r="BW963" i="1"/>
  <c r="BW3" i="1"/>
  <c r="BW31" i="1"/>
  <c r="BW1097" i="1"/>
  <c r="BW549" i="1"/>
  <c r="BW837" i="1"/>
  <c r="BW609" i="1"/>
  <c r="BW604" i="1"/>
  <c r="BW538" i="1"/>
  <c r="BW648" i="1"/>
  <c r="BW519" i="1"/>
  <c r="BW958" i="1"/>
  <c r="BW82" i="1"/>
  <c r="BW208" i="1"/>
  <c r="BW299" i="1"/>
  <c r="BW909" i="1"/>
  <c r="BW65" i="1"/>
  <c r="BW964" i="1"/>
  <c r="BW1082" i="1"/>
  <c r="BW992" i="1"/>
  <c r="BW108" i="1"/>
  <c r="BW703" i="1"/>
  <c r="BW907" i="1"/>
  <c r="BW517" i="1"/>
  <c r="BW618" i="1"/>
  <c r="BW51" i="1"/>
  <c r="BW757" i="1"/>
  <c r="BW638" i="1"/>
  <c r="BW92" i="1"/>
  <c r="BW501" i="1"/>
  <c r="BW1070" i="1"/>
  <c r="BW350" i="1"/>
  <c r="BW530" i="1"/>
  <c r="BW4" i="1"/>
  <c r="BW222" i="1"/>
  <c r="BW359" i="1"/>
  <c r="BW654" i="1"/>
  <c r="BW337" i="1"/>
  <c r="BW952" i="1"/>
  <c r="BW185" i="1"/>
  <c r="BW910" i="1"/>
  <c r="BW833" i="1"/>
  <c r="BW927" i="1"/>
  <c r="BW454" i="1"/>
  <c r="BW822" i="1"/>
  <c r="BW198" i="1"/>
  <c r="BW646" i="1"/>
  <c r="BW543" i="1"/>
  <c r="BW304" i="1"/>
  <c r="BW26" i="1"/>
  <c r="BW398" i="1"/>
  <c r="BW45" i="1"/>
  <c r="BW1215" i="1"/>
  <c r="BW1195" i="1"/>
  <c r="BW469" i="1"/>
  <c r="BW246" i="1"/>
  <c r="BW288" i="1"/>
  <c r="BW360" i="1"/>
  <c r="BW73" i="1"/>
  <c r="BW554" i="1"/>
  <c r="BW294" i="1"/>
  <c r="BW1124" i="1"/>
  <c r="BW953" i="1"/>
  <c r="BW67" i="1"/>
  <c r="BW58" i="1"/>
  <c r="BW870" i="1"/>
  <c r="BW325" i="1"/>
  <c r="BW1059" i="1"/>
  <c r="BW74" i="1"/>
  <c r="BW569" i="1"/>
  <c r="BW42" i="1"/>
  <c r="BW382" i="1"/>
  <c r="BW32" i="1"/>
  <c r="BW928" i="1"/>
  <c r="BW639" i="1"/>
  <c r="BW857" i="1"/>
  <c r="BW1045" i="1"/>
  <c r="BW68" i="1"/>
  <c r="BW1085" i="1"/>
  <c r="BW251" i="1"/>
  <c r="BW529" i="1"/>
  <c r="BW5" i="1"/>
  <c r="BW1000" i="1"/>
  <c r="BW60" i="1"/>
  <c r="BW1060" i="1"/>
  <c r="BW432" i="1"/>
  <c r="BW1214" i="1"/>
  <c r="BW635" i="1"/>
  <c r="BW300" i="1"/>
  <c r="BW52" i="1"/>
  <c r="BW192" i="1"/>
  <c r="BW86" i="1"/>
  <c r="BW1211" i="1"/>
  <c r="BW411" i="1"/>
  <c r="BW1077" i="1"/>
  <c r="BW289" i="1"/>
  <c r="BW502" i="1"/>
  <c r="BW503" i="1"/>
  <c r="BW961" i="1"/>
  <c r="BW399" i="1"/>
  <c r="BW842" i="1"/>
  <c r="BW284" i="1"/>
  <c r="BW1049" i="1"/>
  <c r="BW35" i="1"/>
  <c r="BW211" i="1"/>
  <c r="BW515" i="1"/>
  <c r="BW840" i="1"/>
  <c r="BW537" i="1"/>
  <c r="BW356" i="1"/>
  <c r="BW981" i="1"/>
  <c r="BW965" i="1"/>
  <c r="BW305" i="1"/>
  <c r="BW290" i="1"/>
  <c r="BW297" i="1"/>
  <c r="BW87" i="1"/>
  <c r="BW184" i="1"/>
  <c r="BW451" i="1"/>
  <c r="BW312" i="1"/>
  <c r="BW465" i="1"/>
  <c r="BW544" i="1"/>
  <c r="BW1107" i="1"/>
  <c r="BW1222" i="1"/>
  <c r="BW1088" i="1"/>
  <c r="BW383" i="1"/>
  <c r="BW636" i="1"/>
  <c r="BW27" i="1"/>
  <c r="BW130" i="1"/>
  <c r="BW814" i="1"/>
  <c r="BW966" i="1"/>
  <c r="BW1204" i="1"/>
  <c r="BW972" i="1"/>
  <c r="BW867" i="1"/>
  <c r="BW748" i="1"/>
  <c r="BW59" i="1"/>
  <c r="BW727" i="1"/>
  <c r="BW301" i="1"/>
  <c r="BW64" i="1"/>
  <c r="BW1052" i="1"/>
  <c r="BW1126" i="1"/>
  <c r="BW316" i="1"/>
  <c r="BW314" i="1"/>
  <c r="BW536" i="1"/>
  <c r="BW53" i="1"/>
  <c r="BW687" i="1"/>
  <c r="BW40" i="1"/>
  <c r="BW322" i="1"/>
  <c r="BW841" i="1"/>
  <c r="BW498" i="1"/>
  <c r="BW1218" i="1"/>
  <c r="BW397" i="1"/>
  <c r="BW24" i="1"/>
  <c r="BW186" i="1"/>
  <c r="BW455" i="1"/>
  <c r="BW929" i="1"/>
  <c r="BW740" i="1"/>
  <c r="BW1219" i="1"/>
  <c r="BW567" i="1"/>
  <c r="BW357" i="1"/>
  <c r="BW488" i="1"/>
  <c r="BW351" i="1"/>
  <c r="BW568" i="1"/>
  <c r="BW81" i="1"/>
  <c r="BW996" i="1"/>
  <c r="BW247" i="1"/>
  <c r="BW616" i="1"/>
  <c r="BW913" i="1"/>
  <c r="BW1090" i="1"/>
  <c r="BW892" i="1"/>
  <c r="BW6" i="1"/>
  <c r="BW199" i="1"/>
  <c r="BW1216" i="1"/>
  <c r="BW323" i="1"/>
  <c r="BW1205" i="1"/>
  <c r="BW457" i="1"/>
  <c r="BW555" i="1"/>
  <c r="BW1125" i="1"/>
  <c r="BW93" i="1"/>
  <c r="BW200" i="1"/>
  <c r="BW466" i="1"/>
  <c r="BW585" i="1"/>
  <c r="BW43" i="1"/>
  <c r="BW419" i="1"/>
  <c r="BW1156" i="1"/>
  <c r="BW29" i="1"/>
  <c r="BW1210" i="1"/>
  <c r="BW495" i="1"/>
  <c r="BW916" i="1"/>
  <c r="BW1050" i="1"/>
  <c r="BW1203" i="1"/>
  <c r="BW1221" i="1"/>
  <c r="BW1206" i="1"/>
  <c r="BW1012" i="1"/>
  <c r="BW361" i="1"/>
  <c r="BW1207" i="1"/>
  <c r="BW201" i="1"/>
  <c r="BW243" i="1"/>
  <c r="BW362" i="1"/>
  <c r="BW930" i="1"/>
  <c r="BW531" i="1"/>
  <c r="BW997" i="1"/>
  <c r="BW83" i="1"/>
  <c r="BW202" i="1"/>
  <c r="BW1004" i="1"/>
  <c r="BW460" i="1"/>
  <c r="BW214" i="1"/>
  <c r="BW276" i="1"/>
  <c r="BW1016" i="1"/>
  <c r="BW1061" i="1"/>
  <c r="BW433" i="1"/>
  <c r="BW349" i="1"/>
  <c r="BW191" i="1"/>
  <c r="BW417" i="1"/>
  <c r="BW871" i="1"/>
  <c r="BW1062" i="1"/>
  <c r="BW61" i="1"/>
  <c r="BW452" i="1"/>
  <c r="BW830" i="1"/>
  <c r="BW418" i="1"/>
  <c r="BW499" i="1"/>
  <c r="BW227" i="1"/>
  <c r="BW1053" i="1"/>
  <c r="BW862" i="1"/>
  <c r="BW969" i="1"/>
  <c r="BW240" i="1"/>
  <c r="BW541" i="1"/>
  <c r="BW518" i="1"/>
  <c r="BW384" i="1"/>
  <c r="BW1054" i="1"/>
  <c r="BW954" i="1"/>
  <c r="BW623" i="1"/>
  <c r="BW728" i="1"/>
  <c r="BW62" i="1"/>
  <c r="BW610" i="1"/>
  <c r="BW470" i="1"/>
  <c r="BW893" i="1"/>
  <c r="BW943" i="1"/>
  <c r="BW747" i="1"/>
  <c r="BW63" i="1"/>
  <c r="BW283" i="1"/>
  <c r="BW640" i="1"/>
  <c r="BW998" i="1"/>
  <c r="BW545" i="1"/>
  <c r="BW906" i="1"/>
  <c r="BW37" i="1"/>
  <c r="BW497" i="1"/>
  <c r="BW448" i="1"/>
  <c r="BW400" i="1"/>
  <c r="BW487" i="1"/>
  <c r="BW741" i="1"/>
  <c r="BW481" i="1"/>
  <c r="BW504" i="1"/>
  <c r="BW908" i="1"/>
  <c r="BW285" i="1"/>
  <c r="BW989" i="1"/>
  <c r="BW821" i="1"/>
  <c r="BW365" i="1"/>
  <c r="BW1063" i="1"/>
  <c r="BW507" i="1"/>
  <c r="BW492" i="1"/>
  <c r="BW762" i="1"/>
  <c r="BW566" i="1"/>
  <c r="BW385" i="1"/>
  <c r="BW858" i="1"/>
  <c r="BW546" i="1"/>
  <c r="BW967" i="1"/>
  <c r="BW532" i="1"/>
  <c r="BW500" i="1"/>
  <c r="BW663" i="1"/>
  <c r="BW212" i="1"/>
  <c r="BW1160" i="1"/>
  <c r="BW36" i="1"/>
  <c r="BW960" i="1"/>
  <c r="BW449" i="1"/>
  <c r="BW396" i="1"/>
  <c r="BW471" i="1"/>
  <c r="BW95" i="1"/>
  <c r="BW761" i="1"/>
  <c r="BW88" i="1"/>
  <c r="BW94" i="1"/>
  <c r="BW386" i="1"/>
  <c r="BW968" i="1"/>
  <c r="BW1101" i="1"/>
  <c r="BW306" i="1"/>
  <c r="BW664" i="1"/>
  <c r="BW593" i="1"/>
  <c r="BW1078" i="1"/>
  <c r="BW859" i="1"/>
  <c r="BW970" i="1"/>
  <c r="BW482" i="1"/>
  <c r="BW70" i="1"/>
  <c r="BW533" i="1"/>
  <c r="BW665" i="1"/>
  <c r="BW54" i="1"/>
  <c r="BW1008" i="1"/>
  <c r="BW931" i="1"/>
  <c r="BW96" i="1"/>
  <c r="BW494" i="1"/>
  <c r="BW262" i="1"/>
  <c r="BW1086" i="1"/>
  <c r="BW1217" i="1"/>
  <c r="BW742" i="1"/>
  <c r="BW483" i="1"/>
  <c r="BW934" i="1"/>
  <c r="BW1046" i="1"/>
  <c r="BW363" i="1"/>
  <c r="BW1047" i="1"/>
  <c r="BW730" i="1"/>
  <c r="BW91" i="1"/>
  <c r="BW197" i="1"/>
  <c r="BW317" i="1"/>
  <c r="BW1208" i="1"/>
  <c r="BW1003" i="1"/>
  <c r="BW611" i="1"/>
  <c r="BW412" i="1"/>
  <c r="BW248" i="1"/>
  <c r="BW213" i="1"/>
  <c r="BW173" i="1"/>
  <c r="BW971" i="1"/>
  <c r="BW994" i="1"/>
  <c r="BW413" i="1"/>
  <c r="BW1048" i="1"/>
  <c r="BW33" i="1"/>
  <c r="BW1064" i="1"/>
  <c r="BW453" i="1"/>
  <c r="BW771" i="1"/>
  <c r="BW401" i="1"/>
  <c r="BW534" i="1"/>
  <c r="BW484" i="1"/>
  <c r="BW352" i="1"/>
  <c r="BW861" i="1"/>
  <c r="BW7" i="1"/>
  <c r="BW206" i="1"/>
  <c r="BW744" i="1"/>
  <c r="BW1196" i="1"/>
  <c r="BW637" i="1"/>
  <c r="BW542" i="1"/>
  <c r="BW187" i="1"/>
  <c r="BW203" i="1"/>
  <c r="BW493" i="1"/>
  <c r="BW1055" i="1"/>
  <c r="BW1065" i="1"/>
  <c r="BW209" i="1"/>
  <c r="BW193" i="1"/>
  <c r="BW55" i="1"/>
  <c r="BW726" i="1"/>
  <c r="BW641" i="1"/>
  <c r="BW526" i="1"/>
  <c r="BW174" i="1"/>
  <c r="BW302" i="1"/>
  <c r="BW34" i="1"/>
  <c r="BW644" i="1"/>
  <c r="BW44" i="1"/>
  <c r="BW1220" i="1"/>
  <c r="BW194" i="1"/>
  <c r="BW917" i="1"/>
  <c r="BW872" i="1"/>
  <c r="BW188" i="1"/>
  <c r="BW28" i="1"/>
  <c r="BW1089" i="1"/>
  <c r="BW749" i="1"/>
  <c r="BW89" i="1"/>
  <c r="BW69" i="1"/>
  <c r="BW395" i="1"/>
  <c r="BW450" i="1"/>
  <c r="BW467" i="1"/>
  <c r="BW1066" i="1"/>
  <c r="BW39" i="1"/>
  <c r="BW601" i="1"/>
  <c r="BW402" i="1"/>
  <c r="BW777" i="1"/>
  <c r="BW710" i="1"/>
  <c r="BW1202" i="1"/>
  <c r="BW56" i="1"/>
  <c r="BW458" i="1"/>
  <c r="BW643" i="1"/>
  <c r="BW1058" i="1"/>
  <c r="BW959" i="1"/>
  <c r="BW1212" i="1"/>
  <c r="BW647" i="1"/>
  <c r="BW204" i="1"/>
  <c r="BW750" i="1"/>
  <c r="BW295" i="1"/>
  <c r="BW612" i="1"/>
  <c r="BW459" i="1"/>
  <c r="BW472" i="1"/>
  <c r="BW485" i="1"/>
  <c r="BW189" i="1"/>
  <c r="BW535" i="1"/>
  <c r="BW50" i="1"/>
  <c r="BW743" i="1"/>
  <c r="BW1209" i="1"/>
  <c r="BW291" i="1"/>
  <c r="BW539" i="1"/>
  <c r="BW666" i="1"/>
  <c r="BW516" i="1"/>
  <c r="BW205" i="1"/>
  <c r="BW999" i="1"/>
  <c r="BW486" i="1"/>
  <c r="BW839" i="1"/>
  <c r="BW456" i="1"/>
  <c r="BW1084" i="1"/>
  <c r="BW613" i="1"/>
  <c r="BW298" i="1"/>
  <c r="BW353" i="1"/>
  <c r="BW699" i="1"/>
  <c r="BW90" i="1"/>
  <c r="BW932" i="1"/>
  <c r="BW1056" i="1"/>
  <c r="BW975" i="1"/>
  <c r="BW8" i="1"/>
  <c r="BW1057" i="1"/>
  <c r="BW315" i="1"/>
  <c r="BW1098" i="1"/>
  <c r="BW57" i="1"/>
  <c r="BW286" i="1"/>
  <c r="BW403" i="1"/>
  <c r="BW731" i="1"/>
  <c r="BW729" i="1"/>
  <c r="BW605" i="1"/>
  <c r="BW21" i="1"/>
  <c r="BW468" i="1"/>
  <c r="BW303" i="1"/>
  <c r="BW860" i="1"/>
  <c r="BW9" i="1"/>
  <c r="BW210" i="1"/>
  <c r="BW496" i="1"/>
  <c r="BW320" i="1"/>
  <c r="BW634" i="1"/>
  <c r="BW293" i="1"/>
  <c r="BW307" i="1"/>
  <c r="BW2" i="1"/>
  <c r="BW686" i="1"/>
  <c r="BW505" i="1"/>
  <c r="BW540" i="1"/>
  <c r="BW25" i="1"/>
  <c r="BW30" i="1"/>
  <c r="BW308" i="1"/>
  <c r="BW955" i="1"/>
  <c r="BW642" i="1"/>
  <c r="BW873" i="1"/>
  <c r="BW38" i="1"/>
  <c r="BW1087" i="1"/>
  <c r="BW287" i="1"/>
  <c r="BW364" i="1"/>
  <c r="BW933" i="1"/>
  <c r="BW831" i="1"/>
  <c r="BW622" i="1"/>
  <c r="BW1079" i="1"/>
  <c r="BW292" i="1"/>
  <c r="BW945" i="1"/>
  <c r="BW1223" i="1"/>
  <c r="BW1083" i="1"/>
  <c r="BY11" i="1"/>
  <c r="BY12" i="1"/>
  <c r="BY13" i="1"/>
  <c r="BY14" i="1"/>
  <c r="BY15" i="1"/>
  <c r="BY16" i="1"/>
  <c r="BY17" i="1"/>
  <c r="BY18" i="1"/>
  <c r="BY19" i="1"/>
  <c r="BY20" i="1"/>
  <c r="BY22" i="1"/>
  <c r="BY23" i="1"/>
  <c r="BY46" i="1"/>
  <c r="BY47" i="1"/>
  <c r="BY48" i="1"/>
  <c r="BY49" i="1"/>
  <c r="BY66" i="1"/>
  <c r="BY71" i="1"/>
  <c r="BY72" i="1"/>
  <c r="BY75" i="1"/>
  <c r="BY76" i="1"/>
  <c r="BY77" i="1"/>
  <c r="BY78" i="1"/>
  <c r="BY79" i="1"/>
  <c r="BY80" i="1"/>
  <c r="BY84" i="1"/>
  <c r="BY85" i="1"/>
  <c r="BY97" i="1"/>
  <c r="BY98" i="1"/>
  <c r="BY99" i="1"/>
  <c r="BY100" i="1"/>
  <c r="BY101" i="1"/>
  <c r="BY102" i="1"/>
  <c r="BY103" i="1"/>
  <c r="BY105" i="1"/>
  <c r="BY106" i="1"/>
  <c r="BY107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2" i="1"/>
  <c r="BY153" i="1"/>
  <c r="BY154" i="1"/>
  <c r="BY155" i="1"/>
  <c r="BY156" i="1"/>
  <c r="BY151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5" i="1"/>
  <c r="BY176" i="1"/>
  <c r="BY177" i="1"/>
  <c r="BY178" i="1"/>
  <c r="BY179" i="1"/>
  <c r="BY180" i="1"/>
  <c r="BY181" i="1"/>
  <c r="BY182" i="1"/>
  <c r="BY183" i="1"/>
  <c r="BY190" i="1"/>
  <c r="BY195" i="1"/>
  <c r="BY196" i="1"/>
  <c r="BY207" i="1"/>
  <c r="BY215" i="1"/>
  <c r="BY216" i="1"/>
  <c r="BY217" i="1"/>
  <c r="BY218" i="1"/>
  <c r="BY219" i="1"/>
  <c r="BY220" i="1"/>
  <c r="BY221" i="1"/>
  <c r="BY223" i="1"/>
  <c r="BY224" i="1"/>
  <c r="BY225" i="1"/>
  <c r="BY226" i="1"/>
  <c r="BY228" i="1"/>
  <c r="BY229" i="1"/>
  <c r="BY230" i="1"/>
  <c r="BY231" i="1"/>
  <c r="BY232" i="1"/>
  <c r="BY233" i="1"/>
  <c r="BY234" i="1"/>
  <c r="BY235" i="1"/>
  <c r="BY236" i="1"/>
  <c r="BY237" i="1"/>
  <c r="BY238" i="1"/>
  <c r="BY239" i="1"/>
  <c r="BY241" i="1"/>
  <c r="BY242" i="1"/>
  <c r="BY244" i="1"/>
  <c r="BY245" i="1"/>
  <c r="BY249" i="1"/>
  <c r="BY250" i="1"/>
  <c r="BY252" i="1"/>
  <c r="BY253" i="1"/>
  <c r="BY254" i="1"/>
  <c r="BY255" i="1"/>
  <c r="BY256" i="1"/>
  <c r="BY257" i="1"/>
  <c r="BY258" i="1"/>
  <c r="BY259" i="1"/>
  <c r="BY260" i="1"/>
  <c r="BY261" i="1"/>
  <c r="BY263" i="1"/>
  <c r="BY264" i="1"/>
  <c r="BY265" i="1"/>
  <c r="BY266" i="1"/>
  <c r="BY267" i="1"/>
  <c r="BY268" i="1"/>
  <c r="BY269" i="1"/>
  <c r="BY270" i="1"/>
  <c r="BY271" i="1"/>
  <c r="BY272" i="1"/>
  <c r="BY273" i="1"/>
  <c r="BY274" i="1"/>
  <c r="BY275" i="1"/>
  <c r="BY277" i="1"/>
  <c r="BY278" i="1"/>
  <c r="BY279" i="1"/>
  <c r="BY280" i="1"/>
  <c r="BY281" i="1"/>
  <c r="BY282" i="1"/>
  <c r="BY296" i="1"/>
  <c r="BY309" i="1"/>
  <c r="BY310" i="1"/>
  <c r="BY311" i="1"/>
  <c r="BY313" i="1"/>
  <c r="BY318" i="1"/>
  <c r="BY319" i="1"/>
  <c r="BY321" i="1"/>
  <c r="BY326" i="1"/>
  <c r="BY327" i="1"/>
  <c r="BY328" i="1"/>
  <c r="BY329" i="1"/>
  <c r="BY330" i="1"/>
  <c r="BY331" i="1"/>
  <c r="BY333" i="1"/>
  <c r="BY332" i="1"/>
  <c r="BY334" i="1"/>
  <c r="BY335" i="1"/>
  <c r="BY336" i="1"/>
  <c r="BY338" i="1"/>
  <c r="BY339" i="1"/>
  <c r="BY340" i="1"/>
  <c r="BY341" i="1"/>
  <c r="BY342" i="1"/>
  <c r="BY343" i="1"/>
  <c r="BY344" i="1"/>
  <c r="BY345" i="1"/>
  <c r="BY346" i="1"/>
  <c r="BY347" i="1"/>
  <c r="BY348" i="1"/>
  <c r="BY354" i="1"/>
  <c r="BY355" i="1"/>
  <c r="BY358" i="1"/>
  <c r="BY366" i="1"/>
  <c r="BY367" i="1"/>
  <c r="BY368" i="1"/>
  <c r="BY369" i="1"/>
  <c r="BY370" i="1"/>
  <c r="BY372" i="1"/>
  <c r="BY373" i="1"/>
  <c r="BY371" i="1"/>
  <c r="BY374" i="1"/>
  <c r="BY375" i="1"/>
  <c r="BY376" i="1"/>
  <c r="BY377" i="1"/>
  <c r="BY378" i="1"/>
  <c r="BY379" i="1"/>
  <c r="BY380" i="1"/>
  <c r="BY381" i="1"/>
  <c r="BY387" i="1"/>
  <c r="BY388" i="1"/>
  <c r="BY389" i="1"/>
  <c r="BY390" i="1"/>
  <c r="BY391" i="1"/>
  <c r="BY392" i="1"/>
  <c r="BY393" i="1"/>
  <c r="BY394" i="1"/>
  <c r="BY404" i="1"/>
  <c r="BY405" i="1"/>
  <c r="BY406" i="1"/>
  <c r="BY407" i="1"/>
  <c r="BY408" i="1"/>
  <c r="BY409" i="1"/>
  <c r="BY410" i="1"/>
  <c r="BY414" i="1"/>
  <c r="BY415" i="1"/>
  <c r="BY416" i="1"/>
  <c r="BY420" i="1"/>
  <c r="BY421" i="1"/>
  <c r="BY422" i="1"/>
  <c r="BY423" i="1"/>
  <c r="BY424" i="1"/>
  <c r="BY425" i="1"/>
  <c r="BY426" i="1"/>
  <c r="BY427" i="1"/>
  <c r="BY428" i="1"/>
  <c r="BY429" i="1"/>
  <c r="BY430" i="1"/>
  <c r="BY434" i="1"/>
  <c r="BY435" i="1"/>
  <c r="BY436" i="1"/>
  <c r="BY437" i="1"/>
  <c r="BY438" i="1"/>
  <c r="BY439" i="1"/>
  <c r="BY440" i="1"/>
  <c r="BY441" i="1"/>
  <c r="BY442" i="1"/>
  <c r="BY443" i="1"/>
  <c r="BY444" i="1"/>
  <c r="BY445" i="1"/>
  <c r="BY446" i="1"/>
  <c r="BY447" i="1"/>
  <c r="BY461" i="1"/>
  <c r="BY462" i="1"/>
  <c r="BY463" i="1"/>
  <c r="BY464" i="1"/>
  <c r="BY474" i="1"/>
  <c r="BY475" i="1"/>
  <c r="BY476" i="1"/>
  <c r="BY477" i="1"/>
  <c r="BY478" i="1"/>
  <c r="BY479" i="1"/>
  <c r="BY480" i="1"/>
  <c r="BY489" i="1"/>
  <c r="BY490" i="1"/>
  <c r="BY491" i="1"/>
  <c r="BY506" i="1"/>
  <c r="BY508" i="1"/>
  <c r="BY509" i="1"/>
  <c r="BY510" i="1"/>
  <c r="BY511" i="1"/>
  <c r="BY512" i="1"/>
  <c r="BY513" i="1"/>
  <c r="BY514" i="1"/>
  <c r="BY520" i="1"/>
  <c r="BY521" i="1"/>
  <c r="BY522" i="1"/>
  <c r="BY523" i="1"/>
  <c r="BY524" i="1"/>
  <c r="BY525" i="1"/>
  <c r="BY527" i="1"/>
  <c r="BY528" i="1"/>
  <c r="BY547" i="1"/>
  <c r="BY548" i="1"/>
  <c r="BY550" i="1"/>
  <c r="BY551" i="1"/>
  <c r="BY552" i="1"/>
  <c r="BY553" i="1"/>
  <c r="BY556" i="1"/>
  <c r="BY557" i="1"/>
  <c r="BY558" i="1"/>
  <c r="BY559" i="1"/>
  <c r="BY560" i="1"/>
  <c r="BY561" i="1"/>
  <c r="BY562" i="1"/>
  <c r="BY563" i="1"/>
  <c r="BY564" i="1"/>
  <c r="BY565" i="1"/>
  <c r="BY570" i="1"/>
  <c r="BY571" i="1"/>
  <c r="BY572" i="1"/>
  <c r="BY573" i="1"/>
  <c r="BY574" i="1"/>
  <c r="BY575" i="1"/>
  <c r="BY576" i="1"/>
  <c r="BY577" i="1"/>
  <c r="BY578" i="1"/>
  <c r="BY579" i="1"/>
  <c r="BY580" i="1"/>
  <c r="BY581" i="1"/>
  <c r="BY582" i="1"/>
  <c r="BY586" i="1"/>
  <c r="BY583" i="1"/>
  <c r="BY584" i="1"/>
  <c r="BY587" i="1"/>
  <c r="BY588" i="1"/>
  <c r="BY589" i="1"/>
  <c r="BY590" i="1"/>
  <c r="BY591" i="1"/>
  <c r="BY592" i="1"/>
  <c r="BY594" i="1"/>
  <c r="BY595" i="1"/>
  <c r="BY596" i="1"/>
  <c r="BY597" i="1"/>
  <c r="BY598" i="1"/>
  <c r="BY599" i="1"/>
  <c r="BY600" i="1"/>
  <c r="BY602" i="1"/>
  <c r="BY603" i="1"/>
  <c r="BY606" i="1"/>
  <c r="BY607" i="1"/>
  <c r="BY608" i="1"/>
  <c r="BY615" i="1"/>
  <c r="BY617" i="1"/>
  <c r="BY619" i="1"/>
  <c r="BY620" i="1"/>
  <c r="BY621" i="1"/>
  <c r="BY624" i="1"/>
  <c r="BY625" i="1"/>
  <c r="BY626" i="1"/>
  <c r="BY627" i="1"/>
  <c r="BY628" i="1"/>
  <c r="BY629" i="1"/>
  <c r="BY630" i="1"/>
  <c r="BY631" i="1"/>
  <c r="BY632" i="1"/>
  <c r="BY633" i="1"/>
  <c r="BY649" i="1"/>
  <c r="BY650" i="1"/>
  <c r="BY651" i="1"/>
  <c r="BY652" i="1"/>
  <c r="BY653" i="1"/>
  <c r="BY655" i="1"/>
  <c r="BY656" i="1"/>
  <c r="BY657" i="1"/>
  <c r="BY658" i="1"/>
  <c r="BY659" i="1"/>
  <c r="BY660" i="1"/>
  <c r="BY661" i="1"/>
  <c r="BY662" i="1"/>
  <c r="BY667" i="1"/>
  <c r="BY668" i="1"/>
  <c r="BY669" i="1"/>
  <c r="BY670" i="1"/>
  <c r="BY671" i="1"/>
  <c r="BY672" i="1"/>
  <c r="BY673" i="1"/>
  <c r="BY674" i="1"/>
  <c r="BY675" i="1"/>
  <c r="BY676" i="1"/>
  <c r="BY677" i="1"/>
  <c r="BY678" i="1"/>
  <c r="BY679" i="1"/>
  <c r="BY680" i="1"/>
  <c r="BY681" i="1"/>
  <c r="BY682" i="1"/>
  <c r="BY683" i="1"/>
  <c r="BY684" i="1"/>
  <c r="BY685" i="1"/>
  <c r="BY688" i="1"/>
  <c r="BY689" i="1"/>
  <c r="BY690" i="1"/>
  <c r="BY691" i="1"/>
  <c r="BY692" i="1"/>
  <c r="BY693" i="1"/>
  <c r="BY694" i="1"/>
  <c r="BY695" i="1"/>
  <c r="BY696" i="1"/>
  <c r="BY697" i="1"/>
  <c r="BY698" i="1"/>
  <c r="BY700" i="1"/>
  <c r="BY701" i="1"/>
  <c r="BY702" i="1"/>
  <c r="BY705" i="1"/>
  <c r="BY706" i="1"/>
  <c r="BY707" i="1"/>
  <c r="BY708" i="1"/>
  <c r="BY709" i="1"/>
  <c r="BY711" i="1"/>
  <c r="BY712" i="1"/>
  <c r="BY713" i="1"/>
  <c r="BY714" i="1"/>
  <c r="BY715" i="1"/>
  <c r="BY716" i="1"/>
  <c r="BY717" i="1"/>
  <c r="BY718" i="1"/>
  <c r="BY719" i="1"/>
  <c r="BY720" i="1"/>
  <c r="BY721" i="1"/>
  <c r="BY722" i="1"/>
  <c r="BY723" i="1"/>
  <c r="BY724" i="1"/>
  <c r="BY725" i="1"/>
  <c r="BY732" i="1"/>
  <c r="BY733" i="1"/>
  <c r="BY734" i="1"/>
  <c r="BY735" i="1"/>
  <c r="BY736" i="1"/>
  <c r="BY737" i="1"/>
  <c r="BY738" i="1"/>
  <c r="BY739" i="1"/>
  <c r="BY745" i="1"/>
  <c r="BY746" i="1"/>
  <c r="BY751" i="1"/>
  <c r="BY752" i="1"/>
  <c r="BY753" i="1"/>
  <c r="BY754" i="1"/>
  <c r="BY755" i="1"/>
  <c r="BY756" i="1"/>
  <c r="BY758" i="1"/>
  <c r="BY759" i="1"/>
  <c r="BY760" i="1"/>
  <c r="BY763" i="1"/>
  <c r="BY764" i="1"/>
  <c r="BY765" i="1"/>
  <c r="BY766" i="1"/>
  <c r="BY767" i="1"/>
  <c r="BY768" i="1"/>
  <c r="BY769" i="1"/>
  <c r="BY770" i="1"/>
  <c r="BY772" i="1"/>
  <c r="BY773" i="1"/>
  <c r="BY774" i="1"/>
  <c r="BY775" i="1"/>
  <c r="BY776" i="1"/>
  <c r="BY778" i="1"/>
  <c r="BY779" i="1"/>
  <c r="BY780" i="1"/>
  <c r="BY781" i="1"/>
  <c r="BY782" i="1"/>
  <c r="BY783" i="1"/>
  <c r="BY784" i="1"/>
  <c r="BY785" i="1"/>
  <c r="BY786" i="1"/>
  <c r="BY787" i="1"/>
  <c r="BY788" i="1"/>
  <c r="BY789" i="1"/>
  <c r="BY790" i="1"/>
  <c r="BY791" i="1"/>
  <c r="BY792" i="1"/>
  <c r="BY793" i="1"/>
  <c r="BY794" i="1"/>
  <c r="BY795" i="1"/>
  <c r="BY796" i="1"/>
  <c r="BY797" i="1"/>
  <c r="BY798" i="1"/>
  <c r="BY799" i="1"/>
  <c r="BY800" i="1"/>
  <c r="BY801" i="1"/>
  <c r="BY802" i="1"/>
  <c r="BY803" i="1"/>
  <c r="BY804" i="1"/>
  <c r="BY805" i="1"/>
  <c r="BY806" i="1"/>
  <c r="BY807" i="1"/>
  <c r="BY808" i="1"/>
  <c r="BY809" i="1"/>
  <c r="BY810" i="1"/>
  <c r="BY811" i="1"/>
  <c r="BY812" i="1"/>
  <c r="BY813" i="1"/>
  <c r="BY815" i="1"/>
  <c r="BY816" i="1"/>
  <c r="BY817" i="1"/>
  <c r="BY818" i="1"/>
  <c r="BY819" i="1"/>
  <c r="BY820" i="1"/>
  <c r="BY823" i="1"/>
  <c r="BY824" i="1"/>
  <c r="BY825" i="1"/>
  <c r="BY826" i="1"/>
  <c r="BY827" i="1"/>
  <c r="BY828" i="1"/>
  <c r="BY829" i="1"/>
  <c r="BY832" i="1"/>
  <c r="BY834" i="1"/>
  <c r="BY835" i="1"/>
  <c r="BY836" i="1"/>
  <c r="BY838" i="1"/>
  <c r="BY843" i="1"/>
  <c r="BY844" i="1"/>
  <c r="BY845" i="1"/>
  <c r="BY846" i="1"/>
  <c r="BY847" i="1"/>
  <c r="BY848" i="1"/>
  <c r="BY849" i="1"/>
  <c r="BY850" i="1"/>
  <c r="BY851" i="1"/>
  <c r="BY852" i="1"/>
  <c r="BY853" i="1"/>
  <c r="BY854" i="1"/>
  <c r="BY855" i="1"/>
  <c r="BY856" i="1"/>
  <c r="BY863" i="1"/>
  <c r="BY864" i="1"/>
  <c r="BY865" i="1"/>
  <c r="BY866" i="1"/>
  <c r="BY868" i="1"/>
  <c r="BY869" i="1"/>
  <c r="BY874" i="1"/>
  <c r="BY875" i="1"/>
  <c r="BY876" i="1"/>
  <c r="BY877" i="1"/>
  <c r="BY878" i="1"/>
  <c r="BY879" i="1"/>
  <c r="BY880" i="1"/>
  <c r="BY881" i="1"/>
  <c r="BY882" i="1"/>
  <c r="BY883" i="1"/>
  <c r="BY884" i="1"/>
  <c r="BY885" i="1"/>
  <c r="BY886" i="1"/>
  <c r="BY887" i="1"/>
  <c r="BY888" i="1"/>
  <c r="BY889" i="1"/>
  <c r="BY890" i="1"/>
  <c r="BY891" i="1"/>
  <c r="BY894" i="1"/>
  <c r="BY895" i="1"/>
  <c r="BY896" i="1"/>
  <c r="BY897" i="1"/>
  <c r="BY898" i="1"/>
  <c r="BY899" i="1"/>
  <c r="BY900" i="1"/>
  <c r="BY901" i="1"/>
  <c r="BY902" i="1"/>
  <c r="BY903" i="1"/>
  <c r="BY904" i="1"/>
  <c r="BY905" i="1"/>
  <c r="BY911" i="1"/>
  <c r="BY912" i="1"/>
  <c r="BY914" i="1"/>
  <c r="BY915" i="1"/>
  <c r="BY918" i="1"/>
  <c r="BY919" i="1"/>
  <c r="BY920" i="1"/>
  <c r="BY921" i="1"/>
  <c r="BY922" i="1"/>
  <c r="BY923" i="1"/>
  <c r="BY924" i="1"/>
  <c r="BY925" i="1"/>
  <c r="BY926" i="1"/>
  <c r="BY935" i="1"/>
  <c r="BY936" i="1"/>
  <c r="BY937" i="1"/>
  <c r="BY938" i="1"/>
  <c r="BY939" i="1"/>
  <c r="BY940" i="1"/>
  <c r="BY941" i="1"/>
  <c r="BY942" i="1"/>
  <c r="BY944" i="1"/>
  <c r="BY946" i="1"/>
  <c r="BY947" i="1"/>
  <c r="BY948" i="1"/>
  <c r="BY949" i="1"/>
  <c r="BY950" i="1"/>
  <c r="BY951" i="1"/>
  <c r="BY956" i="1"/>
  <c r="BY957" i="1"/>
  <c r="BY962" i="1"/>
  <c r="BY973" i="1"/>
  <c r="BY974" i="1"/>
  <c r="BY976" i="1"/>
  <c r="BY977" i="1"/>
  <c r="BY978" i="1"/>
  <c r="BY979" i="1"/>
  <c r="BY980" i="1"/>
  <c r="BY982" i="1"/>
  <c r="BY983" i="1"/>
  <c r="BY984" i="1"/>
  <c r="BY985" i="1"/>
  <c r="BY986" i="1"/>
  <c r="BY987" i="1"/>
  <c r="BY988" i="1"/>
  <c r="BY990" i="1"/>
  <c r="BY991" i="1"/>
  <c r="BY993" i="1"/>
  <c r="BY1001" i="1"/>
  <c r="BY1002" i="1"/>
  <c r="BY1005" i="1"/>
  <c r="BY1006" i="1"/>
  <c r="BY1007" i="1"/>
  <c r="BY1009" i="1"/>
  <c r="BY1010" i="1"/>
  <c r="BY1011" i="1"/>
  <c r="BY1013" i="1"/>
  <c r="BY1014" i="1"/>
  <c r="BY1015" i="1"/>
  <c r="BY1017" i="1"/>
  <c r="BY1018" i="1"/>
  <c r="BY1019" i="1"/>
  <c r="BY1020" i="1"/>
  <c r="BY1021" i="1"/>
  <c r="BY1022" i="1"/>
  <c r="BY1023" i="1"/>
  <c r="BY1024" i="1"/>
  <c r="BY1025" i="1"/>
  <c r="BY1026" i="1"/>
  <c r="BY1027" i="1"/>
  <c r="BY1028" i="1"/>
  <c r="BY1029" i="1"/>
  <c r="BY1030" i="1"/>
  <c r="BY1031" i="1"/>
  <c r="BY1032" i="1"/>
  <c r="BY1033" i="1"/>
  <c r="BY1034" i="1"/>
  <c r="BY1035" i="1"/>
  <c r="BY1036" i="1"/>
  <c r="BY1037" i="1"/>
  <c r="BY1038" i="1"/>
  <c r="BY1039" i="1"/>
  <c r="BY1040" i="1"/>
  <c r="BY1041" i="1"/>
  <c r="BY1042" i="1"/>
  <c r="BY1043" i="1"/>
  <c r="BY1044" i="1"/>
  <c r="BY1068" i="1"/>
  <c r="BY1069" i="1"/>
  <c r="BY1071" i="1"/>
  <c r="BY1072" i="1"/>
  <c r="BY1073" i="1"/>
  <c r="BY1074" i="1"/>
  <c r="BY1075" i="1"/>
  <c r="BY1076" i="1"/>
  <c r="BY1080" i="1"/>
  <c r="BY1081" i="1"/>
  <c r="BY1091" i="1"/>
  <c r="BY1092" i="1"/>
  <c r="BY1093" i="1"/>
  <c r="BY1094" i="1"/>
  <c r="BY1095" i="1"/>
  <c r="BY1096" i="1"/>
  <c r="BY1099" i="1"/>
  <c r="BY1100" i="1"/>
  <c r="BY1102" i="1"/>
  <c r="BY1103" i="1"/>
  <c r="BY1104" i="1"/>
  <c r="BY1105" i="1"/>
  <c r="BY1106" i="1"/>
  <c r="BY1108" i="1"/>
  <c r="BY1109" i="1"/>
  <c r="BY1110" i="1"/>
  <c r="BY1111" i="1"/>
  <c r="BY1112" i="1"/>
  <c r="BY1113" i="1"/>
  <c r="BY1114" i="1"/>
  <c r="BY1115" i="1"/>
  <c r="BY1116" i="1"/>
  <c r="BY1117" i="1"/>
  <c r="BY1118" i="1"/>
  <c r="BY1119" i="1"/>
  <c r="BY1120" i="1"/>
  <c r="BY1121" i="1"/>
  <c r="BY1122" i="1"/>
  <c r="BY1123" i="1"/>
  <c r="BY1127" i="1"/>
  <c r="BY1128" i="1"/>
  <c r="BY1129" i="1"/>
  <c r="BY1130" i="1"/>
  <c r="BY1131" i="1"/>
  <c r="BY1132" i="1"/>
  <c r="BY1133" i="1"/>
  <c r="BY1134" i="1"/>
  <c r="BY1135" i="1"/>
  <c r="BY1136" i="1"/>
  <c r="BY1137" i="1"/>
  <c r="BY1138" i="1"/>
  <c r="BY1139" i="1"/>
  <c r="BY1140" i="1"/>
  <c r="BY1141" i="1"/>
  <c r="BY1142" i="1"/>
  <c r="BY1143" i="1"/>
  <c r="BY1144" i="1"/>
  <c r="BY1145" i="1"/>
  <c r="BY1146" i="1"/>
  <c r="BY1147" i="1"/>
  <c r="BY1148" i="1"/>
  <c r="BY1149" i="1"/>
  <c r="BY1150" i="1"/>
  <c r="BY1151" i="1"/>
  <c r="BY1152" i="1"/>
  <c r="BY1153" i="1"/>
  <c r="BY1154" i="1"/>
  <c r="BY1155" i="1"/>
  <c r="BY1157" i="1"/>
  <c r="BY1158" i="1"/>
  <c r="BY1159" i="1"/>
  <c r="BY1161" i="1"/>
  <c r="BY1162" i="1"/>
  <c r="BY1163" i="1"/>
  <c r="BY1164" i="1"/>
  <c r="BY1165" i="1"/>
  <c r="BY1166" i="1"/>
  <c r="BY1167" i="1"/>
  <c r="BY1168" i="1"/>
  <c r="BY1169" i="1"/>
  <c r="BY1170" i="1"/>
  <c r="BY1171" i="1"/>
  <c r="BY1172" i="1"/>
  <c r="BY1173" i="1"/>
  <c r="BY1174" i="1"/>
  <c r="BY1175" i="1"/>
  <c r="BY1176" i="1"/>
  <c r="BY1177" i="1"/>
  <c r="BY1178" i="1"/>
  <c r="BY1179" i="1"/>
  <c r="BY1180" i="1"/>
  <c r="BY1181" i="1"/>
  <c r="BY1182" i="1"/>
  <c r="BY1183" i="1"/>
  <c r="BY1184" i="1"/>
  <c r="BY1185" i="1"/>
  <c r="BY1186" i="1"/>
  <c r="BY1187" i="1"/>
  <c r="BY1188" i="1"/>
  <c r="BY1189" i="1"/>
  <c r="BY1190" i="1"/>
  <c r="BY1191" i="1"/>
  <c r="BY1192" i="1"/>
  <c r="BY1193" i="1"/>
  <c r="BY1194" i="1"/>
  <c r="BY1197" i="1"/>
  <c r="BY1198" i="1"/>
  <c r="BY1199" i="1"/>
  <c r="BY1200" i="1"/>
  <c r="BY1201" i="1"/>
  <c r="BY1083" i="1"/>
  <c r="BY473" i="1"/>
  <c r="BY1213" i="1"/>
  <c r="BY41" i="1"/>
  <c r="BY645" i="1"/>
  <c r="BY431" i="1"/>
  <c r="BY995" i="1"/>
  <c r="BY1051" i="1"/>
  <c r="BY104" i="1"/>
  <c r="BY1067" i="1"/>
  <c r="BY324" i="1"/>
  <c r="BY614" i="1"/>
  <c r="BY963" i="1"/>
  <c r="BY3" i="1"/>
  <c r="BY31" i="1"/>
  <c r="BY1097" i="1"/>
  <c r="BY549" i="1"/>
  <c r="BY837" i="1"/>
  <c r="BY609" i="1"/>
  <c r="BY604" i="1"/>
  <c r="BY538" i="1"/>
  <c r="BY648" i="1"/>
  <c r="BY519" i="1"/>
  <c r="BY958" i="1"/>
  <c r="BY82" i="1"/>
  <c r="BY208" i="1"/>
  <c r="BY299" i="1"/>
  <c r="BY909" i="1"/>
  <c r="BY65" i="1"/>
  <c r="BY964" i="1"/>
  <c r="BY1082" i="1"/>
  <c r="BY992" i="1"/>
  <c r="BY108" i="1"/>
  <c r="BY703" i="1"/>
  <c r="BY907" i="1"/>
  <c r="BY517" i="1"/>
  <c r="BY618" i="1"/>
  <c r="BY51" i="1"/>
  <c r="BY757" i="1"/>
  <c r="BY638" i="1"/>
  <c r="BY92" i="1"/>
  <c r="BY501" i="1"/>
  <c r="BY1070" i="1"/>
  <c r="BY350" i="1"/>
  <c r="BY530" i="1"/>
  <c r="BY4" i="1"/>
  <c r="BY222" i="1"/>
  <c r="BY359" i="1"/>
  <c r="BY654" i="1"/>
  <c r="BY337" i="1"/>
  <c r="BY952" i="1"/>
  <c r="BY185" i="1"/>
  <c r="BY910" i="1"/>
  <c r="BY833" i="1"/>
  <c r="BY927" i="1"/>
  <c r="BY454" i="1"/>
  <c r="BY822" i="1"/>
  <c r="BY198" i="1"/>
  <c r="BY646" i="1"/>
  <c r="BY543" i="1"/>
  <c r="BY304" i="1"/>
  <c r="BY26" i="1"/>
  <c r="BY398" i="1"/>
  <c r="BY45" i="1"/>
  <c r="BY1215" i="1"/>
  <c r="BY1195" i="1"/>
  <c r="BY469" i="1"/>
  <c r="BY246" i="1"/>
  <c r="BY288" i="1"/>
  <c r="BY360" i="1"/>
  <c r="BY73" i="1"/>
  <c r="BY554" i="1"/>
  <c r="BY294" i="1"/>
  <c r="BY1124" i="1"/>
  <c r="BY953" i="1"/>
  <c r="BY67" i="1"/>
  <c r="BY58" i="1"/>
  <c r="BY870" i="1"/>
  <c r="BY325" i="1"/>
  <c r="BY1059" i="1"/>
  <c r="BY74" i="1"/>
  <c r="BY569" i="1"/>
  <c r="BY42" i="1"/>
  <c r="BY382" i="1"/>
  <c r="BY32" i="1"/>
  <c r="BY928" i="1"/>
  <c r="BY639" i="1"/>
  <c r="BY857" i="1"/>
  <c r="BY1045" i="1"/>
  <c r="BY68" i="1"/>
  <c r="BY1085" i="1"/>
  <c r="BY251" i="1"/>
  <c r="BY529" i="1"/>
  <c r="BY5" i="1"/>
  <c r="BY1000" i="1"/>
  <c r="BY60" i="1"/>
  <c r="BY1060" i="1"/>
  <c r="BY432" i="1"/>
  <c r="BY1214" i="1"/>
  <c r="BY635" i="1"/>
  <c r="BY300" i="1"/>
  <c r="BY52" i="1"/>
  <c r="BY192" i="1"/>
  <c r="BY86" i="1"/>
  <c r="BY1211" i="1"/>
  <c r="BY411" i="1"/>
  <c r="BY1077" i="1"/>
  <c r="BY289" i="1"/>
  <c r="BY502" i="1"/>
  <c r="BY503" i="1"/>
  <c r="BY961" i="1"/>
  <c r="BY399" i="1"/>
  <c r="BY842" i="1"/>
  <c r="BY284" i="1"/>
  <c r="BY1049" i="1"/>
  <c r="BY35" i="1"/>
  <c r="BY211" i="1"/>
  <c r="BY515" i="1"/>
  <c r="BY840" i="1"/>
  <c r="BY537" i="1"/>
  <c r="BY356" i="1"/>
  <c r="BY981" i="1"/>
  <c r="BY965" i="1"/>
  <c r="BY305" i="1"/>
  <c r="BY290" i="1"/>
  <c r="BY297" i="1"/>
  <c r="BY87" i="1"/>
  <c r="BY184" i="1"/>
  <c r="BY451" i="1"/>
  <c r="BY312" i="1"/>
  <c r="BY465" i="1"/>
  <c r="BY544" i="1"/>
  <c r="BY1107" i="1"/>
  <c r="BY1222" i="1"/>
  <c r="BY1088" i="1"/>
  <c r="BY383" i="1"/>
  <c r="BY636" i="1"/>
  <c r="BY27" i="1"/>
  <c r="BY130" i="1"/>
  <c r="BY814" i="1"/>
  <c r="BY966" i="1"/>
  <c r="BY1204" i="1"/>
  <c r="BY972" i="1"/>
  <c r="BY867" i="1"/>
  <c r="BY748" i="1"/>
  <c r="BY59" i="1"/>
  <c r="BY727" i="1"/>
  <c r="BY301" i="1"/>
  <c r="BY64" i="1"/>
  <c r="BY1052" i="1"/>
  <c r="BY1126" i="1"/>
  <c r="BY316" i="1"/>
  <c r="BY314" i="1"/>
  <c r="BY536" i="1"/>
  <c r="BY53" i="1"/>
  <c r="BY687" i="1"/>
  <c r="BY40" i="1"/>
  <c r="BY322" i="1"/>
  <c r="BY841" i="1"/>
  <c r="BY498" i="1"/>
  <c r="BY1218" i="1"/>
  <c r="BY397" i="1"/>
  <c r="BY24" i="1"/>
  <c r="BY186" i="1"/>
  <c r="BY455" i="1"/>
  <c r="BY929" i="1"/>
  <c r="BY740" i="1"/>
  <c r="BY1219" i="1"/>
  <c r="BY567" i="1"/>
  <c r="BY357" i="1"/>
  <c r="BY488" i="1"/>
  <c r="BY351" i="1"/>
  <c r="BY568" i="1"/>
  <c r="BY81" i="1"/>
  <c r="BY996" i="1"/>
  <c r="BY247" i="1"/>
  <c r="BY616" i="1"/>
  <c r="BY913" i="1"/>
  <c r="BY1090" i="1"/>
  <c r="BY892" i="1"/>
  <c r="BY6" i="1"/>
  <c r="BY199" i="1"/>
  <c r="BY1216" i="1"/>
  <c r="BY323" i="1"/>
  <c r="BY1205" i="1"/>
  <c r="BY457" i="1"/>
  <c r="BY555" i="1"/>
  <c r="BY1125" i="1"/>
  <c r="BY93" i="1"/>
  <c r="BY200" i="1"/>
  <c r="BY466" i="1"/>
  <c r="BY585" i="1"/>
  <c r="BY43" i="1"/>
  <c r="BY419" i="1"/>
  <c r="BY1156" i="1"/>
  <c r="BY29" i="1"/>
  <c r="BY1210" i="1"/>
  <c r="BY495" i="1"/>
  <c r="BY916" i="1"/>
  <c r="BY1050" i="1"/>
  <c r="BY1203" i="1"/>
  <c r="BY1221" i="1"/>
  <c r="BY1206" i="1"/>
  <c r="BY1012" i="1"/>
  <c r="BY361" i="1"/>
  <c r="BY1207" i="1"/>
  <c r="BY201" i="1"/>
  <c r="BY243" i="1"/>
  <c r="BY362" i="1"/>
  <c r="BY930" i="1"/>
  <c r="BY531" i="1"/>
  <c r="BY997" i="1"/>
  <c r="BY83" i="1"/>
  <c r="BY202" i="1"/>
  <c r="BY1004" i="1"/>
  <c r="BY460" i="1"/>
  <c r="BY214" i="1"/>
  <c r="BY276" i="1"/>
  <c r="BY1016" i="1"/>
  <c r="BY1061" i="1"/>
  <c r="BY433" i="1"/>
  <c r="BY349" i="1"/>
  <c r="BY191" i="1"/>
  <c r="BY417" i="1"/>
  <c r="BY871" i="1"/>
  <c r="BY1062" i="1"/>
  <c r="BY61" i="1"/>
  <c r="BY452" i="1"/>
  <c r="BY830" i="1"/>
  <c r="BY418" i="1"/>
  <c r="BY499" i="1"/>
  <c r="BY227" i="1"/>
  <c r="BY1053" i="1"/>
  <c r="BY862" i="1"/>
  <c r="BY969" i="1"/>
  <c r="BY240" i="1"/>
  <c r="BY541" i="1"/>
  <c r="BY518" i="1"/>
  <c r="BY384" i="1"/>
  <c r="BY1054" i="1"/>
  <c r="BY954" i="1"/>
  <c r="BY623" i="1"/>
  <c r="BY728" i="1"/>
  <c r="BY62" i="1"/>
  <c r="BY610" i="1"/>
  <c r="BY470" i="1"/>
  <c r="BY893" i="1"/>
  <c r="BY943" i="1"/>
  <c r="BY747" i="1"/>
  <c r="BY63" i="1"/>
  <c r="BY283" i="1"/>
  <c r="BY640" i="1"/>
  <c r="BY998" i="1"/>
  <c r="BY545" i="1"/>
  <c r="BY906" i="1"/>
  <c r="BY37" i="1"/>
  <c r="BY497" i="1"/>
  <c r="BY448" i="1"/>
  <c r="BY400" i="1"/>
  <c r="BY487" i="1"/>
  <c r="BY741" i="1"/>
  <c r="BY481" i="1"/>
  <c r="BY504" i="1"/>
  <c r="BY908" i="1"/>
  <c r="BY285" i="1"/>
  <c r="BY989" i="1"/>
  <c r="BY821" i="1"/>
  <c r="BY365" i="1"/>
  <c r="BY1063" i="1"/>
  <c r="BY507" i="1"/>
  <c r="BY492" i="1"/>
  <c r="BY762" i="1"/>
  <c r="BY566" i="1"/>
  <c r="BY385" i="1"/>
  <c r="BY858" i="1"/>
  <c r="BY546" i="1"/>
  <c r="BY967" i="1"/>
  <c r="BY532" i="1"/>
  <c r="BY500" i="1"/>
  <c r="BY663" i="1"/>
  <c r="BY212" i="1"/>
  <c r="BY1160" i="1"/>
  <c r="BY36" i="1"/>
  <c r="BY960" i="1"/>
  <c r="BY449" i="1"/>
  <c r="BY396" i="1"/>
  <c r="BY471" i="1"/>
  <c r="BY95" i="1"/>
  <c r="BY761" i="1"/>
  <c r="BY88" i="1"/>
  <c r="BY94" i="1"/>
  <c r="BY386" i="1"/>
  <c r="BY968" i="1"/>
  <c r="BY1101" i="1"/>
  <c r="BY306" i="1"/>
  <c r="BY664" i="1"/>
  <c r="BY593" i="1"/>
  <c r="BY1078" i="1"/>
  <c r="BY859" i="1"/>
  <c r="BY970" i="1"/>
  <c r="BY482" i="1"/>
  <c r="BY70" i="1"/>
  <c r="BY533" i="1"/>
  <c r="BY665" i="1"/>
  <c r="BY54" i="1"/>
  <c r="BY1008" i="1"/>
  <c r="BY931" i="1"/>
  <c r="BY96" i="1"/>
  <c r="BY494" i="1"/>
  <c r="BY262" i="1"/>
  <c r="BY1086" i="1"/>
  <c r="BY1217" i="1"/>
  <c r="BY742" i="1"/>
  <c r="BY483" i="1"/>
  <c r="BY934" i="1"/>
  <c r="BY1046" i="1"/>
  <c r="BY363" i="1"/>
  <c r="BY1047" i="1"/>
  <c r="BY730" i="1"/>
  <c r="BY91" i="1"/>
  <c r="BY197" i="1"/>
  <c r="BY317" i="1"/>
  <c r="BY1208" i="1"/>
  <c r="BY1003" i="1"/>
  <c r="BY611" i="1"/>
  <c r="BY412" i="1"/>
  <c r="BY248" i="1"/>
  <c r="BY213" i="1"/>
  <c r="BY173" i="1"/>
  <c r="BY971" i="1"/>
  <c r="BY994" i="1"/>
  <c r="BY413" i="1"/>
  <c r="BY1048" i="1"/>
  <c r="BY33" i="1"/>
  <c r="BY1064" i="1"/>
  <c r="BY453" i="1"/>
  <c r="BY771" i="1"/>
  <c r="BY401" i="1"/>
  <c r="BY534" i="1"/>
  <c r="BY484" i="1"/>
  <c r="BY352" i="1"/>
  <c r="BY861" i="1"/>
  <c r="BY7" i="1"/>
  <c r="BY206" i="1"/>
  <c r="BY744" i="1"/>
  <c r="BY1196" i="1"/>
  <c r="BY637" i="1"/>
  <c r="BY542" i="1"/>
  <c r="BY187" i="1"/>
  <c r="BY203" i="1"/>
  <c r="BY493" i="1"/>
  <c r="BY1055" i="1"/>
  <c r="BY1065" i="1"/>
  <c r="BY209" i="1"/>
  <c r="BY193" i="1"/>
  <c r="BY55" i="1"/>
  <c r="BY726" i="1"/>
  <c r="BY641" i="1"/>
  <c r="BY526" i="1"/>
  <c r="BY174" i="1"/>
  <c r="BY302" i="1"/>
  <c r="BY34" i="1"/>
  <c r="BY644" i="1"/>
  <c r="BY44" i="1"/>
  <c r="BY1220" i="1"/>
  <c r="BY194" i="1"/>
  <c r="BY917" i="1"/>
  <c r="BY872" i="1"/>
  <c r="BY188" i="1"/>
  <c r="BY28" i="1"/>
  <c r="BY1089" i="1"/>
  <c r="BY749" i="1"/>
  <c r="BY89" i="1"/>
  <c r="BY69" i="1"/>
  <c r="BY395" i="1"/>
  <c r="BY450" i="1"/>
  <c r="BY467" i="1"/>
  <c r="BY1066" i="1"/>
  <c r="BY39" i="1"/>
  <c r="BY601" i="1"/>
  <c r="BY402" i="1"/>
  <c r="BY777" i="1"/>
  <c r="BY710" i="1"/>
  <c r="BY1202" i="1"/>
  <c r="BY56" i="1"/>
  <c r="BY458" i="1"/>
  <c r="BY643" i="1"/>
  <c r="BY1058" i="1"/>
  <c r="BY959" i="1"/>
  <c r="BY1212" i="1"/>
  <c r="BY647" i="1"/>
  <c r="BY204" i="1"/>
  <c r="BY750" i="1"/>
  <c r="BY295" i="1"/>
  <c r="BY612" i="1"/>
  <c r="BY459" i="1"/>
  <c r="BY472" i="1"/>
  <c r="BY485" i="1"/>
  <c r="BY189" i="1"/>
  <c r="BY535" i="1"/>
  <c r="BY50" i="1"/>
  <c r="BY743" i="1"/>
  <c r="BY1209" i="1"/>
  <c r="BY291" i="1"/>
  <c r="BY539" i="1"/>
  <c r="BY666" i="1"/>
  <c r="BY516" i="1"/>
  <c r="BY205" i="1"/>
  <c r="BY999" i="1"/>
  <c r="BY486" i="1"/>
  <c r="BY839" i="1"/>
  <c r="BY456" i="1"/>
  <c r="BY1084" i="1"/>
  <c r="BY613" i="1"/>
  <c r="BY298" i="1"/>
  <c r="BY353" i="1"/>
  <c r="BY699" i="1"/>
  <c r="BY90" i="1"/>
  <c r="BY932" i="1"/>
  <c r="BY1056" i="1"/>
  <c r="BY975" i="1"/>
  <c r="BY8" i="1"/>
  <c r="BY1057" i="1"/>
  <c r="BY315" i="1"/>
  <c r="BY1098" i="1"/>
  <c r="BY57" i="1"/>
  <c r="BY286" i="1"/>
  <c r="BY403" i="1"/>
  <c r="BY731" i="1"/>
  <c r="BY729" i="1"/>
  <c r="BY605" i="1"/>
  <c r="BY21" i="1"/>
  <c r="BY468" i="1"/>
  <c r="BY303" i="1"/>
  <c r="BY860" i="1"/>
  <c r="BY9" i="1"/>
  <c r="BY210" i="1"/>
  <c r="BY496" i="1"/>
  <c r="BY320" i="1"/>
  <c r="BY634" i="1"/>
  <c r="BY293" i="1"/>
  <c r="BY307" i="1"/>
  <c r="BY2" i="1"/>
  <c r="BY686" i="1"/>
  <c r="BY505" i="1"/>
  <c r="BY540" i="1"/>
  <c r="BY25" i="1"/>
  <c r="BY30" i="1"/>
  <c r="BY308" i="1"/>
  <c r="BY955" i="1"/>
  <c r="BY642" i="1"/>
  <c r="BY873" i="1"/>
  <c r="BY38" i="1"/>
  <c r="BY1087" i="1"/>
  <c r="BY287" i="1"/>
  <c r="BY364" i="1"/>
  <c r="BY933" i="1"/>
  <c r="BY831" i="1"/>
  <c r="BY622" i="1"/>
  <c r="BY1079" i="1"/>
  <c r="BY292" i="1"/>
  <c r="BY945" i="1"/>
  <c r="BY1223" i="1"/>
  <c r="BY10" i="1"/>
  <c r="BW10" i="1"/>
  <c r="CR46" i="1" a="1"/>
  <c r="CR46" i="1" s="1"/>
  <c r="CR47" i="1" a="1"/>
  <c r="CR47" i="1" s="1"/>
  <c r="CR48" i="1" a="1"/>
  <c r="CR48" i="1" s="1"/>
  <c r="CR49" i="1" a="1"/>
  <c r="CR49" i="1" s="1"/>
  <c r="CR66" i="1" a="1"/>
  <c r="CR66" i="1" s="1"/>
  <c r="CR71" i="1" a="1"/>
  <c r="CR71" i="1" s="1"/>
  <c r="CR72" i="1" a="1"/>
  <c r="CR72" i="1" s="1"/>
  <c r="CR75" i="1" a="1"/>
  <c r="CR75" i="1" s="1"/>
  <c r="CR76" i="1" a="1"/>
  <c r="CR76" i="1" s="1"/>
  <c r="CR77" i="1" a="1"/>
  <c r="CR77" i="1" s="1"/>
  <c r="CR78" i="1" a="1"/>
  <c r="CR78" i="1" s="1"/>
  <c r="CR79" i="1" a="1"/>
  <c r="CR79" i="1" s="1"/>
  <c r="CR80" i="1" a="1"/>
  <c r="CR80" i="1" s="1"/>
  <c r="CR84" i="1" a="1"/>
  <c r="CR84" i="1" s="1"/>
  <c r="CR85" i="1" a="1"/>
  <c r="CR85" i="1" s="1"/>
  <c r="CR97" i="1" a="1"/>
  <c r="CR97" i="1" s="1"/>
  <c r="CR98" i="1" a="1"/>
  <c r="CR98" i="1" s="1"/>
  <c r="CR99" i="1" a="1"/>
  <c r="CR99" i="1" s="1"/>
  <c r="CR100" i="1" a="1"/>
  <c r="CR100" i="1" s="1"/>
  <c r="CR101" i="1" a="1"/>
  <c r="CR101" i="1" s="1"/>
  <c r="CR102" i="1" a="1"/>
  <c r="CR102" i="1" s="1"/>
  <c r="CR103" i="1" a="1"/>
  <c r="CR103" i="1" s="1"/>
  <c r="CR105" i="1" a="1"/>
  <c r="CR105" i="1" s="1"/>
  <c r="CR106" i="1" a="1"/>
  <c r="CR106" i="1" s="1"/>
  <c r="CR107" i="1" a="1"/>
  <c r="CR107" i="1" s="1"/>
  <c r="CR109" i="1" a="1"/>
  <c r="CR109" i="1" s="1"/>
  <c r="CR110" i="1" a="1"/>
  <c r="CR110" i="1" s="1"/>
  <c r="CR111" i="1" a="1"/>
  <c r="CR111" i="1" s="1"/>
  <c r="CR112" i="1" a="1"/>
  <c r="CR112" i="1" s="1"/>
  <c r="CR113" i="1" a="1"/>
  <c r="CR113" i="1" s="1"/>
  <c r="CR114" i="1" a="1"/>
  <c r="CR114" i="1" s="1"/>
  <c r="CR115" i="1" a="1"/>
  <c r="CR115" i="1" s="1"/>
  <c r="CR116" i="1" a="1"/>
  <c r="CR116" i="1" s="1"/>
  <c r="CR117" i="1" a="1"/>
  <c r="CR117" i="1" s="1"/>
  <c r="CR118" i="1" a="1"/>
  <c r="CR118" i="1" s="1"/>
  <c r="CR119" i="1" a="1"/>
  <c r="CR119" i="1" s="1"/>
  <c r="CR120" i="1" a="1"/>
  <c r="CR120" i="1" s="1"/>
  <c r="CR121" i="1" a="1"/>
  <c r="CR121" i="1" s="1"/>
  <c r="CR122" i="1" a="1"/>
  <c r="CR122" i="1" s="1"/>
  <c r="CR123" i="1" a="1"/>
  <c r="CR123" i="1" s="1"/>
  <c r="CR124" i="1" a="1"/>
  <c r="CR124" i="1" s="1"/>
  <c r="CR125" i="1" a="1"/>
  <c r="CR125" i="1" s="1"/>
  <c r="CR126" i="1" a="1"/>
  <c r="CR126" i="1" s="1"/>
  <c r="CR127" i="1" a="1"/>
  <c r="CR127" i="1" s="1"/>
  <c r="CR128" i="1" a="1"/>
  <c r="CR128" i="1" s="1"/>
  <c r="CR129" i="1" a="1"/>
  <c r="CR129" i="1" s="1"/>
  <c r="CR131" i="1" a="1"/>
  <c r="CR131" i="1" s="1"/>
  <c r="CR132" i="1" a="1"/>
  <c r="CR132" i="1" s="1"/>
  <c r="CR133" i="1" a="1"/>
  <c r="CR133" i="1" s="1"/>
  <c r="CR134" i="1" a="1"/>
  <c r="CR134" i="1" s="1"/>
  <c r="CR135" i="1" a="1"/>
  <c r="CR135" i="1" s="1"/>
  <c r="CR136" i="1" a="1"/>
  <c r="CR136" i="1" s="1"/>
  <c r="CR137" i="1" a="1"/>
  <c r="CR137" i="1" s="1"/>
  <c r="CR138" i="1" a="1"/>
  <c r="CR138" i="1" s="1"/>
  <c r="CR139" i="1" a="1"/>
  <c r="CR139" i="1" s="1"/>
  <c r="CR140" i="1" a="1"/>
  <c r="CR140" i="1" s="1"/>
  <c r="CR141" i="1" a="1"/>
  <c r="CR141" i="1" s="1"/>
  <c r="CR142" i="1" a="1"/>
  <c r="CR142" i="1" s="1"/>
  <c r="CR143" i="1" a="1"/>
  <c r="CR143" i="1" s="1"/>
  <c r="CR144" i="1" a="1"/>
  <c r="CR144" i="1" s="1"/>
  <c r="CR145" i="1" a="1"/>
  <c r="CR145" i="1" s="1"/>
  <c r="CR146" i="1" a="1"/>
  <c r="CR146" i="1" s="1"/>
  <c r="CR147" i="1" a="1"/>
  <c r="CR147" i="1" s="1"/>
  <c r="CR148" i="1" a="1"/>
  <c r="CR148" i="1" s="1"/>
  <c r="CR149" i="1" a="1"/>
  <c r="CR149" i="1" s="1"/>
  <c r="CR150" i="1" a="1"/>
  <c r="CR150" i="1" s="1"/>
  <c r="CR152" i="1" a="1"/>
  <c r="CR152" i="1" s="1"/>
  <c r="CR153" i="1" a="1"/>
  <c r="CR153" i="1" s="1"/>
  <c r="CR154" i="1" a="1"/>
  <c r="CR154" i="1" s="1"/>
  <c r="CR155" i="1" a="1"/>
  <c r="CR155" i="1" s="1"/>
  <c r="CR156" i="1" a="1"/>
  <c r="CR156" i="1" s="1"/>
  <c r="CR151" i="1" a="1"/>
  <c r="CR151" i="1" s="1"/>
  <c r="CR157" i="1" a="1"/>
  <c r="CR157" i="1" s="1"/>
  <c r="CR158" i="1" a="1"/>
  <c r="CR158" i="1" s="1"/>
  <c r="CR159" i="1" a="1"/>
  <c r="CR159" i="1" s="1"/>
  <c r="CR160" i="1" a="1"/>
  <c r="CR160" i="1" s="1"/>
  <c r="CR161" i="1" a="1"/>
  <c r="CR161" i="1" s="1"/>
  <c r="CR162" i="1" a="1"/>
  <c r="CR162" i="1" s="1"/>
  <c r="CR163" i="1" a="1"/>
  <c r="CR163" i="1" s="1"/>
  <c r="CR164" i="1" a="1"/>
  <c r="CR164" i="1" s="1"/>
  <c r="CR165" i="1" a="1"/>
  <c r="CR165" i="1" s="1"/>
  <c r="CR166" i="1" a="1"/>
  <c r="CR166" i="1" s="1"/>
  <c r="CR167" i="1" a="1"/>
  <c r="CR167" i="1" s="1"/>
  <c r="CR168" i="1" a="1"/>
  <c r="CR168" i="1" s="1"/>
  <c r="CR169" i="1" a="1"/>
  <c r="CR169" i="1" s="1"/>
  <c r="CR170" i="1" a="1"/>
  <c r="CR170" i="1" s="1"/>
  <c r="CR171" i="1" a="1"/>
  <c r="CR171" i="1" s="1"/>
  <c r="CR172" i="1" a="1"/>
  <c r="CR172" i="1" s="1"/>
  <c r="CR175" i="1" a="1"/>
  <c r="CR175" i="1" s="1"/>
  <c r="CR176" i="1" a="1"/>
  <c r="CR176" i="1" s="1"/>
  <c r="CR177" i="1" a="1"/>
  <c r="CR177" i="1" s="1"/>
  <c r="CR178" i="1" a="1"/>
  <c r="CR178" i="1" s="1"/>
  <c r="CR179" i="1" a="1"/>
  <c r="CR179" i="1" s="1"/>
  <c r="CR180" i="1" a="1"/>
  <c r="CR180" i="1" s="1"/>
  <c r="CR181" i="1" a="1"/>
  <c r="CR181" i="1" s="1"/>
  <c r="CR182" i="1" a="1"/>
  <c r="CR182" i="1" s="1"/>
  <c r="CR183" i="1" a="1"/>
  <c r="CR183" i="1" s="1"/>
  <c r="CR190" i="1" a="1"/>
  <c r="CR190" i="1" s="1"/>
  <c r="CR195" i="1" a="1"/>
  <c r="CR195" i="1" s="1"/>
  <c r="CR196" i="1" a="1"/>
  <c r="CR196" i="1" s="1"/>
  <c r="CR207" i="1" a="1"/>
  <c r="CR207" i="1" s="1"/>
  <c r="CR215" i="1" a="1"/>
  <c r="CR215" i="1" s="1"/>
  <c r="CR216" i="1" a="1"/>
  <c r="CR216" i="1" s="1"/>
  <c r="CR217" i="1" a="1"/>
  <c r="CR217" i="1" s="1"/>
  <c r="CR218" i="1" a="1"/>
  <c r="CR218" i="1" s="1"/>
  <c r="CR219" i="1" a="1"/>
  <c r="CR219" i="1" s="1"/>
  <c r="CR220" i="1" a="1"/>
  <c r="CR220" i="1" s="1"/>
  <c r="CR221" i="1" a="1"/>
  <c r="CR221" i="1" s="1"/>
  <c r="CR223" i="1" a="1"/>
  <c r="CR223" i="1" s="1"/>
  <c r="CR224" i="1" a="1"/>
  <c r="CR224" i="1" s="1"/>
  <c r="CR225" i="1" a="1"/>
  <c r="CR225" i="1" s="1"/>
  <c r="CR226" i="1" a="1"/>
  <c r="CR226" i="1" s="1"/>
  <c r="CR228" i="1" a="1"/>
  <c r="CR228" i="1" s="1"/>
  <c r="CR229" i="1" a="1"/>
  <c r="CR229" i="1" s="1"/>
  <c r="CR230" i="1" a="1"/>
  <c r="CR230" i="1" s="1"/>
  <c r="CR231" i="1" a="1"/>
  <c r="CR231" i="1" s="1"/>
  <c r="CR232" i="1" a="1"/>
  <c r="CR232" i="1" s="1"/>
  <c r="CR233" i="1" a="1"/>
  <c r="CR233" i="1" s="1"/>
  <c r="CR234" i="1" a="1"/>
  <c r="CR234" i="1" s="1"/>
  <c r="CR235" i="1" a="1"/>
  <c r="CR235" i="1" s="1"/>
  <c r="CR236" i="1" a="1"/>
  <c r="CR236" i="1" s="1"/>
  <c r="CR237" i="1" a="1"/>
  <c r="CR237" i="1" s="1"/>
  <c r="CR238" i="1" a="1"/>
  <c r="CR238" i="1" s="1"/>
  <c r="CR239" i="1" a="1"/>
  <c r="CR239" i="1" s="1"/>
  <c r="CR241" i="1" a="1"/>
  <c r="CR241" i="1" s="1"/>
  <c r="CR242" i="1" a="1"/>
  <c r="CR242" i="1" s="1"/>
  <c r="CR244" i="1" a="1"/>
  <c r="CR244" i="1" s="1"/>
  <c r="CR245" i="1" a="1"/>
  <c r="CR245" i="1" s="1"/>
  <c r="CR249" i="1" a="1"/>
  <c r="CR249" i="1" s="1"/>
  <c r="CR250" i="1" a="1"/>
  <c r="CR250" i="1" s="1"/>
  <c r="CR252" i="1" a="1"/>
  <c r="CR252" i="1" s="1"/>
  <c r="CR253" i="1" a="1"/>
  <c r="CR253" i="1" s="1"/>
  <c r="CR254" i="1" a="1"/>
  <c r="CR254" i="1" s="1"/>
  <c r="CR255" i="1" a="1"/>
  <c r="CR255" i="1" s="1"/>
  <c r="CR256" i="1" a="1"/>
  <c r="CR256" i="1" s="1"/>
  <c r="CR257" i="1" a="1"/>
  <c r="CR257" i="1" s="1"/>
  <c r="CR258" i="1" a="1"/>
  <c r="CR258" i="1" s="1"/>
  <c r="CR259" i="1" a="1"/>
  <c r="CR259" i="1" s="1"/>
  <c r="CR260" i="1" a="1"/>
  <c r="CR260" i="1" s="1"/>
  <c r="CR261" i="1" a="1"/>
  <c r="CR261" i="1" s="1"/>
  <c r="CR263" i="1" a="1"/>
  <c r="CR263" i="1" s="1"/>
  <c r="CR264" i="1" a="1"/>
  <c r="CR264" i="1" s="1"/>
  <c r="CR265" i="1" a="1"/>
  <c r="CR265" i="1" s="1"/>
  <c r="CR266" i="1" a="1"/>
  <c r="CR266" i="1" s="1"/>
  <c r="CR267" i="1" a="1"/>
  <c r="CR267" i="1" s="1"/>
  <c r="CR268" i="1" a="1"/>
  <c r="CR268" i="1" s="1"/>
  <c r="CR269" i="1" a="1"/>
  <c r="CR269" i="1" s="1"/>
  <c r="CR270" i="1" a="1"/>
  <c r="CR270" i="1" s="1"/>
  <c r="CR271" i="1" a="1"/>
  <c r="CR271" i="1" s="1"/>
  <c r="CR272" i="1" a="1"/>
  <c r="CR272" i="1" s="1"/>
  <c r="CR273" i="1" a="1"/>
  <c r="CR273" i="1" s="1"/>
  <c r="CR274" i="1" a="1"/>
  <c r="CR274" i="1" s="1"/>
  <c r="CR275" i="1" a="1"/>
  <c r="CR275" i="1" s="1"/>
  <c r="CR277" i="1" a="1"/>
  <c r="CR277" i="1" s="1"/>
  <c r="CR278" i="1" a="1"/>
  <c r="CR278" i="1" s="1"/>
  <c r="CR279" i="1" a="1"/>
  <c r="CR279" i="1" s="1"/>
  <c r="CR280" i="1" a="1"/>
  <c r="CR280" i="1" s="1"/>
  <c r="CR281" i="1" a="1"/>
  <c r="CR281" i="1" s="1"/>
  <c r="CR282" i="1" a="1"/>
  <c r="CR282" i="1" s="1"/>
  <c r="CR296" i="1" a="1"/>
  <c r="CR296" i="1" s="1"/>
  <c r="CR309" i="1" a="1"/>
  <c r="CR309" i="1" s="1"/>
  <c r="CR310" i="1" a="1"/>
  <c r="CR310" i="1" s="1"/>
  <c r="CR311" i="1" a="1"/>
  <c r="CR311" i="1" s="1"/>
  <c r="CR313" i="1" a="1"/>
  <c r="CR313" i="1" s="1"/>
  <c r="CR318" i="1" a="1"/>
  <c r="CR318" i="1" s="1"/>
  <c r="CR319" i="1" a="1"/>
  <c r="CR319" i="1" s="1"/>
  <c r="CR321" i="1" a="1"/>
  <c r="CR321" i="1" s="1"/>
  <c r="CR326" i="1" a="1"/>
  <c r="CR326" i="1" s="1"/>
  <c r="CR327" i="1" a="1"/>
  <c r="CR327" i="1" s="1"/>
  <c r="CR328" i="1" a="1"/>
  <c r="CR328" i="1" s="1"/>
  <c r="CR329" i="1" a="1"/>
  <c r="CR329" i="1" s="1"/>
  <c r="CR330" i="1" a="1"/>
  <c r="CR330" i="1" s="1"/>
  <c r="CR331" i="1" a="1"/>
  <c r="CR331" i="1" s="1"/>
  <c r="CR333" i="1" a="1"/>
  <c r="CR333" i="1" s="1"/>
  <c r="CR332" i="1" a="1"/>
  <c r="CR332" i="1" s="1"/>
  <c r="CR334" i="1" a="1"/>
  <c r="CR334" i="1" s="1"/>
  <c r="CR335" i="1" a="1"/>
  <c r="CR335" i="1" s="1"/>
  <c r="CR336" i="1" a="1"/>
  <c r="CR336" i="1" s="1"/>
  <c r="CR338" i="1" a="1"/>
  <c r="CR338" i="1" s="1"/>
  <c r="CR339" i="1" a="1"/>
  <c r="CR339" i="1" s="1"/>
  <c r="CR340" i="1" a="1"/>
  <c r="CR340" i="1" s="1"/>
  <c r="CR341" i="1" a="1"/>
  <c r="CR341" i="1" s="1"/>
  <c r="CR342" i="1" a="1"/>
  <c r="CR342" i="1" s="1"/>
  <c r="CR343" i="1" a="1"/>
  <c r="CR343" i="1" s="1"/>
  <c r="CR344" i="1" a="1"/>
  <c r="CR344" i="1" s="1"/>
  <c r="CR345" i="1" a="1"/>
  <c r="CR345" i="1" s="1"/>
  <c r="CR346" i="1" a="1"/>
  <c r="CR346" i="1" s="1"/>
  <c r="CR347" i="1" a="1"/>
  <c r="CR347" i="1" s="1"/>
  <c r="CR348" i="1" a="1"/>
  <c r="CR348" i="1" s="1"/>
  <c r="CR354" i="1" a="1"/>
  <c r="CR354" i="1" s="1"/>
  <c r="CR355" i="1" a="1"/>
  <c r="CR355" i="1" s="1"/>
  <c r="CR358" i="1" a="1"/>
  <c r="CR358" i="1" s="1"/>
  <c r="CR366" i="1" a="1"/>
  <c r="CR366" i="1" s="1"/>
  <c r="CR367" i="1" a="1"/>
  <c r="CR367" i="1" s="1"/>
  <c r="CR368" i="1" a="1"/>
  <c r="CR368" i="1" s="1"/>
  <c r="CR369" i="1" a="1"/>
  <c r="CR369" i="1" s="1"/>
  <c r="CR370" i="1" a="1"/>
  <c r="CR370" i="1" s="1"/>
  <c r="CR372" i="1" a="1"/>
  <c r="CR372" i="1" s="1"/>
  <c r="CR373" i="1" a="1"/>
  <c r="CR373" i="1" s="1"/>
  <c r="CR371" i="1" a="1"/>
  <c r="CR371" i="1" s="1"/>
  <c r="CR374" i="1" a="1"/>
  <c r="CR374" i="1" s="1"/>
  <c r="CR375" i="1" a="1"/>
  <c r="CR375" i="1" s="1"/>
  <c r="CR376" i="1" a="1"/>
  <c r="CR376" i="1" s="1"/>
  <c r="CR377" i="1" a="1"/>
  <c r="CR377" i="1" s="1"/>
  <c r="CR378" i="1" a="1"/>
  <c r="CR378" i="1" s="1"/>
  <c r="CR379" i="1" a="1"/>
  <c r="CR379" i="1" s="1"/>
  <c r="CR380" i="1" a="1"/>
  <c r="CR380" i="1" s="1"/>
  <c r="CR381" i="1" a="1"/>
  <c r="CR381" i="1" s="1"/>
  <c r="CR387" i="1" a="1"/>
  <c r="CR387" i="1" s="1"/>
  <c r="CR388" i="1" a="1"/>
  <c r="CR388" i="1" s="1"/>
  <c r="CR389" i="1" a="1"/>
  <c r="CR389" i="1" s="1"/>
  <c r="CR390" i="1" a="1"/>
  <c r="CR390" i="1" s="1"/>
  <c r="CR391" i="1" a="1"/>
  <c r="CR391" i="1" s="1"/>
  <c r="CR392" i="1" a="1"/>
  <c r="CR392" i="1" s="1"/>
  <c r="CR393" i="1" a="1"/>
  <c r="CR393" i="1" s="1"/>
  <c r="CR394" i="1" a="1"/>
  <c r="CR394" i="1" s="1"/>
  <c r="CR404" i="1" a="1"/>
  <c r="CR404" i="1" s="1"/>
  <c r="CR405" i="1" a="1"/>
  <c r="CR405" i="1" s="1"/>
  <c r="CR406" i="1" a="1"/>
  <c r="CR406" i="1" s="1"/>
  <c r="CR407" i="1" a="1"/>
  <c r="CR407" i="1" s="1"/>
  <c r="CR408" i="1" a="1"/>
  <c r="CR408" i="1" s="1"/>
  <c r="CR409" i="1" a="1"/>
  <c r="CR409" i="1" s="1"/>
  <c r="CR410" i="1" a="1"/>
  <c r="CR410" i="1" s="1"/>
  <c r="CR414" i="1" a="1"/>
  <c r="CR414" i="1" s="1"/>
  <c r="CR415" i="1" a="1"/>
  <c r="CR415" i="1" s="1"/>
  <c r="CR416" i="1" a="1"/>
  <c r="CR416" i="1" s="1"/>
  <c r="CR420" i="1" a="1"/>
  <c r="CR420" i="1" s="1"/>
  <c r="CR421" i="1" a="1"/>
  <c r="CR421" i="1" s="1"/>
  <c r="CR422" i="1" a="1"/>
  <c r="CR422" i="1" s="1"/>
  <c r="CR423" i="1" a="1"/>
  <c r="CR423" i="1" s="1"/>
  <c r="CR424" i="1" a="1"/>
  <c r="CR424" i="1" s="1"/>
  <c r="CR425" i="1" a="1"/>
  <c r="CR425" i="1" s="1"/>
  <c r="CR426" i="1" a="1"/>
  <c r="CR426" i="1" s="1"/>
  <c r="CR427" i="1" a="1"/>
  <c r="CR427" i="1" s="1"/>
  <c r="CR428" i="1" a="1"/>
  <c r="CR428" i="1" s="1"/>
  <c r="CR429" i="1" a="1"/>
  <c r="CR429" i="1" s="1"/>
  <c r="CR430" i="1" a="1"/>
  <c r="CR430" i="1" s="1"/>
  <c r="CR434" i="1" a="1"/>
  <c r="CR434" i="1" s="1"/>
  <c r="CR435" i="1" a="1"/>
  <c r="CR435" i="1" s="1"/>
  <c r="CR436" i="1" a="1"/>
  <c r="CR436" i="1" s="1"/>
  <c r="CR437" i="1" a="1"/>
  <c r="CR437" i="1" s="1"/>
  <c r="CR438" i="1" a="1"/>
  <c r="CR438" i="1" s="1"/>
  <c r="CR439" i="1" a="1"/>
  <c r="CR439" i="1" s="1"/>
  <c r="CR440" i="1" a="1"/>
  <c r="CR440" i="1" s="1"/>
  <c r="CR441" i="1" a="1"/>
  <c r="CR441" i="1" s="1"/>
  <c r="CR442" i="1" a="1"/>
  <c r="CR442" i="1" s="1"/>
  <c r="CR443" i="1" a="1"/>
  <c r="CR443" i="1" s="1"/>
  <c r="CR444" i="1" a="1"/>
  <c r="CR444" i="1" s="1"/>
  <c r="CR445" i="1" a="1"/>
  <c r="CR445" i="1" s="1"/>
  <c r="CR446" i="1" a="1"/>
  <c r="CR446" i="1" s="1"/>
  <c r="CR447" i="1" a="1"/>
  <c r="CR447" i="1" s="1"/>
  <c r="CR461" i="1" a="1"/>
  <c r="CR461" i="1" s="1"/>
  <c r="CR462" i="1" a="1"/>
  <c r="CR462" i="1" s="1"/>
  <c r="CR463" i="1" a="1"/>
  <c r="CR463" i="1" s="1"/>
  <c r="CR464" i="1" a="1"/>
  <c r="CR464" i="1" s="1"/>
  <c r="CR474" i="1" a="1"/>
  <c r="CR474" i="1" s="1"/>
  <c r="CR475" i="1" a="1"/>
  <c r="CR475" i="1" s="1"/>
  <c r="CR476" i="1" a="1"/>
  <c r="CR476" i="1" s="1"/>
  <c r="CR477" i="1" a="1"/>
  <c r="CR477" i="1" s="1"/>
  <c r="CR478" i="1" a="1"/>
  <c r="CR478" i="1" s="1"/>
  <c r="CR479" i="1" a="1"/>
  <c r="CR479" i="1" s="1"/>
  <c r="CR480" i="1" a="1"/>
  <c r="CR480" i="1" s="1"/>
  <c r="CR489" i="1" a="1"/>
  <c r="CR489" i="1" s="1"/>
  <c r="CR490" i="1" a="1"/>
  <c r="CR490" i="1" s="1"/>
  <c r="CR491" i="1" a="1"/>
  <c r="CR491" i="1" s="1"/>
  <c r="CR506" i="1" a="1"/>
  <c r="CR506" i="1" s="1"/>
  <c r="CR508" i="1" a="1"/>
  <c r="CR508" i="1" s="1"/>
  <c r="CR509" i="1" a="1"/>
  <c r="CR509" i="1" s="1"/>
  <c r="CR510" i="1" a="1"/>
  <c r="CR510" i="1" s="1"/>
  <c r="CR511" i="1" a="1"/>
  <c r="CR511" i="1" s="1"/>
  <c r="CR512" i="1" a="1"/>
  <c r="CR512" i="1" s="1"/>
  <c r="CR513" i="1" a="1"/>
  <c r="CR513" i="1" s="1"/>
  <c r="CR514" i="1" a="1"/>
  <c r="CR514" i="1" s="1"/>
  <c r="CR520" i="1" a="1"/>
  <c r="CR520" i="1" s="1"/>
  <c r="CR521" i="1" a="1"/>
  <c r="CR521" i="1" s="1"/>
  <c r="CR522" i="1" a="1"/>
  <c r="CR522" i="1" s="1"/>
  <c r="CR523" i="1" a="1"/>
  <c r="CR523" i="1" s="1"/>
  <c r="CR524" i="1" a="1"/>
  <c r="CR524" i="1" s="1"/>
  <c r="CR525" i="1" a="1"/>
  <c r="CR525" i="1" s="1"/>
  <c r="CR527" i="1" a="1"/>
  <c r="CR527" i="1" s="1"/>
  <c r="CR528" i="1" a="1"/>
  <c r="CR528" i="1" s="1"/>
  <c r="CR547" i="1" a="1"/>
  <c r="CR547" i="1" s="1"/>
  <c r="CR548" i="1" a="1"/>
  <c r="CR548" i="1" s="1"/>
  <c r="CR550" i="1" a="1"/>
  <c r="CR550" i="1" s="1"/>
  <c r="CR551" i="1" a="1"/>
  <c r="CR551" i="1" s="1"/>
  <c r="CR552" i="1" a="1"/>
  <c r="CR552" i="1" s="1"/>
  <c r="CR553" i="1" a="1"/>
  <c r="CR553" i="1" s="1"/>
  <c r="CR556" i="1" a="1"/>
  <c r="CR556" i="1" s="1"/>
  <c r="CR557" i="1" a="1"/>
  <c r="CR557" i="1" s="1"/>
  <c r="CR558" i="1" a="1"/>
  <c r="CR558" i="1" s="1"/>
  <c r="CR559" i="1" a="1"/>
  <c r="CR559" i="1" s="1"/>
  <c r="CR560" i="1" a="1"/>
  <c r="CR560" i="1" s="1"/>
  <c r="CR561" i="1" a="1"/>
  <c r="CR561" i="1" s="1"/>
  <c r="CR562" i="1" a="1"/>
  <c r="CR562" i="1" s="1"/>
  <c r="CR563" i="1" a="1"/>
  <c r="CR563" i="1" s="1"/>
  <c r="CR564" i="1" a="1"/>
  <c r="CR564" i="1" s="1"/>
  <c r="CR565" i="1" a="1"/>
  <c r="CR565" i="1" s="1"/>
  <c r="CR570" i="1" a="1"/>
  <c r="CR570" i="1" s="1"/>
  <c r="CR571" i="1" a="1"/>
  <c r="CR571" i="1" s="1"/>
  <c r="CR572" i="1" a="1"/>
  <c r="CR572" i="1" s="1"/>
  <c r="CR573" i="1" a="1"/>
  <c r="CR573" i="1" s="1"/>
  <c r="CR574" i="1" a="1"/>
  <c r="CR574" i="1" s="1"/>
  <c r="CR575" i="1" a="1"/>
  <c r="CR575" i="1" s="1"/>
  <c r="CR576" i="1" a="1"/>
  <c r="CR576" i="1" s="1"/>
  <c r="CR577" i="1" a="1"/>
  <c r="CR577" i="1" s="1"/>
  <c r="CR578" i="1" a="1"/>
  <c r="CR578" i="1" s="1"/>
  <c r="CR579" i="1" a="1"/>
  <c r="CR579" i="1" s="1"/>
  <c r="CR580" i="1" a="1"/>
  <c r="CR580" i="1" s="1"/>
  <c r="CR581" i="1" a="1"/>
  <c r="CR581" i="1" s="1"/>
  <c r="CR582" i="1" a="1"/>
  <c r="CR582" i="1" s="1"/>
  <c r="CR586" i="1" a="1"/>
  <c r="CR586" i="1" s="1"/>
  <c r="CR583" i="1" a="1"/>
  <c r="CR583" i="1" s="1"/>
  <c r="CR584" i="1" a="1"/>
  <c r="CR584" i="1" s="1"/>
  <c r="CR587" i="1" a="1"/>
  <c r="CR587" i="1" s="1"/>
  <c r="CR588" i="1" a="1"/>
  <c r="CR588" i="1" s="1"/>
  <c r="CR589" i="1" a="1"/>
  <c r="CR589" i="1" s="1"/>
  <c r="CR590" i="1" a="1"/>
  <c r="CR590" i="1" s="1"/>
  <c r="CR591" i="1" a="1"/>
  <c r="CR591" i="1" s="1"/>
  <c r="CR592" i="1" a="1"/>
  <c r="CR592" i="1" s="1"/>
  <c r="CR594" i="1" a="1"/>
  <c r="CR594" i="1" s="1"/>
  <c r="CR595" i="1" a="1"/>
  <c r="CR595" i="1" s="1"/>
  <c r="CR596" i="1" a="1"/>
  <c r="CR596" i="1" s="1"/>
  <c r="CR597" i="1" a="1"/>
  <c r="CR597" i="1" s="1"/>
  <c r="CR598" i="1" a="1"/>
  <c r="CR598" i="1" s="1"/>
  <c r="CR599" i="1" a="1"/>
  <c r="CR599" i="1" s="1"/>
  <c r="CR600" i="1" a="1"/>
  <c r="CR600" i="1" s="1"/>
  <c r="CR602" i="1" a="1"/>
  <c r="CR602" i="1" s="1"/>
  <c r="CR603" i="1" a="1"/>
  <c r="CR603" i="1" s="1"/>
  <c r="CR606" i="1" a="1"/>
  <c r="CR606" i="1" s="1"/>
  <c r="CR607" i="1" a="1"/>
  <c r="CR607" i="1" s="1"/>
  <c r="CR608" i="1" a="1"/>
  <c r="CR608" i="1" s="1"/>
  <c r="CR615" i="1" a="1"/>
  <c r="CR615" i="1" s="1"/>
  <c r="CR617" i="1" a="1"/>
  <c r="CR617" i="1" s="1"/>
  <c r="CR619" i="1" a="1"/>
  <c r="CR619" i="1" s="1"/>
  <c r="CR620" i="1" a="1"/>
  <c r="CR620" i="1" s="1"/>
  <c r="CR621" i="1" a="1"/>
  <c r="CR621" i="1" s="1"/>
  <c r="CR624" i="1" a="1"/>
  <c r="CR624" i="1" s="1"/>
  <c r="CR625" i="1" a="1"/>
  <c r="CR625" i="1" s="1"/>
  <c r="CR626" i="1" a="1"/>
  <c r="CR626" i="1" s="1"/>
  <c r="CR627" i="1" a="1"/>
  <c r="CR627" i="1" s="1"/>
  <c r="CR628" i="1" a="1"/>
  <c r="CR628" i="1" s="1"/>
  <c r="CR629" i="1" a="1"/>
  <c r="CR629" i="1" s="1"/>
  <c r="CR630" i="1" a="1"/>
  <c r="CR630" i="1" s="1"/>
  <c r="CR631" i="1" a="1"/>
  <c r="CR631" i="1" s="1"/>
  <c r="CR632" i="1" a="1"/>
  <c r="CR632" i="1" s="1"/>
  <c r="CR633" i="1" a="1"/>
  <c r="CR633" i="1" s="1"/>
  <c r="CR649" i="1" a="1"/>
  <c r="CR649" i="1" s="1"/>
  <c r="CR650" i="1" a="1"/>
  <c r="CR650" i="1" s="1"/>
  <c r="CR651" i="1" a="1"/>
  <c r="CR651" i="1" s="1"/>
  <c r="CR652" i="1" a="1"/>
  <c r="CR652" i="1" s="1"/>
  <c r="CR653" i="1" a="1"/>
  <c r="CR653" i="1" s="1"/>
  <c r="CR655" i="1" a="1"/>
  <c r="CR655" i="1" s="1"/>
  <c r="CR656" i="1" a="1"/>
  <c r="CR656" i="1" s="1"/>
  <c r="CR657" i="1" a="1"/>
  <c r="CR657" i="1" s="1"/>
  <c r="CR658" i="1" a="1"/>
  <c r="CR658" i="1" s="1"/>
  <c r="CR659" i="1" a="1"/>
  <c r="CR659" i="1" s="1"/>
  <c r="CR660" i="1" a="1"/>
  <c r="CR660" i="1" s="1"/>
  <c r="CR661" i="1" a="1"/>
  <c r="CR661" i="1" s="1"/>
  <c r="CR662" i="1" a="1"/>
  <c r="CR662" i="1" s="1"/>
  <c r="CR667" i="1" a="1"/>
  <c r="CR667" i="1" s="1"/>
  <c r="CR668" i="1" a="1"/>
  <c r="CR668" i="1" s="1"/>
  <c r="CR669" i="1" a="1"/>
  <c r="CR669" i="1" s="1"/>
  <c r="CR670" i="1" a="1"/>
  <c r="CR670" i="1" s="1"/>
  <c r="CR671" i="1" a="1"/>
  <c r="CR671" i="1" s="1"/>
  <c r="CR672" i="1" a="1"/>
  <c r="CR672" i="1" s="1"/>
  <c r="CR673" i="1" a="1"/>
  <c r="CR673" i="1" s="1"/>
  <c r="CR674" i="1" a="1"/>
  <c r="CR674" i="1" s="1"/>
  <c r="CR675" i="1" a="1"/>
  <c r="CR675" i="1" s="1"/>
  <c r="CR676" i="1" a="1"/>
  <c r="CR676" i="1" s="1"/>
  <c r="CR677" i="1" a="1"/>
  <c r="CR677" i="1" s="1"/>
  <c r="CR678" i="1" a="1"/>
  <c r="CR678" i="1" s="1"/>
  <c r="CR679" i="1" a="1"/>
  <c r="CR679" i="1" s="1"/>
  <c r="CR680" i="1" a="1"/>
  <c r="CR680" i="1" s="1"/>
  <c r="CR681" i="1" a="1"/>
  <c r="CR681" i="1" s="1"/>
  <c r="CR682" i="1" a="1"/>
  <c r="CR682" i="1" s="1"/>
  <c r="CR683" i="1" a="1"/>
  <c r="CR683" i="1" s="1"/>
  <c r="CR684" i="1" a="1"/>
  <c r="CR684" i="1" s="1"/>
  <c r="CR685" i="1" a="1"/>
  <c r="CR685" i="1" s="1"/>
  <c r="CR688" i="1" a="1"/>
  <c r="CR688" i="1" s="1"/>
  <c r="CR689" i="1" a="1"/>
  <c r="CR689" i="1" s="1"/>
  <c r="CR690" i="1" a="1"/>
  <c r="CR690" i="1" s="1"/>
  <c r="CR691" i="1" a="1"/>
  <c r="CR691" i="1" s="1"/>
  <c r="CR692" i="1" a="1"/>
  <c r="CR692" i="1" s="1"/>
  <c r="CR693" i="1" a="1"/>
  <c r="CR693" i="1" s="1"/>
  <c r="CR694" i="1" a="1"/>
  <c r="CR694" i="1" s="1"/>
  <c r="CR695" i="1" a="1"/>
  <c r="CR695" i="1" s="1"/>
  <c r="CR696" i="1" a="1"/>
  <c r="CR696" i="1" s="1"/>
  <c r="CR697" i="1" a="1"/>
  <c r="CR697" i="1" s="1"/>
  <c r="CR698" i="1" a="1"/>
  <c r="CR698" i="1" s="1"/>
  <c r="CR700" i="1" a="1"/>
  <c r="CR700" i="1" s="1"/>
  <c r="CR701" i="1" a="1"/>
  <c r="CR701" i="1" s="1"/>
  <c r="CR702" i="1" a="1"/>
  <c r="CR702" i="1" s="1"/>
  <c r="CR705" i="1" a="1"/>
  <c r="CR705" i="1" s="1"/>
  <c r="CR706" i="1" a="1"/>
  <c r="CR706" i="1" s="1"/>
  <c r="CR707" i="1" a="1"/>
  <c r="CR707" i="1" s="1"/>
  <c r="CR708" i="1" a="1"/>
  <c r="CR708" i="1" s="1"/>
  <c r="CR709" i="1" a="1"/>
  <c r="CR709" i="1" s="1"/>
  <c r="CR711" i="1" a="1"/>
  <c r="CR711" i="1" s="1"/>
  <c r="CR712" i="1" a="1"/>
  <c r="CR712" i="1" s="1"/>
  <c r="CR713" i="1" a="1"/>
  <c r="CR713" i="1" s="1"/>
  <c r="CR714" i="1" a="1"/>
  <c r="CR714" i="1" s="1"/>
  <c r="CR715" i="1" a="1"/>
  <c r="CR715" i="1" s="1"/>
  <c r="CR716" i="1" a="1"/>
  <c r="CR716" i="1" s="1"/>
  <c r="CR717" i="1" a="1"/>
  <c r="CR717" i="1" s="1"/>
  <c r="CR718" i="1" a="1"/>
  <c r="CR718" i="1" s="1"/>
  <c r="CR719" i="1" a="1"/>
  <c r="CR719" i="1" s="1"/>
  <c r="CR720" i="1" a="1"/>
  <c r="CR720" i="1" s="1"/>
  <c r="CR721" i="1" a="1"/>
  <c r="CR721" i="1" s="1"/>
  <c r="CR722" i="1" a="1"/>
  <c r="CR722" i="1" s="1"/>
  <c r="CR723" i="1" a="1"/>
  <c r="CR723" i="1" s="1"/>
  <c r="CR724" i="1" a="1"/>
  <c r="CR724" i="1" s="1"/>
  <c r="CR725" i="1" a="1"/>
  <c r="CR725" i="1" s="1"/>
  <c r="CR732" i="1" a="1"/>
  <c r="CR732" i="1" s="1"/>
  <c r="CR733" i="1" a="1"/>
  <c r="CR733" i="1" s="1"/>
  <c r="CR734" i="1" a="1"/>
  <c r="CR734" i="1" s="1"/>
  <c r="CR735" i="1" a="1"/>
  <c r="CR735" i="1" s="1"/>
  <c r="CR736" i="1" a="1"/>
  <c r="CR736" i="1" s="1"/>
  <c r="CR737" i="1" a="1"/>
  <c r="CR737" i="1" s="1"/>
  <c r="CR738" i="1" a="1"/>
  <c r="CR738" i="1" s="1"/>
  <c r="CR739" i="1" a="1"/>
  <c r="CR739" i="1" s="1"/>
  <c r="CR745" i="1" a="1"/>
  <c r="CR745" i="1" s="1"/>
  <c r="CR746" i="1" a="1"/>
  <c r="CR746" i="1" s="1"/>
  <c r="CR751" i="1" a="1"/>
  <c r="CR751" i="1" s="1"/>
  <c r="CR752" i="1" a="1"/>
  <c r="CR752" i="1" s="1"/>
  <c r="CR753" i="1" a="1"/>
  <c r="CR753" i="1" s="1"/>
  <c r="CR754" i="1" a="1"/>
  <c r="CR754" i="1" s="1"/>
  <c r="CR755" i="1" a="1"/>
  <c r="CR755" i="1" s="1"/>
  <c r="CR756" i="1" a="1"/>
  <c r="CR756" i="1" s="1"/>
  <c r="CR758" i="1" a="1"/>
  <c r="CR758" i="1" s="1"/>
  <c r="CR759" i="1" a="1"/>
  <c r="CR759" i="1" s="1"/>
  <c r="CR760" i="1" a="1"/>
  <c r="CR760" i="1" s="1"/>
  <c r="CR763" i="1" a="1"/>
  <c r="CR763" i="1" s="1"/>
  <c r="CR764" i="1" a="1"/>
  <c r="CR764" i="1" s="1"/>
  <c r="CR765" i="1" a="1"/>
  <c r="CR765" i="1" s="1"/>
  <c r="CR766" i="1" a="1"/>
  <c r="CR766" i="1" s="1"/>
  <c r="CR767" i="1" a="1"/>
  <c r="CR767" i="1" s="1"/>
  <c r="CR768" i="1" a="1"/>
  <c r="CR768" i="1" s="1"/>
  <c r="CR769" i="1" a="1"/>
  <c r="CR769" i="1" s="1"/>
  <c r="CR770" i="1" a="1"/>
  <c r="CR770" i="1" s="1"/>
  <c r="CR772" i="1" a="1"/>
  <c r="CR772" i="1" s="1"/>
  <c r="CR773" i="1" a="1"/>
  <c r="CR773" i="1" s="1"/>
  <c r="CR774" i="1" a="1"/>
  <c r="CR774" i="1" s="1"/>
  <c r="CR775" i="1" a="1"/>
  <c r="CR775" i="1" s="1"/>
  <c r="CR776" i="1" a="1"/>
  <c r="CR776" i="1" s="1"/>
  <c r="CR778" i="1" a="1"/>
  <c r="CR778" i="1" s="1"/>
  <c r="CR779" i="1" a="1"/>
  <c r="CR779" i="1" s="1"/>
  <c r="CR780" i="1" a="1"/>
  <c r="CR780" i="1" s="1"/>
  <c r="CR781" i="1" a="1"/>
  <c r="CR781" i="1" s="1"/>
  <c r="CR782" i="1" a="1"/>
  <c r="CR782" i="1" s="1"/>
  <c r="CR783" i="1" a="1"/>
  <c r="CR783" i="1" s="1"/>
  <c r="CR784" i="1" a="1"/>
  <c r="CR784" i="1" s="1"/>
  <c r="CR785" i="1" a="1"/>
  <c r="CR785" i="1" s="1"/>
  <c r="CR786" i="1" a="1"/>
  <c r="CR786" i="1" s="1"/>
  <c r="CR787" i="1" a="1"/>
  <c r="CR787" i="1" s="1"/>
  <c r="CR788" i="1" a="1"/>
  <c r="CR788" i="1" s="1"/>
  <c r="CR789" i="1" a="1"/>
  <c r="CR789" i="1" s="1"/>
  <c r="CR790" i="1" a="1"/>
  <c r="CR790" i="1" s="1"/>
  <c r="CR791" i="1" a="1"/>
  <c r="CR791" i="1" s="1"/>
  <c r="CR792" i="1" a="1"/>
  <c r="CR792" i="1" s="1"/>
  <c r="CR793" i="1" a="1"/>
  <c r="CR793" i="1" s="1"/>
  <c r="CR794" i="1" a="1"/>
  <c r="CR794" i="1" s="1"/>
  <c r="CR795" i="1" a="1"/>
  <c r="CR795" i="1" s="1"/>
  <c r="CR796" i="1" a="1"/>
  <c r="CR796" i="1" s="1"/>
  <c r="CR797" i="1" a="1"/>
  <c r="CR797" i="1" s="1"/>
  <c r="CR798" i="1" a="1"/>
  <c r="CR798" i="1" s="1"/>
  <c r="CR799" i="1" a="1"/>
  <c r="CR799" i="1" s="1"/>
  <c r="CR800" i="1" a="1"/>
  <c r="CR800" i="1" s="1"/>
  <c r="CR801" i="1" a="1"/>
  <c r="CR801" i="1" s="1"/>
  <c r="CR802" i="1" a="1"/>
  <c r="CR802" i="1" s="1"/>
  <c r="CR803" i="1" a="1"/>
  <c r="CR803" i="1" s="1"/>
  <c r="CR804" i="1" a="1"/>
  <c r="CR804" i="1" s="1"/>
  <c r="CR805" i="1" a="1"/>
  <c r="CR805" i="1" s="1"/>
  <c r="CR806" i="1" a="1"/>
  <c r="CR806" i="1" s="1"/>
  <c r="CR807" i="1" a="1"/>
  <c r="CR807" i="1" s="1"/>
  <c r="CR808" i="1" a="1"/>
  <c r="CR808" i="1" s="1"/>
  <c r="CR809" i="1" a="1"/>
  <c r="CR809" i="1" s="1"/>
  <c r="CR810" i="1" a="1"/>
  <c r="CR810" i="1" s="1"/>
  <c r="CR811" i="1" a="1"/>
  <c r="CR811" i="1" s="1"/>
  <c r="CR812" i="1" a="1"/>
  <c r="CR812" i="1" s="1"/>
  <c r="CR813" i="1" a="1"/>
  <c r="CR813" i="1" s="1"/>
  <c r="CR815" i="1" a="1"/>
  <c r="CR815" i="1" s="1"/>
  <c r="CR816" i="1" a="1"/>
  <c r="CR816" i="1" s="1"/>
  <c r="CR817" i="1" a="1"/>
  <c r="CR817" i="1" s="1"/>
  <c r="CR818" i="1" a="1"/>
  <c r="CR818" i="1" s="1"/>
  <c r="CR819" i="1" a="1"/>
  <c r="CR819" i="1" s="1"/>
  <c r="CR820" i="1" a="1"/>
  <c r="CR820" i="1" s="1"/>
  <c r="CR823" i="1" a="1"/>
  <c r="CR823" i="1" s="1"/>
  <c r="CR824" i="1" a="1"/>
  <c r="CR824" i="1" s="1"/>
  <c r="CR825" i="1" a="1"/>
  <c r="CR825" i="1" s="1"/>
  <c r="CR826" i="1" a="1"/>
  <c r="CR826" i="1" s="1"/>
  <c r="CR827" i="1" a="1"/>
  <c r="CR827" i="1" s="1"/>
  <c r="CR828" i="1" a="1"/>
  <c r="CR828" i="1" s="1"/>
  <c r="CR829" i="1" a="1"/>
  <c r="CR829" i="1" s="1"/>
  <c r="CR832" i="1" a="1"/>
  <c r="CR832" i="1" s="1"/>
  <c r="CR834" i="1" a="1"/>
  <c r="CR834" i="1" s="1"/>
  <c r="CR835" i="1" a="1"/>
  <c r="CR835" i="1" s="1"/>
  <c r="CR836" i="1" a="1"/>
  <c r="CR836" i="1" s="1"/>
  <c r="CR838" i="1" a="1"/>
  <c r="CR838" i="1" s="1"/>
  <c r="CR843" i="1" a="1"/>
  <c r="CR843" i="1" s="1"/>
  <c r="CR844" i="1" a="1"/>
  <c r="CR844" i="1" s="1"/>
  <c r="CR845" i="1" a="1"/>
  <c r="CR845" i="1" s="1"/>
  <c r="CR846" i="1" a="1"/>
  <c r="CR846" i="1" s="1"/>
  <c r="CR847" i="1" a="1"/>
  <c r="CR847" i="1" s="1"/>
  <c r="CR848" i="1" a="1"/>
  <c r="CR848" i="1" s="1"/>
  <c r="CR849" i="1" a="1"/>
  <c r="CR849" i="1" s="1"/>
  <c r="CR850" i="1" a="1"/>
  <c r="CR850" i="1" s="1"/>
  <c r="CR851" i="1" a="1"/>
  <c r="CR851" i="1" s="1"/>
  <c r="CR852" i="1" a="1"/>
  <c r="CR852" i="1" s="1"/>
  <c r="CR853" i="1" a="1"/>
  <c r="CR853" i="1" s="1"/>
  <c r="CR854" i="1" a="1"/>
  <c r="CR854" i="1" s="1"/>
  <c r="CR855" i="1" a="1"/>
  <c r="CR855" i="1" s="1"/>
  <c r="CR856" i="1" a="1"/>
  <c r="CR856" i="1" s="1"/>
  <c r="CR863" i="1" a="1"/>
  <c r="CR863" i="1" s="1"/>
  <c r="CR864" i="1" a="1"/>
  <c r="CR864" i="1" s="1"/>
  <c r="CR865" i="1" a="1"/>
  <c r="CR865" i="1" s="1"/>
  <c r="CR866" i="1" a="1"/>
  <c r="CR866" i="1" s="1"/>
  <c r="CR868" i="1" a="1"/>
  <c r="CR868" i="1" s="1"/>
  <c r="CR869" i="1" a="1"/>
  <c r="CR869" i="1" s="1"/>
  <c r="CR874" i="1" a="1"/>
  <c r="CR874" i="1" s="1"/>
  <c r="CR875" i="1" a="1"/>
  <c r="CR875" i="1" s="1"/>
  <c r="CR876" i="1" a="1"/>
  <c r="CR876" i="1" s="1"/>
  <c r="CR877" i="1" a="1"/>
  <c r="CR877" i="1" s="1"/>
  <c r="CR878" i="1" a="1"/>
  <c r="CR878" i="1" s="1"/>
  <c r="CR879" i="1" a="1"/>
  <c r="CR879" i="1" s="1"/>
  <c r="CR880" i="1" a="1"/>
  <c r="CR880" i="1" s="1"/>
  <c r="CR881" i="1" a="1"/>
  <c r="CR881" i="1" s="1"/>
  <c r="CR882" i="1" a="1"/>
  <c r="CR882" i="1" s="1"/>
  <c r="CR883" i="1" a="1"/>
  <c r="CR883" i="1" s="1"/>
  <c r="CR884" i="1" a="1"/>
  <c r="CR884" i="1" s="1"/>
  <c r="CR885" i="1" a="1"/>
  <c r="CR885" i="1" s="1"/>
  <c r="CR886" i="1" a="1"/>
  <c r="CR886" i="1" s="1"/>
  <c r="CR887" i="1" a="1"/>
  <c r="CR887" i="1" s="1"/>
  <c r="CR888" i="1" a="1"/>
  <c r="CR888" i="1" s="1"/>
  <c r="CR889" i="1" a="1"/>
  <c r="CR889" i="1" s="1"/>
  <c r="CR890" i="1" a="1"/>
  <c r="CR890" i="1" s="1"/>
  <c r="CR891" i="1" a="1"/>
  <c r="CR891" i="1" s="1"/>
  <c r="CR894" i="1" a="1"/>
  <c r="CR894" i="1" s="1"/>
  <c r="CR895" i="1" a="1"/>
  <c r="CR895" i="1" s="1"/>
  <c r="CR896" i="1" a="1"/>
  <c r="CR896" i="1" s="1"/>
  <c r="CR897" i="1" a="1"/>
  <c r="CR897" i="1" s="1"/>
  <c r="CR898" i="1" a="1"/>
  <c r="CR898" i="1" s="1"/>
  <c r="CR899" i="1" a="1"/>
  <c r="CR899" i="1" s="1"/>
  <c r="CR900" i="1" a="1"/>
  <c r="CR900" i="1" s="1"/>
  <c r="CR901" i="1" a="1"/>
  <c r="CR901" i="1" s="1"/>
  <c r="CR902" i="1" a="1"/>
  <c r="CR902" i="1" s="1"/>
  <c r="CR903" i="1" a="1"/>
  <c r="CR903" i="1" s="1"/>
  <c r="CR904" i="1" a="1"/>
  <c r="CR904" i="1" s="1"/>
  <c r="CR905" i="1" a="1"/>
  <c r="CR905" i="1" s="1"/>
  <c r="CR911" i="1" a="1"/>
  <c r="CR911" i="1" s="1"/>
  <c r="CR912" i="1" a="1"/>
  <c r="CR912" i="1" s="1"/>
  <c r="CR914" i="1" a="1"/>
  <c r="CR914" i="1" s="1"/>
  <c r="CR915" i="1" a="1"/>
  <c r="CR915" i="1" s="1"/>
  <c r="CR918" i="1" a="1"/>
  <c r="CR918" i="1" s="1"/>
  <c r="CR919" i="1" a="1"/>
  <c r="CR919" i="1" s="1"/>
  <c r="CR920" i="1" a="1"/>
  <c r="CR920" i="1" s="1"/>
  <c r="CR921" i="1" a="1"/>
  <c r="CR921" i="1" s="1"/>
  <c r="CR922" i="1" a="1"/>
  <c r="CR922" i="1" s="1"/>
  <c r="CR923" i="1" a="1"/>
  <c r="CR923" i="1" s="1"/>
  <c r="CR924" i="1" a="1"/>
  <c r="CR924" i="1" s="1"/>
  <c r="CR925" i="1" a="1"/>
  <c r="CR925" i="1" s="1"/>
  <c r="CR926" i="1" a="1"/>
  <c r="CR926" i="1" s="1"/>
  <c r="CR935" i="1" a="1"/>
  <c r="CR935" i="1" s="1"/>
  <c r="CR936" i="1" a="1"/>
  <c r="CR936" i="1" s="1"/>
  <c r="CR937" i="1" a="1"/>
  <c r="CR937" i="1" s="1"/>
  <c r="CR938" i="1" a="1"/>
  <c r="CR938" i="1" s="1"/>
  <c r="CR939" i="1" a="1"/>
  <c r="CR939" i="1" s="1"/>
  <c r="CR940" i="1" a="1"/>
  <c r="CR940" i="1" s="1"/>
  <c r="CR941" i="1" a="1"/>
  <c r="CR941" i="1" s="1"/>
  <c r="CR942" i="1" a="1"/>
  <c r="CR942" i="1" s="1"/>
  <c r="CR944" i="1" a="1"/>
  <c r="CR944" i="1" s="1"/>
  <c r="CR946" i="1" a="1"/>
  <c r="CR946" i="1" s="1"/>
  <c r="CR947" i="1" a="1"/>
  <c r="CR947" i="1" s="1"/>
  <c r="CR948" i="1" a="1"/>
  <c r="CR948" i="1" s="1"/>
  <c r="CR949" i="1" a="1"/>
  <c r="CR949" i="1" s="1"/>
  <c r="CR950" i="1" a="1"/>
  <c r="CR950" i="1" s="1"/>
  <c r="CR951" i="1" a="1"/>
  <c r="CR951" i="1" s="1"/>
  <c r="CR956" i="1" a="1"/>
  <c r="CR956" i="1" s="1"/>
  <c r="CR957" i="1" a="1"/>
  <c r="CR957" i="1" s="1"/>
  <c r="CR962" i="1" a="1"/>
  <c r="CR962" i="1" s="1"/>
  <c r="CR973" i="1" a="1"/>
  <c r="CR973" i="1" s="1"/>
  <c r="CR974" i="1" a="1"/>
  <c r="CR974" i="1" s="1"/>
  <c r="CR976" i="1" a="1"/>
  <c r="CR976" i="1" s="1"/>
  <c r="CR977" i="1" a="1"/>
  <c r="CR977" i="1" s="1"/>
  <c r="CR978" i="1" a="1"/>
  <c r="CR978" i="1" s="1"/>
  <c r="CR979" i="1" a="1"/>
  <c r="CR979" i="1" s="1"/>
  <c r="CR980" i="1" a="1"/>
  <c r="CR980" i="1" s="1"/>
  <c r="CR982" i="1" a="1"/>
  <c r="CR982" i="1" s="1"/>
  <c r="CR983" i="1" a="1"/>
  <c r="CR983" i="1" s="1"/>
  <c r="CR984" i="1" a="1"/>
  <c r="CR984" i="1" s="1"/>
  <c r="CR985" i="1" a="1"/>
  <c r="CR985" i="1" s="1"/>
  <c r="CR986" i="1" a="1"/>
  <c r="CR986" i="1" s="1"/>
  <c r="CR987" i="1" a="1"/>
  <c r="CR987" i="1" s="1"/>
  <c r="CR988" i="1" a="1"/>
  <c r="CR988" i="1" s="1"/>
  <c r="CR990" i="1" a="1"/>
  <c r="CR990" i="1" s="1"/>
  <c r="CR991" i="1" a="1"/>
  <c r="CR991" i="1" s="1"/>
  <c r="CR993" i="1" a="1"/>
  <c r="CR993" i="1" s="1"/>
  <c r="CR1001" i="1" a="1"/>
  <c r="CR1001" i="1" s="1"/>
  <c r="CR1002" i="1" a="1"/>
  <c r="CR1002" i="1" s="1"/>
  <c r="CR1005" i="1" a="1"/>
  <c r="CR1005" i="1" s="1"/>
  <c r="CR1006" i="1" a="1"/>
  <c r="CR1006" i="1" s="1"/>
  <c r="CR1007" i="1" a="1"/>
  <c r="CR1007" i="1" s="1"/>
  <c r="CR1009" i="1" a="1"/>
  <c r="CR1009" i="1" s="1"/>
  <c r="CR1010" i="1" a="1"/>
  <c r="CR1010" i="1" s="1"/>
  <c r="CR1011" i="1" a="1"/>
  <c r="CR1011" i="1" s="1"/>
  <c r="CR1013" i="1" a="1"/>
  <c r="CR1013" i="1" s="1"/>
  <c r="CR1014" i="1" a="1"/>
  <c r="CR1014" i="1" s="1"/>
  <c r="CR1015" i="1" a="1"/>
  <c r="CR1015" i="1" s="1"/>
  <c r="CR1017" i="1" a="1"/>
  <c r="CR1017" i="1" s="1"/>
  <c r="CR1018" i="1" a="1"/>
  <c r="CR1018" i="1" s="1"/>
  <c r="CR1019" i="1" a="1"/>
  <c r="CR1019" i="1" s="1"/>
  <c r="CR1020" i="1" a="1"/>
  <c r="CR1020" i="1" s="1"/>
  <c r="CR1021" i="1" a="1"/>
  <c r="CR1021" i="1" s="1"/>
  <c r="CR1022" i="1" a="1"/>
  <c r="CR1022" i="1" s="1"/>
  <c r="CR1023" i="1" a="1"/>
  <c r="CR1023" i="1" s="1"/>
  <c r="CR1024" i="1" a="1"/>
  <c r="CR1024" i="1" s="1"/>
  <c r="CR1025" i="1" a="1"/>
  <c r="CR1025" i="1" s="1"/>
  <c r="CR1026" i="1" a="1"/>
  <c r="CR1026" i="1" s="1"/>
  <c r="CR1027" i="1" a="1"/>
  <c r="CR1027" i="1" s="1"/>
  <c r="CR1028" i="1" a="1"/>
  <c r="CR1028" i="1" s="1"/>
  <c r="CR1029" i="1" a="1"/>
  <c r="CR1029" i="1" s="1"/>
  <c r="CR1030" i="1" a="1"/>
  <c r="CR1030" i="1" s="1"/>
  <c r="CR1031" i="1" a="1"/>
  <c r="CR1031" i="1" s="1"/>
  <c r="CR1032" i="1" a="1"/>
  <c r="CR1032" i="1" s="1"/>
  <c r="CR1033" i="1" a="1"/>
  <c r="CR1033" i="1" s="1"/>
  <c r="CR1034" i="1" a="1"/>
  <c r="CR1034" i="1" s="1"/>
  <c r="CR1035" i="1" a="1"/>
  <c r="CR1035" i="1" s="1"/>
  <c r="CR1036" i="1" a="1"/>
  <c r="CR1036" i="1" s="1"/>
  <c r="CR1037" i="1" a="1"/>
  <c r="CR1037" i="1" s="1"/>
  <c r="CR1038" i="1" a="1"/>
  <c r="CR1038" i="1" s="1"/>
  <c r="CR1039" i="1" a="1"/>
  <c r="CR1039" i="1" s="1"/>
  <c r="CR1040" i="1" a="1"/>
  <c r="CR1040" i="1" s="1"/>
  <c r="CR1041" i="1" a="1"/>
  <c r="CR1041" i="1" s="1"/>
  <c r="CR1042" i="1" a="1"/>
  <c r="CR1042" i="1" s="1"/>
  <c r="CR1043" i="1" a="1"/>
  <c r="CR1043" i="1" s="1"/>
  <c r="CR1044" i="1" a="1"/>
  <c r="CR1044" i="1" s="1"/>
  <c r="CR1068" i="1" a="1"/>
  <c r="CR1068" i="1" s="1"/>
  <c r="CR1069" i="1" a="1"/>
  <c r="CR1069" i="1" s="1"/>
  <c r="CR1071" i="1" a="1"/>
  <c r="CR1071" i="1" s="1"/>
  <c r="CR1072" i="1" a="1"/>
  <c r="CR1072" i="1" s="1"/>
  <c r="CR1073" i="1" a="1"/>
  <c r="CR1073" i="1" s="1"/>
  <c r="CR1074" i="1" a="1"/>
  <c r="CR1074" i="1" s="1"/>
  <c r="CR1075" i="1" a="1"/>
  <c r="CR1075" i="1" s="1"/>
  <c r="CR1076" i="1" a="1"/>
  <c r="CR1076" i="1" s="1"/>
  <c r="CR1080" i="1" a="1"/>
  <c r="CR1080" i="1" s="1"/>
  <c r="CR1081" i="1" a="1"/>
  <c r="CR1081" i="1" s="1"/>
  <c r="CR1091" i="1" a="1"/>
  <c r="CR1091" i="1" s="1"/>
  <c r="CR1092" i="1" a="1"/>
  <c r="CR1092" i="1" s="1"/>
  <c r="CR1093" i="1" a="1"/>
  <c r="CR1093" i="1" s="1"/>
  <c r="CR1094" i="1" a="1"/>
  <c r="CR1094" i="1" s="1"/>
  <c r="CR1095" i="1" a="1"/>
  <c r="CR1095" i="1" s="1"/>
  <c r="CR1096" i="1" a="1"/>
  <c r="CR1096" i="1" s="1"/>
  <c r="CR1099" i="1" a="1"/>
  <c r="CR1099" i="1" s="1"/>
  <c r="CR1100" i="1" a="1"/>
  <c r="CR1100" i="1" s="1"/>
  <c r="CR1102" i="1" a="1"/>
  <c r="CR1102" i="1" s="1"/>
  <c r="CR1103" i="1" a="1"/>
  <c r="CR1103" i="1" s="1"/>
  <c r="CR1104" i="1" a="1"/>
  <c r="CR1104" i="1" s="1"/>
  <c r="CR1105" i="1" a="1"/>
  <c r="CR1105" i="1" s="1"/>
  <c r="CR1106" i="1" a="1"/>
  <c r="CR1106" i="1" s="1"/>
  <c r="CR1108" i="1" a="1"/>
  <c r="CR1108" i="1" s="1"/>
  <c r="CR1109" i="1" a="1"/>
  <c r="CR1109" i="1" s="1"/>
  <c r="CR1110" i="1" a="1"/>
  <c r="CR1110" i="1" s="1"/>
  <c r="CR1111" i="1" a="1"/>
  <c r="CR1111" i="1" s="1"/>
  <c r="CR1112" i="1" a="1"/>
  <c r="CR1112" i="1" s="1"/>
  <c r="CR1113" i="1" a="1"/>
  <c r="CR1113" i="1" s="1"/>
  <c r="CR1114" i="1" a="1"/>
  <c r="CR1114" i="1" s="1"/>
  <c r="CR1115" i="1" a="1"/>
  <c r="CR1115" i="1" s="1"/>
  <c r="CR1116" i="1" a="1"/>
  <c r="CR1116" i="1" s="1"/>
  <c r="CR1117" i="1" a="1"/>
  <c r="CR1117" i="1" s="1"/>
  <c r="CR1118" i="1" a="1"/>
  <c r="CR1118" i="1" s="1"/>
  <c r="CR1119" i="1" a="1"/>
  <c r="CR1119" i="1" s="1"/>
  <c r="CR1120" i="1" a="1"/>
  <c r="CR1120" i="1" s="1"/>
  <c r="CR1121" i="1" a="1"/>
  <c r="CR1121" i="1" s="1"/>
  <c r="CR1122" i="1" a="1"/>
  <c r="CR1122" i="1" s="1"/>
  <c r="CR1123" i="1" a="1"/>
  <c r="CR1123" i="1" s="1"/>
  <c r="CR1127" i="1" a="1"/>
  <c r="CR1127" i="1" s="1"/>
  <c r="CR1128" i="1" a="1"/>
  <c r="CR1128" i="1" s="1"/>
  <c r="CR1129" i="1" a="1"/>
  <c r="CR1129" i="1" s="1"/>
  <c r="CR1130" i="1" a="1"/>
  <c r="CR1130" i="1" s="1"/>
  <c r="CR1131" i="1" a="1"/>
  <c r="CR1131" i="1" s="1"/>
  <c r="CR1132" i="1" a="1"/>
  <c r="CR1132" i="1" s="1"/>
  <c r="CR1133" i="1" a="1"/>
  <c r="CR1133" i="1" s="1"/>
  <c r="CR1134" i="1" a="1"/>
  <c r="CR1134" i="1" s="1"/>
  <c r="CR1135" i="1" a="1"/>
  <c r="CR1135" i="1" s="1"/>
  <c r="CR1136" i="1" a="1"/>
  <c r="CR1136" i="1" s="1"/>
  <c r="CR1137" i="1" a="1"/>
  <c r="CR1137" i="1" s="1"/>
  <c r="CR1138" i="1" a="1"/>
  <c r="CR1138" i="1" s="1"/>
  <c r="CR1139" i="1" a="1"/>
  <c r="CR1139" i="1" s="1"/>
  <c r="CR1140" i="1" a="1"/>
  <c r="CR1140" i="1" s="1"/>
  <c r="CR1141" i="1" a="1"/>
  <c r="CR1141" i="1" s="1"/>
  <c r="CR1142" i="1" a="1"/>
  <c r="CR1142" i="1" s="1"/>
  <c r="CR1143" i="1" a="1"/>
  <c r="CR1143" i="1" s="1"/>
  <c r="CR1144" i="1" a="1"/>
  <c r="CR1144" i="1" s="1"/>
  <c r="CR1145" i="1" a="1"/>
  <c r="CR1145" i="1" s="1"/>
  <c r="CR1146" i="1" a="1"/>
  <c r="CR1146" i="1" s="1"/>
  <c r="CR1147" i="1" a="1"/>
  <c r="CR1147" i="1" s="1"/>
  <c r="CR1148" i="1" a="1"/>
  <c r="CR1148" i="1" s="1"/>
  <c r="CR1149" i="1" a="1"/>
  <c r="CR1149" i="1" s="1"/>
  <c r="CR1150" i="1" a="1"/>
  <c r="CR1150" i="1" s="1"/>
  <c r="CR1151" i="1" a="1"/>
  <c r="CR1151" i="1" s="1"/>
  <c r="CR1152" i="1" a="1"/>
  <c r="CR1152" i="1" s="1"/>
  <c r="CR1153" i="1" a="1"/>
  <c r="CR1153" i="1" s="1"/>
  <c r="CR1154" i="1" a="1"/>
  <c r="CR1154" i="1" s="1"/>
  <c r="CR1155" i="1" a="1"/>
  <c r="CR1155" i="1" s="1"/>
  <c r="CR1157" i="1" a="1"/>
  <c r="CR1157" i="1" s="1"/>
  <c r="CR1158" i="1" a="1"/>
  <c r="CR1158" i="1" s="1"/>
  <c r="CR1159" i="1" a="1"/>
  <c r="CR1159" i="1" s="1"/>
  <c r="CR1161" i="1" a="1"/>
  <c r="CR1161" i="1" s="1"/>
  <c r="CR1162" i="1" a="1"/>
  <c r="CR1162" i="1" s="1"/>
  <c r="CR1163" i="1" a="1"/>
  <c r="CR1163" i="1" s="1"/>
  <c r="CR1164" i="1" a="1"/>
  <c r="CR1164" i="1" s="1"/>
  <c r="CR1165" i="1" a="1"/>
  <c r="CR1165" i="1" s="1"/>
  <c r="CR1166" i="1" a="1"/>
  <c r="CR1166" i="1" s="1"/>
  <c r="CR1167" i="1" a="1"/>
  <c r="CR1167" i="1" s="1"/>
  <c r="CR1168" i="1" a="1"/>
  <c r="CR1168" i="1" s="1"/>
  <c r="CR1169" i="1" a="1"/>
  <c r="CR1169" i="1" s="1"/>
  <c r="CR1170" i="1" a="1"/>
  <c r="CR1170" i="1" s="1"/>
  <c r="CR1171" i="1" a="1"/>
  <c r="CR1171" i="1" s="1"/>
  <c r="CR1172" i="1" a="1"/>
  <c r="CR1172" i="1" s="1"/>
  <c r="CR1173" i="1" a="1"/>
  <c r="CR1173" i="1" s="1"/>
  <c r="CR1174" i="1" a="1"/>
  <c r="CR1174" i="1" s="1"/>
  <c r="CR1175" i="1" a="1"/>
  <c r="CR1175" i="1" s="1"/>
  <c r="CR1176" i="1" a="1"/>
  <c r="CR1176" i="1" s="1"/>
  <c r="CR1177" i="1" a="1"/>
  <c r="CR1177" i="1" s="1"/>
  <c r="CR1178" i="1" a="1"/>
  <c r="CR1178" i="1" s="1"/>
  <c r="CR1179" i="1" a="1"/>
  <c r="CR1179" i="1" s="1"/>
  <c r="CR1180" i="1" a="1"/>
  <c r="CR1180" i="1" s="1"/>
  <c r="CR1181" i="1" a="1"/>
  <c r="CR1181" i="1" s="1"/>
  <c r="CR1182" i="1" a="1"/>
  <c r="CR1182" i="1" s="1"/>
  <c r="CR1183" i="1" a="1"/>
  <c r="CR1183" i="1" s="1"/>
  <c r="CR1184" i="1" a="1"/>
  <c r="CR1184" i="1" s="1"/>
  <c r="CR1185" i="1" a="1"/>
  <c r="CR1185" i="1" s="1"/>
  <c r="CR1186" i="1" a="1"/>
  <c r="CR1186" i="1" s="1"/>
  <c r="CR1187" i="1" a="1"/>
  <c r="CR1187" i="1" s="1"/>
  <c r="CR1188" i="1" a="1"/>
  <c r="CR1188" i="1" s="1"/>
  <c r="CR1189" i="1" a="1"/>
  <c r="CR1189" i="1" s="1"/>
  <c r="CR1190" i="1" a="1"/>
  <c r="CR1190" i="1" s="1"/>
  <c r="CR1191" i="1" a="1"/>
  <c r="CR1191" i="1" s="1"/>
  <c r="CR1192" i="1" a="1"/>
  <c r="CR1192" i="1" s="1"/>
  <c r="CR1193" i="1" a="1"/>
  <c r="CR1193" i="1" s="1"/>
  <c r="CR1194" i="1" a="1"/>
  <c r="CR1194" i="1" s="1"/>
  <c r="CR1197" i="1" a="1"/>
  <c r="CR1197" i="1" s="1"/>
  <c r="CR1198" i="1" a="1"/>
  <c r="CR1198" i="1" s="1"/>
  <c r="CR1199" i="1" a="1"/>
  <c r="CR1199" i="1" s="1"/>
  <c r="CR1200" i="1" a="1"/>
  <c r="CR1200" i="1" s="1"/>
  <c r="CR1201" i="1" a="1"/>
  <c r="CR1201" i="1" s="1"/>
  <c r="CR1083" i="1" a="1"/>
  <c r="CR1083" i="1" s="1"/>
  <c r="CR473" i="1" a="1"/>
  <c r="CR473" i="1" s="1"/>
  <c r="CR1213" i="1" a="1"/>
  <c r="CR1213" i="1" s="1"/>
  <c r="CR41" i="1" a="1"/>
  <c r="CR41" i="1" s="1"/>
  <c r="CR645" i="1" a="1"/>
  <c r="CR645" i="1" s="1"/>
  <c r="CR431" i="1" a="1"/>
  <c r="CR431" i="1" s="1"/>
  <c r="CR995" i="1" a="1"/>
  <c r="CR995" i="1" s="1"/>
  <c r="CR1051" i="1" a="1"/>
  <c r="CR1051" i="1" s="1"/>
  <c r="CR104" i="1" a="1"/>
  <c r="CR104" i="1" s="1"/>
  <c r="CR1067" i="1" a="1"/>
  <c r="CR1067" i="1" s="1"/>
  <c r="CR324" i="1" a="1"/>
  <c r="CR324" i="1" s="1"/>
  <c r="CR614" i="1" a="1"/>
  <c r="CR614" i="1" s="1"/>
  <c r="CR963" i="1" a="1"/>
  <c r="CR963" i="1" s="1"/>
  <c r="CR31" i="1" a="1"/>
  <c r="CR31" i="1" s="1"/>
  <c r="CR1097" i="1" a="1"/>
  <c r="CR1097" i="1" s="1"/>
  <c r="CR549" i="1" a="1"/>
  <c r="CR549" i="1" s="1"/>
  <c r="CR837" i="1" a="1"/>
  <c r="CR837" i="1" s="1"/>
  <c r="CR609" i="1" a="1"/>
  <c r="CR609" i="1" s="1"/>
  <c r="CR604" i="1" a="1"/>
  <c r="CR604" i="1" s="1"/>
  <c r="CR538" i="1" a="1"/>
  <c r="CR538" i="1" s="1"/>
  <c r="CR648" i="1" a="1"/>
  <c r="CR648" i="1" s="1"/>
  <c r="CR519" i="1" a="1"/>
  <c r="CR519" i="1" s="1"/>
  <c r="CR958" i="1" a="1"/>
  <c r="CR958" i="1" s="1"/>
  <c r="CR82" i="1" a="1"/>
  <c r="CR82" i="1" s="1"/>
  <c r="CR208" i="1" a="1"/>
  <c r="CR208" i="1" s="1"/>
  <c r="CR299" i="1" a="1"/>
  <c r="CR299" i="1" s="1"/>
  <c r="CR909" i="1" a="1"/>
  <c r="CR909" i="1" s="1"/>
  <c r="CR65" i="1" a="1"/>
  <c r="CR65" i="1" s="1"/>
  <c r="CR964" i="1" a="1"/>
  <c r="CR964" i="1" s="1"/>
  <c r="CR1082" i="1" a="1"/>
  <c r="CR1082" i="1" s="1"/>
  <c r="CR992" i="1" a="1"/>
  <c r="CR992" i="1" s="1"/>
  <c r="CR108" i="1" a="1"/>
  <c r="CR108" i="1" s="1"/>
  <c r="CR703" i="1" a="1"/>
  <c r="CR703" i="1" s="1"/>
  <c r="CR907" i="1" a="1"/>
  <c r="CR907" i="1" s="1"/>
  <c r="CR517" i="1" a="1"/>
  <c r="CR517" i="1" s="1"/>
  <c r="CR618" i="1" a="1"/>
  <c r="CR618" i="1" s="1"/>
  <c r="CR51" i="1" a="1"/>
  <c r="CR51" i="1" s="1"/>
  <c r="CR757" i="1" a="1"/>
  <c r="CR757" i="1" s="1"/>
  <c r="CR638" i="1" a="1"/>
  <c r="CR638" i="1" s="1"/>
  <c r="CR92" i="1" a="1"/>
  <c r="CR92" i="1" s="1"/>
  <c r="CR501" i="1" a="1"/>
  <c r="CR501" i="1" s="1"/>
  <c r="CR1070" i="1" a="1"/>
  <c r="CR1070" i="1" s="1"/>
  <c r="CR350" i="1" a="1"/>
  <c r="CR350" i="1" s="1"/>
  <c r="CR530" i="1" a="1"/>
  <c r="CR530" i="1" s="1"/>
  <c r="CR222" i="1" a="1"/>
  <c r="CR222" i="1" s="1"/>
  <c r="CR359" i="1" a="1"/>
  <c r="CR359" i="1" s="1"/>
  <c r="CR654" i="1" a="1"/>
  <c r="CR654" i="1" s="1"/>
  <c r="CR337" i="1" a="1"/>
  <c r="CR337" i="1" s="1"/>
  <c r="CR952" i="1" a="1"/>
  <c r="CR952" i="1" s="1"/>
  <c r="CR185" i="1" a="1"/>
  <c r="CR185" i="1" s="1"/>
  <c r="CR910" i="1" a="1"/>
  <c r="CR910" i="1" s="1"/>
  <c r="CR833" i="1" a="1"/>
  <c r="CR833" i="1" s="1"/>
  <c r="CR927" i="1" a="1"/>
  <c r="CR927" i="1" s="1"/>
  <c r="CR454" i="1" a="1"/>
  <c r="CR454" i="1" s="1"/>
  <c r="CR822" i="1" a="1"/>
  <c r="CR822" i="1" s="1"/>
  <c r="CR198" i="1" a="1"/>
  <c r="CR198" i="1" s="1"/>
  <c r="CR646" i="1" a="1"/>
  <c r="CR646" i="1" s="1"/>
  <c r="CR543" i="1" a="1"/>
  <c r="CR543" i="1" s="1"/>
  <c r="CR304" i="1" a="1"/>
  <c r="CR304" i="1" s="1"/>
  <c r="CR26" i="1" a="1"/>
  <c r="CR26" i="1" s="1"/>
  <c r="CR398" i="1" a="1"/>
  <c r="CR398" i="1" s="1"/>
  <c r="CR45" i="1" a="1"/>
  <c r="CR45" i="1" s="1"/>
  <c r="CR1215" i="1" a="1"/>
  <c r="CR1215" i="1" s="1"/>
  <c r="CR1195" i="1" a="1"/>
  <c r="CR1195" i="1" s="1"/>
  <c r="CR469" i="1" a="1"/>
  <c r="CR469" i="1" s="1"/>
  <c r="CR246" i="1" a="1"/>
  <c r="CR246" i="1" s="1"/>
  <c r="CR288" i="1" a="1"/>
  <c r="CR288" i="1" s="1"/>
  <c r="CR360" i="1" a="1"/>
  <c r="CR360" i="1" s="1"/>
  <c r="CR73" i="1" a="1"/>
  <c r="CR73" i="1" s="1"/>
  <c r="CR554" i="1" a="1"/>
  <c r="CR554" i="1" s="1"/>
  <c r="CR294" i="1" a="1"/>
  <c r="CR294" i="1" s="1"/>
  <c r="CR1124" i="1" a="1"/>
  <c r="CR1124" i="1" s="1"/>
  <c r="CR953" i="1" a="1"/>
  <c r="CR953" i="1" s="1"/>
  <c r="CR67" i="1" a="1"/>
  <c r="CR67" i="1" s="1"/>
  <c r="CR58" i="1" a="1"/>
  <c r="CR58" i="1" s="1"/>
  <c r="CR870" i="1" a="1"/>
  <c r="CR870" i="1" s="1"/>
  <c r="CR325" i="1" a="1"/>
  <c r="CR325" i="1" s="1"/>
  <c r="CR1059" i="1" a="1"/>
  <c r="CR1059" i="1" s="1"/>
  <c r="CR74" i="1" a="1"/>
  <c r="CR74" i="1" s="1"/>
  <c r="CR569" i="1" a="1"/>
  <c r="CR569" i="1" s="1"/>
  <c r="CR42" i="1" a="1"/>
  <c r="CR42" i="1" s="1"/>
  <c r="CR382" i="1" a="1"/>
  <c r="CR382" i="1" s="1"/>
  <c r="CR32" i="1" a="1"/>
  <c r="CR32" i="1" s="1"/>
  <c r="CR928" i="1" a="1"/>
  <c r="CR928" i="1" s="1"/>
  <c r="CR639" i="1" a="1"/>
  <c r="CR639" i="1" s="1"/>
  <c r="CR857" i="1" a="1"/>
  <c r="CR857" i="1" s="1"/>
  <c r="CR1045" i="1" a="1"/>
  <c r="CR1045" i="1" s="1"/>
  <c r="CR68" i="1" a="1"/>
  <c r="CR68" i="1" s="1"/>
  <c r="CR1085" i="1" a="1"/>
  <c r="CR1085" i="1" s="1"/>
  <c r="CR251" i="1" a="1"/>
  <c r="CR251" i="1" s="1"/>
  <c r="CR529" i="1" a="1"/>
  <c r="CR529" i="1" s="1"/>
  <c r="CR1000" i="1" a="1"/>
  <c r="CR1000" i="1" s="1"/>
  <c r="CR60" i="1" a="1"/>
  <c r="CR60" i="1" s="1"/>
  <c r="CR1060" i="1" a="1"/>
  <c r="CR1060" i="1" s="1"/>
  <c r="CR432" i="1" a="1"/>
  <c r="CR432" i="1" s="1"/>
  <c r="CR1214" i="1" a="1"/>
  <c r="CR1214" i="1" s="1"/>
  <c r="CR635" i="1" a="1"/>
  <c r="CR635" i="1" s="1"/>
  <c r="CR300" i="1" a="1"/>
  <c r="CR300" i="1" s="1"/>
  <c r="CR52" i="1" a="1"/>
  <c r="CR52" i="1" s="1"/>
  <c r="CR192" i="1" a="1"/>
  <c r="CR192" i="1" s="1"/>
  <c r="CR86" i="1" a="1"/>
  <c r="CR86" i="1" s="1"/>
  <c r="CR1211" i="1" a="1"/>
  <c r="CR1211" i="1" s="1"/>
  <c r="CR411" i="1" a="1"/>
  <c r="CR411" i="1" s="1"/>
  <c r="CR1077" i="1" a="1"/>
  <c r="CR1077" i="1" s="1"/>
  <c r="CR289" i="1" a="1"/>
  <c r="CR289" i="1" s="1"/>
  <c r="CR502" i="1" a="1"/>
  <c r="CR502" i="1" s="1"/>
  <c r="CR503" i="1" a="1"/>
  <c r="CR503" i="1" s="1"/>
  <c r="CR961" i="1" a="1"/>
  <c r="CR961" i="1" s="1"/>
  <c r="CR399" i="1" a="1"/>
  <c r="CR399" i="1" s="1"/>
  <c r="CR842" i="1" a="1"/>
  <c r="CR842" i="1" s="1"/>
  <c r="CR284" i="1" a="1"/>
  <c r="CR284" i="1" s="1"/>
  <c r="CR1049" i="1" a="1"/>
  <c r="CR1049" i="1" s="1"/>
  <c r="CR35" i="1" a="1"/>
  <c r="CR35" i="1" s="1"/>
  <c r="CR211" i="1" a="1"/>
  <c r="CR211" i="1" s="1"/>
  <c r="CR515" i="1" a="1"/>
  <c r="CR515" i="1" s="1"/>
  <c r="CR840" i="1" a="1"/>
  <c r="CR840" i="1" s="1"/>
  <c r="CR537" i="1" a="1"/>
  <c r="CR537" i="1" s="1"/>
  <c r="CR356" i="1" a="1"/>
  <c r="CR356" i="1" s="1"/>
  <c r="CR981" i="1" a="1"/>
  <c r="CR981" i="1" s="1"/>
  <c r="CR965" i="1" a="1"/>
  <c r="CR965" i="1" s="1"/>
  <c r="CR305" i="1" a="1"/>
  <c r="CR305" i="1" s="1"/>
  <c r="CR290" i="1" a="1"/>
  <c r="CR290" i="1" s="1"/>
  <c r="CR297" i="1" a="1"/>
  <c r="CR297" i="1" s="1"/>
  <c r="CR87" i="1" a="1"/>
  <c r="CR87" i="1" s="1"/>
  <c r="CR184" i="1" a="1"/>
  <c r="CR184" i="1" s="1"/>
  <c r="CR451" i="1" a="1"/>
  <c r="CR451" i="1" s="1"/>
  <c r="CR312" i="1" a="1"/>
  <c r="CR312" i="1" s="1"/>
  <c r="CR465" i="1" a="1"/>
  <c r="CR465" i="1" s="1"/>
  <c r="CR544" i="1" a="1"/>
  <c r="CR544" i="1" s="1"/>
  <c r="CR1107" i="1" a="1"/>
  <c r="CR1107" i="1" s="1"/>
  <c r="CR1222" i="1" a="1"/>
  <c r="CR1222" i="1" s="1"/>
  <c r="CR1088" i="1" a="1"/>
  <c r="CR1088" i="1" s="1"/>
  <c r="CR383" i="1" a="1"/>
  <c r="CR383" i="1" s="1"/>
  <c r="CR636" i="1" a="1"/>
  <c r="CR636" i="1" s="1"/>
  <c r="CR27" i="1" a="1"/>
  <c r="CR27" i="1" s="1"/>
  <c r="CR130" i="1" a="1"/>
  <c r="CR130" i="1" s="1"/>
  <c r="CR814" i="1" a="1"/>
  <c r="CR814" i="1" s="1"/>
  <c r="CR966" i="1" a="1"/>
  <c r="CR966" i="1" s="1"/>
  <c r="CR1204" i="1" a="1"/>
  <c r="CR1204" i="1" s="1"/>
  <c r="CR972" i="1" a="1"/>
  <c r="CR972" i="1" s="1"/>
  <c r="CR867" i="1" a="1"/>
  <c r="CR867" i="1" s="1"/>
  <c r="CR748" i="1" a="1"/>
  <c r="CR748" i="1" s="1"/>
  <c r="CR59" i="1" a="1"/>
  <c r="CR59" i="1" s="1"/>
  <c r="CR727" i="1" a="1"/>
  <c r="CR727" i="1" s="1"/>
  <c r="CR301" i="1" a="1"/>
  <c r="CR301" i="1" s="1"/>
  <c r="CR64" i="1" a="1"/>
  <c r="CR64" i="1" s="1"/>
  <c r="CR1052" i="1" a="1"/>
  <c r="CR1052" i="1" s="1"/>
  <c r="CR1126" i="1" a="1"/>
  <c r="CR1126" i="1" s="1"/>
  <c r="CR316" i="1" a="1"/>
  <c r="CR316" i="1" s="1"/>
  <c r="CR314" i="1" a="1"/>
  <c r="CR314" i="1" s="1"/>
  <c r="CR536" i="1" a="1"/>
  <c r="CR536" i="1" s="1"/>
  <c r="CR53" i="1" a="1"/>
  <c r="CR53" i="1" s="1"/>
  <c r="CR687" i="1" a="1"/>
  <c r="CR687" i="1" s="1"/>
  <c r="CR40" i="1" a="1"/>
  <c r="CR40" i="1" s="1"/>
  <c r="CR322" i="1" a="1"/>
  <c r="CR322" i="1" s="1"/>
  <c r="CR841" i="1" a="1"/>
  <c r="CR841" i="1" s="1"/>
  <c r="CR498" i="1" a="1"/>
  <c r="CR498" i="1" s="1"/>
  <c r="CR1218" i="1" a="1"/>
  <c r="CR1218" i="1" s="1"/>
  <c r="CR397" i="1" a="1"/>
  <c r="CR397" i="1" s="1"/>
  <c r="CR186" i="1" a="1"/>
  <c r="CR186" i="1" s="1"/>
  <c r="CR455" i="1" a="1"/>
  <c r="CR455" i="1" s="1"/>
  <c r="CR929" i="1" a="1"/>
  <c r="CR929" i="1" s="1"/>
  <c r="CR740" i="1" a="1"/>
  <c r="CR740" i="1" s="1"/>
  <c r="CR1219" i="1" a="1"/>
  <c r="CR1219" i="1" s="1"/>
  <c r="CR567" i="1" a="1"/>
  <c r="CR567" i="1" s="1"/>
  <c r="CR357" i="1" a="1"/>
  <c r="CR357" i="1" s="1"/>
  <c r="CR488" i="1" a="1"/>
  <c r="CR488" i="1" s="1"/>
  <c r="CR351" i="1" a="1"/>
  <c r="CR351" i="1" s="1"/>
  <c r="CR568" i="1" a="1"/>
  <c r="CR568" i="1" s="1"/>
  <c r="CR81" i="1" a="1"/>
  <c r="CR81" i="1" s="1"/>
  <c r="CR996" i="1" a="1"/>
  <c r="CR996" i="1" s="1"/>
  <c r="CR247" i="1" a="1"/>
  <c r="CR247" i="1" s="1"/>
  <c r="CR616" i="1" a="1"/>
  <c r="CR616" i="1" s="1"/>
  <c r="CR913" i="1" a="1"/>
  <c r="CR913" i="1" s="1"/>
  <c r="CR1090" i="1" a="1"/>
  <c r="CR1090" i="1" s="1"/>
  <c r="CR892" i="1" a="1"/>
  <c r="CR892" i="1" s="1"/>
  <c r="CR199" i="1" a="1"/>
  <c r="CR199" i="1" s="1"/>
  <c r="CR1216" i="1" a="1"/>
  <c r="CR1216" i="1" s="1"/>
  <c r="CR323" i="1" a="1"/>
  <c r="CR323" i="1" s="1"/>
  <c r="CR1205" i="1" a="1"/>
  <c r="CR1205" i="1" s="1"/>
  <c r="CR457" i="1" a="1"/>
  <c r="CR457" i="1" s="1"/>
  <c r="CR555" i="1" a="1"/>
  <c r="CR555" i="1" s="1"/>
  <c r="CR1125" i="1" a="1"/>
  <c r="CR1125" i="1" s="1"/>
  <c r="CR93" i="1" a="1"/>
  <c r="CR93" i="1" s="1"/>
  <c r="CR200" i="1" a="1"/>
  <c r="CR200" i="1" s="1"/>
  <c r="CR466" i="1" a="1"/>
  <c r="CR466" i="1" s="1"/>
  <c r="CR585" i="1" a="1"/>
  <c r="CR585" i="1" s="1"/>
  <c r="CR43" i="1" a="1"/>
  <c r="CR43" i="1" s="1"/>
  <c r="CR419" i="1" a="1"/>
  <c r="CR419" i="1" s="1"/>
  <c r="CR1156" i="1" a="1"/>
  <c r="CR1156" i="1" s="1"/>
  <c r="CR29" i="1" a="1"/>
  <c r="CR29" i="1" s="1"/>
  <c r="CR1210" i="1" a="1"/>
  <c r="CR1210" i="1" s="1"/>
  <c r="CR495" i="1" a="1"/>
  <c r="CR495" i="1" s="1"/>
  <c r="CR916" i="1" a="1"/>
  <c r="CR916" i="1" s="1"/>
  <c r="CR1050" i="1" a="1"/>
  <c r="CR1050" i="1" s="1"/>
  <c r="CR1203" i="1" a="1"/>
  <c r="CR1203" i="1" s="1"/>
  <c r="CR1221" i="1" a="1"/>
  <c r="CR1221" i="1" s="1"/>
  <c r="CR1206" i="1" a="1"/>
  <c r="CR1206" i="1" s="1"/>
  <c r="CR1012" i="1" a="1"/>
  <c r="CR1012" i="1" s="1"/>
  <c r="CR361" i="1" a="1"/>
  <c r="CR361" i="1" s="1"/>
  <c r="CR1207" i="1" a="1"/>
  <c r="CR1207" i="1" s="1"/>
  <c r="CR201" i="1" a="1"/>
  <c r="CR201" i="1" s="1"/>
  <c r="CR243" i="1" a="1"/>
  <c r="CR243" i="1" s="1"/>
  <c r="CR362" i="1" a="1"/>
  <c r="CR362" i="1" s="1"/>
  <c r="CR930" i="1" a="1"/>
  <c r="CR930" i="1" s="1"/>
  <c r="CR531" i="1" a="1"/>
  <c r="CR531" i="1" s="1"/>
  <c r="CR997" i="1" a="1"/>
  <c r="CR997" i="1" s="1"/>
  <c r="CR83" i="1" a="1"/>
  <c r="CR83" i="1" s="1"/>
  <c r="CR202" i="1" a="1"/>
  <c r="CR202" i="1" s="1"/>
  <c r="CR1004" i="1" a="1"/>
  <c r="CR1004" i="1" s="1"/>
  <c r="CR460" i="1" a="1"/>
  <c r="CR460" i="1" s="1"/>
  <c r="CR214" i="1" a="1"/>
  <c r="CR214" i="1" s="1"/>
  <c r="CR276" i="1" a="1"/>
  <c r="CR276" i="1" s="1"/>
  <c r="CR1016" i="1" a="1"/>
  <c r="CR1016" i="1" s="1"/>
  <c r="CR1061" i="1" a="1"/>
  <c r="CR1061" i="1" s="1"/>
  <c r="CR433" i="1" a="1"/>
  <c r="CR433" i="1" s="1"/>
  <c r="CR349" i="1" a="1"/>
  <c r="CR349" i="1" s="1"/>
  <c r="CR191" i="1" a="1"/>
  <c r="CR191" i="1" s="1"/>
  <c r="CR417" i="1" a="1"/>
  <c r="CR417" i="1" s="1"/>
  <c r="CR871" i="1" a="1"/>
  <c r="CR871" i="1" s="1"/>
  <c r="CR1062" i="1" a="1"/>
  <c r="CR1062" i="1" s="1"/>
  <c r="CR61" i="1" a="1"/>
  <c r="CR61" i="1" s="1"/>
  <c r="CR452" i="1" a="1"/>
  <c r="CR452" i="1" s="1"/>
  <c r="CR830" i="1" a="1"/>
  <c r="CR830" i="1" s="1"/>
  <c r="CR418" i="1" a="1"/>
  <c r="CR418" i="1" s="1"/>
  <c r="CR499" i="1" a="1"/>
  <c r="CR499" i="1" s="1"/>
  <c r="CR227" i="1" a="1"/>
  <c r="CR227" i="1" s="1"/>
  <c r="CR1053" i="1" a="1"/>
  <c r="CR1053" i="1" s="1"/>
  <c r="CR862" i="1" a="1"/>
  <c r="CR862" i="1" s="1"/>
  <c r="CR969" i="1" a="1"/>
  <c r="CR969" i="1" s="1"/>
  <c r="CR240" i="1" a="1"/>
  <c r="CR240" i="1" s="1"/>
  <c r="CR541" i="1" a="1"/>
  <c r="CR541" i="1" s="1"/>
  <c r="CR518" i="1" a="1"/>
  <c r="CR518" i="1" s="1"/>
  <c r="CR384" i="1" a="1"/>
  <c r="CR384" i="1" s="1"/>
  <c r="CR1054" i="1" a="1"/>
  <c r="CR1054" i="1" s="1"/>
  <c r="CR954" i="1" a="1"/>
  <c r="CR954" i="1" s="1"/>
  <c r="CR623" i="1" a="1"/>
  <c r="CR623" i="1" s="1"/>
  <c r="CR728" i="1" a="1"/>
  <c r="CR728" i="1" s="1"/>
  <c r="CR62" i="1" a="1"/>
  <c r="CR62" i="1" s="1"/>
  <c r="CR610" i="1" a="1"/>
  <c r="CR610" i="1" s="1"/>
  <c r="CR470" i="1" a="1"/>
  <c r="CR470" i="1" s="1"/>
  <c r="CR893" i="1" a="1"/>
  <c r="CR893" i="1" s="1"/>
  <c r="CR943" i="1" a="1"/>
  <c r="CR943" i="1" s="1"/>
  <c r="CR747" i="1" a="1"/>
  <c r="CR747" i="1" s="1"/>
  <c r="CR63" i="1" a="1"/>
  <c r="CR63" i="1" s="1"/>
  <c r="CR283" i="1" a="1"/>
  <c r="CR283" i="1" s="1"/>
  <c r="CR640" i="1" a="1"/>
  <c r="CR640" i="1" s="1"/>
  <c r="CR998" i="1" a="1"/>
  <c r="CR998" i="1" s="1"/>
  <c r="CR545" i="1" a="1"/>
  <c r="CR545" i="1" s="1"/>
  <c r="CR906" i="1" a="1"/>
  <c r="CR906" i="1" s="1"/>
  <c r="CR37" i="1" a="1"/>
  <c r="CR37" i="1" s="1"/>
  <c r="CR497" i="1" a="1"/>
  <c r="CR497" i="1" s="1"/>
  <c r="CR448" i="1" a="1"/>
  <c r="CR448" i="1" s="1"/>
  <c r="CR400" i="1" a="1"/>
  <c r="CR400" i="1" s="1"/>
  <c r="CR487" i="1" a="1"/>
  <c r="CR487" i="1" s="1"/>
  <c r="CR741" i="1" a="1"/>
  <c r="CR741" i="1" s="1"/>
  <c r="CR481" i="1" a="1"/>
  <c r="CR481" i="1" s="1"/>
  <c r="CR504" i="1" a="1"/>
  <c r="CR504" i="1" s="1"/>
  <c r="CR908" i="1" a="1"/>
  <c r="CR908" i="1" s="1"/>
  <c r="CR285" i="1" a="1"/>
  <c r="CR285" i="1" s="1"/>
  <c r="CR989" i="1" a="1"/>
  <c r="CR989" i="1" s="1"/>
  <c r="CR821" i="1" a="1"/>
  <c r="CR821" i="1" s="1"/>
  <c r="CR365" i="1" a="1"/>
  <c r="CR365" i="1" s="1"/>
  <c r="CR1063" i="1" a="1"/>
  <c r="CR1063" i="1" s="1"/>
  <c r="CR507" i="1" a="1"/>
  <c r="CR507" i="1" s="1"/>
  <c r="CR492" i="1" a="1"/>
  <c r="CR492" i="1" s="1"/>
  <c r="CR762" i="1" a="1"/>
  <c r="CR762" i="1" s="1"/>
  <c r="CR566" i="1" a="1"/>
  <c r="CR566" i="1" s="1"/>
  <c r="CR385" i="1" a="1"/>
  <c r="CR385" i="1" s="1"/>
  <c r="CR858" i="1" a="1"/>
  <c r="CR858" i="1" s="1"/>
  <c r="CR546" i="1" a="1"/>
  <c r="CR546" i="1" s="1"/>
  <c r="CR967" i="1" a="1"/>
  <c r="CR967" i="1" s="1"/>
  <c r="CR532" i="1" a="1"/>
  <c r="CR532" i="1" s="1"/>
  <c r="CR500" i="1" a="1"/>
  <c r="CR500" i="1" s="1"/>
  <c r="CR663" i="1" a="1"/>
  <c r="CR663" i="1" s="1"/>
  <c r="CR212" i="1" a="1"/>
  <c r="CR212" i="1" s="1"/>
  <c r="CR1160" i="1" a="1"/>
  <c r="CR1160" i="1" s="1"/>
  <c r="CR36" i="1" a="1"/>
  <c r="CR36" i="1" s="1"/>
  <c r="CR960" i="1" a="1"/>
  <c r="CR960" i="1" s="1"/>
  <c r="CR449" i="1" a="1"/>
  <c r="CR449" i="1" s="1"/>
  <c r="CR396" i="1" a="1"/>
  <c r="CR396" i="1" s="1"/>
  <c r="CR471" i="1" a="1"/>
  <c r="CR471" i="1" s="1"/>
  <c r="CR95" i="1" a="1"/>
  <c r="CR95" i="1" s="1"/>
  <c r="CR761" i="1" a="1"/>
  <c r="CR761" i="1" s="1"/>
  <c r="CR88" i="1" a="1"/>
  <c r="CR88" i="1" s="1"/>
  <c r="CR94" i="1" a="1"/>
  <c r="CR94" i="1" s="1"/>
  <c r="CR386" i="1" a="1"/>
  <c r="CR386" i="1" s="1"/>
  <c r="CR968" i="1" a="1"/>
  <c r="CR968" i="1" s="1"/>
  <c r="CR1101" i="1" a="1"/>
  <c r="CR1101" i="1" s="1"/>
  <c r="CR306" i="1" a="1"/>
  <c r="CR306" i="1" s="1"/>
  <c r="CR664" i="1" a="1"/>
  <c r="CR664" i="1" s="1"/>
  <c r="CR593" i="1" a="1"/>
  <c r="CR593" i="1" s="1"/>
  <c r="CR1078" i="1" a="1"/>
  <c r="CR1078" i="1" s="1"/>
  <c r="CR859" i="1" a="1"/>
  <c r="CR859" i="1" s="1"/>
  <c r="CR970" i="1" a="1"/>
  <c r="CR970" i="1" s="1"/>
  <c r="CR482" i="1" a="1"/>
  <c r="CR482" i="1" s="1"/>
  <c r="CR70" i="1" a="1"/>
  <c r="CR70" i="1" s="1"/>
  <c r="CR533" i="1" a="1"/>
  <c r="CR533" i="1" s="1"/>
  <c r="CR665" i="1" a="1"/>
  <c r="CR665" i="1" s="1"/>
  <c r="CR54" i="1" a="1"/>
  <c r="CR54" i="1" s="1"/>
  <c r="CR1008" i="1" a="1"/>
  <c r="CR1008" i="1" s="1"/>
  <c r="CR931" i="1" a="1"/>
  <c r="CR931" i="1" s="1"/>
  <c r="CR96" i="1" a="1"/>
  <c r="CR96" i="1" s="1"/>
  <c r="CR494" i="1" a="1"/>
  <c r="CR494" i="1" s="1"/>
  <c r="CR262" i="1" a="1"/>
  <c r="CR262" i="1" s="1"/>
  <c r="CR1086" i="1" a="1"/>
  <c r="CR1086" i="1" s="1"/>
  <c r="CR1217" i="1" a="1"/>
  <c r="CR1217" i="1" s="1"/>
  <c r="CR742" i="1" a="1"/>
  <c r="CR742" i="1" s="1"/>
  <c r="CR483" i="1" a="1"/>
  <c r="CR483" i="1" s="1"/>
  <c r="CR934" i="1" a="1"/>
  <c r="CR934" i="1" s="1"/>
  <c r="CR1046" i="1" a="1"/>
  <c r="CR1046" i="1" s="1"/>
  <c r="CR363" i="1" a="1"/>
  <c r="CR363" i="1" s="1"/>
  <c r="CR1047" i="1" a="1"/>
  <c r="CR1047" i="1" s="1"/>
  <c r="CR730" i="1" a="1"/>
  <c r="CR730" i="1" s="1"/>
  <c r="CR91" i="1" a="1"/>
  <c r="CR91" i="1" s="1"/>
  <c r="CR197" i="1" a="1"/>
  <c r="CR197" i="1" s="1"/>
  <c r="CR317" i="1" a="1"/>
  <c r="CR317" i="1" s="1"/>
  <c r="CR1208" i="1" a="1"/>
  <c r="CR1208" i="1" s="1"/>
  <c r="CR1003" i="1" a="1"/>
  <c r="CR1003" i="1" s="1"/>
  <c r="CR611" i="1" a="1"/>
  <c r="CR611" i="1" s="1"/>
  <c r="CR412" i="1" a="1"/>
  <c r="CR412" i="1" s="1"/>
  <c r="CR248" i="1" a="1"/>
  <c r="CR248" i="1" s="1"/>
  <c r="CR213" i="1" a="1"/>
  <c r="CR213" i="1" s="1"/>
  <c r="CR173" i="1" a="1"/>
  <c r="CR173" i="1" s="1"/>
  <c r="CR971" i="1" a="1"/>
  <c r="CR971" i="1" s="1"/>
  <c r="CR994" i="1" a="1"/>
  <c r="CR994" i="1" s="1"/>
  <c r="CR413" i="1" a="1"/>
  <c r="CR413" i="1" s="1"/>
  <c r="CR1048" i="1" a="1"/>
  <c r="CR1048" i="1" s="1"/>
  <c r="CR33" i="1" a="1"/>
  <c r="CR33" i="1" s="1"/>
  <c r="CR1064" i="1" a="1"/>
  <c r="CR1064" i="1" s="1"/>
  <c r="CR453" i="1" a="1"/>
  <c r="CR453" i="1" s="1"/>
  <c r="CR771" i="1" a="1"/>
  <c r="CR771" i="1" s="1"/>
  <c r="CR401" i="1" a="1"/>
  <c r="CR401" i="1" s="1"/>
  <c r="CR534" i="1" a="1"/>
  <c r="CR534" i="1" s="1"/>
  <c r="CR484" i="1" a="1"/>
  <c r="CR484" i="1" s="1"/>
  <c r="CR352" i="1" a="1"/>
  <c r="CR352" i="1" s="1"/>
  <c r="CR861" i="1" a="1"/>
  <c r="CR861" i="1" s="1"/>
  <c r="CR206" i="1" a="1"/>
  <c r="CR206" i="1" s="1"/>
  <c r="CR744" i="1" a="1"/>
  <c r="CR744" i="1" s="1"/>
  <c r="CR1196" i="1" a="1"/>
  <c r="CR1196" i="1" s="1"/>
  <c r="CR637" i="1" a="1"/>
  <c r="CR637" i="1" s="1"/>
  <c r="CR542" i="1" a="1"/>
  <c r="CR542" i="1" s="1"/>
  <c r="CR187" i="1" a="1"/>
  <c r="CR187" i="1" s="1"/>
  <c r="CR203" i="1" a="1"/>
  <c r="CR203" i="1" s="1"/>
  <c r="CR493" i="1" a="1"/>
  <c r="CR493" i="1" s="1"/>
  <c r="CR1055" i="1" a="1"/>
  <c r="CR1055" i="1" s="1"/>
  <c r="CR1065" i="1" a="1"/>
  <c r="CR1065" i="1" s="1"/>
  <c r="CR209" i="1" a="1"/>
  <c r="CR209" i="1" s="1"/>
  <c r="CR193" i="1" a="1"/>
  <c r="CR193" i="1" s="1"/>
  <c r="CR55" i="1" a="1"/>
  <c r="CR55" i="1" s="1"/>
  <c r="CR726" i="1" a="1"/>
  <c r="CR726" i="1" s="1"/>
  <c r="CR641" i="1" a="1"/>
  <c r="CR641" i="1" s="1"/>
  <c r="CR526" i="1" a="1"/>
  <c r="CR526" i="1" s="1"/>
  <c r="CR174" i="1" a="1"/>
  <c r="CR174" i="1" s="1"/>
  <c r="CR302" i="1" a="1"/>
  <c r="CR302" i="1" s="1"/>
  <c r="CR34" i="1" a="1"/>
  <c r="CR34" i="1" s="1"/>
  <c r="CR644" i="1" a="1"/>
  <c r="CR644" i="1" s="1"/>
  <c r="CR44" i="1" a="1"/>
  <c r="CR44" i="1" s="1"/>
  <c r="CR1220" i="1" a="1"/>
  <c r="CR1220" i="1" s="1"/>
  <c r="CR194" i="1" a="1"/>
  <c r="CR194" i="1" s="1"/>
  <c r="CR917" i="1" a="1"/>
  <c r="CR917" i="1" s="1"/>
  <c r="CR872" i="1" a="1"/>
  <c r="CR872" i="1" s="1"/>
  <c r="CR188" i="1" a="1"/>
  <c r="CR188" i="1" s="1"/>
  <c r="CR28" i="1" a="1"/>
  <c r="CR28" i="1" s="1"/>
  <c r="CR1089" i="1" a="1"/>
  <c r="CR1089" i="1" s="1"/>
  <c r="CR749" i="1" a="1"/>
  <c r="CR749" i="1" s="1"/>
  <c r="CR89" i="1" a="1"/>
  <c r="CR89" i="1" s="1"/>
  <c r="CR69" i="1" a="1"/>
  <c r="CR69" i="1" s="1"/>
  <c r="CR395" i="1" a="1"/>
  <c r="CR395" i="1" s="1"/>
  <c r="CR450" i="1" a="1"/>
  <c r="CR450" i="1" s="1"/>
  <c r="CR467" i="1" a="1"/>
  <c r="CR467" i="1" s="1"/>
  <c r="CR1066" i="1" a="1"/>
  <c r="CR1066" i="1" s="1"/>
  <c r="CR39" i="1" a="1"/>
  <c r="CR39" i="1" s="1"/>
  <c r="CR601" i="1" a="1"/>
  <c r="CR601" i="1" s="1"/>
  <c r="CR402" i="1" a="1"/>
  <c r="CR402" i="1" s="1"/>
  <c r="CR777" i="1" a="1"/>
  <c r="CR777" i="1" s="1"/>
  <c r="CR710" i="1" a="1"/>
  <c r="CR710" i="1" s="1"/>
  <c r="CR1202" i="1" a="1"/>
  <c r="CR1202" i="1" s="1"/>
  <c r="CR56" i="1" a="1"/>
  <c r="CR56" i="1" s="1"/>
  <c r="CR458" i="1" a="1"/>
  <c r="CR458" i="1" s="1"/>
  <c r="CR643" i="1" a="1"/>
  <c r="CR643" i="1" s="1"/>
  <c r="CR1058" i="1" a="1"/>
  <c r="CR1058" i="1" s="1"/>
  <c r="CR959" i="1" a="1"/>
  <c r="CR959" i="1" s="1"/>
  <c r="CR1212" i="1" a="1"/>
  <c r="CR1212" i="1" s="1"/>
  <c r="CR647" i="1" a="1"/>
  <c r="CR647" i="1" s="1"/>
  <c r="CR204" i="1" a="1"/>
  <c r="CR204" i="1" s="1"/>
  <c r="CR750" i="1" a="1"/>
  <c r="CR750" i="1" s="1"/>
  <c r="CR295" i="1" a="1"/>
  <c r="CR295" i="1" s="1"/>
  <c r="CR612" i="1" a="1"/>
  <c r="CR612" i="1" s="1"/>
  <c r="CR459" i="1" a="1"/>
  <c r="CR459" i="1" s="1"/>
  <c r="CR472" i="1" a="1"/>
  <c r="CR472" i="1" s="1"/>
  <c r="CR485" i="1" a="1"/>
  <c r="CR485" i="1" s="1"/>
  <c r="CR189" i="1" a="1"/>
  <c r="CR189" i="1" s="1"/>
  <c r="CR535" i="1" a="1"/>
  <c r="CR535" i="1" s="1"/>
  <c r="CR50" i="1" a="1"/>
  <c r="CR50" i="1" s="1"/>
  <c r="CR743" i="1" a="1"/>
  <c r="CR743" i="1" s="1"/>
  <c r="CR1209" i="1" a="1"/>
  <c r="CR1209" i="1" s="1"/>
  <c r="CR291" i="1" a="1"/>
  <c r="CR291" i="1" s="1"/>
  <c r="CR539" i="1" a="1"/>
  <c r="CR539" i="1" s="1"/>
  <c r="CR666" i="1" a="1"/>
  <c r="CR666" i="1" s="1"/>
  <c r="CR516" i="1" a="1"/>
  <c r="CR516" i="1" s="1"/>
  <c r="CR205" i="1" a="1"/>
  <c r="CR205" i="1" s="1"/>
  <c r="CR999" i="1" a="1"/>
  <c r="CR999" i="1" s="1"/>
  <c r="CR486" i="1" a="1"/>
  <c r="CR486" i="1" s="1"/>
  <c r="CR839" i="1" a="1"/>
  <c r="CR839" i="1" s="1"/>
  <c r="CR456" i="1" a="1"/>
  <c r="CR456" i="1" s="1"/>
  <c r="CR1084" i="1" a="1"/>
  <c r="CR1084" i="1" s="1"/>
  <c r="CR613" i="1" a="1"/>
  <c r="CR613" i="1" s="1"/>
  <c r="CR298" i="1" a="1"/>
  <c r="CR298" i="1" s="1"/>
  <c r="CR353" i="1" a="1"/>
  <c r="CR353" i="1" s="1"/>
  <c r="CR699" i="1" a="1"/>
  <c r="CR699" i="1" s="1"/>
  <c r="CR90" i="1" a="1"/>
  <c r="CR90" i="1" s="1"/>
  <c r="CR932" i="1" a="1"/>
  <c r="CR932" i="1" s="1"/>
  <c r="CR1056" i="1" a="1"/>
  <c r="CR1056" i="1" s="1"/>
  <c r="CR975" i="1" a="1"/>
  <c r="CR975" i="1" s="1"/>
  <c r="CR1057" i="1" a="1"/>
  <c r="CR1057" i="1" s="1"/>
  <c r="CR315" i="1" a="1"/>
  <c r="CR315" i="1" s="1"/>
  <c r="CR1098" i="1" a="1"/>
  <c r="CR1098" i="1" s="1"/>
  <c r="CR57" i="1" a="1"/>
  <c r="CR57" i="1" s="1"/>
  <c r="CR286" i="1" a="1"/>
  <c r="CR286" i="1" s="1"/>
  <c r="CR403" i="1" a="1"/>
  <c r="CR403" i="1" s="1"/>
  <c r="CR731" i="1" a="1"/>
  <c r="CR731" i="1" s="1"/>
  <c r="CR729" i="1" a="1"/>
  <c r="CR729" i="1" s="1"/>
  <c r="CR605" i="1" a="1"/>
  <c r="CR605" i="1" s="1"/>
  <c r="CR468" i="1" a="1"/>
  <c r="CR468" i="1" s="1"/>
  <c r="CR303" i="1" a="1"/>
  <c r="CR303" i="1" s="1"/>
  <c r="CR860" i="1" a="1"/>
  <c r="CR860" i="1" s="1"/>
  <c r="CR210" i="1" a="1"/>
  <c r="CR210" i="1" s="1"/>
  <c r="CR496" i="1" a="1"/>
  <c r="CR496" i="1" s="1"/>
  <c r="CR320" i="1" a="1"/>
  <c r="CR320" i="1" s="1"/>
  <c r="CR634" i="1" a="1"/>
  <c r="CR634" i="1" s="1"/>
  <c r="CR293" i="1" a="1"/>
  <c r="CR293" i="1" s="1"/>
  <c r="CR307" i="1" a="1"/>
  <c r="CR307" i="1" s="1"/>
  <c r="CR2" i="1" a="1"/>
  <c r="CR2" i="1" s="1"/>
  <c r="CR686" i="1" a="1"/>
  <c r="CR686" i="1" s="1"/>
  <c r="CR505" i="1" a="1"/>
  <c r="CR505" i="1" s="1"/>
  <c r="CR540" i="1" a="1"/>
  <c r="CR540" i="1" s="1"/>
  <c r="CR25" i="1" a="1"/>
  <c r="CR25" i="1" s="1"/>
  <c r="CR30" i="1" a="1"/>
  <c r="CR30" i="1" s="1"/>
  <c r="CR308" i="1" a="1"/>
  <c r="CR308" i="1" s="1"/>
  <c r="CR955" i="1" a="1"/>
  <c r="CR955" i="1" s="1"/>
  <c r="CR642" i="1" a="1"/>
  <c r="CR642" i="1" s="1"/>
  <c r="CR873" i="1" a="1"/>
  <c r="CR873" i="1" s="1"/>
  <c r="CR38" i="1" a="1"/>
  <c r="CR38" i="1" s="1"/>
  <c r="CR1087" i="1" a="1"/>
  <c r="CR1087" i="1" s="1"/>
  <c r="CR287" i="1" a="1"/>
  <c r="CR287" i="1" s="1"/>
  <c r="CR364" i="1" a="1"/>
  <c r="CR364" i="1" s="1"/>
  <c r="CR933" i="1" a="1"/>
  <c r="CR933" i="1" s="1"/>
  <c r="CR831" i="1" a="1"/>
  <c r="CR831" i="1" s="1"/>
  <c r="CR622" i="1" a="1"/>
  <c r="CR622" i="1" s="1"/>
  <c r="CR1079" i="1" a="1"/>
  <c r="CR1079" i="1" s="1"/>
  <c r="CR292" i="1" a="1"/>
  <c r="CR292" i="1" s="1"/>
  <c r="CR945" i="1" a="1"/>
  <c r="CR945" i="1" s="1"/>
  <c r="CU12" i="1" a="1"/>
  <c r="CU12" i="1" s="1"/>
  <c r="CU13" i="1" a="1"/>
  <c r="CU13" i="1" s="1"/>
  <c r="CU14" i="1" a="1"/>
  <c r="CU14" i="1" s="1"/>
  <c r="CU15" i="1" a="1"/>
  <c r="CU15" i="1" s="1"/>
  <c r="CU16" i="1" a="1"/>
  <c r="CU16" i="1" s="1"/>
  <c r="CU17" i="1" a="1"/>
  <c r="CU17" i="1" s="1"/>
  <c r="CU18" i="1" a="1"/>
  <c r="CU18" i="1" s="1"/>
  <c r="CU19" i="1" a="1"/>
  <c r="CU19" i="1" s="1"/>
  <c r="CU20" i="1" a="1"/>
  <c r="CU20" i="1" s="1"/>
  <c r="CU22" i="1" a="1"/>
  <c r="CU22" i="1" s="1"/>
  <c r="CU23" i="1" a="1"/>
  <c r="CU23" i="1" s="1"/>
  <c r="CU46" i="1" a="1"/>
  <c r="CU46" i="1" s="1"/>
  <c r="CU47" i="1" a="1"/>
  <c r="CU47" i="1" s="1"/>
  <c r="CU48" i="1" a="1"/>
  <c r="CU48" i="1" s="1"/>
  <c r="CU49" i="1" a="1"/>
  <c r="CU49" i="1" s="1"/>
  <c r="CU66" i="1" a="1"/>
  <c r="CU66" i="1" s="1"/>
  <c r="CU71" i="1" a="1"/>
  <c r="CU71" i="1" s="1"/>
  <c r="CU72" i="1" a="1"/>
  <c r="CU72" i="1" s="1"/>
  <c r="CU75" i="1" a="1"/>
  <c r="CU75" i="1" s="1"/>
  <c r="CU76" i="1" a="1"/>
  <c r="CU76" i="1" s="1"/>
  <c r="CU77" i="1" a="1"/>
  <c r="CU77" i="1" s="1"/>
  <c r="CU78" i="1" a="1"/>
  <c r="CU78" i="1" s="1"/>
  <c r="CU79" i="1" a="1"/>
  <c r="CU79" i="1" s="1"/>
  <c r="CU80" i="1" a="1"/>
  <c r="CU80" i="1" s="1"/>
  <c r="CU84" i="1" a="1"/>
  <c r="CU84" i="1" s="1"/>
  <c r="CU85" i="1" a="1"/>
  <c r="CU85" i="1" s="1"/>
  <c r="CU97" i="1" a="1"/>
  <c r="CU97" i="1" s="1"/>
  <c r="CU98" i="1" a="1"/>
  <c r="CU98" i="1" s="1"/>
  <c r="CU99" i="1" a="1"/>
  <c r="CU99" i="1" s="1"/>
  <c r="CU100" i="1" a="1"/>
  <c r="CU100" i="1" s="1"/>
  <c r="CU101" i="1" a="1"/>
  <c r="CU101" i="1" s="1"/>
  <c r="CU102" i="1" a="1"/>
  <c r="CU102" i="1" s="1"/>
  <c r="CU103" i="1" a="1"/>
  <c r="CU103" i="1" s="1"/>
  <c r="CU105" i="1" a="1"/>
  <c r="CU105" i="1" s="1"/>
  <c r="CU106" i="1" a="1"/>
  <c r="CU106" i="1" s="1"/>
  <c r="CU107" i="1" a="1"/>
  <c r="CU107" i="1" s="1"/>
  <c r="CU109" i="1" a="1"/>
  <c r="CU109" i="1" s="1"/>
  <c r="CU110" i="1" a="1"/>
  <c r="CU110" i="1" s="1"/>
  <c r="CU111" i="1" a="1"/>
  <c r="CU111" i="1" s="1"/>
  <c r="CU112" i="1" a="1"/>
  <c r="CU112" i="1" s="1"/>
  <c r="CU113" i="1" a="1"/>
  <c r="CU113" i="1" s="1"/>
  <c r="CU114" i="1" a="1"/>
  <c r="CU114" i="1" s="1"/>
  <c r="CU115" i="1" a="1"/>
  <c r="CU115" i="1" s="1"/>
  <c r="CU116" i="1" a="1"/>
  <c r="CU116" i="1" s="1"/>
  <c r="CU117" i="1" a="1"/>
  <c r="CU117" i="1" s="1"/>
  <c r="CU118" i="1" a="1"/>
  <c r="CU118" i="1" s="1"/>
  <c r="CU119" i="1" a="1"/>
  <c r="CU119" i="1" s="1"/>
  <c r="CU120" i="1" a="1"/>
  <c r="CU120" i="1" s="1"/>
  <c r="CU121" i="1" a="1"/>
  <c r="CU121" i="1" s="1"/>
  <c r="CU122" i="1" a="1"/>
  <c r="CU122" i="1" s="1"/>
  <c r="CU123" i="1" a="1"/>
  <c r="CU123" i="1" s="1"/>
  <c r="CU124" i="1" a="1"/>
  <c r="CU124" i="1" s="1"/>
  <c r="CU125" i="1" a="1"/>
  <c r="CU125" i="1" s="1"/>
  <c r="CU126" i="1" a="1"/>
  <c r="CU126" i="1" s="1"/>
  <c r="CU127" i="1" a="1"/>
  <c r="CU127" i="1" s="1"/>
  <c r="CU128" i="1" a="1"/>
  <c r="CU128" i="1" s="1"/>
  <c r="CU129" i="1" a="1"/>
  <c r="CU129" i="1" s="1"/>
  <c r="CU131" i="1" a="1"/>
  <c r="CU131" i="1" s="1"/>
  <c r="CU132" i="1" a="1"/>
  <c r="CU132" i="1" s="1"/>
  <c r="CU133" i="1" a="1"/>
  <c r="CU133" i="1" s="1"/>
  <c r="CU134" i="1" a="1"/>
  <c r="CU134" i="1" s="1"/>
  <c r="CU135" i="1" a="1"/>
  <c r="CU135" i="1" s="1"/>
  <c r="CU136" i="1" a="1"/>
  <c r="CU136" i="1" s="1"/>
  <c r="CU137" i="1" a="1"/>
  <c r="CU137" i="1" s="1"/>
  <c r="CU138" i="1" a="1"/>
  <c r="CU138" i="1" s="1"/>
  <c r="CU139" i="1" a="1"/>
  <c r="CU139" i="1" s="1"/>
  <c r="CU140" i="1" a="1"/>
  <c r="CU140" i="1" s="1"/>
  <c r="CU141" i="1" a="1"/>
  <c r="CU141" i="1" s="1"/>
  <c r="CU142" i="1" a="1"/>
  <c r="CU142" i="1" s="1"/>
  <c r="CU143" i="1" a="1"/>
  <c r="CU143" i="1" s="1"/>
  <c r="CU144" i="1" a="1"/>
  <c r="CU144" i="1" s="1"/>
  <c r="CU145" i="1" a="1"/>
  <c r="CU145" i="1" s="1"/>
  <c r="CU146" i="1" a="1"/>
  <c r="CU146" i="1" s="1"/>
  <c r="CU147" i="1" a="1"/>
  <c r="CU147" i="1" s="1"/>
  <c r="CU148" i="1" a="1"/>
  <c r="CU148" i="1" s="1"/>
  <c r="CU149" i="1" a="1"/>
  <c r="CU149" i="1" s="1"/>
  <c r="CU150" i="1" a="1"/>
  <c r="CU150" i="1" s="1"/>
  <c r="CU152" i="1" a="1"/>
  <c r="CU152" i="1" s="1"/>
  <c r="CU153" i="1" a="1"/>
  <c r="CU153" i="1" s="1"/>
  <c r="CU154" i="1" a="1"/>
  <c r="CU154" i="1" s="1"/>
  <c r="CU155" i="1" a="1"/>
  <c r="CU155" i="1" s="1"/>
  <c r="CU156" i="1" a="1"/>
  <c r="CU156" i="1" s="1"/>
  <c r="CU151" i="1" a="1"/>
  <c r="CU151" i="1" s="1"/>
  <c r="CU157" i="1" a="1"/>
  <c r="CU157" i="1" s="1"/>
  <c r="CU158" i="1" a="1"/>
  <c r="CU158" i="1" s="1"/>
  <c r="CU159" i="1" a="1"/>
  <c r="CU159" i="1" s="1"/>
  <c r="CU160" i="1" a="1"/>
  <c r="CU160" i="1" s="1"/>
  <c r="CU161" i="1" a="1"/>
  <c r="CU161" i="1" s="1"/>
  <c r="CU162" i="1" a="1"/>
  <c r="CU162" i="1" s="1"/>
  <c r="CU163" i="1" a="1"/>
  <c r="CU163" i="1" s="1"/>
  <c r="CU164" i="1" a="1"/>
  <c r="CU164" i="1" s="1"/>
  <c r="CU165" i="1" a="1"/>
  <c r="CU165" i="1" s="1"/>
  <c r="CU166" i="1" a="1"/>
  <c r="CU166" i="1" s="1"/>
  <c r="CU167" i="1" a="1"/>
  <c r="CU167" i="1" s="1"/>
  <c r="CU168" i="1" a="1"/>
  <c r="CU168" i="1" s="1"/>
  <c r="CU169" i="1" a="1"/>
  <c r="CU169" i="1" s="1"/>
  <c r="CU170" i="1" a="1"/>
  <c r="CU170" i="1" s="1"/>
  <c r="CU171" i="1" a="1"/>
  <c r="CU171" i="1" s="1"/>
  <c r="CU172" i="1" a="1"/>
  <c r="CU172" i="1" s="1"/>
  <c r="CU175" i="1" a="1"/>
  <c r="CU175" i="1" s="1"/>
  <c r="CU176" i="1" a="1"/>
  <c r="CU176" i="1" s="1"/>
  <c r="CU177" i="1" a="1"/>
  <c r="CU177" i="1" s="1"/>
  <c r="CU178" i="1" a="1"/>
  <c r="CU178" i="1" s="1"/>
  <c r="CU179" i="1" a="1"/>
  <c r="CU179" i="1" s="1"/>
  <c r="CU180" i="1" a="1"/>
  <c r="CU180" i="1" s="1"/>
  <c r="CU181" i="1" a="1"/>
  <c r="CU181" i="1" s="1"/>
  <c r="CU182" i="1" a="1"/>
  <c r="CU182" i="1" s="1"/>
  <c r="CU183" i="1" a="1"/>
  <c r="CU183" i="1" s="1"/>
  <c r="CU190" i="1" a="1"/>
  <c r="CU190" i="1" s="1"/>
  <c r="CU195" i="1" a="1"/>
  <c r="CU195" i="1" s="1"/>
  <c r="CU196" i="1" a="1"/>
  <c r="CU196" i="1" s="1"/>
  <c r="CU207" i="1" a="1"/>
  <c r="CU207" i="1" s="1"/>
  <c r="CU215" i="1" a="1"/>
  <c r="CU215" i="1" s="1"/>
  <c r="CU216" i="1" a="1"/>
  <c r="CU216" i="1" s="1"/>
  <c r="CU217" i="1" a="1"/>
  <c r="CU217" i="1" s="1"/>
  <c r="CU218" i="1" a="1"/>
  <c r="CU218" i="1" s="1"/>
  <c r="CU219" i="1" a="1"/>
  <c r="CU219" i="1" s="1"/>
  <c r="CU220" i="1" a="1"/>
  <c r="CU220" i="1" s="1"/>
  <c r="CU221" i="1" a="1"/>
  <c r="CU221" i="1" s="1"/>
  <c r="CU223" i="1" a="1"/>
  <c r="CU223" i="1" s="1"/>
  <c r="CU224" i="1" a="1"/>
  <c r="CU224" i="1" s="1"/>
  <c r="CU225" i="1" a="1"/>
  <c r="CU225" i="1" s="1"/>
  <c r="CU226" i="1" a="1"/>
  <c r="CU226" i="1" s="1"/>
  <c r="CU228" i="1" a="1"/>
  <c r="CU228" i="1" s="1"/>
  <c r="CU229" i="1" a="1"/>
  <c r="CU229" i="1" s="1"/>
  <c r="CU230" i="1" a="1"/>
  <c r="CU230" i="1" s="1"/>
  <c r="CU231" i="1" a="1"/>
  <c r="CU231" i="1" s="1"/>
  <c r="CU232" i="1" a="1"/>
  <c r="CU232" i="1" s="1"/>
  <c r="CU233" i="1" a="1"/>
  <c r="CU233" i="1" s="1"/>
  <c r="CU234" i="1" a="1"/>
  <c r="CU234" i="1" s="1"/>
  <c r="CU235" i="1" a="1"/>
  <c r="CU235" i="1" s="1"/>
  <c r="CU236" i="1" a="1"/>
  <c r="CU236" i="1" s="1"/>
  <c r="CU237" i="1" a="1"/>
  <c r="CU237" i="1" s="1"/>
  <c r="CU238" i="1" a="1"/>
  <c r="CU238" i="1" s="1"/>
  <c r="CU239" i="1" a="1"/>
  <c r="CU239" i="1" s="1"/>
  <c r="CU241" i="1" a="1"/>
  <c r="CU241" i="1" s="1"/>
  <c r="CU242" i="1" a="1"/>
  <c r="CU242" i="1" s="1"/>
  <c r="CU244" i="1" a="1"/>
  <c r="CU244" i="1" s="1"/>
  <c r="CU245" i="1" a="1"/>
  <c r="CU245" i="1" s="1"/>
  <c r="CU249" i="1" a="1"/>
  <c r="CU249" i="1" s="1"/>
  <c r="CU250" i="1" a="1"/>
  <c r="CU250" i="1" s="1"/>
  <c r="CU252" i="1" a="1"/>
  <c r="CU252" i="1" s="1"/>
  <c r="CU253" i="1" a="1"/>
  <c r="CU253" i="1" s="1"/>
  <c r="CU254" i="1" a="1"/>
  <c r="CU254" i="1" s="1"/>
  <c r="CU255" i="1" a="1"/>
  <c r="CU255" i="1" s="1"/>
  <c r="CU256" i="1" a="1"/>
  <c r="CU256" i="1" s="1"/>
  <c r="CU257" i="1" a="1"/>
  <c r="CU257" i="1" s="1"/>
  <c r="CU258" i="1" a="1"/>
  <c r="CU258" i="1" s="1"/>
  <c r="CU259" i="1" a="1"/>
  <c r="CU259" i="1" s="1"/>
  <c r="CU260" i="1" a="1"/>
  <c r="CU260" i="1" s="1"/>
  <c r="CU261" i="1" a="1"/>
  <c r="CU261" i="1" s="1"/>
  <c r="CU263" i="1" a="1"/>
  <c r="CU263" i="1" s="1"/>
  <c r="CU264" i="1" a="1"/>
  <c r="CU264" i="1" s="1"/>
  <c r="CU265" i="1" a="1"/>
  <c r="CU265" i="1" s="1"/>
  <c r="CU266" i="1" a="1"/>
  <c r="CU266" i="1" s="1"/>
  <c r="CU267" i="1" a="1"/>
  <c r="CU267" i="1" s="1"/>
  <c r="CU268" i="1" a="1"/>
  <c r="CU268" i="1" s="1"/>
  <c r="CU269" i="1" a="1"/>
  <c r="CU269" i="1" s="1"/>
  <c r="CU270" i="1" a="1"/>
  <c r="CU270" i="1" s="1"/>
  <c r="CU271" i="1" a="1"/>
  <c r="CU271" i="1" s="1"/>
  <c r="CU272" i="1" a="1"/>
  <c r="CU272" i="1" s="1"/>
  <c r="CU273" i="1" a="1"/>
  <c r="CU273" i="1" s="1"/>
  <c r="CU274" i="1" a="1"/>
  <c r="CU274" i="1" s="1"/>
  <c r="CU275" i="1" a="1"/>
  <c r="CU275" i="1" s="1"/>
  <c r="CU277" i="1" a="1"/>
  <c r="CU277" i="1" s="1"/>
  <c r="CU278" i="1" a="1"/>
  <c r="CU278" i="1" s="1"/>
  <c r="CU279" i="1" a="1"/>
  <c r="CU279" i="1" s="1"/>
  <c r="CU280" i="1" a="1"/>
  <c r="CU280" i="1" s="1"/>
  <c r="CU281" i="1" a="1"/>
  <c r="CU281" i="1" s="1"/>
  <c r="CU282" i="1" a="1"/>
  <c r="CU282" i="1" s="1"/>
  <c r="CU296" i="1" a="1"/>
  <c r="CU296" i="1" s="1"/>
  <c r="CU309" i="1" a="1"/>
  <c r="CU309" i="1" s="1"/>
  <c r="CU310" i="1" a="1"/>
  <c r="CU310" i="1" s="1"/>
  <c r="CU311" i="1" a="1"/>
  <c r="CU311" i="1" s="1"/>
  <c r="CU313" i="1" a="1"/>
  <c r="CU313" i="1" s="1"/>
  <c r="CU318" i="1" a="1"/>
  <c r="CU318" i="1" s="1"/>
  <c r="CU319" i="1" a="1"/>
  <c r="CU319" i="1" s="1"/>
  <c r="CU321" i="1" a="1"/>
  <c r="CU321" i="1" s="1"/>
  <c r="CU326" i="1" a="1"/>
  <c r="CU326" i="1" s="1"/>
  <c r="CU327" i="1" a="1"/>
  <c r="CU327" i="1" s="1"/>
  <c r="CU328" i="1" a="1"/>
  <c r="CU328" i="1" s="1"/>
  <c r="CU329" i="1" a="1"/>
  <c r="CU329" i="1" s="1"/>
  <c r="CU330" i="1" a="1"/>
  <c r="CU330" i="1" s="1"/>
  <c r="CU331" i="1" a="1"/>
  <c r="CU331" i="1" s="1"/>
  <c r="CU333" i="1" a="1"/>
  <c r="CU333" i="1" s="1"/>
  <c r="CU332" i="1" a="1"/>
  <c r="CU332" i="1" s="1"/>
  <c r="CU334" i="1" a="1"/>
  <c r="CU334" i="1" s="1"/>
  <c r="CU335" i="1" a="1"/>
  <c r="CU335" i="1" s="1"/>
  <c r="CU336" i="1" a="1"/>
  <c r="CU336" i="1" s="1"/>
  <c r="CU338" i="1" a="1"/>
  <c r="CU338" i="1" s="1"/>
  <c r="CU339" i="1" a="1"/>
  <c r="CU339" i="1" s="1"/>
  <c r="CU340" i="1" a="1"/>
  <c r="CU340" i="1" s="1"/>
  <c r="CU341" i="1" a="1"/>
  <c r="CU341" i="1" s="1"/>
  <c r="CU342" i="1" a="1"/>
  <c r="CU342" i="1" s="1"/>
  <c r="CU343" i="1" a="1"/>
  <c r="CU343" i="1" s="1"/>
  <c r="CU344" i="1" a="1"/>
  <c r="CU344" i="1" s="1"/>
  <c r="CU345" i="1" a="1"/>
  <c r="CU345" i="1" s="1"/>
  <c r="CU346" i="1" a="1"/>
  <c r="CU346" i="1" s="1"/>
  <c r="CU347" i="1" a="1"/>
  <c r="CU347" i="1" s="1"/>
  <c r="CU348" i="1" a="1"/>
  <c r="CU348" i="1" s="1"/>
  <c r="CU354" i="1" a="1"/>
  <c r="CU354" i="1" s="1"/>
  <c r="CU355" i="1" a="1"/>
  <c r="CU355" i="1" s="1"/>
  <c r="CU358" i="1" a="1"/>
  <c r="CU358" i="1" s="1"/>
  <c r="CU366" i="1" a="1"/>
  <c r="CU366" i="1" s="1"/>
  <c r="CU367" i="1" a="1"/>
  <c r="CU367" i="1" s="1"/>
  <c r="CU368" i="1" a="1"/>
  <c r="CU368" i="1" s="1"/>
  <c r="CU369" i="1" a="1"/>
  <c r="CU369" i="1" s="1"/>
  <c r="CU370" i="1" a="1"/>
  <c r="CU370" i="1" s="1"/>
  <c r="CU372" i="1" a="1"/>
  <c r="CU372" i="1" s="1"/>
  <c r="CU373" i="1" a="1"/>
  <c r="CU373" i="1" s="1"/>
  <c r="CU371" i="1" a="1"/>
  <c r="CU371" i="1" s="1"/>
  <c r="CU374" i="1" a="1"/>
  <c r="CU374" i="1" s="1"/>
  <c r="CU375" i="1" a="1"/>
  <c r="CU375" i="1" s="1"/>
  <c r="CU376" i="1" a="1"/>
  <c r="CU376" i="1" s="1"/>
  <c r="CU377" i="1" a="1"/>
  <c r="CU377" i="1" s="1"/>
  <c r="CU378" i="1" a="1"/>
  <c r="CU378" i="1" s="1"/>
  <c r="CU379" i="1" a="1"/>
  <c r="CU379" i="1" s="1"/>
  <c r="CU380" i="1" a="1"/>
  <c r="CU380" i="1" s="1"/>
  <c r="CU381" i="1" a="1"/>
  <c r="CU381" i="1" s="1"/>
  <c r="CU387" i="1" a="1"/>
  <c r="CU387" i="1" s="1"/>
  <c r="CU388" i="1" a="1"/>
  <c r="CU388" i="1" s="1"/>
  <c r="CU389" i="1" a="1"/>
  <c r="CU389" i="1" s="1"/>
  <c r="CU390" i="1" a="1"/>
  <c r="CU390" i="1" s="1"/>
  <c r="CU391" i="1" a="1"/>
  <c r="CU391" i="1" s="1"/>
  <c r="CU392" i="1" a="1"/>
  <c r="CU392" i="1" s="1"/>
  <c r="CU393" i="1" a="1"/>
  <c r="CU393" i="1" s="1"/>
  <c r="CU394" i="1" a="1"/>
  <c r="CU394" i="1" s="1"/>
  <c r="CU404" i="1" a="1"/>
  <c r="CU404" i="1" s="1"/>
  <c r="CU405" i="1" a="1"/>
  <c r="CU405" i="1" s="1"/>
  <c r="CU406" i="1" a="1"/>
  <c r="CU406" i="1" s="1"/>
  <c r="CU407" i="1" a="1"/>
  <c r="CU407" i="1" s="1"/>
  <c r="CU408" i="1" a="1"/>
  <c r="CU408" i="1" s="1"/>
  <c r="CU409" i="1" a="1"/>
  <c r="CU409" i="1" s="1"/>
  <c r="CU410" i="1" a="1"/>
  <c r="CU410" i="1" s="1"/>
  <c r="CU414" i="1" a="1"/>
  <c r="CU414" i="1" s="1"/>
  <c r="CU415" i="1" a="1"/>
  <c r="CU415" i="1" s="1"/>
  <c r="CU416" i="1" a="1"/>
  <c r="CU416" i="1" s="1"/>
  <c r="CU420" i="1" a="1"/>
  <c r="CU420" i="1" s="1"/>
  <c r="CU421" i="1" a="1"/>
  <c r="CU421" i="1" s="1"/>
  <c r="CU422" i="1" a="1"/>
  <c r="CU422" i="1" s="1"/>
  <c r="CU423" i="1" a="1"/>
  <c r="CU423" i="1" s="1"/>
  <c r="CU424" i="1" a="1"/>
  <c r="CU424" i="1" s="1"/>
  <c r="CU425" i="1" a="1"/>
  <c r="CU425" i="1" s="1"/>
  <c r="CU426" i="1" a="1"/>
  <c r="CU426" i="1" s="1"/>
  <c r="CU427" i="1" a="1"/>
  <c r="CU427" i="1" s="1"/>
  <c r="CU428" i="1" a="1"/>
  <c r="CU428" i="1" s="1"/>
  <c r="CU429" i="1" a="1"/>
  <c r="CU429" i="1" s="1"/>
  <c r="CU430" i="1" a="1"/>
  <c r="CU430" i="1" s="1"/>
  <c r="CU434" i="1" a="1"/>
  <c r="CU434" i="1" s="1"/>
  <c r="CU435" i="1" a="1"/>
  <c r="CU435" i="1" s="1"/>
  <c r="CU436" i="1" a="1"/>
  <c r="CU436" i="1" s="1"/>
  <c r="CU437" i="1" a="1"/>
  <c r="CU437" i="1" s="1"/>
  <c r="CU438" i="1" a="1"/>
  <c r="CU438" i="1" s="1"/>
  <c r="CU439" i="1" a="1"/>
  <c r="CU439" i="1" s="1"/>
  <c r="CU440" i="1" a="1"/>
  <c r="CU440" i="1" s="1"/>
  <c r="CU441" i="1" a="1"/>
  <c r="CU441" i="1" s="1"/>
  <c r="CU442" i="1" a="1"/>
  <c r="CU442" i="1" s="1"/>
  <c r="CU443" i="1" a="1"/>
  <c r="CU443" i="1" s="1"/>
  <c r="CU444" i="1" a="1"/>
  <c r="CU444" i="1" s="1"/>
  <c r="CU445" i="1" a="1"/>
  <c r="CU445" i="1" s="1"/>
  <c r="CU446" i="1" a="1"/>
  <c r="CU446" i="1" s="1"/>
  <c r="CU447" i="1" a="1"/>
  <c r="CU447" i="1" s="1"/>
  <c r="CU461" i="1" a="1"/>
  <c r="CU461" i="1" s="1"/>
  <c r="CU462" i="1" a="1"/>
  <c r="CU462" i="1" s="1"/>
  <c r="CU463" i="1" a="1"/>
  <c r="CU463" i="1" s="1"/>
  <c r="CU464" i="1" a="1"/>
  <c r="CU464" i="1" s="1"/>
  <c r="CU474" i="1" a="1"/>
  <c r="CU474" i="1" s="1"/>
  <c r="CU475" i="1" a="1"/>
  <c r="CU475" i="1" s="1"/>
  <c r="CU476" i="1" a="1"/>
  <c r="CU476" i="1" s="1"/>
  <c r="CU477" i="1" a="1"/>
  <c r="CU477" i="1" s="1"/>
  <c r="CU478" i="1" a="1"/>
  <c r="CU478" i="1" s="1"/>
  <c r="CU479" i="1" a="1"/>
  <c r="CU479" i="1" s="1"/>
  <c r="CU480" i="1" a="1"/>
  <c r="CU480" i="1" s="1"/>
  <c r="CU489" i="1" a="1"/>
  <c r="CU489" i="1" s="1"/>
  <c r="CU490" i="1" a="1"/>
  <c r="CU490" i="1" s="1"/>
  <c r="CU491" i="1" a="1"/>
  <c r="CU491" i="1" s="1"/>
  <c r="CU506" i="1" a="1"/>
  <c r="CU506" i="1" s="1"/>
  <c r="CU508" i="1" a="1"/>
  <c r="CU508" i="1" s="1"/>
  <c r="CU509" i="1" a="1"/>
  <c r="CU509" i="1" s="1"/>
  <c r="CU510" i="1" a="1"/>
  <c r="CU510" i="1" s="1"/>
  <c r="CU511" i="1" a="1"/>
  <c r="CU511" i="1" s="1"/>
  <c r="CU512" i="1" a="1"/>
  <c r="CU512" i="1" s="1"/>
  <c r="CU513" i="1" a="1"/>
  <c r="CU513" i="1" s="1"/>
  <c r="CU514" i="1" a="1"/>
  <c r="CU514" i="1" s="1"/>
  <c r="CU520" i="1" a="1"/>
  <c r="CU520" i="1" s="1"/>
  <c r="CU521" i="1" a="1"/>
  <c r="CU521" i="1" s="1"/>
  <c r="CU522" i="1" a="1"/>
  <c r="CU522" i="1" s="1"/>
  <c r="CU523" i="1" a="1"/>
  <c r="CU523" i="1" s="1"/>
  <c r="CU524" i="1" a="1"/>
  <c r="CU524" i="1" s="1"/>
  <c r="CU525" i="1" a="1"/>
  <c r="CU525" i="1" s="1"/>
  <c r="CU527" i="1" a="1"/>
  <c r="CU527" i="1" s="1"/>
  <c r="CU528" i="1" a="1"/>
  <c r="CU528" i="1" s="1"/>
  <c r="CU547" i="1" a="1"/>
  <c r="CU547" i="1" s="1"/>
  <c r="CU548" i="1" a="1"/>
  <c r="CU548" i="1" s="1"/>
  <c r="CU550" i="1" a="1"/>
  <c r="CU550" i="1" s="1"/>
  <c r="CU551" i="1" a="1"/>
  <c r="CU551" i="1" s="1"/>
  <c r="CU552" i="1" a="1"/>
  <c r="CU552" i="1" s="1"/>
  <c r="CU553" i="1" a="1"/>
  <c r="CU553" i="1" s="1"/>
  <c r="CU556" i="1" a="1"/>
  <c r="CU556" i="1" s="1"/>
  <c r="CU557" i="1" a="1"/>
  <c r="CU557" i="1" s="1"/>
  <c r="CU558" i="1" a="1"/>
  <c r="CU558" i="1" s="1"/>
  <c r="CU559" i="1" a="1"/>
  <c r="CU559" i="1" s="1"/>
  <c r="CU560" i="1" a="1"/>
  <c r="CU560" i="1" s="1"/>
  <c r="CU561" i="1" a="1"/>
  <c r="CU561" i="1" s="1"/>
  <c r="CU562" i="1" a="1"/>
  <c r="CU562" i="1" s="1"/>
  <c r="CU563" i="1" a="1"/>
  <c r="CU563" i="1" s="1"/>
  <c r="CU564" i="1" a="1"/>
  <c r="CU564" i="1" s="1"/>
  <c r="CU565" i="1" a="1"/>
  <c r="CU565" i="1" s="1"/>
  <c r="CU570" i="1" a="1"/>
  <c r="CU570" i="1" s="1"/>
  <c r="CU571" i="1" a="1"/>
  <c r="CU571" i="1" s="1"/>
  <c r="CU572" i="1" a="1"/>
  <c r="CU572" i="1" s="1"/>
  <c r="CU573" i="1" a="1"/>
  <c r="CU573" i="1" s="1"/>
  <c r="CU574" i="1" a="1"/>
  <c r="CU574" i="1" s="1"/>
  <c r="CU575" i="1" a="1"/>
  <c r="CU575" i="1" s="1"/>
  <c r="CU576" i="1" a="1"/>
  <c r="CU576" i="1" s="1"/>
  <c r="CU577" i="1" a="1"/>
  <c r="CU577" i="1" s="1"/>
  <c r="CU578" i="1" a="1"/>
  <c r="CU578" i="1" s="1"/>
  <c r="CU579" i="1" a="1"/>
  <c r="CU579" i="1" s="1"/>
  <c r="CU580" i="1" a="1"/>
  <c r="CU580" i="1" s="1"/>
  <c r="CU581" i="1" a="1"/>
  <c r="CU581" i="1" s="1"/>
  <c r="CU582" i="1" a="1"/>
  <c r="CU582" i="1" s="1"/>
  <c r="CU586" i="1" a="1"/>
  <c r="CU586" i="1" s="1"/>
  <c r="CU583" i="1" a="1"/>
  <c r="CU583" i="1" s="1"/>
  <c r="CU584" i="1" a="1"/>
  <c r="CU584" i="1" s="1"/>
  <c r="CU587" i="1" a="1"/>
  <c r="CU587" i="1" s="1"/>
  <c r="CU588" i="1" a="1"/>
  <c r="CU588" i="1" s="1"/>
  <c r="CU589" i="1" a="1"/>
  <c r="CU589" i="1" s="1"/>
  <c r="CU590" i="1" a="1"/>
  <c r="CU590" i="1" s="1"/>
  <c r="CU591" i="1" a="1"/>
  <c r="CU591" i="1" s="1"/>
  <c r="CU592" i="1" a="1"/>
  <c r="CU592" i="1" s="1"/>
  <c r="CU594" i="1" a="1"/>
  <c r="CU594" i="1" s="1"/>
  <c r="CU595" i="1" a="1"/>
  <c r="CU595" i="1" s="1"/>
  <c r="CU596" i="1" a="1"/>
  <c r="CU596" i="1" s="1"/>
  <c r="CU597" i="1" a="1"/>
  <c r="CU597" i="1" s="1"/>
  <c r="CU598" i="1" a="1"/>
  <c r="CU598" i="1" s="1"/>
  <c r="CU599" i="1" a="1"/>
  <c r="CU599" i="1" s="1"/>
  <c r="CU600" i="1" a="1"/>
  <c r="CU600" i="1" s="1"/>
  <c r="CU602" i="1" a="1"/>
  <c r="CU602" i="1" s="1"/>
  <c r="CU603" i="1" a="1"/>
  <c r="CU603" i="1" s="1"/>
  <c r="CU606" i="1" a="1"/>
  <c r="CU606" i="1" s="1"/>
  <c r="CU607" i="1" a="1"/>
  <c r="CU607" i="1" s="1"/>
  <c r="CU608" i="1" a="1"/>
  <c r="CU608" i="1" s="1"/>
  <c r="CU615" i="1" a="1"/>
  <c r="CU615" i="1" s="1"/>
  <c r="CU617" i="1" a="1"/>
  <c r="CU617" i="1" s="1"/>
  <c r="CU619" i="1" a="1"/>
  <c r="CU619" i="1" s="1"/>
  <c r="CU620" i="1" a="1"/>
  <c r="CU620" i="1" s="1"/>
  <c r="CU621" i="1" a="1"/>
  <c r="CU621" i="1" s="1"/>
  <c r="CU624" i="1" a="1"/>
  <c r="CU624" i="1" s="1"/>
  <c r="CU625" i="1" a="1"/>
  <c r="CU625" i="1" s="1"/>
  <c r="CU626" i="1" a="1"/>
  <c r="CU626" i="1" s="1"/>
  <c r="CU627" i="1" a="1"/>
  <c r="CU627" i="1" s="1"/>
  <c r="CU628" i="1" a="1"/>
  <c r="CU628" i="1" s="1"/>
  <c r="CU629" i="1" a="1"/>
  <c r="CU629" i="1" s="1"/>
  <c r="CU630" i="1" a="1"/>
  <c r="CU630" i="1" s="1"/>
  <c r="CU631" i="1" a="1"/>
  <c r="CU631" i="1" s="1"/>
  <c r="CU632" i="1" a="1"/>
  <c r="CU632" i="1" s="1"/>
  <c r="CU633" i="1" a="1"/>
  <c r="CU633" i="1" s="1"/>
  <c r="CU649" i="1" a="1"/>
  <c r="CU649" i="1" s="1"/>
  <c r="CU650" i="1" a="1"/>
  <c r="CU650" i="1" s="1"/>
  <c r="CU651" i="1" a="1"/>
  <c r="CU651" i="1" s="1"/>
  <c r="CU652" i="1" a="1"/>
  <c r="CU652" i="1" s="1"/>
  <c r="CU653" i="1" a="1"/>
  <c r="CU653" i="1" s="1"/>
  <c r="CU655" i="1" a="1"/>
  <c r="CU655" i="1" s="1"/>
  <c r="CU656" i="1" a="1"/>
  <c r="CU656" i="1" s="1"/>
  <c r="CU657" i="1" a="1"/>
  <c r="CU657" i="1" s="1"/>
  <c r="CU658" i="1" a="1"/>
  <c r="CU658" i="1" s="1"/>
  <c r="CU659" i="1" a="1"/>
  <c r="CU659" i="1" s="1"/>
  <c r="CU660" i="1" a="1"/>
  <c r="CU660" i="1" s="1"/>
  <c r="CU661" i="1" a="1"/>
  <c r="CU661" i="1" s="1"/>
  <c r="CU662" i="1" a="1"/>
  <c r="CU662" i="1" s="1"/>
  <c r="CU667" i="1" a="1"/>
  <c r="CU667" i="1" s="1"/>
  <c r="CU668" i="1" a="1"/>
  <c r="CU668" i="1" s="1"/>
  <c r="CU669" i="1" a="1"/>
  <c r="CU669" i="1" s="1"/>
  <c r="CU670" i="1" a="1"/>
  <c r="CU670" i="1" s="1"/>
  <c r="CU671" i="1" a="1"/>
  <c r="CU671" i="1" s="1"/>
  <c r="CU672" i="1" a="1"/>
  <c r="CU672" i="1" s="1"/>
  <c r="CU673" i="1" a="1"/>
  <c r="CU673" i="1" s="1"/>
  <c r="CU674" i="1" a="1"/>
  <c r="CU674" i="1" s="1"/>
  <c r="CU675" i="1" a="1"/>
  <c r="CU675" i="1" s="1"/>
  <c r="CU676" i="1" a="1"/>
  <c r="CU676" i="1" s="1"/>
  <c r="CU677" i="1" a="1"/>
  <c r="CU677" i="1" s="1"/>
  <c r="CU678" i="1" a="1"/>
  <c r="CU678" i="1" s="1"/>
  <c r="CU679" i="1" a="1"/>
  <c r="CU679" i="1" s="1"/>
  <c r="CU680" i="1" a="1"/>
  <c r="CU680" i="1" s="1"/>
  <c r="CU681" i="1" a="1"/>
  <c r="CU681" i="1" s="1"/>
  <c r="CU682" i="1" a="1"/>
  <c r="CU682" i="1" s="1"/>
  <c r="CU683" i="1" a="1"/>
  <c r="CU683" i="1" s="1"/>
  <c r="CU684" i="1" a="1"/>
  <c r="CU684" i="1" s="1"/>
  <c r="CU685" i="1" a="1"/>
  <c r="CU685" i="1" s="1"/>
  <c r="CU688" i="1" a="1"/>
  <c r="CU688" i="1" s="1"/>
  <c r="CU689" i="1" a="1"/>
  <c r="CU689" i="1" s="1"/>
  <c r="CU690" i="1" a="1"/>
  <c r="CU690" i="1" s="1"/>
  <c r="CU691" i="1" a="1"/>
  <c r="CU691" i="1" s="1"/>
  <c r="CU692" i="1" a="1"/>
  <c r="CU692" i="1" s="1"/>
  <c r="CU693" i="1" a="1"/>
  <c r="CU693" i="1" s="1"/>
  <c r="CU694" i="1" a="1"/>
  <c r="CU694" i="1" s="1"/>
  <c r="CU695" i="1" a="1"/>
  <c r="CU695" i="1" s="1"/>
  <c r="CU696" i="1" a="1"/>
  <c r="CU696" i="1" s="1"/>
  <c r="CU697" i="1" a="1"/>
  <c r="CU697" i="1" s="1"/>
  <c r="CU698" i="1" a="1"/>
  <c r="CU698" i="1" s="1"/>
  <c r="CU700" i="1" a="1"/>
  <c r="CU700" i="1" s="1"/>
  <c r="CU701" i="1" a="1"/>
  <c r="CU701" i="1" s="1"/>
  <c r="CU702" i="1" a="1"/>
  <c r="CU702" i="1" s="1"/>
  <c r="CU705" i="1" a="1"/>
  <c r="CU705" i="1" s="1"/>
  <c r="CU706" i="1" a="1"/>
  <c r="CU706" i="1" s="1"/>
  <c r="CU707" i="1" a="1"/>
  <c r="CU707" i="1" s="1"/>
  <c r="CU708" i="1" a="1"/>
  <c r="CU708" i="1" s="1"/>
  <c r="CU709" i="1" a="1"/>
  <c r="CU709" i="1" s="1"/>
  <c r="CU711" i="1" a="1"/>
  <c r="CU711" i="1" s="1"/>
  <c r="CU712" i="1" a="1"/>
  <c r="CU712" i="1" s="1"/>
  <c r="CU713" i="1" a="1"/>
  <c r="CU713" i="1" s="1"/>
  <c r="CU714" i="1" a="1"/>
  <c r="CU714" i="1" s="1"/>
  <c r="CU715" i="1" a="1"/>
  <c r="CU715" i="1" s="1"/>
  <c r="CU716" i="1" a="1"/>
  <c r="CU716" i="1" s="1"/>
  <c r="CU717" i="1" a="1"/>
  <c r="CU717" i="1" s="1"/>
  <c r="CU718" i="1" a="1"/>
  <c r="CU718" i="1" s="1"/>
  <c r="CU719" i="1" a="1"/>
  <c r="CU719" i="1" s="1"/>
  <c r="CU720" i="1" a="1"/>
  <c r="CU720" i="1" s="1"/>
  <c r="CU721" i="1" a="1"/>
  <c r="CU721" i="1" s="1"/>
  <c r="CU722" i="1" a="1"/>
  <c r="CU722" i="1" s="1"/>
  <c r="CU723" i="1" a="1"/>
  <c r="CU723" i="1" s="1"/>
  <c r="CU724" i="1" a="1"/>
  <c r="CU724" i="1" s="1"/>
  <c r="CU725" i="1" a="1"/>
  <c r="CU725" i="1" s="1"/>
  <c r="CU732" i="1" a="1"/>
  <c r="CU732" i="1" s="1"/>
  <c r="CU733" i="1" a="1"/>
  <c r="CU733" i="1" s="1"/>
  <c r="CU734" i="1" a="1"/>
  <c r="CU734" i="1" s="1"/>
  <c r="CU735" i="1" a="1"/>
  <c r="CU735" i="1" s="1"/>
  <c r="CU736" i="1" a="1"/>
  <c r="CU736" i="1" s="1"/>
  <c r="CU737" i="1" a="1"/>
  <c r="CU737" i="1" s="1"/>
  <c r="CU738" i="1" a="1"/>
  <c r="CU738" i="1" s="1"/>
  <c r="CU739" i="1" a="1"/>
  <c r="CU739" i="1" s="1"/>
  <c r="CU745" i="1" a="1"/>
  <c r="CU745" i="1" s="1"/>
  <c r="CU746" i="1" a="1"/>
  <c r="CU746" i="1" s="1"/>
  <c r="CU751" i="1" a="1"/>
  <c r="CU751" i="1" s="1"/>
  <c r="CU752" i="1" a="1"/>
  <c r="CU752" i="1" s="1"/>
  <c r="CU753" i="1" a="1"/>
  <c r="CU753" i="1" s="1"/>
  <c r="CU754" i="1" a="1"/>
  <c r="CU754" i="1" s="1"/>
  <c r="CU755" i="1" a="1"/>
  <c r="CU755" i="1" s="1"/>
  <c r="CU756" i="1" a="1"/>
  <c r="CU756" i="1" s="1"/>
  <c r="CU758" i="1" a="1"/>
  <c r="CU758" i="1" s="1"/>
  <c r="CU759" i="1" a="1"/>
  <c r="CU759" i="1" s="1"/>
  <c r="CU760" i="1" a="1"/>
  <c r="CU760" i="1" s="1"/>
  <c r="CU763" i="1" a="1"/>
  <c r="CU763" i="1" s="1"/>
  <c r="CU764" i="1" a="1"/>
  <c r="CU764" i="1" s="1"/>
  <c r="CU765" i="1" a="1"/>
  <c r="CU765" i="1" s="1"/>
  <c r="CU766" i="1" a="1"/>
  <c r="CU766" i="1" s="1"/>
  <c r="CU767" i="1" a="1"/>
  <c r="CU767" i="1" s="1"/>
  <c r="CU768" i="1" a="1"/>
  <c r="CU768" i="1" s="1"/>
  <c r="CU769" i="1" a="1"/>
  <c r="CU769" i="1" s="1"/>
  <c r="CU770" i="1" a="1"/>
  <c r="CU770" i="1" s="1"/>
  <c r="CU772" i="1" a="1"/>
  <c r="CU772" i="1" s="1"/>
  <c r="CU773" i="1" a="1"/>
  <c r="CU773" i="1" s="1"/>
  <c r="CU774" i="1" a="1"/>
  <c r="CU774" i="1" s="1"/>
  <c r="CU775" i="1" a="1"/>
  <c r="CU775" i="1" s="1"/>
  <c r="CU776" i="1" a="1"/>
  <c r="CU776" i="1" s="1"/>
  <c r="CU778" i="1" a="1"/>
  <c r="CU778" i="1" s="1"/>
  <c r="CU779" i="1" a="1"/>
  <c r="CU779" i="1" s="1"/>
  <c r="CU780" i="1" a="1"/>
  <c r="CU780" i="1" s="1"/>
  <c r="CU781" i="1" a="1"/>
  <c r="CU781" i="1" s="1"/>
  <c r="CU782" i="1" a="1"/>
  <c r="CU782" i="1" s="1"/>
  <c r="CU783" i="1" a="1"/>
  <c r="CU783" i="1" s="1"/>
  <c r="CU784" i="1" a="1"/>
  <c r="CU784" i="1" s="1"/>
  <c r="CU785" i="1" a="1"/>
  <c r="CU785" i="1" s="1"/>
  <c r="CU786" i="1" a="1"/>
  <c r="CU786" i="1" s="1"/>
  <c r="CU787" i="1" a="1"/>
  <c r="CU787" i="1" s="1"/>
  <c r="CU788" i="1" a="1"/>
  <c r="CU788" i="1" s="1"/>
  <c r="CU789" i="1" a="1"/>
  <c r="CU789" i="1" s="1"/>
  <c r="CU790" i="1" a="1"/>
  <c r="CU790" i="1" s="1"/>
  <c r="CU791" i="1" a="1"/>
  <c r="CU791" i="1" s="1"/>
  <c r="CU792" i="1" a="1"/>
  <c r="CU792" i="1" s="1"/>
  <c r="CU793" i="1" a="1"/>
  <c r="CU793" i="1" s="1"/>
  <c r="CU794" i="1" a="1"/>
  <c r="CU794" i="1" s="1"/>
  <c r="CU795" i="1" a="1"/>
  <c r="CU795" i="1" s="1"/>
  <c r="CU796" i="1" a="1"/>
  <c r="CU796" i="1" s="1"/>
  <c r="CU797" i="1" a="1"/>
  <c r="CU797" i="1" s="1"/>
  <c r="CU798" i="1" a="1"/>
  <c r="CU798" i="1" s="1"/>
  <c r="CU799" i="1" a="1"/>
  <c r="CU799" i="1" s="1"/>
  <c r="CU800" i="1" a="1"/>
  <c r="CU800" i="1" s="1"/>
  <c r="CU801" i="1" a="1"/>
  <c r="CU801" i="1" s="1"/>
  <c r="CU802" i="1" a="1"/>
  <c r="CU802" i="1" s="1"/>
  <c r="CU803" i="1" a="1"/>
  <c r="CU803" i="1" s="1"/>
  <c r="CU804" i="1" a="1"/>
  <c r="CU804" i="1" s="1"/>
  <c r="CU805" i="1" a="1"/>
  <c r="CU805" i="1" s="1"/>
  <c r="CU806" i="1" a="1"/>
  <c r="CU806" i="1" s="1"/>
  <c r="CU807" i="1" a="1"/>
  <c r="CU807" i="1" s="1"/>
  <c r="CU808" i="1" a="1"/>
  <c r="CU808" i="1" s="1"/>
  <c r="CU809" i="1" a="1"/>
  <c r="CU809" i="1" s="1"/>
  <c r="CU810" i="1" a="1"/>
  <c r="CU810" i="1" s="1"/>
  <c r="CU811" i="1" a="1"/>
  <c r="CU811" i="1" s="1"/>
  <c r="CU812" i="1" a="1"/>
  <c r="CU812" i="1" s="1"/>
  <c r="CU813" i="1" a="1"/>
  <c r="CU813" i="1" s="1"/>
  <c r="CU815" i="1" a="1"/>
  <c r="CU815" i="1" s="1"/>
  <c r="CU816" i="1" a="1"/>
  <c r="CU816" i="1" s="1"/>
  <c r="CU817" i="1" a="1"/>
  <c r="CU817" i="1" s="1"/>
  <c r="CU818" i="1" a="1"/>
  <c r="CU818" i="1" s="1"/>
  <c r="CU819" i="1" a="1"/>
  <c r="CU819" i="1" s="1"/>
  <c r="CU820" i="1" a="1"/>
  <c r="CU820" i="1" s="1"/>
  <c r="CU823" i="1" a="1"/>
  <c r="CU823" i="1" s="1"/>
  <c r="CU824" i="1" a="1"/>
  <c r="CU824" i="1" s="1"/>
  <c r="CU825" i="1" a="1"/>
  <c r="CU825" i="1" s="1"/>
  <c r="CU826" i="1" a="1"/>
  <c r="CU826" i="1" s="1"/>
  <c r="CU827" i="1" a="1"/>
  <c r="CU827" i="1" s="1"/>
  <c r="CU828" i="1" a="1"/>
  <c r="CU828" i="1" s="1"/>
  <c r="CU829" i="1" a="1"/>
  <c r="CU829" i="1" s="1"/>
  <c r="CU832" i="1" a="1"/>
  <c r="CU832" i="1" s="1"/>
  <c r="CU834" i="1" a="1"/>
  <c r="CU834" i="1" s="1"/>
  <c r="CU835" i="1" a="1"/>
  <c r="CU835" i="1" s="1"/>
  <c r="CU836" i="1" a="1"/>
  <c r="CU836" i="1" s="1"/>
  <c r="CU838" i="1" a="1"/>
  <c r="CU838" i="1" s="1"/>
  <c r="CU843" i="1" a="1"/>
  <c r="CU843" i="1" s="1"/>
  <c r="CU844" i="1" a="1"/>
  <c r="CU844" i="1" s="1"/>
  <c r="CU845" i="1" a="1"/>
  <c r="CU845" i="1" s="1"/>
  <c r="CU846" i="1" a="1"/>
  <c r="CU846" i="1" s="1"/>
  <c r="CU847" i="1" a="1"/>
  <c r="CU847" i="1" s="1"/>
  <c r="CU848" i="1" a="1"/>
  <c r="CU848" i="1" s="1"/>
  <c r="CU849" i="1" a="1"/>
  <c r="CU849" i="1" s="1"/>
  <c r="CU850" i="1" a="1"/>
  <c r="CU850" i="1" s="1"/>
  <c r="CU851" i="1" a="1"/>
  <c r="CU851" i="1" s="1"/>
  <c r="CU852" i="1" a="1"/>
  <c r="CU852" i="1" s="1"/>
  <c r="CU853" i="1" a="1"/>
  <c r="CU853" i="1" s="1"/>
  <c r="CU854" i="1" a="1"/>
  <c r="CU854" i="1" s="1"/>
  <c r="CU855" i="1" a="1"/>
  <c r="CU855" i="1" s="1"/>
  <c r="CU856" i="1" a="1"/>
  <c r="CU856" i="1" s="1"/>
  <c r="CU863" i="1" a="1"/>
  <c r="CU863" i="1" s="1"/>
  <c r="CU864" i="1" a="1"/>
  <c r="CU864" i="1" s="1"/>
  <c r="CU865" i="1" a="1"/>
  <c r="CU865" i="1" s="1"/>
  <c r="CU866" i="1" a="1"/>
  <c r="CU866" i="1" s="1"/>
  <c r="CU868" i="1" a="1"/>
  <c r="CU868" i="1" s="1"/>
  <c r="CU869" i="1" a="1"/>
  <c r="CU869" i="1" s="1"/>
  <c r="CU874" i="1" a="1"/>
  <c r="CU874" i="1" s="1"/>
  <c r="CU875" i="1" a="1"/>
  <c r="CU875" i="1" s="1"/>
  <c r="CU876" i="1" a="1"/>
  <c r="CU876" i="1" s="1"/>
  <c r="CU877" i="1" a="1"/>
  <c r="CU877" i="1" s="1"/>
  <c r="CU878" i="1" a="1"/>
  <c r="CU878" i="1" s="1"/>
  <c r="CU879" i="1" a="1"/>
  <c r="CU879" i="1" s="1"/>
  <c r="CU880" i="1" a="1"/>
  <c r="CU880" i="1" s="1"/>
  <c r="CU881" i="1" a="1"/>
  <c r="CU881" i="1" s="1"/>
  <c r="CU882" i="1" a="1"/>
  <c r="CU882" i="1" s="1"/>
  <c r="CU883" i="1" a="1"/>
  <c r="CU883" i="1" s="1"/>
  <c r="CU884" i="1" a="1"/>
  <c r="CU884" i="1" s="1"/>
  <c r="CU885" i="1" a="1"/>
  <c r="CU885" i="1" s="1"/>
  <c r="CU886" i="1" a="1"/>
  <c r="CU886" i="1" s="1"/>
  <c r="CU887" i="1" a="1"/>
  <c r="CU887" i="1" s="1"/>
  <c r="CU888" i="1" a="1"/>
  <c r="CU888" i="1" s="1"/>
  <c r="CU889" i="1" a="1"/>
  <c r="CU889" i="1" s="1"/>
  <c r="CU890" i="1" a="1"/>
  <c r="CU890" i="1" s="1"/>
  <c r="CU891" i="1" a="1"/>
  <c r="CU891" i="1" s="1"/>
  <c r="CU894" i="1" a="1"/>
  <c r="CU894" i="1" s="1"/>
  <c r="CU895" i="1" a="1"/>
  <c r="CU895" i="1" s="1"/>
  <c r="CU896" i="1" a="1"/>
  <c r="CU896" i="1" s="1"/>
  <c r="CU897" i="1" a="1"/>
  <c r="CU897" i="1" s="1"/>
  <c r="CU898" i="1" a="1"/>
  <c r="CU898" i="1" s="1"/>
  <c r="CU899" i="1" a="1"/>
  <c r="CU899" i="1" s="1"/>
  <c r="CU900" i="1" a="1"/>
  <c r="CU900" i="1" s="1"/>
  <c r="CU901" i="1" a="1"/>
  <c r="CU901" i="1" s="1"/>
  <c r="CU902" i="1" a="1"/>
  <c r="CU902" i="1" s="1"/>
  <c r="CU903" i="1" a="1"/>
  <c r="CU903" i="1" s="1"/>
  <c r="CU904" i="1" a="1"/>
  <c r="CU904" i="1" s="1"/>
  <c r="CU905" i="1" a="1"/>
  <c r="CU905" i="1" s="1"/>
  <c r="CU911" i="1" a="1"/>
  <c r="CU911" i="1" s="1"/>
  <c r="CU912" i="1" a="1"/>
  <c r="CU912" i="1" s="1"/>
  <c r="CU914" i="1" a="1"/>
  <c r="CU914" i="1" s="1"/>
  <c r="CU915" i="1" a="1"/>
  <c r="CU915" i="1" s="1"/>
  <c r="CU918" i="1" a="1"/>
  <c r="CU918" i="1" s="1"/>
  <c r="CU919" i="1" a="1"/>
  <c r="CU919" i="1" s="1"/>
  <c r="CU920" i="1" a="1"/>
  <c r="CU920" i="1" s="1"/>
  <c r="CU921" i="1" a="1"/>
  <c r="CU921" i="1" s="1"/>
  <c r="CU922" i="1" a="1"/>
  <c r="CU922" i="1" s="1"/>
  <c r="CU923" i="1" a="1"/>
  <c r="CU923" i="1" s="1"/>
  <c r="CU924" i="1" a="1"/>
  <c r="CU924" i="1" s="1"/>
  <c r="CU925" i="1" a="1"/>
  <c r="CU925" i="1" s="1"/>
  <c r="CU926" i="1" a="1"/>
  <c r="CU926" i="1" s="1"/>
  <c r="CU935" i="1" a="1"/>
  <c r="CU935" i="1" s="1"/>
  <c r="CU936" i="1" a="1"/>
  <c r="CU936" i="1" s="1"/>
  <c r="CU937" i="1" a="1"/>
  <c r="CU937" i="1" s="1"/>
  <c r="CU938" i="1" a="1"/>
  <c r="CU938" i="1" s="1"/>
  <c r="CU939" i="1" a="1"/>
  <c r="CU939" i="1" s="1"/>
  <c r="CU940" i="1" a="1"/>
  <c r="CU940" i="1" s="1"/>
  <c r="CU941" i="1" a="1"/>
  <c r="CU941" i="1" s="1"/>
  <c r="CU942" i="1" a="1"/>
  <c r="CU942" i="1" s="1"/>
  <c r="CU944" i="1" a="1"/>
  <c r="CU944" i="1" s="1"/>
  <c r="CU946" i="1" a="1"/>
  <c r="CU946" i="1" s="1"/>
  <c r="CU947" i="1" a="1"/>
  <c r="CU947" i="1" s="1"/>
  <c r="CU948" i="1" a="1"/>
  <c r="CU948" i="1" s="1"/>
  <c r="CU949" i="1" a="1"/>
  <c r="CU949" i="1" s="1"/>
  <c r="CU950" i="1" a="1"/>
  <c r="CU950" i="1" s="1"/>
  <c r="CU951" i="1" a="1"/>
  <c r="CU951" i="1" s="1"/>
  <c r="CU956" i="1" a="1"/>
  <c r="CU956" i="1" s="1"/>
  <c r="CU957" i="1" a="1"/>
  <c r="CU957" i="1" s="1"/>
  <c r="CU962" i="1" a="1"/>
  <c r="CU962" i="1" s="1"/>
  <c r="CU973" i="1" a="1"/>
  <c r="CU973" i="1" s="1"/>
  <c r="CU974" i="1" a="1"/>
  <c r="CU974" i="1" s="1"/>
  <c r="CU976" i="1" a="1"/>
  <c r="CU976" i="1" s="1"/>
  <c r="CU977" i="1" a="1"/>
  <c r="CU977" i="1" s="1"/>
  <c r="CU978" i="1" a="1"/>
  <c r="CU978" i="1" s="1"/>
  <c r="CU979" i="1" a="1"/>
  <c r="CU979" i="1" s="1"/>
  <c r="CU980" i="1" a="1"/>
  <c r="CU980" i="1" s="1"/>
  <c r="CU982" i="1" a="1"/>
  <c r="CU982" i="1" s="1"/>
  <c r="CU983" i="1" a="1"/>
  <c r="CU983" i="1" s="1"/>
  <c r="CU984" i="1" a="1"/>
  <c r="CU984" i="1" s="1"/>
  <c r="CU985" i="1" a="1"/>
  <c r="CU985" i="1" s="1"/>
  <c r="CU986" i="1" a="1"/>
  <c r="CU986" i="1" s="1"/>
  <c r="CU987" i="1" a="1"/>
  <c r="CU987" i="1" s="1"/>
  <c r="CU988" i="1" a="1"/>
  <c r="CU988" i="1" s="1"/>
  <c r="CU990" i="1" a="1"/>
  <c r="CU990" i="1" s="1"/>
  <c r="CU991" i="1" a="1"/>
  <c r="CU991" i="1" s="1"/>
  <c r="CU993" i="1" a="1"/>
  <c r="CU993" i="1" s="1"/>
  <c r="CU1001" i="1" a="1"/>
  <c r="CU1001" i="1" s="1"/>
  <c r="CU1002" i="1" a="1"/>
  <c r="CU1002" i="1" s="1"/>
  <c r="CU1005" i="1" a="1"/>
  <c r="CU1005" i="1" s="1"/>
  <c r="CU1006" i="1" a="1"/>
  <c r="CU1006" i="1" s="1"/>
  <c r="CU1007" i="1" a="1"/>
  <c r="CU1007" i="1" s="1"/>
  <c r="CU1009" i="1" a="1"/>
  <c r="CU1009" i="1" s="1"/>
  <c r="CU1010" i="1" a="1"/>
  <c r="CU1010" i="1" s="1"/>
  <c r="CU1011" i="1" a="1"/>
  <c r="CU1011" i="1" s="1"/>
  <c r="CU1013" i="1" a="1"/>
  <c r="CU1013" i="1" s="1"/>
  <c r="CU1014" i="1" a="1"/>
  <c r="CU1014" i="1" s="1"/>
  <c r="CU1015" i="1" a="1"/>
  <c r="CU1015" i="1" s="1"/>
  <c r="CU1017" i="1" a="1"/>
  <c r="CU1017" i="1" s="1"/>
  <c r="CU1018" i="1" a="1"/>
  <c r="CU1018" i="1" s="1"/>
  <c r="CU1019" i="1" a="1"/>
  <c r="CU1019" i="1" s="1"/>
  <c r="CU1020" i="1" a="1"/>
  <c r="CU1020" i="1" s="1"/>
  <c r="CU1021" i="1" a="1"/>
  <c r="CU1021" i="1" s="1"/>
  <c r="CU1022" i="1" a="1"/>
  <c r="CU1022" i="1" s="1"/>
  <c r="CU1023" i="1" a="1"/>
  <c r="CU1023" i="1" s="1"/>
  <c r="CU1024" i="1" a="1"/>
  <c r="CU1024" i="1" s="1"/>
  <c r="CU1025" i="1" a="1"/>
  <c r="CU1025" i="1" s="1"/>
  <c r="CU1026" i="1" a="1"/>
  <c r="CU1026" i="1" s="1"/>
  <c r="CU1027" i="1" a="1"/>
  <c r="CU1027" i="1" s="1"/>
  <c r="CU1028" i="1" a="1"/>
  <c r="CU1028" i="1" s="1"/>
  <c r="CU1029" i="1" a="1"/>
  <c r="CU1029" i="1" s="1"/>
  <c r="CU1030" i="1" a="1"/>
  <c r="CU1030" i="1" s="1"/>
  <c r="CU1031" i="1" a="1"/>
  <c r="CU1031" i="1" s="1"/>
  <c r="CU1032" i="1" a="1"/>
  <c r="CU1032" i="1" s="1"/>
  <c r="CU1033" i="1" a="1"/>
  <c r="CU1033" i="1" s="1"/>
  <c r="CU1034" i="1" a="1"/>
  <c r="CU1034" i="1" s="1"/>
  <c r="CU1035" i="1" a="1"/>
  <c r="CU1035" i="1" s="1"/>
  <c r="CU1036" i="1" a="1"/>
  <c r="CU1036" i="1" s="1"/>
  <c r="CU1037" i="1" a="1"/>
  <c r="CU1037" i="1" s="1"/>
  <c r="CU1038" i="1" a="1"/>
  <c r="CU1038" i="1" s="1"/>
  <c r="CU1039" i="1" a="1"/>
  <c r="CU1039" i="1" s="1"/>
  <c r="CU1040" i="1" a="1"/>
  <c r="CU1040" i="1" s="1"/>
  <c r="CU1041" i="1" a="1"/>
  <c r="CU1041" i="1" s="1"/>
  <c r="CU1042" i="1" a="1"/>
  <c r="CU1042" i="1" s="1"/>
  <c r="CU1043" i="1" a="1"/>
  <c r="CU1043" i="1" s="1"/>
  <c r="CU1044" i="1" a="1"/>
  <c r="CU1044" i="1" s="1"/>
  <c r="CU1068" i="1" a="1"/>
  <c r="CU1068" i="1" s="1"/>
  <c r="CU1069" i="1" a="1"/>
  <c r="CU1069" i="1" s="1"/>
  <c r="CU1071" i="1" a="1"/>
  <c r="CU1071" i="1" s="1"/>
  <c r="CU1072" i="1" a="1"/>
  <c r="CU1072" i="1" s="1"/>
  <c r="CU1073" i="1" a="1"/>
  <c r="CU1073" i="1" s="1"/>
  <c r="CU1074" i="1" a="1"/>
  <c r="CU1074" i="1" s="1"/>
  <c r="CU1075" i="1" a="1"/>
  <c r="CU1075" i="1" s="1"/>
  <c r="CU1076" i="1" a="1"/>
  <c r="CU1076" i="1" s="1"/>
  <c r="CU1080" i="1" a="1"/>
  <c r="CU1080" i="1" s="1"/>
  <c r="CU1081" i="1" a="1"/>
  <c r="CU1081" i="1" s="1"/>
  <c r="CU1091" i="1" a="1"/>
  <c r="CU1091" i="1" s="1"/>
  <c r="CU1092" i="1" a="1"/>
  <c r="CU1092" i="1" s="1"/>
  <c r="CU1093" i="1" a="1"/>
  <c r="CU1093" i="1" s="1"/>
  <c r="CU1094" i="1" a="1"/>
  <c r="CU1094" i="1" s="1"/>
  <c r="CU1095" i="1" a="1"/>
  <c r="CU1095" i="1" s="1"/>
  <c r="CU1096" i="1" a="1"/>
  <c r="CU1096" i="1" s="1"/>
  <c r="CU1099" i="1" a="1"/>
  <c r="CU1099" i="1" s="1"/>
  <c r="CU1100" i="1" a="1"/>
  <c r="CU1100" i="1" s="1"/>
  <c r="CU1102" i="1" a="1"/>
  <c r="CU1102" i="1" s="1"/>
  <c r="CU1103" i="1" a="1"/>
  <c r="CU1103" i="1" s="1"/>
  <c r="CU1104" i="1" a="1"/>
  <c r="CU1104" i="1" s="1"/>
  <c r="CU1105" i="1" a="1"/>
  <c r="CU1105" i="1" s="1"/>
  <c r="CU1106" i="1" a="1"/>
  <c r="CU1106" i="1" s="1"/>
  <c r="CU1108" i="1" a="1"/>
  <c r="CU1108" i="1" s="1"/>
  <c r="CU1109" i="1" a="1"/>
  <c r="CU1109" i="1" s="1"/>
  <c r="CU1110" i="1" a="1"/>
  <c r="CU1110" i="1" s="1"/>
  <c r="CU1111" i="1" a="1"/>
  <c r="CU1111" i="1" s="1"/>
  <c r="CU1112" i="1" a="1"/>
  <c r="CU1112" i="1" s="1"/>
  <c r="CU1113" i="1" a="1"/>
  <c r="CU1113" i="1" s="1"/>
  <c r="CU1114" i="1" a="1"/>
  <c r="CU1114" i="1" s="1"/>
  <c r="CU1115" i="1" a="1"/>
  <c r="CU1115" i="1" s="1"/>
  <c r="CU1116" i="1" a="1"/>
  <c r="CU1116" i="1" s="1"/>
  <c r="CU1117" i="1" a="1"/>
  <c r="CU1117" i="1" s="1"/>
  <c r="CU1118" i="1" a="1"/>
  <c r="CU1118" i="1" s="1"/>
  <c r="CU1119" i="1" a="1"/>
  <c r="CU1119" i="1" s="1"/>
  <c r="CU1120" i="1" a="1"/>
  <c r="CU1120" i="1" s="1"/>
  <c r="CU1121" i="1" a="1"/>
  <c r="CU1121" i="1" s="1"/>
  <c r="CU1122" i="1" a="1"/>
  <c r="CU1122" i="1" s="1"/>
  <c r="CU1123" i="1" a="1"/>
  <c r="CU1123" i="1" s="1"/>
  <c r="CU1127" i="1" a="1"/>
  <c r="CU1127" i="1" s="1"/>
  <c r="CU1128" i="1" a="1"/>
  <c r="CU1128" i="1" s="1"/>
  <c r="CU1129" i="1" a="1"/>
  <c r="CU1129" i="1" s="1"/>
  <c r="CU1130" i="1" a="1"/>
  <c r="CU1130" i="1" s="1"/>
  <c r="CU1131" i="1" a="1"/>
  <c r="CU1131" i="1" s="1"/>
  <c r="CU1132" i="1" a="1"/>
  <c r="CU1132" i="1" s="1"/>
  <c r="CU1133" i="1" a="1"/>
  <c r="CU1133" i="1" s="1"/>
  <c r="CU1134" i="1" a="1"/>
  <c r="CU1134" i="1" s="1"/>
  <c r="CU1135" i="1" a="1"/>
  <c r="CU1135" i="1" s="1"/>
  <c r="CU1136" i="1" a="1"/>
  <c r="CU1136" i="1" s="1"/>
  <c r="CU1137" i="1" a="1"/>
  <c r="CU1137" i="1" s="1"/>
  <c r="CU1138" i="1" a="1"/>
  <c r="CU1138" i="1" s="1"/>
  <c r="CU1139" i="1" a="1"/>
  <c r="CU1139" i="1" s="1"/>
  <c r="CU1140" i="1" a="1"/>
  <c r="CU1140" i="1" s="1"/>
  <c r="CU1141" i="1" a="1"/>
  <c r="CU1141" i="1" s="1"/>
  <c r="CU1142" i="1" a="1"/>
  <c r="CU1142" i="1" s="1"/>
  <c r="CU1143" i="1" a="1"/>
  <c r="CU1143" i="1" s="1"/>
  <c r="CU1144" i="1" a="1"/>
  <c r="CU1144" i="1" s="1"/>
  <c r="CU1145" i="1" a="1"/>
  <c r="CU1145" i="1" s="1"/>
  <c r="CU1146" i="1" a="1"/>
  <c r="CU1146" i="1" s="1"/>
  <c r="CU1147" i="1" a="1"/>
  <c r="CU1147" i="1" s="1"/>
  <c r="CU1148" i="1" a="1"/>
  <c r="CU1148" i="1" s="1"/>
  <c r="CU1149" i="1" a="1"/>
  <c r="CU1149" i="1" s="1"/>
  <c r="CU1150" i="1" a="1"/>
  <c r="CU1150" i="1" s="1"/>
  <c r="CU1151" i="1" a="1"/>
  <c r="CU1151" i="1" s="1"/>
  <c r="CU1152" i="1" a="1"/>
  <c r="CU1152" i="1" s="1"/>
  <c r="CU1153" i="1" a="1"/>
  <c r="CU1153" i="1" s="1"/>
  <c r="CU1154" i="1" a="1"/>
  <c r="CU1154" i="1" s="1"/>
  <c r="CU1155" i="1" a="1"/>
  <c r="CU1155" i="1" s="1"/>
  <c r="CU1157" i="1" a="1"/>
  <c r="CU1157" i="1" s="1"/>
  <c r="CU1158" i="1" a="1"/>
  <c r="CU1158" i="1" s="1"/>
  <c r="CU1159" i="1" a="1"/>
  <c r="CU1159" i="1" s="1"/>
  <c r="CU1161" i="1" a="1"/>
  <c r="CU1161" i="1" s="1"/>
  <c r="CU1162" i="1" a="1"/>
  <c r="CU1162" i="1" s="1"/>
  <c r="CU1163" i="1" a="1"/>
  <c r="CU1163" i="1" s="1"/>
  <c r="CU1164" i="1" a="1"/>
  <c r="CU1164" i="1" s="1"/>
  <c r="CU1165" i="1" a="1"/>
  <c r="CU1165" i="1" s="1"/>
  <c r="CU1166" i="1" a="1"/>
  <c r="CU1166" i="1" s="1"/>
  <c r="CU1167" i="1" a="1"/>
  <c r="CU1167" i="1" s="1"/>
  <c r="CU1168" i="1" a="1"/>
  <c r="CU1168" i="1" s="1"/>
  <c r="CU1169" i="1" a="1"/>
  <c r="CU1169" i="1" s="1"/>
  <c r="CU1170" i="1" a="1"/>
  <c r="CU1170" i="1" s="1"/>
  <c r="CU1171" i="1" a="1"/>
  <c r="CU1171" i="1" s="1"/>
  <c r="CU1172" i="1" a="1"/>
  <c r="CU1172" i="1" s="1"/>
  <c r="CU1173" i="1" a="1"/>
  <c r="CU1173" i="1" s="1"/>
  <c r="CU1174" i="1" a="1"/>
  <c r="CU1174" i="1" s="1"/>
  <c r="CU1175" i="1" a="1"/>
  <c r="CU1175" i="1" s="1"/>
  <c r="CU1176" i="1" a="1"/>
  <c r="CU1176" i="1" s="1"/>
  <c r="CU1177" i="1" a="1"/>
  <c r="CU1177" i="1" s="1"/>
  <c r="CU1178" i="1" a="1"/>
  <c r="CU1178" i="1" s="1"/>
  <c r="CU1179" i="1" a="1"/>
  <c r="CU1179" i="1" s="1"/>
  <c r="CU1180" i="1" a="1"/>
  <c r="CU1180" i="1" s="1"/>
  <c r="CU1181" i="1" a="1"/>
  <c r="CU1181" i="1" s="1"/>
  <c r="CU1182" i="1" a="1"/>
  <c r="CU1182" i="1" s="1"/>
  <c r="CU1183" i="1" a="1"/>
  <c r="CU1183" i="1" s="1"/>
  <c r="CU1184" i="1" a="1"/>
  <c r="CU1184" i="1" s="1"/>
  <c r="CU1185" i="1" a="1"/>
  <c r="CU1185" i="1" s="1"/>
  <c r="CU1186" i="1" a="1"/>
  <c r="CU1186" i="1" s="1"/>
  <c r="CU1187" i="1" a="1"/>
  <c r="CU1187" i="1" s="1"/>
  <c r="CU1188" i="1" a="1"/>
  <c r="CU1188" i="1" s="1"/>
  <c r="CU1189" i="1" a="1"/>
  <c r="CU1189" i="1" s="1"/>
  <c r="CU1190" i="1" a="1"/>
  <c r="CU1190" i="1" s="1"/>
  <c r="CU1191" i="1" a="1"/>
  <c r="CU1191" i="1" s="1"/>
  <c r="CU1192" i="1" a="1"/>
  <c r="CU1192" i="1" s="1"/>
  <c r="CU1193" i="1" a="1"/>
  <c r="CU1193" i="1" s="1"/>
  <c r="CU1194" i="1" a="1"/>
  <c r="CU1194" i="1" s="1"/>
  <c r="CU1197" i="1" a="1"/>
  <c r="CU1197" i="1" s="1"/>
  <c r="CU1198" i="1" a="1"/>
  <c r="CU1198" i="1" s="1"/>
  <c r="CU1199" i="1" a="1"/>
  <c r="CU1199" i="1" s="1"/>
  <c r="CU1200" i="1" a="1"/>
  <c r="CU1200" i="1" s="1"/>
  <c r="CU1201" i="1" a="1"/>
  <c r="CU1201" i="1" s="1"/>
  <c r="CU1083" i="1" a="1"/>
  <c r="CU1083" i="1" s="1"/>
  <c r="CU473" i="1" a="1"/>
  <c r="CU473" i="1" s="1"/>
  <c r="CU1213" i="1" a="1"/>
  <c r="CU1213" i="1" s="1"/>
  <c r="CU41" i="1" a="1"/>
  <c r="CU41" i="1" s="1"/>
  <c r="CU645" i="1" a="1"/>
  <c r="CU645" i="1" s="1"/>
  <c r="CU431" i="1" a="1"/>
  <c r="CU431" i="1" s="1"/>
  <c r="CU995" i="1" a="1"/>
  <c r="CU995" i="1" s="1"/>
  <c r="CU1051" i="1" a="1"/>
  <c r="CU1051" i="1" s="1"/>
  <c r="CU104" i="1" a="1"/>
  <c r="CU104" i="1" s="1"/>
  <c r="CU1067" i="1" a="1"/>
  <c r="CU1067" i="1" s="1"/>
  <c r="CU324" i="1" a="1"/>
  <c r="CU324" i="1" s="1"/>
  <c r="CU614" i="1" a="1"/>
  <c r="CU614" i="1" s="1"/>
  <c r="CU963" i="1" a="1"/>
  <c r="CU963" i="1" s="1"/>
  <c r="CU3" i="1" a="1"/>
  <c r="CU3" i="1" s="1"/>
  <c r="CU31" i="1" a="1"/>
  <c r="CU31" i="1" s="1"/>
  <c r="CU1097" i="1" a="1"/>
  <c r="CU1097" i="1" s="1"/>
  <c r="CU549" i="1" a="1"/>
  <c r="CU549" i="1" s="1"/>
  <c r="CU837" i="1" a="1"/>
  <c r="CU837" i="1" s="1"/>
  <c r="CU609" i="1" a="1"/>
  <c r="CU609" i="1" s="1"/>
  <c r="CU604" i="1" a="1"/>
  <c r="CU604" i="1" s="1"/>
  <c r="CU538" i="1" a="1"/>
  <c r="CU538" i="1" s="1"/>
  <c r="CU648" i="1" a="1"/>
  <c r="CU648" i="1" s="1"/>
  <c r="CU519" i="1" a="1"/>
  <c r="CU519" i="1" s="1"/>
  <c r="CU958" i="1" a="1"/>
  <c r="CU958" i="1" s="1"/>
  <c r="CU82" i="1" a="1"/>
  <c r="CU82" i="1" s="1"/>
  <c r="CU208" i="1" a="1"/>
  <c r="CU208" i="1" s="1"/>
  <c r="CU299" i="1" a="1"/>
  <c r="CU299" i="1" s="1"/>
  <c r="CU909" i="1" a="1"/>
  <c r="CU909" i="1" s="1"/>
  <c r="CU65" i="1" a="1"/>
  <c r="CU65" i="1" s="1"/>
  <c r="CU964" i="1" a="1"/>
  <c r="CU964" i="1" s="1"/>
  <c r="CU1082" i="1" a="1"/>
  <c r="CU1082" i="1" s="1"/>
  <c r="CU992" i="1" a="1"/>
  <c r="CU992" i="1" s="1"/>
  <c r="CU108" i="1" a="1"/>
  <c r="CU108" i="1" s="1"/>
  <c r="CU703" i="1" a="1"/>
  <c r="CU703" i="1" s="1"/>
  <c r="CU907" i="1" a="1"/>
  <c r="CU907" i="1" s="1"/>
  <c r="CU517" i="1" a="1"/>
  <c r="CU517" i="1" s="1"/>
  <c r="CU618" i="1" a="1"/>
  <c r="CU618" i="1" s="1"/>
  <c r="CU51" i="1" a="1"/>
  <c r="CU51" i="1" s="1"/>
  <c r="CU757" i="1" a="1"/>
  <c r="CU757" i="1" s="1"/>
  <c r="CU638" i="1" a="1"/>
  <c r="CU638" i="1" s="1"/>
  <c r="CU92" i="1" a="1"/>
  <c r="CU92" i="1" s="1"/>
  <c r="CU501" i="1" a="1"/>
  <c r="CU501" i="1" s="1"/>
  <c r="CU1070" i="1" a="1"/>
  <c r="CU1070" i="1" s="1"/>
  <c r="CU350" i="1" a="1"/>
  <c r="CU350" i="1" s="1"/>
  <c r="CU530" i="1" a="1"/>
  <c r="CU530" i="1" s="1"/>
  <c r="CU4" i="1" a="1"/>
  <c r="CU4" i="1" s="1"/>
  <c r="CU222" i="1" a="1"/>
  <c r="CU222" i="1" s="1"/>
  <c r="CU359" i="1" a="1"/>
  <c r="CU359" i="1" s="1"/>
  <c r="CU654" i="1" a="1"/>
  <c r="CU654" i="1" s="1"/>
  <c r="CU337" i="1" a="1"/>
  <c r="CU337" i="1" s="1"/>
  <c r="CU952" i="1" a="1"/>
  <c r="CU952" i="1" s="1"/>
  <c r="CU185" i="1" a="1"/>
  <c r="CU185" i="1" s="1"/>
  <c r="CU910" i="1" a="1"/>
  <c r="CU910" i="1" s="1"/>
  <c r="CU833" i="1" a="1"/>
  <c r="CU833" i="1" s="1"/>
  <c r="CU927" i="1" a="1"/>
  <c r="CU927" i="1" s="1"/>
  <c r="CU454" i="1" a="1"/>
  <c r="CU454" i="1" s="1"/>
  <c r="CU822" i="1" a="1"/>
  <c r="CU822" i="1" s="1"/>
  <c r="CU198" i="1" a="1"/>
  <c r="CU198" i="1" s="1"/>
  <c r="CU646" i="1" a="1"/>
  <c r="CU646" i="1" s="1"/>
  <c r="CU543" i="1" a="1"/>
  <c r="CU543" i="1" s="1"/>
  <c r="CU304" i="1" a="1"/>
  <c r="CU304" i="1" s="1"/>
  <c r="CU26" i="1" a="1"/>
  <c r="CU26" i="1" s="1"/>
  <c r="CU398" i="1" a="1"/>
  <c r="CU398" i="1" s="1"/>
  <c r="CU45" i="1" a="1"/>
  <c r="CU45" i="1" s="1"/>
  <c r="CU1215" i="1" a="1"/>
  <c r="CU1215" i="1" s="1"/>
  <c r="CU1195" i="1" a="1"/>
  <c r="CU1195" i="1" s="1"/>
  <c r="CU469" i="1" a="1"/>
  <c r="CU469" i="1" s="1"/>
  <c r="CU246" i="1" a="1"/>
  <c r="CU246" i="1" s="1"/>
  <c r="CU288" i="1" a="1"/>
  <c r="CU288" i="1" s="1"/>
  <c r="CU360" i="1" a="1"/>
  <c r="CU360" i="1" s="1"/>
  <c r="CU73" i="1" a="1"/>
  <c r="CU73" i="1" s="1"/>
  <c r="CU554" i="1" a="1"/>
  <c r="CU554" i="1" s="1"/>
  <c r="CU294" i="1" a="1"/>
  <c r="CU294" i="1" s="1"/>
  <c r="CU1124" i="1" a="1"/>
  <c r="CU1124" i="1" s="1"/>
  <c r="CU953" i="1" a="1"/>
  <c r="CU953" i="1" s="1"/>
  <c r="CU67" i="1" a="1"/>
  <c r="CU67" i="1" s="1"/>
  <c r="CU58" i="1" a="1"/>
  <c r="CU58" i="1" s="1"/>
  <c r="CU870" i="1" a="1"/>
  <c r="CU870" i="1" s="1"/>
  <c r="CU325" i="1" a="1"/>
  <c r="CU325" i="1" s="1"/>
  <c r="CU1059" i="1" a="1"/>
  <c r="CU1059" i="1" s="1"/>
  <c r="CU74" i="1" a="1"/>
  <c r="CU74" i="1" s="1"/>
  <c r="CU569" i="1" a="1"/>
  <c r="CU569" i="1" s="1"/>
  <c r="CU42" i="1" a="1"/>
  <c r="CU42" i="1" s="1"/>
  <c r="CU382" i="1" a="1"/>
  <c r="CU382" i="1" s="1"/>
  <c r="CU32" i="1" a="1"/>
  <c r="CU32" i="1" s="1"/>
  <c r="CU928" i="1" a="1"/>
  <c r="CU928" i="1" s="1"/>
  <c r="CU639" i="1" a="1"/>
  <c r="CU639" i="1" s="1"/>
  <c r="CU857" i="1" a="1"/>
  <c r="CU857" i="1" s="1"/>
  <c r="CU1045" i="1" a="1"/>
  <c r="CU1045" i="1" s="1"/>
  <c r="CU68" i="1" a="1"/>
  <c r="CU68" i="1" s="1"/>
  <c r="CU1085" i="1" a="1"/>
  <c r="CU1085" i="1" s="1"/>
  <c r="CU251" i="1" a="1"/>
  <c r="CU251" i="1" s="1"/>
  <c r="CU529" i="1" a="1"/>
  <c r="CU529" i="1" s="1"/>
  <c r="CU5" i="1" a="1"/>
  <c r="CU5" i="1" s="1"/>
  <c r="CU1000" i="1" a="1"/>
  <c r="CU1000" i="1" s="1"/>
  <c r="CU60" i="1" a="1"/>
  <c r="CU60" i="1" s="1"/>
  <c r="CU1060" i="1" a="1"/>
  <c r="CU1060" i="1" s="1"/>
  <c r="CU432" i="1" a="1"/>
  <c r="CU432" i="1" s="1"/>
  <c r="CU1214" i="1" a="1"/>
  <c r="CU1214" i="1" s="1"/>
  <c r="CU635" i="1" a="1"/>
  <c r="CU635" i="1" s="1"/>
  <c r="CU300" i="1" a="1"/>
  <c r="CU300" i="1" s="1"/>
  <c r="CU52" i="1" a="1"/>
  <c r="CU52" i="1" s="1"/>
  <c r="CU192" i="1" a="1"/>
  <c r="CU192" i="1" s="1"/>
  <c r="CU86" i="1" a="1"/>
  <c r="CU86" i="1" s="1"/>
  <c r="CU1211" i="1" a="1"/>
  <c r="CU1211" i="1" s="1"/>
  <c r="CU411" i="1" a="1"/>
  <c r="CU411" i="1" s="1"/>
  <c r="CU1077" i="1" a="1"/>
  <c r="CU1077" i="1" s="1"/>
  <c r="CU289" i="1" a="1"/>
  <c r="CU289" i="1" s="1"/>
  <c r="CU502" i="1" a="1"/>
  <c r="CU502" i="1" s="1"/>
  <c r="CU503" i="1" a="1"/>
  <c r="CU503" i="1" s="1"/>
  <c r="CU961" i="1" a="1"/>
  <c r="CU961" i="1" s="1"/>
  <c r="CU399" i="1" a="1"/>
  <c r="CU399" i="1" s="1"/>
  <c r="CU842" i="1" a="1"/>
  <c r="CU842" i="1" s="1"/>
  <c r="CU284" i="1" a="1"/>
  <c r="CU284" i="1" s="1"/>
  <c r="CU1049" i="1" a="1"/>
  <c r="CU1049" i="1" s="1"/>
  <c r="CU35" i="1" a="1"/>
  <c r="CU35" i="1" s="1"/>
  <c r="CU211" i="1" a="1"/>
  <c r="CU211" i="1" s="1"/>
  <c r="CU515" i="1" a="1"/>
  <c r="CU515" i="1" s="1"/>
  <c r="CU840" i="1" a="1"/>
  <c r="CU840" i="1" s="1"/>
  <c r="CU537" i="1" a="1"/>
  <c r="CU537" i="1" s="1"/>
  <c r="CU356" i="1" a="1"/>
  <c r="CU356" i="1" s="1"/>
  <c r="CU981" i="1" a="1"/>
  <c r="CU981" i="1" s="1"/>
  <c r="CU965" i="1" a="1"/>
  <c r="CU965" i="1" s="1"/>
  <c r="CU305" i="1" a="1"/>
  <c r="CU305" i="1" s="1"/>
  <c r="CU290" i="1" a="1"/>
  <c r="CU290" i="1" s="1"/>
  <c r="CU297" i="1" a="1"/>
  <c r="CU297" i="1" s="1"/>
  <c r="CU87" i="1" a="1"/>
  <c r="CU87" i="1" s="1"/>
  <c r="CU184" i="1" a="1"/>
  <c r="CU184" i="1" s="1"/>
  <c r="CU451" i="1" a="1"/>
  <c r="CU451" i="1" s="1"/>
  <c r="CU312" i="1" a="1"/>
  <c r="CU312" i="1" s="1"/>
  <c r="CU465" i="1" a="1"/>
  <c r="CU465" i="1" s="1"/>
  <c r="CU544" i="1" a="1"/>
  <c r="CU544" i="1" s="1"/>
  <c r="CU1107" i="1" a="1"/>
  <c r="CU1107" i="1" s="1"/>
  <c r="CU1222" i="1" a="1"/>
  <c r="CU1222" i="1" s="1"/>
  <c r="CU1088" i="1" a="1"/>
  <c r="CU1088" i="1" s="1"/>
  <c r="CU383" i="1" a="1"/>
  <c r="CU383" i="1" s="1"/>
  <c r="CU636" i="1" a="1"/>
  <c r="CU636" i="1" s="1"/>
  <c r="CU27" i="1" a="1"/>
  <c r="CU27" i="1" s="1"/>
  <c r="CU130" i="1" a="1"/>
  <c r="CU130" i="1" s="1"/>
  <c r="CU814" i="1" a="1"/>
  <c r="CU814" i="1" s="1"/>
  <c r="CU966" i="1" a="1"/>
  <c r="CU966" i="1" s="1"/>
  <c r="CU1204" i="1" a="1"/>
  <c r="CU1204" i="1" s="1"/>
  <c r="CU972" i="1" a="1"/>
  <c r="CU972" i="1" s="1"/>
  <c r="CU867" i="1" a="1"/>
  <c r="CU867" i="1" s="1"/>
  <c r="CU748" i="1" a="1"/>
  <c r="CU748" i="1" s="1"/>
  <c r="CU59" i="1" a="1"/>
  <c r="CU59" i="1" s="1"/>
  <c r="CU727" i="1" a="1"/>
  <c r="CU727" i="1" s="1"/>
  <c r="CU301" i="1" a="1"/>
  <c r="CU301" i="1" s="1"/>
  <c r="CU64" i="1" a="1"/>
  <c r="CU64" i="1" s="1"/>
  <c r="CU1052" i="1" a="1"/>
  <c r="CU1052" i="1" s="1"/>
  <c r="CU1126" i="1" a="1"/>
  <c r="CU1126" i="1" s="1"/>
  <c r="CU316" i="1" a="1"/>
  <c r="CU316" i="1" s="1"/>
  <c r="CU314" i="1" a="1"/>
  <c r="CU314" i="1" s="1"/>
  <c r="CU536" i="1" a="1"/>
  <c r="CU536" i="1" s="1"/>
  <c r="CU53" i="1" a="1"/>
  <c r="CU53" i="1" s="1"/>
  <c r="CU687" i="1" a="1"/>
  <c r="CU687" i="1" s="1"/>
  <c r="CU40" i="1" a="1"/>
  <c r="CU40" i="1" s="1"/>
  <c r="CU322" i="1" a="1"/>
  <c r="CU322" i="1" s="1"/>
  <c r="CU841" i="1" a="1"/>
  <c r="CU841" i="1" s="1"/>
  <c r="CU498" i="1" a="1"/>
  <c r="CU498" i="1" s="1"/>
  <c r="CU1218" i="1" a="1"/>
  <c r="CU1218" i="1" s="1"/>
  <c r="CU397" i="1" a="1"/>
  <c r="CU397" i="1" s="1"/>
  <c r="CU24" i="1" a="1"/>
  <c r="CU24" i="1" s="1"/>
  <c r="CU186" i="1" a="1"/>
  <c r="CU186" i="1" s="1"/>
  <c r="CU455" i="1" a="1"/>
  <c r="CU455" i="1" s="1"/>
  <c r="CU929" i="1" a="1"/>
  <c r="CU929" i="1" s="1"/>
  <c r="CU740" i="1" a="1"/>
  <c r="CU740" i="1" s="1"/>
  <c r="CU1219" i="1" a="1"/>
  <c r="CU1219" i="1" s="1"/>
  <c r="CU567" i="1" a="1"/>
  <c r="CU567" i="1" s="1"/>
  <c r="CU357" i="1" a="1"/>
  <c r="CU357" i="1" s="1"/>
  <c r="CU488" i="1" a="1"/>
  <c r="CU488" i="1" s="1"/>
  <c r="CU351" i="1" a="1"/>
  <c r="CU351" i="1" s="1"/>
  <c r="CU568" i="1" a="1"/>
  <c r="CU568" i="1" s="1"/>
  <c r="CU81" i="1" a="1"/>
  <c r="CU81" i="1" s="1"/>
  <c r="CU996" i="1" a="1"/>
  <c r="CU996" i="1" s="1"/>
  <c r="CU247" i="1" a="1"/>
  <c r="CU247" i="1" s="1"/>
  <c r="CU616" i="1" a="1"/>
  <c r="CU616" i="1" s="1"/>
  <c r="CU913" i="1" a="1"/>
  <c r="CU913" i="1" s="1"/>
  <c r="CU1090" i="1" a="1"/>
  <c r="CU1090" i="1" s="1"/>
  <c r="CU892" i="1" a="1"/>
  <c r="CU892" i="1" s="1"/>
  <c r="CU6" i="1" a="1"/>
  <c r="CU6" i="1" s="1"/>
  <c r="CU199" i="1" a="1"/>
  <c r="CU199" i="1" s="1"/>
  <c r="CU1216" i="1" a="1"/>
  <c r="CU1216" i="1" s="1"/>
  <c r="CU323" i="1" a="1"/>
  <c r="CU323" i="1" s="1"/>
  <c r="CU1205" i="1" a="1"/>
  <c r="CU1205" i="1" s="1"/>
  <c r="CU457" i="1" a="1"/>
  <c r="CU457" i="1" s="1"/>
  <c r="CU555" i="1" a="1"/>
  <c r="CU555" i="1" s="1"/>
  <c r="CU1125" i="1" a="1"/>
  <c r="CU1125" i="1" s="1"/>
  <c r="CU93" i="1" a="1"/>
  <c r="CU93" i="1" s="1"/>
  <c r="CU200" i="1" a="1"/>
  <c r="CU200" i="1" s="1"/>
  <c r="CU466" i="1" a="1"/>
  <c r="CU466" i="1" s="1"/>
  <c r="CU585" i="1" a="1"/>
  <c r="CU585" i="1" s="1"/>
  <c r="CU43" i="1" a="1"/>
  <c r="CU43" i="1" s="1"/>
  <c r="CU419" i="1" a="1"/>
  <c r="CU419" i="1" s="1"/>
  <c r="CU1156" i="1" a="1"/>
  <c r="CU1156" i="1" s="1"/>
  <c r="CU29" i="1" a="1"/>
  <c r="CU29" i="1" s="1"/>
  <c r="CU1210" i="1" a="1"/>
  <c r="CU1210" i="1" s="1"/>
  <c r="CU495" i="1" a="1"/>
  <c r="CU495" i="1" s="1"/>
  <c r="CU916" i="1" a="1"/>
  <c r="CU916" i="1" s="1"/>
  <c r="CU1050" i="1" a="1"/>
  <c r="CU1050" i="1" s="1"/>
  <c r="CU1203" i="1" a="1"/>
  <c r="CU1203" i="1" s="1"/>
  <c r="CU1221" i="1" a="1"/>
  <c r="CU1221" i="1" s="1"/>
  <c r="CU1206" i="1" a="1"/>
  <c r="CU1206" i="1" s="1"/>
  <c r="CU1012" i="1" a="1"/>
  <c r="CU1012" i="1" s="1"/>
  <c r="CU361" i="1" a="1"/>
  <c r="CU361" i="1" s="1"/>
  <c r="CU1207" i="1" a="1"/>
  <c r="CU1207" i="1" s="1"/>
  <c r="CU201" i="1" a="1"/>
  <c r="CU201" i="1" s="1"/>
  <c r="CU243" i="1" a="1"/>
  <c r="CU243" i="1" s="1"/>
  <c r="CU362" i="1" a="1"/>
  <c r="CU362" i="1" s="1"/>
  <c r="CU930" i="1" a="1"/>
  <c r="CU930" i="1" s="1"/>
  <c r="CU531" i="1" a="1"/>
  <c r="CU531" i="1" s="1"/>
  <c r="CU997" i="1" a="1"/>
  <c r="CU997" i="1" s="1"/>
  <c r="CU83" i="1" a="1"/>
  <c r="CU83" i="1" s="1"/>
  <c r="CU202" i="1" a="1"/>
  <c r="CU202" i="1" s="1"/>
  <c r="CU1004" i="1" a="1"/>
  <c r="CU1004" i="1" s="1"/>
  <c r="CU460" i="1" a="1"/>
  <c r="CU460" i="1" s="1"/>
  <c r="CU214" i="1" a="1"/>
  <c r="CU214" i="1" s="1"/>
  <c r="CU276" i="1" a="1"/>
  <c r="CU276" i="1" s="1"/>
  <c r="CU1016" i="1" a="1"/>
  <c r="CU1016" i="1" s="1"/>
  <c r="CU1061" i="1" a="1"/>
  <c r="CU1061" i="1" s="1"/>
  <c r="CU433" i="1" a="1"/>
  <c r="CU433" i="1" s="1"/>
  <c r="CU349" i="1" a="1"/>
  <c r="CU349" i="1" s="1"/>
  <c r="CU191" i="1" a="1"/>
  <c r="CU191" i="1" s="1"/>
  <c r="CU417" i="1" a="1"/>
  <c r="CU417" i="1" s="1"/>
  <c r="CU871" i="1" a="1"/>
  <c r="CU871" i="1" s="1"/>
  <c r="CU1062" i="1" a="1"/>
  <c r="CU1062" i="1" s="1"/>
  <c r="CU61" i="1" a="1"/>
  <c r="CU61" i="1" s="1"/>
  <c r="CU452" i="1" a="1"/>
  <c r="CU452" i="1" s="1"/>
  <c r="CU830" i="1" a="1"/>
  <c r="CU830" i="1" s="1"/>
  <c r="CU418" i="1" a="1"/>
  <c r="CU418" i="1" s="1"/>
  <c r="CU499" i="1" a="1"/>
  <c r="CU499" i="1" s="1"/>
  <c r="CU227" i="1" a="1"/>
  <c r="CU227" i="1" s="1"/>
  <c r="CU1053" i="1" a="1"/>
  <c r="CU1053" i="1" s="1"/>
  <c r="CU862" i="1" a="1"/>
  <c r="CU862" i="1" s="1"/>
  <c r="CU969" i="1" a="1"/>
  <c r="CU969" i="1" s="1"/>
  <c r="CU240" i="1" a="1"/>
  <c r="CU240" i="1" s="1"/>
  <c r="CU541" i="1" a="1"/>
  <c r="CU541" i="1" s="1"/>
  <c r="CU518" i="1" a="1"/>
  <c r="CU518" i="1" s="1"/>
  <c r="CU384" i="1" a="1"/>
  <c r="CU384" i="1" s="1"/>
  <c r="CU1054" i="1" a="1"/>
  <c r="CU1054" i="1" s="1"/>
  <c r="CU954" i="1" a="1"/>
  <c r="CU954" i="1" s="1"/>
  <c r="CU623" i="1" a="1"/>
  <c r="CU623" i="1" s="1"/>
  <c r="CU728" i="1" a="1"/>
  <c r="CU728" i="1" s="1"/>
  <c r="CU62" i="1" a="1"/>
  <c r="CU62" i="1" s="1"/>
  <c r="CU610" i="1" a="1"/>
  <c r="CU610" i="1" s="1"/>
  <c r="CU470" i="1" a="1"/>
  <c r="CU470" i="1" s="1"/>
  <c r="CU893" i="1" a="1"/>
  <c r="CU893" i="1" s="1"/>
  <c r="CU943" i="1" a="1"/>
  <c r="CU943" i="1" s="1"/>
  <c r="CU747" i="1" a="1"/>
  <c r="CU747" i="1" s="1"/>
  <c r="CU63" i="1" a="1"/>
  <c r="CU63" i="1" s="1"/>
  <c r="CU283" i="1" a="1"/>
  <c r="CU283" i="1" s="1"/>
  <c r="CU640" i="1" a="1"/>
  <c r="CU640" i="1" s="1"/>
  <c r="CU998" i="1" a="1"/>
  <c r="CU998" i="1" s="1"/>
  <c r="CU545" i="1" a="1"/>
  <c r="CU545" i="1" s="1"/>
  <c r="CU906" i="1" a="1"/>
  <c r="CU906" i="1" s="1"/>
  <c r="CU37" i="1" a="1"/>
  <c r="CU37" i="1" s="1"/>
  <c r="CU497" i="1" a="1"/>
  <c r="CU497" i="1" s="1"/>
  <c r="CU448" i="1" a="1"/>
  <c r="CU448" i="1" s="1"/>
  <c r="CU400" i="1" a="1"/>
  <c r="CU400" i="1" s="1"/>
  <c r="CU487" i="1" a="1"/>
  <c r="CU487" i="1" s="1"/>
  <c r="CU741" i="1" a="1"/>
  <c r="CU741" i="1" s="1"/>
  <c r="CU481" i="1" a="1"/>
  <c r="CU481" i="1" s="1"/>
  <c r="CU504" i="1" a="1"/>
  <c r="CU504" i="1" s="1"/>
  <c r="CU908" i="1" a="1"/>
  <c r="CU908" i="1" s="1"/>
  <c r="CU285" i="1" a="1"/>
  <c r="CU285" i="1" s="1"/>
  <c r="CU989" i="1" a="1"/>
  <c r="CU989" i="1" s="1"/>
  <c r="CU821" i="1" a="1"/>
  <c r="CU821" i="1" s="1"/>
  <c r="CU365" i="1" a="1"/>
  <c r="CU365" i="1" s="1"/>
  <c r="CU1063" i="1" a="1"/>
  <c r="CU1063" i="1" s="1"/>
  <c r="CU507" i="1" a="1"/>
  <c r="CU507" i="1" s="1"/>
  <c r="CU492" i="1" a="1"/>
  <c r="CU492" i="1" s="1"/>
  <c r="CU762" i="1" a="1"/>
  <c r="CU762" i="1" s="1"/>
  <c r="CU566" i="1" a="1"/>
  <c r="CU566" i="1" s="1"/>
  <c r="CU385" i="1" a="1"/>
  <c r="CU385" i="1" s="1"/>
  <c r="CU858" i="1" a="1"/>
  <c r="CU858" i="1" s="1"/>
  <c r="CU546" i="1" a="1"/>
  <c r="CU546" i="1" s="1"/>
  <c r="CU967" i="1" a="1"/>
  <c r="CU967" i="1" s="1"/>
  <c r="CU532" i="1" a="1"/>
  <c r="CU532" i="1" s="1"/>
  <c r="CU500" i="1" a="1"/>
  <c r="CU500" i="1" s="1"/>
  <c r="CU663" i="1" a="1"/>
  <c r="CU663" i="1" s="1"/>
  <c r="CU212" i="1" a="1"/>
  <c r="CU212" i="1" s="1"/>
  <c r="CU1160" i="1" a="1"/>
  <c r="CU1160" i="1" s="1"/>
  <c r="CU36" i="1" a="1"/>
  <c r="CU36" i="1" s="1"/>
  <c r="CU960" i="1" a="1"/>
  <c r="CU960" i="1" s="1"/>
  <c r="CU449" i="1" a="1"/>
  <c r="CU449" i="1" s="1"/>
  <c r="CU396" i="1" a="1"/>
  <c r="CU396" i="1" s="1"/>
  <c r="CU471" i="1" a="1"/>
  <c r="CU471" i="1" s="1"/>
  <c r="CU95" i="1" a="1"/>
  <c r="CU95" i="1" s="1"/>
  <c r="CU761" i="1" a="1"/>
  <c r="CU761" i="1" s="1"/>
  <c r="CU88" i="1" a="1"/>
  <c r="CU88" i="1" s="1"/>
  <c r="CU94" i="1" a="1"/>
  <c r="CU94" i="1" s="1"/>
  <c r="CU386" i="1" a="1"/>
  <c r="CU386" i="1" s="1"/>
  <c r="CU968" i="1" a="1"/>
  <c r="CU968" i="1" s="1"/>
  <c r="CU1101" i="1" a="1"/>
  <c r="CU1101" i="1" s="1"/>
  <c r="CU306" i="1" a="1"/>
  <c r="CU306" i="1" s="1"/>
  <c r="CU664" i="1" a="1"/>
  <c r="CU664" i="1" s="1"/>
  <c r="CU593" i="1" a="1"/>
  <c r="CU593" i="1" s="1"/>
  <c r="CU1078" i="1" a="1"/>
  <c r="CU1078" i="1" s="1"/>
  <c r="CU859" i="1" a="1"/>
  <c r="CU859" i="1" s="1"/>
  <c r="CU970" i="1" a="1"/>
  <c r="CU970" i="1" s="1"/>
  <c r="CU482" i="1" a="1"/>
  <c r="CU482" i="1" s="1"/>
  <c r="CU70" i="1" a="1"/>
  <c r="CU70" i="1" s="1"/>
  <c r="CU533" i="1" a="1"/>
  <c r="CU533" i="1" s="1"/>
  <c r="CU665" i="1" a="1"/>
  <c r="CU665" i="1" s="1"/>
  <c r="CU54" i="1" a="1"/>
  <c r="CU54" i="1" s="1"/>
  <c r="CU1008" i="1" a="1"/>
  <c r="CU1008" i="1" s="1"/>
  <c r="CU931" i="1" a="1"/>
  <c r="CU931" i="1" s="1"/>
  <c r="CU96" i="1" a="1"/>
  <c r="CU96" i="1" s="1"/>
  <c r="CU494" i="1" a="1"/>
  <c r="CU494" i="1" s="1"/>
  <c r="CU262" i="1" a="1"/>
  <c r="CU262" i="1" s="1"/>
  <c r="CU1086" i="1" a="1"/>
  <c r="CU1086" i="1" s="1"/>
  <c r="CU1217" i="1" a="1"/>
  <c r="CU1217" i="1" s="1"/>
  <c r="CU742" i="1" a="1"/>
  <c r="CU742" i="1" s="1"/>
  <c r="CU483" i="1" a="1"/>
  <c r="CU483" i="1" s="1"/>
  <c r="CU934" i="1" a="1"/>
  <c r="CU934" i="1" s="1"/>
  <c r="CU1046" i="1" a="1"/>
  <c r="CU1046" i="1" s="1"/>
  <c r="CU363" i="1" a="1"/>
  <c r="CU363" i="1" s="1"/>
  <c r="CU1047" i="1" a="1"/>
  <c r="CU1047" i="1" s="1"/>
  <c r="CU730" i="1" a="1"/>
  <c r="CU730" i="1" s="1"/>
  <c r="CU91" i="1" a="1"/>
  <c r="CU91" i="1" s="1"/>
  <c r="CU197" i="1" a="1"/>
  <c r="CU197" i="1" s="1"/>
  <c r="CU317" i="1" a="1"/>
  <c r="CU317" i="1" s="1"/>
  <c r="CU1208" i="1" a="1"/>
  <c r="CU1208" i="1" s="1"/>
  <c r="CU1003" i="1" a="1"/>
  <c r="CU1003" i="1" s="1"/>
  <c r="CU611" i="1" a="1"/>
  <c r="CU611" i="1" s="1"/>
  <c r="CU412" i="1" a="1"/>
  <c r="CU412" i="1" s="1"/>
  <c r="CU248" i="1" a="1"/>
  <c r="CU248" i="1" s="1"/>
  <c r="CU213" i="1" a="1"/>
  <c r="CU213" i="1" s="1"/>
  <c r="CU173" i="1" a="1"/>
  <c r="CU173" i="1" s="1"/>
  <c r="CU971" i="1" a="1"/>
  <c r="CU971" i="1" s="1"/>
  <c r="CU994" i="1" a="1"/>
  <c r="CU994" i="1" s="1"/>
  <c r="CU413" i="1" a="1"/>
  <c r="CU413" i="1" s="1"/>
  <c r="CU1048" i="1" a="1"/>
  <c r="CU1048" i="1" s="1"/>
  <c r="CU33" i="1" a="1"/>
  <c r="CU33" i="1" s="1"/>
  <c r="CU1064" i="1" a="1"/>
  <c r="CU1064" i="1" s="1"/>
  <c r="CU453" i="1" a="1"/>
  <c r="CU453" i="1" s="1"/>
  <c r="CU771" i="1" a="1"/>
  <c r="CU771" i="1" s="1"/>
  <c r="CU401" i="1" a="1"/>
  <c r="CU401" i="1" s="1"/>
  <c r="CU534" i="1" a="1"/>
  <c r="CU534" i="1" s="1"/>
  <c r="CU484" i="1" a="1"/>
  <c r="CU484" i="1" s="1"/>
  <c r="CU352" i="1" a="1"/>
  <c r="CU352" i="1" s="1"/>
  <c r="CU861" i="1" a="1"/>
  <c r="CU861" i="1" s="1"/>
  <c r="CU7" i="1" a="1"/>
  <c r="CU7" i="1" s="1"/>
  <c r="CU206" i="1" a="1"/>
  <c r="CU206" i="1" s="1"/>
  <c r="CU744" i="1" a="1"/>
  <c r="CU744" i="1" s="1"/>
  <c r="CU1196" i="1" a="1"/>
  <c r="CU1196" i="1" s="1"/>
  <c r="CU637" i="1" a="1"/>
  <c r="CU637" i="1" s="1"/>
  <c r="CU542" i="1" a="1"/>
  <c r="CU542" i="1" s="1"/>
  <c r="CU187" i="1" a="1"/>
  <c r="CU187" i="1" s="1"/>
  <c r="CU203" i="1" a="1"/>
  <c r="CU203" i="1" s="1"/>
  <c r="CU493" i="1" a="1"/>
  <c r="CU493" i="1" s="1"/>
  <c r="CU1055" i="1" a="1"/>
  <c r="CU1055" i="1" s="1"/>
  <c r="CU1065" i="1" a="1"/>
  <c r="CU1065" i="1" s="1"/>
  <c r="CU209" i="1" a="1"/>
  <c r="CU209" i="1" s="1"/>
  <c r="CU193" i="1" a="1"/>
  <c r="CU193" i="1" s="1"/>
  <c r="CU55" i="1" a="1"/>
  <c r="CU55" i="1" s="1"/>
  <c r="CU726" i="1" a="1"/>
  <c r="CU726" i="1" s="1"/>
  <c r="CU641" i="1" a="1"/>
  <c r="CU641" i="1" s="1"/>
  <c r="CU526" i="1" a="1"/>
  <c r="CU526" i="1" s="1"/>
  <c r="CU174" i="1" a="1"/>
  <c r="CU174" i="1" s="1"/>
  <c r="CU302" i="1" a="1"/>
  <c r="CU302" i="1" s="1"/>
  <c r="CU34" i="1" a="1"/>
  <c r="CU34" i="1" s="1"/>
  <c r="CU644" i="1" a="1"/>
  <c r="CU644" i="1" s="1"/>
  <c r="CU44" i="1" a="1"/>
  <c r="CU44" i="1" s="1"/>
  <c r="CU1220" i="1" a="1"/>
  <c r="CU1220" i="1" s="1"/>
  <c r="CU194" i="1" a="1"/>
  <c r="CU194" i="1" s="1"/>
  <c r="CU917" i="1" a="1"/>
  <c r="CU917" i="1" s="1"/>
  <c r="CU872" i="1" a="1"/>
  <c r="CU872" i="1" s="1"/>
  <c r="CU188" i="1" a="1"/>
  <c r="CU188" i="1" s="1"/>
  <c r="CU28" i="1" a="1"/>
  <c r="CU28" i="1" s="1"/>
  <c r="CU1089" i="1" a="1"/>
  <c r="CU1089" i="1" s="1"/>
  <c r="CU749" i="1" a="1"/>
  <c r="CU749" i="1" s="1"/>
  <c r="CU89" i="1" a="1"/>
  <c r="CU89" i="1" s="1"/>
  <c r="CU69" i="1" a="1"/>
  <c r="CU69" i="1" s="1"/>
  <c r="CU395" i="1" a="1"/>
  <c r="CU395" i="1" s="1"/>
  <c r="CU450" i="1" a="1"/>
  <c r="CU450" i="1" s="1"/>
  <c r="CU467" i="1" a="1"/>
  <c r="CU467" i="1" s="1"/>
  <c r="CU1066" i="1" a="1"/>
  <c r="CU1066" i="1" s="1"/>
  <c r="CU39" i="1" a="1"/>
  <c r="CU39" i="1" s="1"/>
  <c r="CU601" i="1" a="1"/>
  <c r="CU601" i="1" s="1"/>
  <c r="CU402" i="1" a="1"/>
  <c r="CU402" i="1" s="1"/>
  <c r="CU777" i="1" a="1"/>
  <c r="CU777" i="1" s="1"/>
  <c r="CU710" i="1" a="1"/>
  <c r="CU710" i="1" s="1"/>
  <c r="CU1202" i="1" a="1"/>
  <c r="CU1202" i="1" s="1"/>
  <c r="CU56" i="1" a="1"/>
  <c r="CU56" i="1" s="1"/>
  <c r="CU458" i="1" a="1"/>
  <c r="CU458" i="1" s="1"/>
  <c r="CU643" i="1" a="1"/>
  <c r="CU643" i="1" s="1"/>
  <c r="CU1058" i="1" a="1"/>
  <c r="CU1058" i="1" s="1"/>
  <c r="CU959" i="1" a="1"/>
  <c r="CU959" i="1" s="1"/>
  <c r="CU1212" i="1" a="1"/>
  <c r="CU1212" i="1" s="1"/>
  <c r="CU647" i="1" a="1"/>
  <c r="CU647" i="1" s="1"/>
  <c r="CU204" i="1" a="1"/>
  <c r="CU204" i="1" s="1"/>
  <c r="CU750" i="1" a="1"/>
  <c r="CU750" i="1" s="1"/>
  <c r="CU295" i="1" a="1"/>
  <c r="CU295" i="1" s="1"/>
  <c r="CU612" i="1" a="1"/>
  <c r="CU612" i="1" s="1"/>
  <c r="CU459" i="1" a="1"/>
  <c r="CU459" i="1" s="1"/>
  <c r="CU472" i="1" a="1"/>
  <c r="CU472" i="1" s="1"/>
  <c r="CU485" i="1" a="1"/>
  <c r="CU485" i="1" s="1"/>
  <c r="CU189" i="1" a="1"/>
  <c r="CU189" i="1" s="1"/>
  <c r="CU535" i="1" a="1"/>
  <c r="CU535" i="1" s="1"/>
  <c r="CU50" i="1" a="1"/>
  <c r="CU50" i="1" s="1"/>
  <c r="CU743" i="1" a="1"/>
  <c r="CU743" i="1" s="1"/>
  <c r="CU1209" i="1" a="1"/>
  <c r="CU1209" i="1" s="1"/>
  <c r="CU291" i="1" a="1"/>
  <c r="CU291" i="1" s="1"/>
  <c r="CU539" i="1" a="1"/>
  <c r="CU539" i="1" s="1"/>
  <c r="CU666" i="1" a="1"/>
  <c r="CU666" i="1" s="1"/>
  <c r="CU516" i="1" a="1"/>
  <c r="CU516" i="1" s="1"/>
  <c r="CU205" i="1" a="1"/>
  <c r="CU205" i="1" s="1"/>
  <c r="CU999" i="1" a="1"/>
  <c r="CU999" i="1" s="1"/>
  <c r="CU486" i="1" a="1"/>
  <c r="CU486" i="1" s="1"/>
  <c r="CU839" i="1" a="1"/>
  <c r="CU839" i="1" s="1"/>
  <c r="CU456" i="1" a="1"/>
  <c r="CU456" i="1" s="1"/>
  <c r="CU1084" i="1" a="1"/>
  <c r="CU1084" i="1" s="1"/>
  <c r="CU613" i="1" a="1"/>
  <c r="CU613" i="1" s="1"/>
  <c r="CU298" i="1" a="1"/>
  <c r="CU298" i="1" s="1"/>
  <c r="CU353" i="1" a="1"/>
  <c r="CU353" i="1" s="1"/>
  <c r="CU699" i="1" a="1"/>
  <c r="CU699" i="1" s="1"/>
  <c r="CU90" i="1" a="1"/>
  <c r="CU90" i="1" s="1"/>
  <c r="CU932" i="1" a="1"/>
  <c r="CU932" i="1" s="1"/>
  <c r="CU1056" i="1" a="1"/>
  <c r="CU1056" i="1" s="1"/>
  <c r="CU975" i="1" a="1"/>
  <c r="CU975" i="1" s="1"/>
  <c r="CU8" i="1" a="1"/>
  <c r="CU8" i="1" s="1"/>
  <c r="CU1057" i="1" a="1"/>
  <c r="CU1057" i="1" s="1"/>
  <c r="CU315" i="1" a="1"/>
  <c r="CU315" i="1" s="1"/>
  <c r="CU1098" i="1" a="1"/>
  <c r="CU1098" i="1" s="1"/>
  <c r="CU57" i="1" a="1"/>
  <c r="CU57" i="1" s="1"/>
  <c r="CU286" i="1" a="1"/>
  <c r="CU286" i="1" s="1"/>
  <c r="CU403" i="1" a="1"/>
  <c r="CU403" i="1" s="1"/>
  <c r="CU731" i="1" a="1"/>
  <c r="CU731" i="1" s="1"/>
  <c r="CU729" i="1" a="1"/>
  <c r="CU729" i="1" s="1"/>
  <c r="CU605" i="1" a="1"/>
  <c r="CU605" i="1" s="1"/>
  <c r="CU21" i="1" a="1"/>
  <c r="CU21" i="1" s="1"/>
  <c r="CU468" i="1" a="1"/>
  <c r="CU468" i="1" s="1"/>
  <c r="CU303" i="1" a="1"/>
  <c r="CU303" i="1" s="1"/>
  <c r="CU860" i="1" a="1"/>
  <c r="CU860" i="1" s="1"/>
  <c r="CU9" i="1" a="1"/>
  <c r="CU9" i="1" s="1"/>
  <c r="CU210" i="1" a="1"/>
  <c r="CU210" i="1" s="1"/>
  <c r="CU496" i="1" a="1"/>
  <c r="CU496" i="1" s="1"/>
  <c r="CU320" i="1" a="1"/>
  <c r="CU320" i="1" s="1"/>
  <c r="CU634" i="1" a="1"/>
  <c r="CU634" i="1" s="1"/>
  <c r="CU293" i="1" a="1"/>
  <c r="CU293" i="1" s="1"/>
  <c r="CU307" i="1" a="1"/>
  <c r="CU307" i="1" s="1"/>
  <c r="CU2" i="1" a="1"/>
  <c r="CU2" i="1" s="1"/>
  <c r="CU686" i="1" a="1"/>
  <c r="CU686" i="1" s="1"/>
  <c r="CU505" i="1" a="1"/>
  <c r="CU505" i="1" s="1"/>
  <c r="CU540" i="1" a="1"/>
  <c r="CU540" i="1" s="1"/>
  <c r="CU25" i="1" a="1"/>
  <c r="CU25" i="1" s="1"/>
  <c r="CU30" i="1" a="1"/>
  <c r="CU30" i="1" s="1"/>
  <c r="CU308" i="1" a="1"/>
  <c r="CU308" i="1" s="1"/>
  <c r="CU955" i="1" a="1"/>
  <c r="CU955" i="1" s="1"/>
  <c r="CU642" i="1" a="1"/>
  <c r="CU642" i="1" s="1"/>
  <c r="CU873" i="1" a="1"/>
  <c r="CU873" i="1" s="1"/>
  <c r="CU38" i="1" a="1"/>
  <c r="CU38" i="1" s="1"/>
  <c r="CU1087" i="1" a="1"/>
  <c r="CU1087" i="1" s="1"/>
  <c r="CU287" i="1" a="1"/>
  <c r="CU287" i="1" s="1"/>
  <c r="CU364" i="1" a="1"/>
  <c r="CU364" i="1" s="1"/>
  <c r="CU933" i="1" a="1"/>
  <c r="CU933" i="1" s="1"/>
  <c r="CU831" i="1" a="1"/>
  <c r="CU831" i="1" s="1"/>
  <c r="CU622" i="1" a="1"/>
  <c r="CU622" i="1" s="1"/>
  <c r="CU1079" i="1" a="1"/>
  <c r="CU1079" i="1" s="1"/>
  <c r="CU292" i="1" a="1"/>
  <c r="CU292" i="1" s="1"/>
  <c r="CU945" i="1" a="1"/>
  <c r="CU945" i="1" s="1"/>
  <c r="CU11" i="1" a="1"/>
  <c r="CU11" i="1" s="1"/>
  <c r="CU10" i="1" a="1"/>
  <c r="CU10" i="1" s="1"/>
  <c r="CV10" i="1" s="1" a="1"/>
  <c r="CV10" i="1" s="1"/>
  <c r="CW11" i="1" a="1"/>
  <c r="CW11" i="1" s="1"/>
  <c r="CW12" i="1" a="1"/>
  <c r="CW12" i="1" s="1"/>
  <c r="CW13" i="1" a="1"/>
  <c r="CW13" i="1" s="1"/>
  <c r="CW14" i="1" a="1"/>
  <c r="CW14" i="1" s="1"/>
  <c r="CW15" i="1" a="1"/>
  <c r="CW15" i="1" s="1"/>
  <c r="CW16" i="1" a="1"/>
  <c r="CW16" i="1" s="1"/>
  <c r="CW17" i="1" a="1"/>
  <c r="CW17" i="1" s="1"/>
  <c r="CW18" i="1" a="1"/>
  <c r="CW18" i="1" s="1"/>
  <c r="CW19" i="1" a="1"/>
  <c r="CW19" i="1" s="1"/>
  <c r="CW20" i="1" a="1"/>
  <c r="CW20" i="1" s="1"/>
  <c r="CW22" i="1" a="1"/>
  <c r="CW22" i="1" s="1"/>
  <c r="CW23" i="1" a="1"/>
  <c r="CW23" i="1" s="1"/>
  <c r="CW46" i="1" a="1"/>
  <c r="CW46" i="1" s="1"/>
  <c r="CW47" i="1" a="1"/>
  <c r="CW47" i="1" s="1"/>
  <c r="CW48" i="1" a="1"/>
  <c r="CW48" i="1" s="1"/>
  <c r="CW49" i="1" a="1"/>
  <c r="CW49" i="1" s="1"/>
  <c r="CW66" i="1" a="1"/>
  <c r="CW66" i="1" s="1"/>
  <c r="CW71" i="1" a="1"/>
  <c r="CW71" i="1" s="1"/>
  <c r="CW72" i="1" a="1"/>
  <c r="CW72" i="1" s="1"/>
  <c r="CW75" i="1" a="1"/>
  <c r="CW75" i="1" s="1"/>
  <c r="CW76" i="1" a="1"/>
  <c r="CW76" i="1" s="1"/>
  <c r="CW77" i="1" a="1"/>
  <c r="CW77" i="1" s="1"/>
  <c r="CW78" i="1" a="1"/>
  <c r="CW78" i="1" s="1"/>
  <c r="CW79" i="1" a="1"/>
  <c r="CW79" i="1" s="1"/>
  <c r="CW80" i="1" a="1"/>
  <c r="CW80" i="1" s="1"/>
  <c r="CW84" i="1" a="1"/>
  <c r="CW84" i="1" s="1"/>
  <c r="CW85" i="1" a="1"/>
  <c r="CW85" i="1" s="1"/>
  <c r="CW97" i="1" a="1"/>
  <c r="CW97" i="1" s="1"/>
  <c r="CW98" i="1" a="1"/>
  <c r="CW98" i="1" s="1"/>
  <c r="CW99" i="1" a="1"/>
  <c r="CW99" i="1" s="1"/>
  <c r="CW100" i="1" a="1"/>
  <c r="CW100" i="1" s="1"/>
  <c r="CW101" i="1" a="1"/>
  <c r="CW101" i="1" s="1"/>
  <c r="CW102" i="1" a="1"/>
  <c r="CW102" i="1" s="1"/>
  <c r="CW103" i="1" a="1"/>
  <c r="CW103" i="1" s="1"/>
  <c r="CW105" i="1" a="1"/>
  <c r="CW105" i="1" s="1"/>
  <c r="CW106" i="1" a="1"/>
  <c r="CW106" i="1" s="1"/>
  <c r="CW107" i="1" a="1"/>
  <c r="CW107" i="1" s="1"/>
  <c r="CW109" i="1" a="1"/>
  <c r="CW109" i="1" s="1"/>
  <c r="CW110" i="1" a="1"/>
  <c r="CW110" i="1" s="1"/>
  <c r="CW111" i="1" a="1"/>
  <c r="CW111" i="1" s="1"/>
  <c r="CW112" i="1" a="1"/>
  <c r="CW112" i="1" s="1"/>
  <c r="CW113" i="1" a="1"/>
  <c r="CW113" i="1" s="1"/>
  <c r="CW114" i="1" a="1"/>
  <c r="CW114" i="1" s="1"/>
  <c r="CW115" i="1" a="1"/>
  <c r="CW115" i="1" s="1"/>
  <c r="CW116" i="1" a="1"/>
  <c r="CW116" i="1" s="1"/>
  <c r="CW117" i="1" a="1"/>
  <c r="CW117" i="1" s="1"/>
  <c r="CW118" i="1" a="1"/>
  <c r="CW118" i="1" s="1"/>
  <c r="CW119" i="1" a="1"/>
  <c r="CW119" i="1" s="1"/>
  <c r="CW120" i="1" a="1"/>
  <c r="CW120" i="1" s="1"/>
  <c r="CW121" i="1" a="1"/>
  <c r="CW121" i="1" s="1"/>
  <c r="CW122" i="1" a="1"/>
  <c r="CW122" i="1" s="1"/>
  <c r="CW123" i="1" a="1"/>
  <c r="CW123" i="1" s="1"/>
  <c r="CW124" i="1" a="1"/>
  <c r="CW124" i="1" s="1"/>
  <c r="CW125" i="1" a="1"/>
  <c r="CW125" i="1" s="1"/>
  <c r="CW126" i="1" a="1"/>
  <c r="CW126" i="1" s="1"/>
  <c r="CW127" i="1" a="1"/>
  <c r="CW127" i="1" s="1"/>
  <c r="CW128" i="1" a="1"/>
  <c r="CW128" i="1" s="1"/>
  <c r="CW129" i="1" a="1"/>
  <c r="CW129" i="1" s="1"/>
  <c r="CW131" i="1" a="1"/>
  <c r="CW131" i="1" s="1"/>
  <c r="CW132" i="1" a="1"/>
  <c r="CW132" i="1" s="1"/>
  <c r="CW133" i="1" a="1"/>
  <c r="CW133" i="1" s="1"/>
  <c r="CW134" i="1" a="1"/>
  <c r="CW134" i="1" s="1"/>
  <c r="CW135" i="1" a="1"/>
  <c r="CW135" i="1" s="1"/>
  <c r="CW136" i="1" a="1"/>
  <c r="CW136" i="1" s="1"/>
  <c r="CW137" i="1" a="1"/>
  <c r="CW137" i="1" s="1"/>
  <c r="CW138" i="1" a="1"/>
  <c r="CW138" i="1" s="1"/>
  <c r="CW139" i="1" a="1"/>
  <c r="CW139" i="1" s="1"/>
  <c r="CW140" i="1" a="1"/>
  <c r="CW140" i="1" s="1"/>
  <c r="CW141" i="1" a="1"/>
  <c r="CW141" i="1" s="1"/>
  <c r="CW142" i="1" a="1"/>
  <c r="CW142" i="1" s="1"/>
  <c r="CW143" i="1" a="1"/>
  <c r="CW143" i="1" s="1"/>
  <c r="CW144" i="1" a="1"/>
  <c r="CW144" i="1" s="1"/>
  <c r="CW145" i="1" a="1"/>
  <c r="CW145" i="1" s="1"/>
  <c r="CW146" i="1" a="1"/>
  <c r="CW146" i="1" s="1"/>
  <c r="CW147" i="1" a="1"/>
  <c r="CW147" i="1" s="1"/>
  <c r="CW148" i="1" a="1"/>
  <c r="CW148" i="1" s="1"/>
  <c r="CW149" i="1" a="1"/>
  <c r="CW149" i="1" s="1"/>
  <c r="CW150" i="1" a="1"/>
  <c r="CW150" i="1" s="1"/>
  <c r="CW152" i="1" a="1"/>
  <c r="CW152" i="1" s="1"/>
  <c r="CW153" i="1" a="1"/>
  <c r="CW153" i="1" s="1"/>
  <c r="CW154" i="1" a="1"/>
  <c r="CW154" i="1" s="1"/>
  <c r="CW155" i="1" a="1"/>
  <c r="CW155" i="1" s="1"/>
  <c r="CW156" i="1" a="1"/>
  <c r="CW156" i="1" s="1"/>
  <c r="CW151" i="1" a="1"/>
  <c r="CW151" i="1" s="1"/>
  <c r="CW157" i="1" a="1"/>
  <c r="CW157" i="1" s="1"/>
  <c r="CW158" i="1" a="1"/>
  <c r="CW158" i="1" s="1"/>
  <c r="CW159" i="1" a="1"/>
  <c r="CW159" i="1" s="1"/>
  <c r="CW160" i="1" a="1"/>
  <c r="CW160" i="1" s="1"/>
  <c r="CW161" i="1" a="1"/>
  <c r="CW161" i="1" s="1"/>
  <c r="CW162" i="1" a="1"/>
  <c r="CW162" i="1" s="1"/>
  <c r="CW163" i="1" a="1"/>
  <c r="CW163" i="1" s="1"/>
  <c r="CW164" i="1" a="1"/>
  <c r="CW164" i="1" s="1"/>
  <c r="CW165" i="1" a="1"/>
  <c r="CW165" i="1" s="1"/>
  <c r="CW166" i="1" a="1"/>
  <c r="CW166" i="1" s="1"/>
  <c r="CW167" i="1" a="1"/>
  <c r="CW167" i="1" s="1"/>
  <c r="CW168" i="1" a="1"/>
  <c r="CW168" i="1" s="1"/>
  <c r="CW169" i="1" a="1"/>
  <c r="CW169" i="1" s="1"/>
  <c r="CW170" i="1" a="1"/>
  <c r="CW170" i="1" s="1"/>
  <c r="CW171" i="1" a="1"/>
  <c r="CW171" i="1" s="1"/>
  <c r="CW172" i="1" a="1"/>
  <c r="CW172" i="1" s="1"/>
  <c r="CW175" i="1" a="1"/>
  <c r="CW175" i="1" s="1"/>
  <c r="CW176" i="1" a="1"/>
  <c r="CW176" i="1" s="1"/>
  <c r="CW177" i="1" a="1"/>
  <c r="CW177" i="1" s="1"/>
  <c r="CW178" i="1" a="1"/>
  <c r="CW178" i="1" s="1"/>
  <c r="CW179" i="1" a="1"/>
  <c r="CW179" i="1" s="1"/>
  <c r="CW180" i="1" a="1"/>
  <c r="CW180" i="1" s="1"/>
  <c r="CW181" i="1" a="1"/>
  <c r="CW181" i="1" s="1"/>
  <c r="CW182" i="1" a="1"/>
  <c r="CW182" i="1" s="1"/>
  <c r="CW183" i="1" a="1"/>
  <c r="CW183" i="1" s="1"/>
  <c r="CW190" i="1" a="1"/>
  <c r="CW190" i="1" s="1"/>
  <c r="CW195" i="1" a="1"/>
  <c r="CW195" i="1" s="1"/>
  <c r="CW196" i="1" a="1"/>
  <c r="CW196" i="1" s="1"/>
  <c r="CW207" i="1" a="1"/>
  <c r="CW207" i="1" s="1"/>
  <c r="CW215" i="1" a="1"/>
  <c r="CW215" i="1" s="1"/>
  <c r="CW216" i="1" a="1"/>
  <c r="CW216" i="1" s="1"/>
  <c r="CW217" i="1" a="1"/>
  <c r="CW217" i="1" s="1"/>
  <c r="CW218" i="1" a="1"/>
  <c r="CW218" i="1" s="1"/>
  <c r="CW219" i="1" a="1"/>
  <c r="CW219" i="1" s="1"/>
  <c r="CW220" i="1" a="1"/>
  <c r="CW220" i="1" s="1"/>
  <c r="CW221" i="1" a="1"/>
  <c r="CW221" i="1" s="1"/>
  <c r="CW223" i="1" a="1"/>
  <c r="CW223" i="1" s="1"/>
  <c r="CW224" i="1" a="1"/>
  <c r="CW224" i="1" s="1"/>
  <c r="CW225" i="1" a="1"/>
  <c r="CW225" i="1" s="1"/>
  <c r="CW226" i="1" a="1"/>
  <c r="CW226" i="1" s="1"/>
  <c r="CW228" i="1" a="1"/>
  <c r="CW228" i="1" s="1"/>
  <c r="CW229" i="1" a="1"/>
  <c r="CW229" i="1" s="1"/>
  <c r="CW230" i="1" a="1"/>
  <c r="CW230" i="1" s="1"/>
  <c r="CW231" i="1" a="1"/>
  <c r="CW231" i="1" s="1"/>
  <c r="CW232" i="1" a="1"/>
  <c r="CW232" i="1" s="1"/>
  <c r="CW233" i="1" a="1"/>
  <c r="CW233" i="1" s="1"/>
  <c r="CW234" i="1" a="1"/>
  <c r="CW234" i="1" s="1"/>
  <c r="CW235" i="1" a="1"/>
  <c r="CW235" i="1" s="1"/>
  <c r="CW236" i="1" a="1"/>
  <c r="CW236" i="1" s="1"/>
  <c r="CW237" i="1" a="1"/>
  <c r="CW237" i="1" s="1"/>
  <c r="CW238" i="1" a="1"/>
  <c r="CW238" i="1" s="1"/>
  <c r="CW239" i="1" a="1"/>
  <c r="CW239" i="1" s="1"/>
  <c r="CW241" i="1" a="1"/>
  <c r="CW241" i="1" s="1"/>
  <c r="CW242" i="1" a="1"/>
  <c r="CW242" i="1" s="1"/>
  <c r="CW244" i="1" a="1"/>
  <c r="CW244" i="1" s="1"/>
  <c r="CW245" i="1" a="1"/>
  <c r="CW245" i="1" s="1"/>
  <c r="CW249" i="1" a="1"/>
  <c r="CW249" i="1" s="1"/>
  <c r="CW250" i="1" a="1"/>
  <c r="CW250" i="1" s="1"/>
  <c r="CW252" i="1" a="1"/>
  <c r="CW252" i="1" s="1"/>
  <c r="CW253" i="1" a="1"/>
  <c r="CW253" i="1" s="1"/>
  <c r="CW254" i="1" a="1"/>
  <c r="CW254" i="1" s="1"/>
  <c r="CW255" i="1" a="1"/>
  <c r="CW255" i="1" s="1"/>
  <c r="CW256" i="1" a="1"/>
  <c r="CW256" i="1" s="1"/>
  <c r="CW257" i="1" a="1"/>
  <c r="CW257" i="1" s="1"/>
  <c r="CW258" i="1" a="1"/>
  <c r="CW258" i="1" s="1"/>
  <c r="CW259" i="1" a="1"/>
  <c r="CW259" i="1" s="1"/>
  <c r="CW260" i="1" a="1"/>
  <c r="CW260" i="1" s="1"/>
  <c r="CW261" i="1" a="1"/>
  <c r="CW261" i="1" s="1"/>
  <c r="CW263" i="1" a="1"/>
  <c r="CW263" i="1" s="1"/>
  <c r="CW264" i="1" a="1"/>
  <c r="CW264" i="1" s="1"/>
  <c r="CW265" i="1" a="1"/>
  <c r="CW265" i="1" s="1"/>
  <c r="CW266" i="1" a="1"/>
  <c r="CW266" i="1" s="1"/>
  <c r="CW267" i="1" a="1"/>
  <c r="CW267" i="1" s="1"/>
  <c r="CW268" i="1" a="1"/>
  <c r="CW268" i="1" s="1"/>
  <c r="CW269" i="1" a="1"/>
  <c r="CW269" i="1" s="1"/>
  <c r="CW270" i="1" a="1"/>
  <c r="CW270" i="1" s="1"/>
  <c r="CW271" i="1" a="1"/>
  <c r="CW271" i="1" s="1"/>
  <c r="CW272" i="1" a="1"/>
  <c r="CW272" i="1" s="1"/>
  <c r="CW273" i="1" a="1"/>
  <c r="CW273" i="1" s="1"/>
  <c r="CW274" i="1" a="1"/>
  <c r="CW274" i="1" s="1"/>
  <c r="CW275" i="1" a="1"/>
  <c r="CW275" i="1" s="1"/>
  <c r="CW277" i="1" a="1"/>
  <c r="CW277" i="1" s="1"/>
  <c r="CW278" i="1" a="1"/>
  <c r="CW278" i="1" s="1"/>
  <c r="CW279" i="1" a="1"/>
  <c r="CW279" i="1" s="1"/>
  <c r="CW280" i="1" a="1"/>
  <c r="CW280" i="1" s="1"/>
  <c r="CW281" i="1" a="1"/>
  <c r="CW281" i="1" s="1"/>
  <c r="CW282" i="1" a="1"/>
  <c r="CW282" i="1" s="1"/>
  <c r="CW296" i="1" a="1"/>
  <c r="CW296" i="1" s="1"/>
  <c r="CW309" i="1" a="1"/>
  <c r="CW309" i="1" s="1"/>
  <c r="CW310" i="1" a="1"/>
  <c r="CW310" i="1" s="1"/>
  <c r="CW311" i="1" a="1"/>
  <c r="CW311" i="1" s="1"/>
  <c r="CW313" i="1" a="1"/>
  <c r="CW313" i="1" s="1"/>
  <c r="CW318" i="1" a="1"/>
  <c r="CW318" i="1" s="1"/>
  <c r="CW319" i="1" a="1"/>
  <c r="CW319" i="1" s="1"/>
  <c r="CW321" i="1" a="1"/>
  <c r="CW321" i="1" s="1"/>
  <c r="CW326" i="1" a="1"/>
  <c r="CW326" i="1" s="1"/>
  <c r="CW327" i="1" a="1"/>
  <c r="CW327" i="1" s="1"/>
  <c r="CW328" i="1" a="1"/>
  <c r="CW328" i="1" s="1"/>
  <c r="CW329" i="1" a="1"/>
  <c r="CW329" i="1" s="1"/>
  <c r="CW330" i="1" a="1"/>
  <c r="CW330" i="1" s="1"/>
  <c r="CW331" i="1" a="1"/>
  <c r="CW331" i="1" s="1"/>
  <c r="CW333" i="1" a="1"/>
  <c r="CW333" i="1" s="1"/>
  <c r="CW332" i="1" a="1"/>
  <c r="CW332" i="1" s="1"/>
  <c r="CW334" i="1" a="1"/>
  <c r="CW334" i="1" s="1"/>
  <c r="CW335" i="1" a="1"/>
  <c r="CW335" i="1" s="1"/>
  <c r="CW336" i="1" a="1"/>
  <c r="CW336" i="1" s="1"/>
  <c r="CW338" i="1" a="1"/>
  <c r="CW338" i="1" s="1"/>
  <c r="CW339" i="1" a="1"/>
  <c r="CW339" i="1" s="1"/>
  <c r="CW340" i="1" a="1"/>
  <c r="CW340" i="1" s="1"/>
  <c r="CW341" i="1" a="1"/>
  <c r="CW341" i="1" s="1"/>
  <c r="CW342" i="1" a="1"/>
  <c r="CW342" i="1" s="1"/>
  <c r="CW343" i="1" a="1"/>
  <c r="CW343" i="1" s="1"/>
  <c r="CW344" i="1" a="1"/>
  <c r="CW344" i="1" s="1"/>
  <c r="CW345" i="1" a="1"/>
  <c r="CW345" i="1" s="1"/>
  <c r="CW346" i="1" a="1"/>
  <c r="CW346" i="1" s="1"/>
  <c r="CW347" i="1" a="1"/>
  <c r="CW347" i="1" s="1"/>
  <c r="CW348" i="1" a="1"/>
  <c r="CW348" i="1" s="1"/>
  <c r="CW354" i="1" a="1"/>
  <c r="CW354" i="1" s="1"/>
  <c r="CW355" i="1" a="1"/>
  <c r="CW355" i="1" s="1"/>
  <c r="CW358" i="1" a="1"/>
  <c r="CW358" i="1" s="1"/>
  <c r="CW366" i="1" a="1"/>
  <c r="CW366" i="1" s="1"/>
  <c r="CW367" i="1" a="1"/>
  <c r="CW367" i="1" s="1"/>
  <c r="CW368" i="1" a="1"/>
  <c r="CW368" i="1" s="1"/>
  <c r="CW369" i="1" a="1"/>
  <c r="CW369" i="1" s="1"/>
  <c r="CW370" i="1" a="1"/>
  <c r="CW370" i="1" s="1"/>
  <c r="CW372" i="1" a="1"/>
  <c r="CW372" i="1" s="1"/>
  <c r="CW373" i="1" a="1"/>
  <c r="CW373" i="1" s="1"/>
  <c r="CW371" i="1" a="1"/>
  <c r="CW371" i="1" s="1"/>
  <c r="CW374" i="1" a="1"/>
  <c r="CW374" i="1" s="1"/>
  <c r="CW375" i="1" a="1"/>
  <c r="CW375" i="1" s="1"/>
  <c r="CW376" i="1" a="1"/>
  <c r="CW376" i="1" s="1"/>
  <c r="CW377" i="1" a="1"/>
  <c r="CW377" i="1" s="1"/>
  <c r="CW378" i="1" a="1"/>
  <c r="CW378" i="1" s="1"/>
  <c r="CW379" i="1" a="1"/>
  <c r="CW379" i="1" s="1"/>
  <c r="CW380" i="1" a="1"/>
  <c r="CW380" i="1" s="1"/>
  <c r="CW381" i="1" a="1"/>
  <c r="CW381" i="1" s="1"/>
  <c r="CW387" i="1" a="1"/>
  <c r="CW387" i="1" s="1"/>
  <c r="CW388" i="1" a="1"/>
  <c r="CW388" i="1" s="1"/>
  <c r="CW389" i="1" a="1"/>
  <c r="CW389" i="1" s="1"/>
  <c r="CW390" i="1" a="1"/>
  <c r="CW390" i="1" s="1"/>
  <c r="CW391" i="1" a="1"/>
  <c r="CW391" i="1" s="1"/>
  <c r="CW392" i="1" a="1"/>
  <c r="CW392" i="1" s="1"/>
  <c r="CW393" i="1" a="1"/>
  <c r="CW393" i="1" s="1"/>
  <c r="CW394" i="1" a="1"/>
  <c r="CW394" i="1" s="1"/>
  <c r="CW404" i="1" a="1"/>
  <c r="CW404" i="1" s="1"/>
  <c r="CW405" i="1" a="1"/>
  <c r="CW405" i="1" s="1"/>
  <c r="CW406" i="1" a="1"/>
  <c r="CW406" i="1" s="1"/>
  <c r="CW407" i="1" a="1"/>
  <c r="CW407" i="1" s="1"/>
  <c r="CW408" i="1" a="1"/>
  <c r="CW408" i="1" s="1"/>
  <c r="CW409" i="1" a="1"/>
  <c r="CW409" i="1" s="1"/>
  <c r="CW410" i="1" a="1"/>
  <c r="CW410" i="1" s="1"/>
  <c r="CW414" i="1" a="1"/>
  <c r="CW414" i="1" s="1"/>
  <c r="CW415" i="1" a="1"/>
  <c r="CW415" i="1" s="1"/>
  <c r="CW416" i="1" a="1"/>
  <c r="CW416" i="1" s="1"/>
  <c r="CW420" i="1" a="1"/>
  <c r="CW420" i="1" s="1"/>
  <c r="CW421" i="1" a="1"/>
  <c r="CW421" i="1" s="1"/>
  <c r="CW422" i="1" a="1"/>
  <c r="CW422" i="1" s="1"/>
  <c r="CW423" i="1" a="1"/>
  <c r="CW423" i="1" s="1"/>
  <c r="CW424" i="1" a="1"/>
  <c r="CW424" i="1" s="1"/>
  <c r="CW425" i="1" a="1"/>
  <c r="CW425" i="1" s="1"/>
  <c r="CW426" i="1" a="1"/>
  <c r="CW426" i="1" s="1"/>
  <c r="CW427" i="1" a="1"/>
  <c r="CW427" i="1" s="1"/>
  <c r="CW428" i="1" a="1"/>
  <c r="CW428" i="1" s="1"/>
  <c r="CW429" i="1" a="1"/>
  <c r="CW429" i="1" s="1"/>
  <c r="CW430" i="1" a="1"/>
  <c r="CW430" i="1" s="1"/>
  <c r="CW434" i="1" a="1"/>
  <c r="CW434" i="1" s="1"/>
  <c r="CW435" i="1" a="1"/>
  <c r="CW435" i="1" s="1"/>
  <c r="CW436" i="1" a="1"/>
  <c r="CW436" i="1" s="1"/>
  <c r="CW437" i="1" a="1"/>
  <c r="CW437" i="1" s="1"/>
  <c r="CW438" i="1" a="1"/>
  <c r="CW438" i="1" s="1"/>
  <c r="CW439" i="1" a="1"/>
  <c r="CW439" i="1" s="1"/>
  <c r="CW440" i="1" a="1"/>
  <c r="CW440" i="1" s="1"/>
  <c r="CW441" i="1" a="1"/>
  <c r="CW441" i="1" s="1"/>
  <c r="CW442" i="1" a="1"/>
  <c r="CW442" i="1" s="1"/>
  <c r="CW443" i="1" a="1"/>
  <c r="CW443" i="1" s="1"/>
  <c r="CW444" i="1" a="1"/>
  <c r="CW444" i="1" s="1"/>
  <c r="CW445" i="1" a="1"/>
  <c r="CW445" i="1" s="1"/>
  <c r="CW446" i="1" a="1"/>
  <c r="CW446" i="1" s="1"/>
  <c r="CW447" i="1" a="1"/>
  <c r="CW447" i="1" s="1"/>
  <c r="CW461" i="1" a="1"/>
  <c r="CW461" i="1" s="1"/>
  <c r="CW462" i="1" a="1"/>
  <c r="CW462" i="1" s="1"/>
  <c r="CW463" i="1" a="1"/>
  <c r="CW463" i="1" s="1"/>
  <c r="CW464" i="1" a="1"/>
  <c r="CW464" i="1" s="1"/>
  <c r="CW474" i="1" a="1"/>
  <c r="CW474" i="1" s="1"/>
  <c r="CW475" i="1" a="1"/>
  <c r="CW475" i="1" s="1"/>
  <c r="CW476" i="1" a="1"/>
  <c r="CW476" i="1" s="1"/>
  <c r="CW477" i="1" a="1"/>
  <c r="CW477" i="1" s="1"/>
  <c r="CW478" i="1" a="1"/>
  <c r="CW478" i="1" s="1"/>
  <c r="CW479" i="1" a="1"/>
  <c r="CW479" i="1" s="1"/>
  <c r="CW480" i="1" a="1"/>
  <c r="CW480" i="1" s="1"/>
  <c r="CW489" i="1" a="1"/>
  <c r="CW489" i="1" s="1"/>
  <c r="CW490" i="1" a="1"/>
  <c r="CW490" i="1" s="1"/>
  <c r="CW491" i="1" a="1"/>
  <c r="CW491" i="1" s="1"/>
  <c r="CW506" i="1" a="1"/>
  <c r="CW506" i="1" s="1"/>
  <c r="CW508" i="1" a="1"/>
  <c r="CW508" i="1" s="1"/>
  <c r="CW509" i="1" a="1"/>
  <c r="CW509" i="1" s="1"/>
  <c r="CW510" i="1" a="1"/>
  <c r="CW510" i="1" s="1"/>
  <c r="CW511" i="1" a="1"/>
  <c r="CW511" i="1" s="1"/>
  <c r="CW512" i="1" a="1"/>
  <c r="CW512" i="1" s="1"/>
  <c r="CW513" i="1" a="1"/>
  <c r="CW513" i="1" s="1"/>
  <c r="CW514" i="1" a="1"/>
  <c r="CW514" i="1" s="1"/>
  <c r="CW520" i="1" a="1"/>
  <c r="CW520" i="1" s="1"/>
  <c r="CW521" i="1" a="1"/>
  <c r="CW521" i="1" s="1"/>
  <c r="CW522" i="1" a="1"/>
  <c r="CW522" i="1" s="1"/>
  <c r="CW523" i="1" a="1"/>
  <c r="CW523" i="1" s="1"/>
  <c r="CW524" i="1" a="1"/>
  <c r="CW524" i="1" s="1"/>
  <c r="CW525" i="1" a="1"/>
  <c r="CW525" i="1" s="1"/>
  <c r="CW527" i="1" a="1"/>
  <c r="CW527" i="1" s="1"/>
  <c r="CW528" i="1" a="1"/>
  <c r="CW528" i="1" s="1"/>
  <c r="CW547" i="1" a="1"/>
  <c r="CW547" i="1" s="1"/>
  <c r="CW548" i="1" a="1"/>
  <c r="CW548" i="1" s="1"/>
  <c r="CW550" i="1" a="1"/>
  <c r="CW550" i="1" s="1"/>
  <c r="CW551" i="1" a="1"/>
  <c r="CW551" i="1" s="1"/>
  <c r="CW552" i="1" a="1"/>
  <c r="CW552" i="1" s="1"/>
  <c r="CW553" i="1" a="1"/>
  <c r="CW553" i="1" s="1"/>
  <c r="CW556" i="1" a="1"/>
  <c r="CW556" i="1" s="1"/>
  <c r="CW557" i="1" a="1"/>
  <c r="CW557" i="1" s="1"/>
  <c r="CW558" i="1" a="1"/>
  <c r="CW558" i="1" s="1"/>
  <c r="CW559" i="1" a="1"/>
  <c r="CW559" i="1" s="1"/>
  <c r="CW560" i="1" a="1"/>
  <c r="CW560" i="1" s="1"/>
  <c r="CW561" i="1" a="1"/>
  <c r="CW561" i="1" s="1"/>
  <c r="CW562" i="1" a="1"/>
  <c r="CW562" i="1" s="1"/>
  <c r="CW563" i="1" a="1"/>
  <c r="CW563" i="1" s="1"/>
  <c r="CW564" i="1" a="1"/>
  <c r="CW564" i="1" s="1"/>
  <c r="CW565" i="1" a="1"/>
  <c r="CW565" i="1" s="1"/>
  <c r="CW570" i="1" a="1"/>
  <c r="CW570" i="1" s="1"/>
  <c r="CW571" i="1" a="1"/>
  <c r="CW571" i="1" s="1"/>
  <c r="CW572" i="1" a="1"/>
  <c r="CW572" i="1" s="1"/>
  <c r="CW573" i="1" a="1"/>
  <c r="CW573" i="1" s="1"/>
  <c r="CW574" i="1" a="1"/>
  <c r="CW574" i="1" s="1"/>
  <c r="CW575" i="1" a="1"/>
  <c r="CW575" i="1" s="1"/>
  <c r="CW576" i="1" a="1"/>
  <c r="CW576" i="1" s="1"/>
  <c r="CW577" i="1" a="1"/>
  <c r="CW577" i="1" s="1"/>
  <c r="CW578" i="1" a="1"/>
  <c r="CW578" i="1" s="1"/>
  <c r="CW579" i="1" a="1"/>
  <c r="CW579" i="1" s="1"/>
  <c r="CW580" i="1" a="1"/>
  <c r="CW580" i="1" s="1"/>
  <c r="CW581" i="1" a="1"/>
  <c r="CW581" i="1" s="1"/>
  <c r="CW582" i="1" a="1"/>
  <c r="CW582" i="1" s="1"/>
  <c r="CW586" i="1" a="1"/>
  <c r="CW586" i="1" s="1"/>
  <c r="CW583" i="1" a="1"/>
  <c r="CW583" i="1" s="1"/>
  <c r="CW584" i="1" a="1"/>
  <c r="CW584" i="1" s="1"/>
  <c r="CW587" i="1" a="1"/>
  <c r="CW587" i="1" s="1"/>
  <c r="CW588" i="1" a="1"/>
  <c r="CW588" i="1" s="1"/>
  <c r="CW589" i="1" a="1"/>
  <c r="CW589" i="1" s="1"/>
  <c r="CW590" i="1" a="1"/>
  <c r="CW590" i="1" s="1"/>
  <c r="CW591" i="1" a="1"/>
  <c r="CW591" i="1" s="1"/>
  <c r="CW592" i="1" a="1"/>
  <c r="CW592" i="1" s="1"/>
  <c r="CW594" i="1" a="1"/>
  <c r="CW594" i="1" s="1"/>
  <c r="CW595" i="1" a="1"/>
  <c r="CW595" i="1" s="1"/>
  <c r="CW596" i="1" a="1"/>
  <c r="CW596" i="1" s="1"/>
  <c r="CW597" i="1" a="1"/>
  <c r="CW597" i="1" s="1"/>
  <c r="CW598" i="1" a="1"/>
  <c r="CW598" i="1" s="1"/>
  <c r="CW599" i="1" a="1"/>
  <c r="CW599" i="1" s="1"/>
  <c r="CW600" i="1" a="1"/>
  <c r="CW600" i="1" s="1"/>
  <c r="CW602" i="1" a="1"/>
  <c r="CW602" i="1" s="1"/>
  <c r="CW603" i="1" a="1"/>
  <c r="CW603" i="1" s="1"/>
  <c r="CW606" i="1" a="1"/>
  <c r="CW606" i="1" s="1"/>
  <c r="CW607" i="1" a="1"/>
  <c r="CW607" i="1" s="1"/>
  <c r="CW608" i="1" a="1"/>
  <c r="CW608" i="1" s="1"/>
  <c r="CW615" i="1" a="1"/>
  <c r="CW615" i="1" s="1"/>
  <c r="CW617" i="1" a="1"/>
  <c r="CW617" i="1" s="1"/>
  <c r="CW619" i="1" a="1"/>
  <c r="CW619" i="1" s="1"/>
  <c r="CW620" i="1" a="1"/>
  <c r="CW620" i="1" s="1"/>
  <c r="CW621" i="1" a="1"/>
  <c r="CW621" i="1" s="1"/>
  <c r="CW624" i="1" a="1"/>
  <c r="CW624" i="1" s="1"/>
  <c r="CW625" i="1" a="1"/>
  <c r="CW625" i="1" s="1"/>
  <c r="CW626" i="1" a="1"/>
  <c r="CW626" i="1" s="1"/>
  <c r="CW627" i="1" a="1"/>
  <c r="CW627" i="1" s="1"/>
  <c r="CW628" i="1" a="1"/>
  <c r="CW628" i="1" s="1"/>
  <c r="CW629" i="1" a="1"/>
  <c r="CW629" i="1" s="1"/>
  <c r="CW630" i="1" a="1"/>
  <c r="CW630" i="1" s="1"/>
  <c r="CW631" i="1" a="1"/>
  <c r="CW631" i="1" s="1"/>
  <c r="CW632" i="1" a="1"/>
  <c r="CW632" i="1" s="1"/>
  <c r="CW633" i="1" a="1"/>
  <c r="CW633" i="1" s="1"/>
  <c r="CW649" i="1" a="1"/>
  <c r="CW649" i="1" s="1"/>
  <c r="CW650" i="1" a="1"/>
  <c r="CW650" i="1" s="1"/>
  <c r="CW651" i="1" a="1"/>
  <c r="CW651" i="1" s="1"/>
  <c r="CW652" i="1" a="1"/>
  <c r="CW652" i="1" s="1"/>
  <c r="CW653" i="1" a="1"/>
  <c r="CW653" i="1" s="1"/>
  <c r="CW655" i="1" a="1"/>
  <c r="CW655" i="1" s="1"/>
  <c r="CW656" i="1" a="1"/>
  <c r="CW656" i="1" s="1"/>
  <c r="CW657" i="1" a="1"/>
  <c r="CW657" i="1" s="1"/>
  <c r="CW658" i="1" a="1"/>
  <c r="CW658" i="1" s="1"/>
  <c r="CW659" i="1" a="1"/>
  <c r="CW659" i="1" s="1"/>
  <c r="CW660" i="1" a="1"/>
  <c r="CW660" i="1" s="1"/>
  <c r="CW661" i="1" a="1"/>
  <c r="CW661" i="1" s="1"/>
  <c r="CW662" i="1" a="1"/>
  <c r="CW662" i="1" s="1"/>
  <c r="CW667" i="1" a="1"/>
  <c r="CW667" i="1" s="1"/>
  <c r="CW668" i="1" a="1"/>
  <c r="CW668" i="1" s="1"/>
  <c r="CW669" i="1" a="1"/>
  <c r="CW669" i="1" s="1"/>
  <c r="CW670" i="1" a="1"/>
  <c r="CW670" i="1" s="1"/>
  <c r="CW671" i="1" a="1"/>
  <c r="CW671" i="1" s="1"/>
  <c r="CW672" i="1" a="1"/>
  <c r="CW672" i="1" s="1"/>
  <c r="CW673" i="1" a="1"/>
  <c r="CW673" i="1" s="1"/>
  <c r="CW674" i="1" a="1"/>
  <c r="CW674" i="1" s="1"/>
  <c r="CW675" i="1" a="1"/>
  <c r="CW675" i="1" s="1"/>
  <c r="CW676" i="1" a="1"/>
  <c r="CW676" i="1" s="1"/>
  <c r="CW677" i="1" a="1"/>
  <c r="CW677" i="1" s="1"/>
  <c r="CW678" i="1" a="1"/>
  <c r="CW678" i="1" s="1"/>
  <c r="CW679" i="1" a="1"/>
  <c r="CW679" i="1" s="1"/>
  <c r="CW680" i="1" a="1"/>
  <c r="CW680" i="1" s="1"/>
  <c r="CW681" i="1" a="1"/>
  <c r="CW681" i="1" s="1"/>
  <c r="CW682" i="1" a="1"/>
  <c r="CW682" i="1" s="1"/>
  <c r="CW683" i="1" a="1"/>
  <c r="CW683" i="1" s="1"/>
  <c r="CW684" i="1" a="1"/>
  <c r="CW684" i="1" s="1"/>
  <c r="CW685" i="1" a="1"/>
  <c r="CW685" i="1" s="1"/>
  <c r="CW688" i="1" a="1"/>
  <c r="CW688" i="1" s="1"/>
  <c r="CW689" i="1" a="1"/>
  <c r="CW689" i="1" s="1"/>
  <c r="CW690" i="1" a="1"/>
  <c r="CW690" i="1" s="1"/>
  <c r="CW691" i="1" a="1"/>
  <c r="CW691" i="1" s="1"/>
  <c r="CW692" i="1" a="1"/>
  <c r="CW692" i="1" s="1"/>
  <c r="CW693" i="1" a="1"/>
  <c r="CW693" i="1" s="1"/>
  <c r="CW694" i="1" a="1"/>
  <c r="CW694" i="1" s="1"/>
  <c r="CW695" i="1" a="1"/>
  <c r="CW695" i="1" s="1"/>
  <c r="CW696" i="1" a="1"/>
  <c r="CW696" i="1" s="1"/>
  <c r="CW697" i="1" a="1"/>
  <c r="CW697" i="1" s="1"/>
  <c r="CW698" i="1" a="1"/>
  <c r="CW698" i="1" s="1"/>
  <c r="CW700" i="1" a="1"/>
  <c r="CW700" i="1" s="1"/>
  <c r="CW701" i="1" a="1"/>
  <c r="CW701" i="1" s="1"/>
  <c r="CW702" i="1" a="1"/>
  <c r="CW702" i="1" s="1"/>
  <c r="CW705" i="1" a="1"/>
  <c r="CW705" i="1" s="1"/>
  <c r="CW706" i="1" a="1"/>
  <c r="CW706" i="1" s="1"/>
  <c r="CW707" i="1" a="1"/>
  <c r="CW707" i="1" s="1"/>
  <c r="CW708" i="1" a="1"/>
  <c r="CW708" i="1" s="1"/>
  <c r="CW709" i="1" a="1"/>
  <c r="CW709" i="1" s="1"/>
  <c r="CW711" i="1" a="1"/>
  <c r="CW711" i="1" s="1"/>
  <c r="CW712" i="1" a="1"/>
  <c r="CW712" i="1" s="1"/>
  <c r="CW713" i="1" a="1"/>
  <c r="CW713" i="1" s="1"/>
  <c r="CW714" i="1" a="1"/>
  <c r="CW714" i="1" s="1"/>
  <c r="CW715" i="1" a="1"/>
  <c r="CW715" i="1" s="1"/>
  <c r="CW716" i="1" a="1"/>
  <c r="CW716" i="1" s="1"/>
  <c r="CW717" i="1" a="1"/>
  <c r="CW717" i="1" s="1"/>
  <c r="CW718" i="1" a="1"/>
  <c r="CW718" i="1" s="1"/>
  <c r="CW719" i="1" a="1"/>
  <c r="CW719" i="1" s="1"/>
  <c r="CW720" i="1" a="1"/>
  <c r="CW720" i="1" s="1"/>
  <c r="CW721" i="1" a="1"/>
  <c r="CW721" i="1" s="1"/>
  <c r="CW722" i="1" a="1"/>
  <c r="CW722" i="1" s="1"/>
  <c r="CW723" i="1" a="1"/>
  <c r="CW723" i="1" s="1"/>
  <c r="CW724" i="1" a="1"/>
  <c r="CW724" i="1" s="1"/>
  <c r="CW725" i="1" a="1"/>
  <c r="CW725" i="1" s="1"/>
  <c r="CW732" i="1" a="1"/>
  <c r="CW732" i="1" s="1"/>
  <c r="CW733" i="1" a="1"/>
  <c r="CW733" i="1" s="1"/>
  <c r="CW734" i="1" a="1"/>
  <c r="CW734" i="1" s="1"/>
  <c r="CW735" i="1" a="1"/>
  <c r="CW735" i="1" s="1"/>
  <c r="CW736" i="1" a="1"/>
  <c r="CW736" i="1" s="1"/>
  <c r="CW737" i="1" a="1"/>
  <c r="CW737" i="1" s="1"/>
  <c r="CW738" i="1" a="1"/>
  <c r="CW738" i="1" s="1"/>
  <c r="CW739" i="1" a="1"/>
  <c r="CW739" i="1" s="1"/>
  <c r="CW745" i="1" a="1"/>
  <c r="CW745" i="1" s="1"/>
  <c r="CW746" i="1" a="1"/>
  <c r="CW746" i="1" s="1"/>
  <c r="CW751" i="1" a="1"/>
  <c r="CW751" i="1" s="1"/>
  <c r="CW752" i="1" a="1"/>
  <c r="CW752" i="1" s="1"/>
  <c r="CW753" i="1" a="1"/>
  <c r="CW753" i="1" s="1"/>
  <c r="CW754" i="1" a="1"/>
  <c r="CW754" i="1" s="1"/>
  <c r="CW755" i="1" a="1"/>
  <c r="CW755" i="1" s="1"/>
  <c r="CW756" i="1" a="1"/>
  <c r="CW756" i="1" s="1"/>
  <c r="CW758" i="1" a="1"/>
  <c r="CW758" i="1" s="1"/>
  <c r="CW759" i="1" a="1"/>
  <c r="CW759" i="1" s="1"/>
  <c r="CW760" i="1" a="1"/>
  <c r="CW760" i="1" s="1"/>
  <c r="CW763" i="1" a="1"/>
  <c r="CW763" i="1" s="1"/>
  <c r="CW764" i="1" a="1"/>
  <c r="CW764" i="1" s="1"/>
  <c r="CW765" i="1" a="1"/>
  <c r="CW765" i="1" s="1"/>
  <c r="CW766" i="1" a="1"/>
  <c r="CW766" i="1" s="1"/>
  <c r="CW767" i="1" a="1"/>
  <c r="CW767" i="1" s="1"/>
  <c r="CW768" i="1" a="1"/>
  <c r="CW768" i="1" s="1"/>
  <c r="CW769" i="1" a="1"/>
  <c r="CW769" i="1" s="1"/>
  <c r="CW770" i="1" a="1"/>
  <c r="CW770" i="1" s="1"/>
  <c r="CW772" i="1" a="1"/>
  <c r="CW772" i="1" s="1"/>
  <c r="CW773" i="1" a="1"/>
  <c r="CW773" i="1" s="1"/>
  <c r="CW774" i="1" a="1"/>
  <c r="CW774" i="1" s="1"/>
  <c r="CW775" i="1" a="1"/>
  <c r="CW775" i="1" s="1"/>
  <c r="CW776" i="1" a="1"/>
  <c r="CW776" i="1" s="1"/>
  <c r="CW778" i="1" a="1"/>
  <c r="CW778" i="1" s="1"/>
  <c r="CW779" i="1" a="1"/>
  <c r="CW779" i="1" s="1"/>
  <c r="CW780" i="1" a="1"/>
  <c r="CW780" i="1" s="1"/>
  <c r="CW781" i="1" a="1"/>
  <c r="CW781" i="1" s="1"/>
  <c r="CW782" i="1" a="1"/>
  <c r="CW782" i="1" s="1"/>
  <c r="CW783" i="1" a="1"/>
  <c r="CW783" i="1" s="1"/>
  <c r="CW784" i="1" a="1"/>
  <c r="CW784" i="1" s="1"/>
  <c r="CW785" i="1" a="1"/>
  <c r="CW785" i="1" s="1"/>
  <c r="CW786" i="1" a="1"/>
  <c r="CW786" i="1" s="1"/>
  <c r="CW787" i="1" a="1"/>
  <c r="CW787" i="1" s="1"/>
  <c r="CW788" i="1" a="1"/>
  <c r="CW788" i="1" s="1"/>
  <c r="CW789" i="1" a="1"/>
  <c r="CW789" i="1" s="1"/>
  <c r="CW790" i="1" a="1"/>
  <c r="CW790" i="1" s="1"/>
  <c r="CW791" i="1" a="1"/>
  <c r="CW791" i="1" s="1"/>
  <c r="CW792" i="1" a="1"/>
  <c r="CW792" i="1" s="1"/>
  <c r="CW793" i="1" a="1"/>
  <c r="CW793" i="1" s="1"/>
  <c r="CW794" i="1" a="1"/>
  <c r="CW794" i="1" s="1"/>
  <c r="CW795" i="1" a="1"/>
  <c r="CW795" i="1" s="1"/>
  <c r="CW796" i="1" a="1"/>
  <c r="CW796" i="1" s="1"/>
  <c r="CW797" i="1" a="1"/>
  <c r="CW797" i="1" s="1"/>
  <c r="CW798" i="1" a="1"/>
  <c r="CW798" i="1" s="1"/>
  <c r="CW799" i="1" a="1"/>
  <c r="CW799" i="1" s="1"/>
  <c r="CW800" i="1" a="1"/>
  <c r="CW800" i="1" s="1"/>
  <c r="CW801" i="1" a="1"/>
  <c r="CW801" i="1" s="1"/>
  <c r="CW802" i="1" a="1"/>
  <c r="CW802" i="1" s="1"/>
  <c r="CW803" i="1" a="1"/>
  <c r="CW803" i="1" s="1"/>
  <c r="CW804" i="1" a="1"/>
  <c r="CW804" i="1" s="1"/>
  <c r="CW805" i="1" a="1"/>
  <c r="CW805" i="1" s="1"/>
  <c r="CW806" i="1" a="1"/>
  <c r="CW806" i="1" s="1"/>
  <c r="CW807" i="1" a="1"/>
  <c r="CW807" i="1" s="1"/>
  <c r="CW808" i="1" a="1"/>
  <c r="CW808" i="1" s="1"/>
  <c r="CW809" i="1" a="1"/>
  <c r="CW809" i="1" s="1"/>
  <c r="CW810" i="1" a="1"/>
  <c r="CW810" i="1" s="1"/>
  <c r="CW811" i="1" a="1"/>
  <c r="CW811" i="1" s="1"/>
  <c r="CW812" i="1" a="1"/>
  <c r="CW812" i="1" s="1"/>
  <c r="CW813" i="1" a="1"/>
  <c r="CW813" i="1" s="1"/>
  <c r="CW815" i="1" a="1"/>
  <c r="CW815" i="1" s="1"/>
  <c r="CW816" i="1" a="1"/>
  <c r="CW816" i="1" s="1"/>
  <c r="CW817" i="1" a="1"/>
  <c r="CW817" i="1" s="1"/>
  <c r="CW818" i="1" a="1"/>
  <c r="CW818" i="1" s="1"/>
  <c r="CW819" i="1" a="1"/>
  <c r="CW819" i="1" s="1"/>
  <c r="CW820" i="1" a="1"/>
  <c r="CW820" i="1" s="1"/>
  <c r="CW823" i="1" a="1"/>
  <c r="CW823" i="1" s="1"/>
  <c r="CW824" i="1" a="1"/>
  <c r="CW824" i="1" s="1"/>
  <c r="CW825" i="1" a="1"/>
  <c r="CW825" i="1" s="1"/>
  <c r="CW826" i="1" a="1"/>
  <c r="CW826" i="1" s="1"/>
  <c r="CW827" i="1" a="1"/>
  <c r="CW827" i="1" s="1"/>
  <c r="CW828" i="1" a="1"/>
  <c r="CW828" i="1" s="1"/>
  <c r="CW829" i="1" a="1"/>
  <c r="CW829" i="1" s="1"/>
  <c r="CW832" i="1" a="1"/>
  <c r="CW832" i="1" s="1"/>
  <c r="CW834" i="1" a="1"/>
  <c r="CW834" i="1" s="1"/>
  <c r="CW835" i="1" a="1"/>
  <c r="CW835" i="1" s="1"/>
  <c r="CW836" i="1" a="1"/>
  <c r="CW836" i="1" s="1"/>
  <c r="CW838" i="1" a="1"/>
  <c r="CW838" i="1" s="1"/>
  <c r="CW843" i="1" a="1"/>
  <c r="CW843" i="1" s="1"/>
  <c r="CW844" i="1" a="1"/>
  <c r="CW844" i="1" s="1"/>
  <c r="CW845" i="1" a="1"/>
  <c r="CW845" i="1" s="1"/>
  <c r="CW846" i="1" a="1"/>
  <c r="CW846" i="1" s="1"/>
  <c r="CW847" i="1" a="1"/>
  <c r="CW847" i="1" s="1"/>
  <c r="CW848" i="1" a="1"/>
  <c r="CW848" i="1" s="1"/>
  <c r="CW849" i="1" a="1"/>
  <c r="CW849" i="1" s="1"/>
  <c r="CW850" i="1" a="1"/>
  <c r="CW850" i="1" s="1"/>
  <c r="CW851" i="1" a="1"/>
  <c r="CW851" i="1" s="1"/>
  <c r="CW852" i="1" a="1"/>
  <c r="CW852" i="1" s="1"/>
  <c r="CW853" i="1" a="1"/>
  <c r="CW853" i="1" s="1"/>
  <c r="CW854" i="1" a="1"/>
  <c r="CW854" i="1" s="1"/>
  <c r="CW855" i="1" a="1"/>
  <c r="CW855" i="1" s="1"/>
  <c r="CW856" i="1" a="1"/>
  <c r="CW856" i="1" s="1"/>
  <c r="CW863" i="1" a="1"/>
  <c r="CW863" i="1" s="1"/>
  <c r="CW864" i="1" a="1"/>
  <c r="CW864" i="1" s="1"/>
  <c r="CW865" i="1" a="1"/>
  <c r="CW865" i="1" s="1"/>
  <c r="CW866" i="1" a="1"/>
  <c r="CW866" i="1" s="1"/>
  <c r="CW868" i="1" a="1"/>
  <c r="CW868" i="1" s="1"/>
  <c r="CW869" i="1" a="1"/>
  <c r="CW869" i="1" s="1"/>
  <c r="CW874" i="1" a="1"/>
  <c r="CW874" i="1" s="1"/>
  <c r="CW875" i="1" a="1"/>
  <c r="CW875" i="1" s="1"/>
  <c r="CW876" i="1" a="1"/>
  <c r="CW876" i="1" s="1"/>
  <c r="CW877" i="1" a="1"/>
  <c r="CW877" i="1" s="1"/>
  <c r="CW878" i="1" a="1"/>
  <c r="CW878" i="1" s="1"/>
  <c r="CW879" i="1" a="1"/>
  <c r="CW879" i="1" s="1"/>
  <c r="CW880" i="1" a="1"/>
  <c r="CW880" i="1" s="1"/>
  <c r="CW881" i="1" a="1"/>
  <c r="CW881" i="1" s="1"/>
  <c r="CW882" i="1" a="1"/>
  <c r="CW882" i="1" s="1"/>
  <c r="CW883" i="1" a="1"/>
  <c r="CW883" i="1" s="1"/>
  <c r="CW884" i="1" a="1"/>
  <c r="CW884" i="1" s="1"/>
  <c r="CW885" i="1" a="1"/>
  <c r="CW885" i="1" s="1"/>
  <c r="CW886" i="1" a="1"/>
  <c r="CW886" i="1" s="1"/>
  <c r="CW887" i="1" a="1"/>
  <c r="CW887" i="1" s="1"/>
  <c r="CW888" i="1" a="1"/>
  <c r="CW888" i="1" s="1"/>
  <c r="CW889" i="1" a="1"/>
  <c r="CW889" i="1" s="1"/>
  <c r="CW890" i="1" a="1"/>
  <c r="CW890" i="1" s="1"/>
  <c r="CW891" i="1" a="1"/>
  <c r="CW891" i="1" s="1"/>
  <c r="CW894" i="1" a="1"/>
  <c r="CW894" i="1" s="1"/>
  <c r="CW895" i="1" a="1"/>
  <c r="CW895" i="1" s="1"/>
  <c r="CW896" i="1" a="1"/>
  <c r="CW896" i="1" s="1"/>
  <c r="CW897" i="1" a="1"/>
  <c r="CW897" i="1" s="1"/>
  <c r="CW898" i="1" a="1"/>
  <c r="CW898" i="1" s="1"/>
  <c r="CW899" i="1" a="1"/>
  <c r="CW899" i="1" s="1"/>
  <c r="CW900" i="1" a="1"/>
  <c r="CW900" i="1" s="1"/>
  <c r="CW901" i="1" a="1"/>
  <c r="CW901" i="1" s="1"/>
  <c r="CW902" i="1" a="1"/>
  <c r="CW902" i="1" s="1"/>
  <c r="CW903" i="1" a="1"/>
  <c r="CW903" i="1" s="1"/>
  <c r="CW904" i="1" a="1"/>
  <c r="CW904" i="1" s="1"/>
  <c r="CW905" i="1" a="1"/>
  <c r="CW905" i="1" s="1"/>
  <c r="CW911" i="1" a="1"/>
  <c r="CW911" i="1" s="1"/>
  <c r="CW912" i="1" a="1"/>
  <c r="CW912" i="1" s="1"/>
  <c r="CW914" i="1" a="1"/>
  <c r="CW914" i="1" s="1"/>
  <c r="CW915" i="1" a="1"/>
  <c r="CW915" i="1" s="1"/>
  <c r="CW918" i="1" a="1"/>
  <c r="CW918" i="1" s="1"/>
  <c r="CW919" i="1" a="1"/>
  <c r="CW919" i="1" s="1"/>
  <c r="CW920" i="1" a="1"/>
  <c r="CW920" i="1" s="1"/>
  <c r="CW921" i="1" a="1"/>
  <c r="CW921" i="1" s="1"/>
  <c r="CW922" i="1" a="1"/>
  <c r="CW922" i="1" s="1"/>
  <c r="CW923" i="1" a="1"/>
  <c r="CW923" i="1" s="1"/>
  <c r="CW924" i="1" a="1"/>
  <c r="CW924" i="1" s="1"/>
  <c r="CW925" i="1" a="1"/>
  <c r="CW925" i="1" s="1"/>
  <c r="CW926" i="1" a="1"/>
  <c r="CW926" i="1" s="1"/>
  <c r="CW935" i="1" a="1"/>
  <c r="CW935" i="1" s="1"/>
  <c r="CW936" i="1" a="1"/>
  <c r="CW936" i="1" s="1"/>
  <c r="CW937" i="1" a="1"/>
  <c r="CW937" i="1" s="1"/>
  <c r="CW938" i="1" a="1"/>
  <c r="CW938" i="1" s="1"/>
  <c r="CW939" i="1" a="1"/>
  <c r="CW939" i="1" s="1"/>
  <c r="CW940" i="1" a="1"/>
  <c r="CW940" i="1" s="1"/>
  <c r="CW941" i="1" a="1"/>
  <c r="CW941" i="1" s="1"/>
  <c r="CW942" i="1" a="1"/>
  <c r="CW942" i="1" s="1"/>
  <c r="CW944" i="1" a="1"/>
  <c r="CW944" i="1" s="1"/>
  <c r="CW946" i="1" a="1"/>
  <c r="CW946" i="1" s="1"/>
  <c r="CW947" i="1" a="1"/>
  <c r="CW947" i="1" s="1"/>
  <c r="CW948" i="1" a="1"/>
  <c r="CW948" i="1" s="1"/>
  <c r="CW949" i="1" a="1"/>
  <c r="CW949" i="1" s="1"/>
  <c r="CW950" i="1" a="1"/>
  <c r="CW950" i="1" s="1"/>
  <c r="CW951" i="1" a="1"/>
  <c r="CW951" i="1" s="1"/>
  <c r="CW956" i="1" a="1"/>
  <c r="CW956" i="1" s="1"/>
  <c r="CW957" i="1" a="1"/>
  <c r="CW957" i="1" s="1"/>
  <c r="CW962" i="1" a="1"/>
  <c r="CW962" i="1" s="1"/>
  <c r="CW973" i="1" a="1"/>
  <c r="CW973" i="1" s="1"/>
  <c r="CW974" i="1" a="1"/>
  <c r="CW974" i="1" s="1"/>
  <c r="CW976" i="1" a="1"/>
  <c r="CW976" i="1" s="1"/>
  <c r="CW977" i="1" a="1"/>
  <c r="CW977" i="1" s="1"/>
  <c r="CW978" i="1" a="1"/>
  <c r="CW978" i="1" s="1"/>
  <c r="CW979" i="1" a="1"/>
  <c r="CW979" i="1" s="1"/>
  <c r="CW980" i="1" a="1"/>
  <c r="CW980" i="1" s="1"/>
  <c r="CW982" i="1" a="1"/>
  <c r="CW982" i="1" s="1"/>
  <c r="CW983" i="1" a="1"/>
  <c r="CW983" i="1" s="1"/>
  <c r="CW984" i="1" a="1"/>
  <c r="CW984" i="1" s="1"/>
  <c r="CW985" i="1" a="1"/>
  <c r="CW985" i="1" s="1"/>
  <c r="CW986" i="1" a="1"/>
  <c r="CW986" i="1" s="1"/>
  <c r="CW987" i="1" a="1"/>
  <c r="CW987" i="1" s="1"/>
  <c r="CW988" i="1" a="1"/>
  <c r="CW988" i="1" s="1"/>
  <c r="CW990" i="1" a="1"/>
  <c r="CW990" i="1" s="1"/>
  <c r="CW991" i="1" a="1"/>
  <c r="CW991" i="1" s="1"/>
  <c r="CW993" i="1" a="1"/>
  <c r="CW993" i="1" s="1"/>
  <c r="CW1001" i="1" a="1"/>
  <c r="CW1001" i="1" s="1"/>
  <c r="CW1002" i="1" a="1"/>
  <c r="CW1002" i="1" s="1"/>
  <c r="CW1005" i="1" a="1"/>
  <c r="CW1005" i="1" s="1"/>
  <c r="CW1006" i="1" a="1"/>
  <c r="CW1006" i="1" s="1"/>
  <c r="CW1007" i="1" a="1"/>
  <c r="CW1007" i="1" s="1"/>
  <c r="CW1009" i="1" a="1"/>
  <c r="CW1009" i="1" s="1"/>
  <c r="CW1010" i="1" a="1"/>
  <c r="CW1010" i="1" s="1"/>
  <c r="CW1011" i="1" a="1"/>
  <c r="CW1011" i="1" s="1"/>
  <c r="CW1013" i="1" a="1"/>
  <c r="CW1013" i="1" s="1"/>
  <c r="CW1014" i="1" a="1"/>
  <c r="CW1014" i="1" s="1"/>
  <c r="CW1015" i="1" a="1"/>
  <c r="CW1015" i="1" s="1"/>
  <c r="CW1017" i="1" a="1"/>
  <c r="CW1017" i="1" s="1"/>
  <c r="CW1018" i="1" a="1"/>
  <c r="CW1018" i="1" s="1"/>
  <c r="CW1019" i="1" a="1"/>
  <c r="CW1019" i="1" s="1"/>
  <c r="CW1020" i="1" a="1"/>
  <c r="CW1020" i="1" s="1"/>
  <c r="CW1021" i="1" a="1"/>
  <c r="CW1021" i="1" s="1"/>
  <c r="CW1022" i="1" a="1"/>
  <c r="CW1022" i="1" s="1"/>
  <c r="CW1023" i="1" a="1"/>
  <c r="CW1023" i="1" s="1"/>
  <c r="CW1024" i="1" a="1"/>
  <c r="CW1024" i="1" s="1"/>
  <c r="CW1025" i="1" a="1"/>
  <c r="CW1025" i="1" s="1"/>
  <c r="CW1026" i="1" a="1"/>
  <c r="CW1026" i="1" s="1"/>
  <c r="CW1027" i="1" a="1"/>
  <c r="CW1027" i="1" s="1"/>
  <c r="CW1028" i="1" a="1"/>
  <c r="CW1028" i="1" s="1"/>
  <c r="CW1029" i="1" a="1"/>
  <c r="CW1029" i="1" s="1"/>
  <c r="CW1030" i="1" a="1"/>
  <c r="CW1030" i="1" s="1"/>
  <c r="CW1031" i="1" a="1"/>
  <c r="CW1031" i="1" s="1"/>
  <c r="CW1032" i="1" a="1"/>
  <c r="CW1032" i="1" s="1"/>
  <c r="CW1033" i="1" a="1"/>
  <c r="CW1033" i="1" s="1"/>
  <c r="CW1034" i="1" a="1"/>
  <c r="CW1034" i="1" s="1"/>
  <c r="CW1035" i="1" a="1"/>
  <c r="CW1035" i="1" s="1"/>
  <c r="CW1036" i="1" a="1"/>
  <c r="CW1036" i="1" s="1"/>
  <c r="CW1037" i="1" a="1"/>
  <c r="CW1037" i="1" s="1"/>
  <c r="CW1038" i="1" a="1"/>
  <c r="CW1038" i="1" s="1"/>
  <c r="CW1039" i="1" a="1"/>
  <c r="CW1039" i="1" s="1"/>
  <c r="CW1040" i="1" a="1"/>
  <c r="CW1040" i="1" s="1"/>
  <c r="CW1041" i="1" a="1"/>
  <c r="CW1041" i="1" s="1"/>
  <c r="CW1042" i="1" a="1"/>
  <c r="CW1042" i="1" s="1"/>
  <c r="CW1043" i="1" a="1"/>
  <c r="CW1043" i="1" s="1"/>
  <c r="CW1044" i="1" a="1"/>
  <c r="CW1044" i="1" s="1"/>
  <c r="CW1068" i="1" a="1"/>
  <c r="CW1068" i="1" s="1"/>
  <c r="CW1069" i="1" a="1"/>
  <c r="CW1069" i="1" s="1"/>
  <c r="CW1071" i="1" a="1"/>
  <c r="CW1071" i="1" s="1"/>
  <c r="CW1072" i="1" a="1"/>
  <c r="CW1072" i="1" s="1"/>
  <c r="CW1073" i="1" a="1"/>
  <c r="CW1073" i="1" s="1"/>
  <c r="CW1074" i="1" a="1"/>
  <c r="CW1074" i="1" s="1"/>
  <c r="CW1075" i="1" a="1"/>
  <c r="CW1075" i="1" s="1"/>
  <c r="CW1076" i="1" a="1"/>
  <c r="CW1076" i="1" s="1"/>
  <c r="CW1080" i="1" a="1"/>
  <c r="CW1080" i="1" s="1"/>
  <c r="CW1081" i="1" a="1"/>
  <c r="CW1081" i="1" s="1"/>
  <c r="CW1091" i="1" a="1"/>
  <c r="CW1091" i="1" s="1"/>
  <c r="CW1092" i="1" a="1"/>
  <c r="CW1092" i="1" s="1"/>
  <c r="CW1093" i="1" a="1"/>
  <c r="CW1093" i="1" s="1"/>
  <c r="CW1094" i="1" a="1"/>
  <c r="CW1094" i="1" s="1"/>
  <c r="CW1095" i="1" a="1"/>
  <c r="CW1095" i="1" s="1"/>
  <c r="CW1096" i="1" a="1"/>
  <c r="CW1096" i="1" s="1"/>
  <c r="CW1099" i="1" a="1"/>
  <c r="CW1099" i="1" s="1"/>
  <c r="CW1100" i="1" a="1"/>
  <c r="CW1100" i="1" s="1"/>
  <c r="CW1102" i="1" a="1"/>
  <c r="CW1102" i="1" s="1"/>
  <c r="CW1103" i="1" a="1"/>
  <c r="CW1103" i="1" s="1"/>
  <c r="CW1104" i="1" a="1"/>
  <c r="CW1104" i="1" s="1"/>
  <c r="CW1105" i="1" a="1"/>
  <c r="CW1105" i="1" s="1"/>
  <c r="CW1106" i="1" a="1"/>
  <c r="CW1106" i="1" s="1"/>
  <c r="CW1108" i="1" a="1"/>
  <c r="CW1108" i="1" s="1"/>
  <c r="CW1109" i="1" a="1"/>
  <c r="CW1109" i="1" s="1"/>
  <c r="CW1110" i="1" a="1"/>
  <c r="CW1110" i="1" s="1"/>
  <c r="CW1111" i="1" a="1"/>
  <c r="CW1111" i="1" s="1"/>
  <c r="CW1112" i="1" a="1"/>
  <c r="CW1112" i="1" s="1"/>
  <c r="CW1113" i="1" a="1"/>
  <c r="CW1113" i="1" s="1"/>
  <c r="CW1114" i="1" a="1"/>
  <c r="CW1114" i="1" s="1"/>
  <c r="CW1115" i="1" a="1"/>
  <c r="CW1115" i="1" s="1"/>
  <c r="CW1116" i="1" a="1"/>
  <c r="CW1116" i="1" s="1"/>
  <c r="CW1117" i="1" a="1"/>
  <c r="CW1117" i="1" s="1"/>
  <c r="CW1118" i="1" a="1"/>
  <c r="CW1118" i="1" s="1"/>
  <c r="CW1119" i="1" a="1"/>
  <c r="CW1119" i="1" s="1"/>
  <c r="CW1120" i="1" a="1"/>
  <c r="CW1120" i="1" s="1"/>
  <c r="CW1121" i="1" a="1"/>
  <c r="CW1121" i="1" s="1"/>
  <c r="CW1122" i="1" a="1"/>
  <c r="CW1122" i="1" s="1"/>
  <c r="CW1123" i="1" a="1"/>
  <c r="CW1123" i="1" s="1"/>
  <c r="CW1127" i="1" a="1"/>
  <c r="CW1127" i="1" s="1"/>
  <c r="CW1128" i="1" a="1"/>
  <c r="CW1128" i="1" s="1"/>
  <c r="CW1129" i="1" a="1"/>
  <c r="CW1129" i="1" s="1"/>
  <c r="CW1130" i="1" a="1"/>
  <c r="CW1130" i="1" s="1"/>
  <c r="CW1131" i="1" a="1"/>
  <c r="CW1131" i="1" s="1"/>
  <c r="CW1132" i="1" a="1"/>
  <c r="CW1132" i="1" s="1"/>
  <c r="CW1133" i="1" a="1"/>
  <c r="CW1133" i="1" s="1"/>
  <c r="CW1134" i="1" a="1"/>
  <c r="CW1134" i="1" s="1"/>
  <c r="CW1135" i="1" a="1"/>
  <c r="CW1135" i="1" s="1"/>
  <c r="CW1136" i="1" a="1"/>
  <c r="CW1136" i="1" s="1"/>
  <c r="CW1137" i="1" a="1"/>
  <c r="CW1137" i="1" s="1"/>
  <c r="CW1138" i="1" a="1"/>
  <c r="CW1138" i="1" s="1"/>
  <c r="CW1139" i="1" a="1"/>
  <c r="CW1139" i="1" s="1"/>
  <c r="CW1140" i="1" a="1"/>
  <c r="CW1140" i="1" s="1"/>
  <c r="CW1141" i="1" a="1"/>
  <c r="CW1141" i="1" s="1"/>
  <c r="CW1142" i="1" a="1"/>
  <c r="CW1142" i="1" s="1"/>
  <c r="CW1143" i="1" a="1"/>
  <c r="CW1143" i="1" s="1"/>
  <c r="CW1144" i="1" a="1"/>
  <c r="CW1144" i="1" s="1"/>
  <c r="CW1145" i="1" a="1"/>
  <c r="CW1145" i="1" s="1"/>
  <c r="CW1146" i="1" a="1"/>
  <c r="CW1146" i="1" s="1"/>
  <c r="CW1147" i="1" a="1"/>
  <c r="CW1147" i="1" s="1"/>
  <c r="CW1148" i="1" a="1"/>
  <c r="CW1148" i="1" s="1"/>
  <c r="CW1149" i="1" a="1"/>
  <c r="CW1149" i="1" s="1"/>
  <c r="CW1150" i="1" a="1"/>
  <c r="CW1150" i="1" s="1"/>
  <c r="CW1151" i="1" a="1"/>
  <c r="CW1151" i="1" s="1"/>
  <c r="CW1152" i="1" a="1"/>
  <c r="CW1152" i="1" s="1"/>
  <c r="CW1153" i="1" a="1"/>
  <c r="CW1153" i="1" s="1"/>
  <c r="CW1154" i="1" a="1"/>
  <c r="CW1154" i="1" s="1"/>
  <c r="CW1155" i="1" a="1"/>
  <c r="CW1155" i="1" s="1"/>
  <c r="CW1157" i="1" a="1"/>
  <c r="CW1157" i="1" s="1"/>
  <c r="CW1158" i="1" a="1"/>
  <c r="CW1158" i="1" s="1"/>
  <c r="CW1159" i="1" a="1"/>
  <c r="CW1159" i="1" s="1"/>
  <c r="CW1161" i="1" a="1"/>
  <c r="CW1161" i="1" s="1"/>
  <c r="CW1162" i="1" a="1"/>
  <c r="CW1162" i="1" s="1"/>
  <c r="CW1163" i="1" a="1"/>
  <c r="CW1163" i="1" s="1"/>
  <c r="CW1164" i="1" a="1"/>
  <c r="CW1164" i="1" s="1"/>
  <c r="CW1165" i="1" a="1"/>
  <c r="CW1165" i="1" s="1"/>
  <c r="CW1166" i="1" a="1"/>
  <c r="CW1166" i="1" s="1"/>
  <c r="CW1167" i="1" a="1"/>
  <c r="CW1167" i="1" s="1"/>
  <c r="CW1168" i="1" a="1"/>
  <c r="CW1168" i="1" s="1"/>
  <c r="CW1169" i="1" a="1"/>
  <c r="CW1169" i="1" s="1"/>
  <c r="CW1170" i="1" a="1"/>
  <c r="CW1170" i="1" s="1"/>
  <c r="CW1171" i="1" a="1"/>
  <c r="CW1171" i="1" s="1"/>
  <c r="CW1172" i="1" a="1"/>
  <c r="CW1172" i="1" s="1"/>
  <c r="CW1173" i="1" a="1"/>
  <c r="CW1173" i="1" s="1"/>
  <c r="CW1174" i="1" a="1"/>
  <c r="CW1174" i="1" s="1"/>
  <c r="CW1175" i="1" a="1"/>
  <c r="CW1175" i="1" s="1"/>
  <c r="CW1176" i="1" a="1"/>
  <c r="CW1176" i="1" s="1"/>
  <c r="CW1177" i="1" a="1"/>
  <c r="CW1177" i="1" s="1"/>
  <c r="CW1178" i="1" a="1"/>
  <c r="CW1178" i="1" s="1"/>
  <c r="CW1179" i="1" a="1"/>
  <c r="CW1179" i="1" s="1"/>
  <c r="CW1180" i="1" a="1"/>
  <c r="CW1180" i="1" s="1"/>
  <c r="CW1181" i="1" a="1"/>
  <c r="CW1181" i="1" s="1"/>
  <c r="CW1182" i="1" a="1"/>
  <c r="CW1182" i="1" s="1"/>
  <c r="CW1183" i="1" a="1"/>
  <c r="CW1183" i="1" s="1"/>
  <c r="CW1184" i="1" a="1"/>
  <c r="CW1184" i="1" s="1"/>
  <c r="CW1185" i="1" a="1"/>
  <c r="CW1185" i="1" s="1"/>
  <c r="CW1186" i="1" a="1"/>
  <c r="CW1186" i="1" s="1"/>
  <c r="CW1187" i="1" a="1"/>
  <c r="CW1187" i="1" s="1"/>
  <c r="CW1188" i="1" a="1"/>
  <c r="CW1188" i="1" s="1"/>
  <c r="CW1189" i="1" a="1"/>
  <c r="CW1189" i="1" s="1"/>
  <c r="CW1190" i="1" a="1"/>
  <c r="CW1190" i="1" s="1"/>
  <c r="CW1191" i="1" a="1"/>
  <c r="CW1191" i="1" s="1"/>
  <c r="CW1192" i="1" a="1"/>
  <c r="CW1192" i="1" s="1"/>
  <c r="CW1193" i="1" a="1"/>
  <c r="CW1193" i="1" s="1"/>
  <c r="CW1194" i="1" a="1"/>
  <c r="CW1194" i="1" s="1"/>
  <c r="CW1197" i="1" a="1"/>
  <c r="CW1197" i="1" s="1"/>
  <c r="CW1198" i="1" a="1"/>
  <c r="CW1198" i="1" s="1"/>
  <c r="CW1199" i="1" a="1"/>
  <c r="CW1199" i="1" s="1"/>
  <c r="CW1200" i="1" a="1"/>
  <c r="CW1200" i="1" s="1"/>
  <c r="CW1201" i="1" a="1"/>
  <c r="CW1201" i="1" s="1"/>
  <c r="CW1083" i="1" a="1"/>
  <c r="CW1083" i="1" s="1"/>
  <c r="CW473" i="1" a="1"/>
  <c r="CW473" i="1" s="1"/>
  <c r="CW1213" i="1" a="1"/>
  <c r="CW1213" i="1" s="1"/>
  <c r="CW41" i="1" a="1"/>
  <c r="CW41" i="1" s="1"/>
  <c r="CW645" i="1" a="1"/>
  <c r="CW645" i="1" s="1"/>
  <c r="CW431" i="1" a="1"/>
  <c r="CW431" i="1" s="1"/>
  <c r="CW995" i="1" a="1"/>
  <c r="CW995" i="1" s="1"/>
  <c r="CW1051" i="1" a="1"/>
  <c r="CW1051" i="1" s="1"/>
  <c r="CW104" i="1" a="1"/>
  <c r="CW104" i="1" s="1"/>
  <c r="CW1067" i="1" a="1"/>
  <c r="CW1067" i="1" s="1"/>
  <c r="CW324" i="1" a="1"/>
  <c r="CW324" i="1" s="1"/>
  <c r="CW614" i="1" a="1"/>
  <c r="CW614" i="1" s="1"/>
  <c r="CW963" i="1" a="1"/>
  <c r="CW963" i="1" s="1"/>
  <c r="CW3" i="1" a="1"/>
  <c r="CW3" i="1" s="1"/>
  <c r="CW31" i="1" a="1"/>
  <c r="CW31" i="1" s="1"/>
  <c r="CW1097" i="1" a="1"/>
  <c r="CW1097" i="1" s="1"/>
  <c r="CW549" i="1" a="1"/>
  <c r="CW549" i="1" s="1"/>
  <c r="CW837" i="1" a="1"/>
  <c r="CW837" i="1" s="1"/>
  <c r="CW609" i="1" a="1"/>
  <c r="CW609" i="1" s="1"/>
  <c r="CW604" i="1" a="1"/>
  <c r="CW604" i="1" s="1"/>
  <c r="CW538" i="1" a="1"/>
  <c r="CW538" i="1" s="1"/>
  <c r="CW648" i="1" a="1"/>
  <c r="CW648" i="1" s="1"/>
  <c r="CW519" i="1" a="1"/>
  <c r="CW519" i="1" s="1"/>
  <c r="CW958" i="1" a="1"/>
  <c r="CW958" i="1" s="1"/>
  <c r="CW82" i="1" a="1"/>
  <c r="CW82" i="1" s="1"/>
  <c r="CW208" i="1" a="1"/>
  <c r="CW208" i="1" s="1"/>
  <c r="CW299" i="1" a="1"/>
  <c r="CW299" i="1" s="1"/>
  <c r="CW909" i="1" a="1"/>
  <c r="CW909" i="1" s="1"/>
  <c r="CW65" i="1" a="1"/>
  <c r="CW65" i="1" s="1"/>
  <c r="CW964" i="1" a="1"/>
  <c r="CW964" i="1" s="1"/>
  <c r="CW1082" i="1" a="1"/>
  <c r="CW1082" i="1" s="1"/>
  <c r="CW992" i="1" a="1"/>
  <c r="CW992" i="1" s="1"/>
  <c r="CW108" i="1" a="1"/>
  <c r="CW108" i="1" s="1"/>
  <c r="CW703" i="1" a="1"/>
  <c r="CW703" i="1" s="1"/>
  <c r="CW907" i="1" a="1"/>
  <c r="CW907" i="1" s="1"/>
  <c r="CW517" i="1" a="1"/>
  <c r="CW517" i="1" s="1"/>
  <c r="CW618" i="1" a="1"/>
  <c r="CW618" i="1" s="1"/>
  <c r="CW51" i="1" a="1"/>
  <c r="CW51" i="1" s="1"/>
  <c r="CW757" i="1" a="1"/>
  <c r="CW757" i="1" s="1"/>
  <c r="CW638" i="1" a="1"/>
  <c r="CW638" i="1" s="1"/>
  <c r="CW92" i="1" a="1"/>
  <c r="CW92" i="1" s="1"/>
  <c r="CW501" i="1" a="1"/>
  <c r="CW501" i="1" s="1"/>
  <c r="CW1070" i="1" a="1"/>
  <c r="CW1070" i="1" s="1"/>
  <c r="CW350" i="1" a="1"/>
  <c r="CW350" i="1" s="1"/>
  <c r="CW530" i="1" a="1"/>
  <c r="CW530" i="1" s="1"/>
  <c r="CW4" i="1" a="1"/>
  <c r="CW4" i="1" s="1"/>
  <c r="CW222" i="1" a="1"/>
  <c r="CW222" i="1" s="1"/>
  <c r="CW359" i="1" a="1"/>
  <c r="CW359" i="1" s="1"/>
  <c r="CW654" i="1" a="1"/>
  <c r="CW654" i="1" s="1"/>
  <c r="CW337" i="1" a="1"/>
  <c r="CW337" i="1" s="1"/>
  <c r="CW952" i="1" a="1"/>
  <c r="CW952" i="1" s="1"/>
  <c r="CW185" i="1" a="1"/>
  <c r="CW185" i="1" s="1"/>
  <c r="CW910" i="1" a="1"/>
  <c r="CW910" i="1" s="1"/>
  <c r="CW833" i="1" a="1"/>
  <c r="CW833" i="1" s="1"/>
  <c r="CW927" i="1" a="1"/>
  <c r="CW927" i="1" s="1"/>
  <c r="CW454" i="1" a="1"/>
  <c r="CW454" i="1" s="1"/>
  <c r="CW822" i="1" a="1"/>
  <c r="CW822" i="1" s="1"/>
  <c r="CW198" i="1" a="1"/>
  <c r="CW198" i="1" s="1"/>
  <c r="CW646" i="1" a="1"/>
  <c r="CW646" i="1" s="1"/>
  <c r="CW543" i="1" a="1"/>
  <c r="CW543" i="1" s="1"/>
  <c r="CW304" i="1" a="1"/>
  <c r="CW304" i="1" s="1"/>
  <c r="CW26" i="1" a="1"/>
  <c r="CW26" i="1" s="1"/>
  <c r="CW398" i="1" a="1"/>
  <c r="CW398" i="1" s="1"/>
  <c r="CW45" i="1" a="1"/>
  <c r="CW45" i="1" s="1"/>
  <c r="CW1215" i="1" a="1"/>
  <c r="CW1215" i="1" s="1"/>
  <c r="CW1195" i="1" a="1"/>
  <c r="CW1195" i="1" s="1"/>
  <c r="CW469" i="1" a="1"/>
  <c r="CW469" i="1" s="1"/>
  <c r="CW246" i="1" a="1"/>
  <c r="CW246" i="1" s="1"/>
  <c r="CW288" i="1" a="1"/>
  <c r="CW288" i="1" s="1"/>
  <c r="CW360" i="1" a="1"/>
  <c r="CW360" i="1" s="1"/>
  <c r="CW73" i="1" a="1"/>
  <c r="CW73" i="1" s="1"/>
  <c r="CW554" i="1" a="1"/>
  <c r="CW554" i="1" s="1"/>
  <c r="CW294" i="1" a="1"/>
  <c r="CW294" i="1" s="1"/>
  <c r="CW1124" i="1" a="1"/>
  <c r="CW1124" i="1" s="1"/>
  <c r="CW953" i="1" a="1"/>
  <c r="CW953" i="1" s="1"/>
  <c r="CW67" i="1" a="1"/>
  <c r="CW67" i="1" s="1"/>
  <c r="CW58" i="1" a="1"/>
  <c r="CW58" i="1" s="1"/>
  <c r="CW870" i="1" a="1"/>
  <c r="CW870" i="1" s="1"/>
  <c r="CW325" i="1" a="1"/>
  <c r="CW325" i="1" s="1"/>
  <c r="CW1059" i="1" a="1"/>
  <c r="CW1059" i="1" s="1"/>
  <c r="CW74" i="1" a="1"/>
  <c r="CW74" i="1" s="1"/>
  <c r="CW569" i="1" a="1"/>
  <c r="CW569" i="1" s="1"/>
  <c r="CW42" i="1" a="1"/>
  <c r="CW42" i="1" s="1"/>
  <c r="CW382" i="1" a="1"/>
  <c r="CW382" i="1" s="1"/>
  <c r="CW32" i="1" a="1"/>
  <c r="CW32" i="1" s="1"/>
  <c r="CW928" i="1" a="1"/>
  <c r="CW928" i="1" s="1"/>
  <c r="CW639" i="1" a="1"/>
  <c r="CW639" i="1" s="1"/>
  <c r="CW857" i="1" a="1"/>
  <c r="CW857" i="1" s="1"/>
  <c r="CW1045" i="1" a="1"/>
  <c r="CW1045" i="1" s="1"/>
  <c r="CW68" i="1" a="1"/>
  <c r="CW68" i="1" s="1"/>
  <c r="CW1085" i="1" a="1"/>
  <c r="CW1085" i="1" s="1"/>
  <c r="CW251" i="1" a="1"/>
  <c r="CW251" i="1" s="1"/>
  <c r="CW529" i="1" a="1"/>
  <c r="CW529" i="1" s="1"/>
  <c r="CW5" i="1" a="1"/>
  <c r="CW5" i="1" s="1"/>
  <c r="CW1000" i="1" a="1"/>
  <c r="CW1000" i="1" s="1"/>
  <c r="CW60" i="1" a="1"/>
  <c r="CW60" i="1" s="1"/>
  <c r="CW1060" i="1" a="1"/>
  <c r="CW1060" i="1" s="1"/>
  <c r="CW432" i="1" a="1"/>
  <c r="CW432" i="1" s="1"/>
  <c r="CW1214" i="1" a="1"/>
  <c r="CW1214" i="1" s="1"/>
  <c r="CW635" i="1" a="1"/>
  <c r="CW635" i="1" s="1"/>
  <c r="CW300" i="1" a="1"/>
  <c r="CW300" i="1" s="1"/>
  <c r="CW52" i="1" a="1"/>
  <c r="CW52" i="1" s="1"/>
  <c r="CW192" i="1" a="1"/>
  <c r="CW192" i="1" s="1"/>
  <c r="CW86" i="1" a="1"/>
  <c r="CW86" i="1" s="1"/>
  <c r="CW1211" i="1" a="1"/>
  <c r="CW1211" i="1" s="1"/>
  <c r="CW411" i="1" a="1"/>
  <c r="CW411" i="1" s="1"/>
  <c r="CW1077" i="1" a="1"/>
  <c r="CW1077" i="1" s="1"/>
  <c r="CW289" i="1" a="1"/>
  <c r="CW289" i="1" s="1"/>
  <c r="CW502" i="1" a="1"/>
  <c r="CW502" i="1" s="1"/>
  <c r="CW503" i="1" a="1"/>
  <c r="CW503" i="1" s="1"/>
  <c r="CW961" i="1" a="1"/>
  <c r="CW961" i="1" s="1"/>
  <c r="CW399" i="1" a="1"/>
  <c r="CW399" i="1" s="1"/>
  <c r="CW842" i="1" a="1"/>
  <c r="CW842" i="1" s="1"/>
  <c r="CW284" i="1" a="1"/>
  <c r="CW284" i="1" s="1"/>
  <c r="CW1049" i="1" a="1"/>
  <c r="CW1049" i="1" s="1"/>
  <c r="CW35" i="1" a="1"/>
  <c r="CW35" i="1" s="1"/>
  <c r="CW211" i="1" a="1"/>
  <c r="CW211" i="1" s="1"/>
  <c r="CW515" i="1" a="1"/>
  <c r="CW515" i="1" s="1"/>
  <c r="CW840" i="1" a="1"/>
  <c r="CW840" i="1" s="1"/>
  <c r="CW537" i="1" a="1"/>
  <c r="CW537" i="1" s="1"/>
  <c r="CW356" i="1" a="1"/>
  <c r="CW356" i="1" s="1"/>
  <c r="CW981" i="1" a="1"/>
  <c r="CW981" i="1" s="1"/>
  <c r="CW965" i="1" a="1"/>
  <c r="CW965" i="1" s="1"/>
  <c r="CW305" i="1" a="1"/>
  <c r="CW305" i="1" s="1"/>
  <c r="CW290" i="1" a="1"/>
  <c r="CW290" i="1" s="1"/>
  <c r="CW297" i="1" a="1"/>
  <c r="CW297" i="1" s="1"/>
  <c r="CW87" i="1" a="1"/>
  <c r="CW87" i="1" s="1"/>
  <c r="CW184" i="1" a="1"/>
  <c r="CW184" i="1" s="1"/>
  <c r="CW451" i="1" a="1"/>
  <c r="CW451" i="1" s="1"/>
  <c r="CW312" i="1" a="1"/>
  <c r="CW312" i="1" s="1"/>
  <c r="CW465" i="1" a="1"/>
  <c r="CW465" i="1" s="1"/>
  <c r="CW544" i="1" a="1"/>
  <c r="CW544" i="1" s="1"/>
  <c r="CW1107" i="1" a="1"/>
  <c r="CW1107" i="1" s="1"/>
  <c r="CW1222" i="1" a="1"/>
  <c r="CW1222" i="1" s="1"/>
  <c r="CW1088" i="1" a="1"/>
  <c r="CW1088" i="1" s="1"/>
  <c r="CW383" i="1" a="1"/>
  <c r="CW383" i="1" s="1"/>
  <c r="CW636" i="1" a="1"/>
  <c r="CW636" i="1" s="1"/>
  <c r="CW27" i="1" a="1"/>
  <c r="CW27" i="1" s="1"/>
  <c r="CW130" i="1" a="1"/>
  <c r="CW130" i="1" s="1"/>
  <c r="CW814" i="1" a="1"/>
  <c r="CW814" i="1" s="1"/>
  <c r="CW966" i="1" a="1"/>
  <c r="CW966" i="1" s="1"/>
  <c r="CW1204" i="1" a="1"/>
  <c r="CW1204" i="1" s="1"/>
  <c r="CW972" i="1" a="1"/>
  <c r="CW972" i="1" s="1"/>
  <c r="CW867" i="1" a="1"/>
  <c r="CW867" i="1" s="1"/>
  <c r="CW748" i="1" a="1"/>
  <c r="CW748" i="1" s="1"/>
  <c r="CW59" i="1" a="1"/>
  <c r="CW59" i="1" s="1"/>
  <c r="CW727" i="1" a="1"/>
  <c r="CW727" i="1" s="1"/>
  <c r="CW301" i="1" a="1"/>
  <c r="CW301" i="1" s="1"/>
  <c r="CW64" i="1" a="1"/>
  <c r="CW64" i="1" s="1"/>
  <c r="CW1052" i="1" a="1"/>
  <c r="CW1052" i="1" s="1"/>
  <c r="CW1126" i="1" a="1"/>
  <c r="CW1126" i="1" s="1"/>
  <c r="CW316" i="1" a="1"/>
  <c r="CW316" i="1" s="1"/>
  <c r="CW314" i="1" a="1"/>
  <c r="CW314" i="1" s="1"/>
  <c r="CW536" i="1" a="1"/>
  <c r="CW536" i="1" s="1"/>
  <c r="CW53" i="1" a="1"/>
  <c r="CW53" i="1" s="1"/>
  <c r="CW687" i="1" a="1"/>
  <c r="CW687" i="1" s="1"/>
  <c r="CW40" i="1" a="1"/>
  <c r="CW40" i="1" s="1"/>
  <c r="CW322" i="1" a="1"/>
  <c r="CW322" i="1" s="1"/>
  <c r="CW841" i="1" a="1"/>
  <c r="CW841" i="1" s="1"/>
  <c r="CW498" i="1" a="1"/>
  <c r="CW498" i="1" s="1"/>
  <c r="CW1218" i="1" a="1"/>
  <c r="CW1218" i="1" s="1"/>
  <c r="CW397" i="1" a="1"/>
  <c r="CW397" i="1" s="1"/>
  <c r="CW24" i="1" a="1"/>
  <c r="CW24" i="1" s="1"/>
  <c r="CW186" i="1" a="1"/>
  <c r="CW186" i="1" s="1"/>
  <c r="CW455" i="1" a="1"/>
  <c r="CW455" i="1" s="1"/>
  <c r="CW929" i="1" a="1"/>
  <c r="CW929" i="1" s="1"/>
  <c r="CW740" i="1" a="1"/>
  <c r="CW740" i="1" s="1"/>
  <c r="CW1219" i="1" a="1"/>
  <c r="CW1219" i="1" s="1"/>
  <c r="CW567" i="1" a="1"/>
  <c r="CW567" i="1" s="1"/>
  <c r="CW357" i="1" a="1"/>
  <c r="CW357" i="1" s="1"/>
  <c r="CW488" i="1" a="1"/>
  <c r="CW488" i="1" s="1"/>
  <c r="CW351" i="1" a="1"/>
  <c r="CW351" i="1" s="1"/>
  <c r="CW568" i="1" a="1"/>
  <c r="CW568" i="1" s="1"/>
  <c r="CW81" i="1" a="1"/>
  <c r="CW81" i="1" s="1"/>
  <c r="CW996" i="1" a="1"/>
  <c r="CW996" i="1" s="1"/>
  <c r="CW247" i="1" a="1"/>
  <c r="CW247" i="1" s="1"/>
  <c r="CW616" i="1" a="1"/>
  <c r="CW616" i="1" s="1"/>
  <c r="CW913" i="1" a="1"/>
  <c r="CW913" i="1" s="1"/>
  <c r="CW1090" i="1" a="1"/>
  <c r="CW1090" i="1" s="1"/>
  <c r="CW892" i="1" a="1"/>
  <c r="CW892" i="1" s="1"/>
  <c r="CW6" i="1" a="1"/>
  <c r="CW6" i="1" s="1"/>
  <c r="CW199" i="1" a="1"/>
  <c r="CW199" i="1" s="1"/>
  <c r="CW1216" i="1" a="1"/>
  <c r="CW1216" i="1" s="1"/>
  <c r="CW323" i="1" a="1"/>
  <c r="CW323" i="1" s="1"/>
  <c r="CW1205" i="1" a="1"/>
  <c r="CW1205" i="1" s="1"/>
  <c r="CW457" i="1" a="1"/>
  <c r="CW457" i="1" s="1"/>
  <c r="CW555" i="1" a="1"/>
  <c r="CW555" i="1" s="1"/>
  <c r="CW1125" i="1" a="1"/>
  <c r="CW1125" i="1" s="1"/>
  <c r="CW93" i="1" a="1"/>
  <c r="CW93" i="1" s="1"/>
  <c r="CW200" i="1" a="1"/>
  <c r="CW200" i="1" s="1"/>
  <c r="CW466" i="1" a="1"/>
  <c r="CW466" i="1" s="1"/>
  <c r="CW585" i="1" a="1"/>
  <c r="CW585" i="1" s="1"/>
  <c r="CW43" i="1" a="1"/>
  <c r="CW43" i="1" s="1"/>
  <c r="CW419" i="1" a="1"/>
  <c r="CW419" i="1" s="1"/>
  <c r="CW1156" i="1" a="1"/>
  <c r="CW1156" i="1" s="1"/>
  <c r="CW29" i="1" a="1"/>
  <c r="CW29" i="1" s="1"/>
  <c r="CW1210" i="1" a="1"/>
  <c r="CW1210" i="1" s="1"/>
  <c r="CW495" i="1" a="1"/>
  <c r="CW495" i="1" s="1"/>
  <c r="CW916" i="1" a="1"/>
  <c r="CW916" i="1" s="1"/>
  <c r="CW1050" i="1" a="1"/>
  <c r="CW1050" i="1" s="1"/>
  <c r="CW1203" i="1" a="1"/>
  <c r="CW1203" i="1" s="1"/>
  <c r="CW1221" i="1" a="1"/>
  <c r="CW1221" i="1" s="1"/>
  <c r="CW1206" i="1" a="1"/>
  <c r="CW1206" i="1" s="1"/>
  <c r="CW1012" i="1" a="1"/>
  <c r="CW1012" i="1" s="1"/>
  <c r="CW361" i="1" a="1"/>
  <c r="CW361" i="1" s="1"/>
  <c r="CW1207" i="1" a="1"/>
  <c r="CW1207" i="1" s="1"/>
  <c r="CW201" i="1" a="1"/>
  <c r="CW201" i="1" s="1"/>
  <c r="CW243" i="1" a="1"/>
  <c r="CW243" i="1" s="1"/>
  <c r="CW362" i="1" a="1"/>
  <c r="CW362" i="1" s="1"/>
  <c r="CW930" i="1" a="1"/>
  <c r="CW930" i="1" s="1"/>
  <c r="CW531" i="1" a="1"/>
  <c r="CW531" i="1" s="1"/>
  <c r="CW997" i="1" a="1"/>
  <c r="CW997" i="1" s="1"/>
  <c r="CW83" i="1" a="1"/>
  <c r="CW83" i="1" s="1"/>
  <c r="CW202" i="1" a="1"/>
  <c r="CW202" i="1" s="1"/>
  <c r="CW1004" i="1" a="1"/>
  <c r="CW1004" i="1" s="1"/>
  <c r="CW460" i="1" a="1"/>
  <c r="CW460" i="1" s="1"/>
  <c r="CW214" i="1" a="1"/>
  <c r="CW214" i="1" s="1"/>
  <c r="CW276" i="1" a="1"/>
  <c r="CW276" i="1" s="1"/>
  <c r="CW1016" i="1" a="1"/>
  <c r="CW1016" i="1" s="1"/>
  <c r="CW1061" i="1" a="1"/>
  <c r="CW1061" i="1" s="1"/>
  <c r="CW433" i="1" a="1"/>
  <c r="CW433" i="1" s="1"/>
  <c r="CW349" i="1" a="1"/>
  <c r="CW349" i="1" s="1"/>
  <c r="CW191" i="1" a="1"/>
  <c r="CW191" i="1" s="1"/>
  <c r="CW417" i="1" a="1"/>
  <c r="CW417" i="1" s="1"/>
  <c r="CW871" i="1" a="1"/>
  <c r="CW871" i="1" s="1"/>
  <c r="CW1062" i="1" a="1"/>
  <c r="CW1062" i="1" s="1"/>
  <c r="CW61" i="1" a="1"/>
  <c r="CW61" i="1" s="1"/>
  <c r="CW452" i="1" a="1"/>
  <c r="CW452" i="1" s="1"/>
  <c r="CW830" i="1" a="1"/>
  <c r="CW830" i="1" s="1"/>
  <c r="CW418" i="1" a="1"/>
  <c r="CW418" i="1" s="1"/>
  <c r="CW499" i="1" a="1"/>
  <c r="CW499" i="1" s="1"/>
  <c r="CW227" i="1" a="1"/>
  <c r="CW227" i="1" s="1"/>
  <c r="CW1053" i="1" a="1"/>
  <c r="CW1053" i="1" s="1"/>
  <c r="CW862" i="1" a="1"/>
  <c r="CW862" i="1" s="1"/>
  <c r="CW969" i="1" a="1"/>
  <c r="CW969" i="1" s="1"/>
  <c r="CW240" i="1" a="1"/>
  <c r="CW240" i="1" s="1"/>
  <c r="CW541" i="1" a="1"/>
  <c r="CW541" i="1" s="1"/>
  <c r="CW518" i="1" a="1"/>
  <c r="CW518" i="1" s="1"/>
  <c r="CW384" i="1" a="1"/>
  <c r="CW384" i="1" s="1"/>
  <c r="CW1054" i="1" a="1"/>
  <c r="CW1054" i="1" s="1"/>
  <c r="CW954" i="1" a="1"/>
  <c r="CW954" i="1" s="1"/>
  <c r="CW623" i="1" a="1"/>
  <c r="CW623" i="1" s="1"/>
  <c r="CW728" i="1" a="1"/>
  <c r="CW728" i="1" s="1"/>
  <c r="CW62" i="1" a="1"/>
  <c r="CW62" i="1" s="1"/>
  <c r="CW610" i="1" a="1"/>
  <c r="CW610" i="1" s="1"/>
  <c r="CW470" i="1" a="1"/>
  <c r="CW470" i="1" s="1"/>
  <c r="CW893" i="1" a="1"/>
  <c r="CW893" i="1" s="1"/>
  <c r="CW943" i="1" a="1"/>
  <c r="CW943" i="1" s="1"/>
  <c r="CW747" i="1" a="1"/>
  <c r="CW747" i="1" s="1"/>
  <c r="CW63" i="1" a="1"/>
  <c r="CW63" i="1" s="1"/>
  <c r="CW283" i="1" a="1"/>
  <c r="CW283" i="1" s="1"/>
  <c r="CW640" i="1" a="1"/>
  <c r="CW640" i="1" s="1"/>
  <c r="CW998" i="1" a="1"/>
  <c r="CW998" i="1" s="1"/>
  <c r="CW545" i="1" a="1"/>
  <c r="CW545" i="1" s="1"/>
  <c r="CW906" i="1" a="1"/>
  <c r="CW906" i="1" s="1"/>
  <c r="CW37" i="1" a="1"/>
  <c r="CW37" i="1" s="1"/>
  <c r="CW497" i="1" a="1"/>
  <c r="CW497" i="1" s="1"/>
  <c r="CW448" i="1" a="1"/>
  <c r="CW448" i="1" s="1"/>
  <c r="CW400" i="1" a="1"/>
  <c r="CW400" i="1" s="1"/>
  <c r="CW487" i="1" a="1"/>
  <c r="CW487" i="1" s="1"/>
  <c r="CW741" i="1" a="1"/>
  <c r="CW741" i="1" s="1"/>
  <c r="CW481" i="1" a="1"/>
  <c r="CW481" i="1" s="1"/>
  <c r="CW504" i="1" a="1"/>
  <c r="CW504" i="1" s="1"/>
  <c r="CW908" i="1" a="1"/>
  <c r="CW908" i="1" s="1"/>
  <c r="CW285" i="1" a="1"/>
  <c r="CW285" i="1" s="1"/>
  <c r="CW989" i="1" a="1"/>
  <c r="CW989" i="1" s="1"/>
  <c r="CW821" i="1" a="1"/>
  <c r="CW821" i="1" s="1"/>
  <c r="CW365" i="1" a="1"/>
  <c r="CW365" i="1" s="1"/>
  <c r="CW1063" i="1" a="1"/>
  <c r="CW1063" i="1" s="1"/>
  <c r="CW507" i="1" a="1"/>
  <c r="CW507" i="1" s="1"/>
  <c r="CW492" i="1" a="1"/>
  <c r="CW492" i="1" s="1"/>
  <c r="CW762" i="1" a="1"/>
  <c r="CW762" i="1" s="1"/>
  <c r="CW566" i="1" a="1"/>
  <c r="CW566" i="1" s="1"/>
  <c r="CW385" i="1" a="1"/>
  <c r="CW385" i="1" s="1"/>
  <c r="CW858" i="1" a="1"/>
  <c r="CW858" i="1" s="1"/>
  <c r="CW546" i="1" a="1"/>
  <c r="CW546" i="1" s="1"/>
  <c r="CW967" i="1" a="1"/>
  <c r="CW967" i="1" s="1"/>
  <c r="CW532" i="1" a="1"/>
  <c r="CW532" i="1" s="1"/>
  <c r="CW500" i="1" a="1"/>
  <c r="CW500" i="1" s="1"/>
  <c r="CW663" i="1" a="1"/>
  <c r="CW663" i="1" s="1"/>
  <c r="CW212" i="1" a="1"/>
  <c r="CW212" i="1" s="1"/>
  <c r="CW1160" i="1" a="1"/>
  <c r="CW1160" i="1" s="1"/>
  <c r="CW36" i="1" a="1"/>
  <c r="CW36" i="1" s="1"/>
  <c r="CW960" i="1" a="1"/>
  <c r="CW960" i="1" s="1"/>
  <c r="CW449" i="1" a="1"/>
  <c r="CW449" i="1" s="1"/>
  <c r="CW396" i="1" a="1"/>
  <c r="CW396" i="1" s="1"/>
  <c r="CW471" i="1" a="1"/>
  <c r="CW471" i="1" s="1"/>
  <c r="CW95" i="1" a="1"/>
  <c r="CW95" i="1" s="1"/>
  <c r="CW761" i="1" a="1"/>
  <c r="CW761" i="1" s="1"/>
  <c r="CW88" i="1" a="1"/>
  <c r="CW88" i="1" s="1"/>
  <c r="CW94" i="1" a="1"/>
  <c r="CW94" i="1" s="1"/>
  <c r="CW386" i="1" a="1"/>
  <c r="CW386" i="1" s="1"/>
  <c r="CW968" i="1" a="1"/>
  <c r="CW968" i="1" s="1"/>
  <c r="CW1101" i="1" a="1"/>
  <c r="CW1101" i="1" s="1"/>
  <c r="CW306" i="1" a="1"/>
  <c r="CW306" i="1" s="1"/>
  <c r="CW664" i="1" a="1"/>
  <c r="CW664" i="1" s="1"/>
  <c r="CW593" i="1" a="1"/>
  <c r="CW593" i="1" s="1"/>
  <c r="CW1078" i="1" a="1"/>
  <c r="CW1078" i="1" s="1"/>
  <c r="CW859" i="1" a="1"/>
  <c r="CW859" i="1" s="1"/>
  <c r="CW970" i="1" a="1"/>
  <c r="CW970" i="1" s="1"/>
  <c r="CW482" i="1" a="1"/>
  <c r="CW482" i="1" s="1"/>
  <c r="CW70" i="1" a="1"/>
  <c r="CW70" i="1" s="1"/>
  <c r="CW533" i="1" a="1"/>
  <c r="CW533" i="1" s="1"/>
  <c r="CW665" i="1" a="1"/>
  <c r="CW665" i="1" s="1"/>
  <c r="CW54" i="1" a="1"/>
  <c r="CW54" i="1" s="1"/>
  <c r="CW1008" i="1" a="1"/>
  <c r="CW1008" i="1" s="1"/>
  <c r="CW931" i="1" a="1"/>
  <c r="CW931" i="1" s="1"/>
  <c r="CW96" i="1" a="1"/>
  <c r="CW96" i="1" s="1"/>
  <c r="CW494" i="1" a="1"/>
  <c r="CW494" i="1" s="1"/>
  <c r="CW262" i="1" a="1"/>
  <c r="CW262" i="1" s="1"/>
  <c r="CW1086" i="1" a="1"/>
  <c r="CW1086" i="1" s="1"/>
  <c r="CW1217" i="1" a="1"/>
  <c r="CW1217" i="1" s="1"/>
  <c r="CW742" i="1" a="1"/>
  <c r="CW742" i="1" s="1"/>
  <c r="CW483" i="1" a="1"/>
  <c r="CW483" i="1" s="1"/>
  <c r="CW934" i="1" a="1"/>
  <c r="CW934" i="1" s="1"/>
  <c r="CW1046" i="1" a="1"/>
  <c r="CW1046" i="1" s="1"/>
  <c r="CW363" i="1" a="1"/>
  <c r="CW363" i="1" s="1"/>
  <c r="CW1047" i="1" a="1"/>
  <c r="CW1047" i="1" s="1"/>
  <c r="CW730" i="1" a="1"/>
  <c r="CW730" i="1" s="1"/>
  <c r="CW91" i="1" a="1"/>
  <c r="CW91" i="1" s="1"/>
  <c r="CW197" i="1" a="1"/>
  <c r="CW197" i="1" s="1"/>
  <c r="CW317" i="1" a="1"/>
  <c r="CW317" i="1" s="1"/>
  <c r="CW1208" i="1" a="1"/>
  <c r="CW1208" i="1" s="1"/>
  <c r="CW1003" i="1" a="1"/>
  <c r="CW1003" i="1" s="1"/>
  <c r="CW611" i="1" a="1"/>
  <c r="CW611" i="1" s="1"/>
  <c r="CW412" i="1" a="1"/>
  <c r="CW412" i="1" s="1"/>
  <c r="CW248" i="1" a="1"/>
  <c r="CW248" i="1" s="1"/>
  <c r="CW213" i="1" a="1"/>
  <c r="CW213" i="1" s="1"/>
  <c r="CW173" i="1" a="1"/>
  <c r="CW173" i="1" s="1"/>
  <c r="CW971" i="1" a="1"/>
  <c r="CW971" i="1" s="1"/>
  <c r="CW994" i="1" a="1"/>
  <c r="CW994" i="1" s="1"/>
  <c r="CW413" i="1" a="1"/>
  <c r="CW413" i="1" s="1"/>
  <c r="CW1048" i="1" a="1"/>
  <c r="CW1048" i="1" s="1"/>
  <c r="CW33" i="1" a="1"/>
  <c r="CW33" i="1" s="1"/>
  <c r="CW1064" i="1" a="1"/>
  <c r="CW1064" i="1" s="1"/>
  <c r="CW453" i="1" a="1"/>
  <c r="CW453" i="1" s="1"/>
  <c r="CW771" i="1" a="1"/>
  <c r="CW771" i="1" s="1"/>
  <c r="CW401" i="1" a="1"/>
  <c r="CW401" i="1" s="1"/>
  <c r="CW534" i="1" a="1"/>
  <c r="CW534" i="1" s="1"/>
  <c r="CW484" i="1" a="1"/>
  <c r="CW484" i="1" s="1"/>
  <c r="CW352" i="1" a="1"/>
  <c r="CW352" i="1" s="1"/>
  <c r="CW861" i="1" a="1"/>
  <c r="CW861" i="1" s="1"/>
  <c r="CW7" i="1" a="1"/>
  <c r="CW7" i="1" s="1"/>
  <c r="CW206" i="1" a="1"/>
  <c r="CW206" i="1" s="1"/>
  <c r="CW744" i="1" a="1"/>
  <c r="CW744" i="1" s="1"/>
  <c r="CW1196" i="1" a="1"/>
  <c r="CW1196" i="1" s="1"/>
  <c r="CW637" i="1" a="1"/>
  <c r="CW637" i="1" s="1"/>
  <c r="CW542" i="1" a="1"/>
  <c r="CW542" i="1" s="1"/>
  <c r="CW187" i="1" a="1"/>
  <c r="CW187" i="1" s="1"/>
  <c r="CW203" i="1" a="1"/>
  <c r="CW203" i="1" s="1"/>
  <c r="CW493" i="1" a="1"/>
  <c r="CW493" i="1" s="1"/>
  <c r="CW1055" i="1" a="1"/>
  <c r="CW1055" i="1" s="1"/>
  <c r="CW1065" i="1" a="1"/>
  <c r="CW1065" i="1" s="1"/>
  <c r="CW209" i="1" a="1"/>
  <c r="CW209" i="1" s="1"/>
  <c r="CW193" i="1" a="1"/>
  <c r="CW193" i="1" s="1"/>
  <c r="CW55" i="1" a="1"/>
  <c r="CW55" i="1" s="1"/>
  <c r="CW726" i="1" a="1"/>
  <c r="CW726" i="1" s="1"/>
  <c r="CW641" i="1" a="1"/>
  <c r="CW641" i="1" s="1"/>
  <c r="CW526" i="1" a="1"/>
  <c r="CW526" i="1" s="1"/>
  <c r="CW174" i="1" a="1"/>
  <c r="CW174" i="1" s="1"/>
  <c r="CW302" i="1" a="1"/>
  <c r="CW302" i="1" s="1"/>
  <c r="CW34" i="1" a="1"/>
  <c r="CW34" i="1" s="1"/>
  <c r="CW644" i="1" a="1"/>
  <c r="CW644" i="1" s="1"/>
  <c r="CW44" i="1" a="1"/>
  <c r="CW44" i="1" s="1"/>
  <c r="CW1220" i="1" a="1"/>
  <c r="CW1220" i="1" s="1"/>
  <c r="CW194" i="1" a="1"/>
  <c r="CW194" i="1" s="1"/>
  <c r="CW917" i="1" a="1"/>
  <c r="CW917" i="1" s="1"/>
  <c r="CW872" i="1" a="1"/>
  <c r="CW872" i="1" s="1"/>
  <c r="CW188" i="1" a="1"/>
  <c r="CW188" i="1" s="1"/>
  <c r="CW28" i="1" a="1"/>
  <c r="CW28" i="1" s="1"/>
  <c r="CW1089" i="1" a="1"/>
  <c r="CW1089" i="1" s="1"/>
  <c r="CW749" i="1" a="1"/>
  <c r="CW749" i="1" s="1"/>
  <c r="CW89" i="1" a="1"/>
  <c r="CW89" i="1" s="1"/>
  <c r="CW69" i="1" a="1"/>
  <c r="CW69" i="1" s="1"/>
  <c r="CW395" i="1" a="1"/>
  <c r="CW395" i="1" s="1"/>
  <c r="CW450" i="1" a="1"/>
  <c r="CW450" i="1" s="1"/>
  <c r="CW467" i="1" a="1"/>
  <c r="CW467" i="1" s="1"/>
  <c r="CW1066" i="1" a="1"/>
  <c r="CW1066" i="1" s="1"/>
  <c r="CW39" i="1" a="1"/>
  <c r="CW39" i="1" s="1"/>
  <c r="CW601" i="1" a="1"/>
  <c r="CW601" i="1" s="1"/>
  <c r="CW402" i="1" a="1"/>
  <c r="CW402" i="1" s="1"/>
  <c r="CW777" i="1" a="1"/>
  <c r="CW777" i="1" s="1"/>
  <c r="CW710" i="1" a="1"/>
  <c r="CW710" i="1" s="1"/>
  <c r="CW1202" i="1" a="1"/>
  <c r="CW1202" i="1" s="1"/>
  <c r="CW56" i="1" a="1"/>
  <c r="CW56" i="1" s="1"/>
  <c r="CW458" i="1" a="1"/>
  <c r="CW458" i="1" s="1"/>
  <c r="CW643" i="1" a="1"/>
  <c r="CW643" i="1" s="1"/>
  <c r="CW1058" i="1" a="1"/>
  <c r="CW1058" i="1" s="1"/>
  <c r="CW959" i="1" a="1"/>
  <c r="CW959" i="1" s="1"/>
  <c r="CW1212" i="1" a="1"/>
  <c r="CW1212" i="1" s="1"/>
  <c r="CW647" i="1" a="1"/>
  <c r="CW647" i="1" s="1"/>
  <c r="CW204" i="1" a="1"/>
  <c r="CW204" i="1" s="1"/>
  <c r="CW750" i="1" a="1"/>
  <c r="CW750" i="1" s="1"/>
  <c r="CW295" i="1" a="1"/>
  <c r="CW295" i="1" s="1"/>
  <c r="CW612" i="1" a="1"/>
  <c r="CW612" i="1" s="1"/>
  <c r="CW459" i="1" a="1"/>
  <c r="CW459" i="1" s="1"/>
  <c r="CW472" i="1" a="1"/>
  <c r="CW472" i="1" s="1"/>
  <c r="CW485" i="1" a="1"/>
  <c r="CW485" i="1" s="1"/>
  <c r="CW189" i="1" a="1"/>
  <c r="CW189" i="1" s="1"/>
  <c r="CW535" i="1" a="1"/>
  <c r="CW535" i="1" s="1"/>
  <c r="CW50" i="1" a="1"/>
  <c r="CW50" i="1" s="1"/>
  <c r="CW743" i="1" a="1"/>
  <c r="CW743" i="1" s="1"/>
  <c r="CW1209" i="1" a="1"/>
  <c r="CW1209" i="1" s="1"/>
  <c r="CW291" i="1" a="1"/>
  <c r="CW291" i="1" s="1"/>
  <c r="CW539" i="1" a="1"/>
  <c r="CW539" i="1" s="1"/>
  <c r="CW666" i="1" a="1"/>
  <c r="CW666" i="1" s="1"/>
  <c r="CW516" i="1" a="1"/>
  <c r="CW516" i="1" s="1"/>
  <c r="CW205" i="1" a="1"/>
  <c r="CW205" i="1" s="1"/>
  <c r="CW999" i="1" a="1"/>
  <c r="CW999" i="1" s="1"/>
  <c r="CW486" i="1" a="1"/>
  <c r="CW486" i="1" s="1"/>
  <c r="CW839" i="1" a="1"/>
  <c r="CW839" i="1" s="1"/>
  <c r="CW456" i="1" a="1"/>
  <c r="CW456" i="1" s="1"/>
  <c r="CW1084" i="1" a="1"/>
  <c r="CW1084" i="1" s="1"/>
  <c r="CW613" i="1" a="1"/>
  <c r="CW613" i="1" s="1"/>
  <c r="CW298" i="1" a="1"/>
  <c r="CW298" i="1" s="1"/>
  <c r="CW353" i="1" a="1"/>
  <c r="CW353" i="1" s="1"/>
  <c r="CW699" i="1" a="1"/>
  <c r="CW699" i="1" s="1"/>
  <c r="CW90" i="1" a="1"/>
  <c r="CW90" i="1" s="1"/>
  <c r="CW932" i="1" a="1"/>
  <c r="CW932" i="1" s="1"/>
  <c r="CW1056" i="1" a="1"/>
  <c r="CW1056" i="1" s="1"/>
  <c r="CW975" i="1" a="1"/>
  <c r="CW975" i="1" s="1"/>
  <c r="CW8" i="1" a="1"/>
  <c r="CW8" i="1" s="1"/>
  <c r="CW1057" i="1" a="1"/>
  <c r="CW1057" i="1" s="1"/>
  <c r="CW315" i="1" a="1"/>
  <c r="CW315" i="1" s="1"/>
  <c r="CW1098" i="1" a="1"/>
  <c r="CW1098" i="1" s="1"/>
  <c r="CW57" i="1" a="1"/>
  <c r="CW57" i="1" s="1"/>
  <c r="CW286" i="1" a="1"/>
  <c r="CW286" i="1" s="1"/>
  <c r="CW403" i="1" a="1"/>
  <c r="CW403" i="1" s="1"/>
  <c r="CW731" i="1" a="1"/>
  <c r="CW731" i="1" s="1"/>
  <c r="CW729" i="1" a="1"/>
  <c r="CW729" i="1" s="1"/>
  <c r="CW605" i="1" a="1"/>
  <c r="CW605" i="1" s="1"/>
  <c r="CW21" i="1" a="1"/>
  <c r="CW21" i="1" s="1"/>
  <c r="CW468" i="1" a="1"/>
  <c r="CW468" i="1" s="1"/>
  <c r="CW303" i="1" a="1"/>
  <c r="CW303" i="1" s="1"/>
  <c r="CW860" i="1" a="1"/>
  <c r="CW860" i="1" s="1"/>
  <c r="CW9" i="1" a="1"/>
  <c r="CW9" i="1" s="1"/>
  <c r="CW210" i="1" a="1"/>
  <c r="CW210" i="1" s="1"/>
  <c r="CW496" i="1" a="1"/>
  <c r="CW496" i="1" s="1"/>
  <c r="CW320" i="1" a="1"/>
  <c r="CW320" i="1" s="1"/>
  <c r="CW634" i="1" a="1"/>
  <c r="CW634" i="1" s="1"/>
  <c r="CW293" i="1" a="1"/>
  <c r="CW293" i="1" s="1"/>
  <c r="CW307" i="1" a="1"/>
  <c r="CW307" i="1" s="1"/>
  <c r="CW2" i="1" a="1"/>
  <c r="CW2" i="1" s="1"/>
  <c r="CW686" i="1" a="1"/>
  <c r="CW686" i="1" s="1"/>
  <c r="CW505" i="1" a="1"/>
  <c r="CW505" i="1" s="1"/>
  <c r="CW540" i="1" a="1"/>
  <c r="CW540" i="1" s="1"/>
  <c r="CW25" i="1" a="1"/>
  <c r="CW25" i="1" s="1"/>
  <c r="CW30" i="1" a="1"/>
  <c r="CW30" i="1" s="1"/>
  <c r="CW308" i="1" a="1"/>
  <c r="CW308" i="1" s="1"/>
  <c r="CW955" i="1" a="1"/>
  <c r="CW955" i="1" s="1"/>
  <c r="CW642" i="1" a="1"/>
  <c r="CW642" i="1" s="1"/>
  <c r="CW873" i="1" a="1"/>
  <c r="CW873" i="1" s="1"/>
  <c r="CW38" i="1" a="1"/>
  <c r="CW38" i="1" s="1"/>
  <c r="CW1087" i="1" a="1"/>
  <c r="CW1087" i="1" s="1"/>
  <c r="CW287" i="1" a="1"/>
  <c r="CW287" i="1" s="1"/>
  <c r="CW364" i="1" a="1"/>
  <c r="CW364" i="1" s="1"/>
  <c r="CW933" i="1" a="1"/>
  <c r="CW933" i="1" s="1"/>
  <c r="CW831" i="1" a="1"/>
  <c r="CW831" i="1" s="1"/>
  <c r="CW622" i="1" a="1"/>
  <c r="CW622" i="1" s="1"/>
  <c r="CW1079" i="1" a="1"/>
  <c r="CW1079" i="1" s="1"/>
  <c r="CW292" i="1" a="1"/>
  <c r="CW292" i="1" s="1"/>
  <c r="CW945" i="1" a="1"/>
  <c r="CW945" i="1" s="1"/>
  <c r="CW10" i="1" a="1"/>
  <c r="CW10" i="1" s="1"/>
  <c r="BI11" i="1"/>
  <c r="BI12" i="1"/>
  <c r="BI13" i="1"/>
  <c r="BI14" i="1"/>
  <c r="BI15" i="1"/>
  <c r="BI16" i="1"/>
  <c r="BI17" i="1"/>
  <c r="BI18" i="1"/>
  <c r="BI19" i="1"/>
  <c r="BI20" i="1"/>
  <c r="BI22" i="1"/>
  <c r="BI23" i="1"/>
  <c r="BI46" i="1"/>
  <c r="BI47" i="1"/>
  <c r="BI48" i="1"/>
  <c r="BI49" i="1"/>
  <c r="BI66" i="1"/>
  <c r="BI71" i="1"/>
  <c r="BI72" i="1"/>
  <c r="BI75" i="1"/>
  <c r="BI76" i="1"/>
  <c r="BI77" i="1"/>
  <c r="BI78" i="1"/>
  <c r="BI79" i="1"/>
  <c r="BI80" i="1"/>
  <c r="BI84" i="1"/>
  <c r="BI85" i="1"/>
  <c r="BI97" i="1"/>
  <c r="BI98" i="1"/>
  <c r="BI99" i="1"/>
  <c r="BI100" i="1"/>
  <c r="BI101" i="1"/>
  <c r="BI102" i="1"/>
  <c r="BI103" i="1"/>
  <c r="BI105" i="1"/>
  <c r="BI106" i="1"/>
  <c r="BI107" i="1"/>
  <c r="BI109" i="1"/>
  <c r="BI110" i="1"/>
  <c r="BI111" i="1"/>
  <c r="BI112" i="1"/>
  <c r="BI113" i="1"/>
  <c r="BI114" i="1"/>
  <c r="BI115" i="1"/>
  <c r="BI116" i="1"/>
  <c r="BI117" i="1"/>
  <c r="BI118" i="1"/>
  <c r="BI119" i="1"/>
  <c r="BI120" i="1"/>
  <c r="BI121" i="1"/>
  <c r="BI122" i="1"/>
  <c r="BI123" i="1"/>
  <c r="BI124" i="1"/>
  <c r="BI125" i="1"/>
  <c r="BI126" i="1"/>
  <c r="BI127" i="1"/>
  <c r="BI128" i="1"/>
  <c r="BI129" i="1"/>
  <c r="BI131" i="1"/>
  <c r="BI132" i="1"/>
  <c r="BI133" i="1"/>
  <c r="BI134" i="1"/>
  <c r="BI135" i="1"/>
  <c r="BI136" i="1"/>
  <c r="BI137" i="1"/>
  <c r="BI138" i="1"/>
  <c r="BI139" i="1"/>
  <c r="BI140" i="1"/>
  <c r="BI141" i="1"/>
  <c r="BI142" i="1"/>
  <c r="BI143" i="1"/>
  <c r="BI144" i="1"/>
  <c r="BI145" i="1"/>
  <c r="BI146" i="1"/>
  <c r="BI147" i="1"/>
  <c r="BI148" i="1"/>
  <c r="BI149" i="1"/>
  <c r="BI150" i="1"/>
  <c r="BI152" i="1"/>
  <c r="BI153" i="1"/>
  <c r="BI154" i="1"/>
  <c r="BI155" i="1"/>
  <c r="BI156" i="1"/>
  <c r="BI151" i="1"/>
  <c r="BI157" i="1"/>
  <c r="BI158" i="1"/>
  <c r="BI159" i="1"/>
  <c r="BI160" i="1"/>
  <c r="BI161" i="1"/>
  <c r="BI162" i="1"/>
  <c r="BI163" i="1"/>
  <c r="BI164" i="1"/>
  <c r="BI165" i="1"/>
  <c r="BI166" i="1"/>
  <c r="BI167" i="1"/>
  <c r="BI168" i="1"/>
  <c r="BI169" i="1"/>
  <c r="BI170" i="1"/>
  <c r="BI171" i="1"/>
  <c r="BI172" i="1"/>
  <c r="BI175" i="1"/>
  <c r="BI176" i="1"/>
  <c r="BI177" i="1"/>
  <c r="BI178" i="1"/>
  <c r="BI179" i="1"/>
  <c r="BI180" i="1"/>
  <c r="BI181" i="1"/>
  <c r="BI182" i="1"/>
  <c r="BI183" i="1"/>
  <c r="BI190" i="1"/>
  <c r="BI195" i="1"/>
  <c r="BI196" i="1"/>
  <c r="BI207" i="1"/>
  <c r="BI215" i="1"/>
  <c r="BI216" i="1"/>
  <c r="BI217" i="1"/>
  <c r="BI218" i="1"/>
  <c r="BI219" i="1"/>
  <c r="BI220" i="1"/>
  <c r="BI221" i="1"/>
  <c r="BI223" i="1"/>
  <c r="BI224" i="1"/>
  <c r="BI225" i="1"/>
  <c r="BI226" i="1"/>
  <c r="BI228" i="1"/>
  <c r="BI229" i="1"/>
  <c r="BI230" i="1"/>
  <c r="BI231" i="1"/>
  <c r="BI232" i="1"/>
  <c r="BI233" i="1"/>
  <c r="BI234" i="1"/>
  <c r="BI235" i="1"/>
  <c r="BI236" i="1"/>
  <c r="BI237" i="1"/>
  <c r="BI238" i="1"/>
  <c r="BI239" i="1"/>
  <c r="BI241" i="1"/>
  <c r="BI242" i="1"/>
  <c r="BI244" i="1"/>
  <c r="BI245" i="1"/>
  <c r="BI249" i="1"/>
  <c r="BI250" i="1"/>
  <c r="BI252" i="1"/>
  <c r="BI253" i="1"/>
  <c r="BI254" i="1"/>
  <c r="BI255" i="1"/>
  <c r="BI256" i="1"/>
  <c r="BI257" i="1"/>
  <c r="BI258" i="1"/>
  <c r="BI259" i="1"/>
  <c r="BI260" i="1"/>
  <c r="BI261" i="1"/>
  <c r="BI263" i="1"/>
  <c r="BI264" i="1"/>
  <c r="BI265" i="1"/>
  <c r="BI266" i="1"/>
  <c r="BI267" i="1"/>
  <c r="BI268" i="1"/>
  <c r="BI269" i="1"/>
  <c r="BI270" i="1"/>
  <c r="BI271" i="1"/>
  <c r="BI272" i="1"/>
  <c r="BI273" i="1"/>
  <c r="BI274" i="1"/>
  <c r="BI275" i="1"/>
  <c r="BI277" i="1"/>
  <c r="BI278" i="1"/>
  <c r="BI279" i="1"/>
  <c r="BI280" i="1"/>
  <c r="BI281" i="1"/>
  <c r="BI282" i="1"/>
  <c r="BI296" i="1"/>
  <c r="BI309" i="1"/>
  <c r="BI310" i="1"/>
  <c r="BI311" i="1"/>
  <c r="BI313" i="1"/>
  <c r="BI318" i="1"/>
  <c r="BI319" i="1"/>
  <c r="BI321" i="1"/>
  <c r="BI326" i="1"/>
  <c r="BI327" i="1"/>
  <c r="BI328" i="1"/>
  <c r="BI329" i="1"/>
  <c r="BI330" i="1"/>
  <c r="BI331" i="1"/>
  <c r="BI333" i="1"/>
  <c r="BI332" i="1"/>
  <c r="BI334" i="1"/>
  <c r="BI335" i="1"/>
  <c r="BI336" i="1"/>
  <c r="BI338" i="1"/>
  <c r="BI339" i="1"/>
  <c r="BI340" i="1"/>
  <c r="BI341" i="1"/>
  <c r="BI342" i="1"/>
  <c r="BI343" i="1"/>
  <c r="BI344" i="1"/>
  <c r="BI345" i="1"/>
  <c r="BI346" i="1"/>
  <c r="BI347" i="1"/>
  <c r="BI348" i="1"/>
  <c r="BI354" i="1"/>
  <c r="BI355" i="1"/>
  <c r="BI358" i="1"/>
  <c r="BI366" i="1"/>
  <c r="BI367" i="1"/>
  <c r="BI368" i="1"/>
  <c r="BI369" i="1"/>
  <c r="BI370" i="1"/>
  <c r="BI372" i="1"/>
  <c r="BI373" i="1"/>
  <c r="BI371" i="1"/>
  <c r="BI374" i="1"/>
  <c r="BI375" i="1"/>
  <c r="BI376" i="1"/>
  <c r="BI377" i="1"/>
  <c r="BI378" i="1"/>
  <c r="BI379" i="1"/>
  <c r="BI380" i="1"/>
  <c r="BI381" i="1"/>
  <c r="BI387" i="1"/>
  <c r="BI388" i="1"/>
  <c r="BI389" i="1"/>
  <c r="BI390" i="1"/>
  <c r="BI391" i="1"/>
  <c r="BI392" i="1"/>
  <c r="BI393" i="1"/>
  <c r="BI394" i="1"/>
  <c r="BI404" i="1"/>
  <c r="BI405" i="1"/>
  <c r="BI406" i="1"/>
  <c r="BI407" i="1"/>
  <c r="BI408" i="1"/>
  <c r="BI409" i="1"/>
  <c r="BI410" i="1"/>
  <c r="BI414" i="1"/>
  <c r="BI415" i="1"/>
  <c r="BI416" i="1"/>
  <c r="BI420" i="1"/>
  <c r="BI421" i="1"/>
  <c r="BI422" i="1"/>
  <c r="BI423" i="1"/>
  <c r="BI424" i="1"/>
  <c r="BI425" i="1"/>
  <c r="BI426" i="1"/>
  <c r="BI427" i="1"/>
  <c r="BI428" i="1"/>
  <c r="BI429" i="1"/>
  <c r="BI430" i="1"/>
  <c r="BI434" i="1"/>
  <c r="BI435" i="1"/>
  <c r="BI436" i="1"/>
  <c r="BI437" i="1"/>
  <c r="BI438" i="1"/>
  <c r="BI439" i="1"/>
  <c r="BI440" i="1"/>
  <c r="BI441" i="1"/>
  <c r="BI442" i="1"/>
  <c r="BI443" i="1"/>
  <c r="BI444" i="1"/>
  <c r="BI445" i="1"/>
  <c r="BI446" i="1"/>
  <c r="BI447" i="1"/>
  <c r="BI461" i="1"/>
  <c r="BI462" i="1"/>
  <c r="BI463" i="1"/>
  <c r="BI464" i="1"/>
  <c r="BI474" i="1"/>
  <c r="BI475" i="1"/>
  <c r="BI476" i="1"/>
  <c r="BI477" i="1"/>
  <c r="BI478" i="1"/>
  <c r="BI479" i="1"/>
  <c r="BI480" i="1"/>
  <c r="BI489" i="1"/>
  <c r="BI490" i="1"/>
  <c r="BI491" i="1"/>
  <c r="BI506" i="1"/>
  <c r="BI508" i="1"/>
  <c r="BI509" i="1"/>
  <c r="BI510" i="1"/>
  <c r="BI511" i="1"/>
  <c r="BI512" i="1"/>
  <c r="BI513" i="1"/>
  <c r="BI514" i="1"/>
  <c r="BI520" i="1"/>
  <c r="BI521" i="1"/>
  <c r="BI522" i="1"/>
  <c r="BI523" i="1"/>
  <c r="BI524" i="1"/>
  <c r="BI525" i="1"/>
  <c r="BI527" i="1"/>
  <c r="BI528" i="1"/>
  <c r="BI547" i="1"/>
  <c r="BI548" i="1"/>
  <c r="BI550" i="1"/>
  <c r="BI551" i="1"/>
  <c r="BI552" i="1"/>
  <c r="BI553" i="1"/>
  <c r="BI556" i="1"/>
  <c r="BI557" i="1"/>
  <c r="BI558" i="1"/>
  <c r="BI559" i="1"/>
  <c r="BI560" i="1"/>
  <c r="BI561" i="1"/>
  <c r="BI562" i="1"/>
  <c r="BI563" i="1"/>
  <c r="BI564" i="1"/>
  <c r="BI565" i="1"/>
  <c r="BI570" i="1"/>
  <c r="BI571" i="1"/>
  <c r="BI572" i="1"/>
  <c r="BI573" i="1"/>
  <c r="BI574" i="1"/>
  <c r="BI575" i="1"/>
  <c r="BI576" i="1"/>
  <c r="BI577" i="1"/>
  <c r="BI578" i="1"/>
  <c r="BI579" i="1"/>
  <c r="BI580" i="1"/>
  <c r="BI581" i="1"/>
  <c r="BI582" i="1"/>
  <c r="BI586" i="1"/>
  <c r="BI583" i="1"/>
  <c r="BI584" i="1"/>
  <c r="BI587" i="1"/>
  <c r="BI588" i="1"/>
  <c r="BI589" i="1"/>
  <c r="BI590" i="1"/>
  <c r="BI591" i="1"/>
  <c r="BI592" i="1"/>
  <c r="BI594" i="1"/>
  <c r="BI595" i="1"/>
  <c r="BI596" i="1"/>
  <c r="BI597" i="1"/>
  <c r="BI598" i="1"/>
  <c r="BI599" i="1"/>
  <c r="BI600" i="1"/>
  <c r="BI602" i="1"/>
  <c r="BI603" i="1"/>
  <c r="BI606" i="1"/>
  <c r="BI607" i="1"/>
  <c r="BI608" i="1"/>
  <c r="BI615" i="1"/>
  <c r="BI617" i="1"/>
  <c r="BI619" i="1"/>
  <c r="BI620" i="1"/>
  <c r="BI621" i="1"/>
  <c r="BI624" i="1"/>
  <c r="BI625" i="1"/>
  <c r="BI626" i="1"/>
  <c r="BI627" i="1"/>
  <c r="BI628" i="1"/>
  <c r="BI629" i="1"/>
  <c r="BI630" i="1"/>
  <c r="BI631" i="1"/>
  <c r="BI632" i="1"/>
  <c r="BI633" i="1"/>
  <c r="BI649" i="1"/>
  <c r="BI650" i="1"/>
  <c r="BI651" i="1"/>
  <c r="BI652" i="1"/>
  <c r="BI653" i="1"/>
  <c r="BI655" i="1"/>
  <c r="BI656" i="1"/>
  <c r="BI657" i="1"/>
  <c r="BI658" i="1"/>
  <c r="BI659" i="1"/>
  <c r="BI660" i="1"/>
  <c r="BI661" i="1"/>
  <c r="BI662" i="1"/>
  <c r="BI667" i="1"/>
  <c r="BI668" i="1"/>
  <c r="BI669" i="1"/>
  <c r="BI670" i="1"/>
  <c r="BI671" i="1"/>
  <c r="BI672" i="1"/>
  <c r="BI673" i="1"/>
  <c r="BI674" i="1"/>
  <c r="BI675" i="1"/>
  <c r="BI676" i="1"/>
  <c r="BI677" i="1"/>
  <c r="BI678" i="1"/>
  <c r="BI679" i="1"/>
  <c r="BI680" i="1"/>
  <c r="BI681" i="1"/>
  <c r="BI682" i="1"/>
  <c r="BI683" i="1"/>
  <c r="BI684" i="1"/>
  <c r="BI685" i="1"/>
  <c r="BI688" i="1"/>
  <c r="BI689" i="1"/>
  <c r="BI690" i="1"/>
  <c r="BI691" i="1"/>
  <c r="BI692" i="1"/>
  <c r="BI693" i="1"/>
  <c r="BI694" i="1"/>
  <c r="BI695" i="1"/>
  <c r="BI696" i="1"/>
  <c r="BI697" i="1"/>
  <c r="BI698" i="1"/>
  <c r="BI700" i="1"/>
  <c r="BI701" i="1"/>
  <c r="BI702" i="1"/>
  <c r="BI705" i="1"/>
  <c r="BI706" i="1"/>
  <c r="BI707" i="1"/>
  <c r="BI708" i="1"/>
  <c r="BI709" i="1"/>
  <c r="BI711" i="1"/>
  <c r="BI712" i="1"/>
  <c r="BI713" i="1"/>
  <c r="BI714" i="1"/>
  <c r="BI715" i="1"/>
  <c r="BI716" i="1"/>
  <c r="BI717" i="1"/>
  <c r="BI718" i="1"/>
  <c r="BI719" i="1"/>
  <c r="BI720" i="1"/>
  <c r="BI721" i="1"/>
  <c r="BI722" i="1"/>
  <c r="BI723" i="1"/>
  <c r="BI724" i="1"/>
  <c r="BI725" i="1"/>
  <c r="BI732" i="1"/>
  <c r="BI733" i="1"/>
  <c r="BI734" i="1"/>
  <c r="BI735" i="1"/>
  <c r="BI736" i="1"/>
  <c r="BI737" i="1"/>
  <c r="BI738" i="1"/>
  <c r="BI739" i="1"/>
  <c r="BI745" i="1"/>
  <c r="BI746" i="1"/>
  <c r="BI751" i="1"/>
  <c r="BI752" i="1"/>
  <c r="BI753" i="1"/>
  <c r="BI754" i="1"/>
  <c r="BI755" i="1"/>
  <c r="BI756" i="1"/>
  <c r="BI758" i="1"/>
  <c r="BI759" i="1"/>
  <c r="BI760" i="1"/>
  <c r="BI763" i="1"/>
  <c r="BI764" i="1"/>
  <c r="BI765" i="1"/>
  <c r="BI766" i="1"/>
  <c r="BI767" i="1"/>
  <c r="BI768" i="1"/>
  <c r="BI769" i="1"/>
  <c r="BI770" i="1"/>
  <c r="BI772" i="1"/>
  <c r="BI773" i="1"/>
  <c r="BI774" i="1"/>
  <c r="BI775" i="1"/>
  <c r="BI776" i="1"/>
  <c r="BI778" i="1"/>
  <c r="BI779" i="1"/>
  <c r="BI780" i="1"/>
  <c r="BI781" i="1"/>
  <c r="BI782" i="1"/>
  <c r="BI783" i="1"/>
  <c r="BI784" i="1"/>
  <c r="BI785" i="1"/>
  <c r="BI786" i="1"/>
  <c r="BI787" i="1"/>
  <c r="BI788" i="1"/>
  <c r="BI789" i="1"/>
  <c r="BI790" i="1"/>
  <c r="BI791" i="1"/>
  <c r="BI792" i="1"/>
  <c r="BI793" i="1"/>
  <c r="BI794" i="1"/>
  <c r="BI795" i="1"/>
  <c r="BI796" i="1"/>
  <c r="BI797" i="1"/>
  <c r="BI798" i="1"/>
  <c r="BI799" i="1"/>
  <c r="BI800" i="1"/>
  <c r="BI801" i="1"/>
  <c r="BI802" i="1"/>
  <c r="BI803" i="1"/>
  <c r="BI804" i="1"/>
  <c r="BI805" i="1"/>
  <c r="BI806" i="1"/>
  <c r="BI807" i="1"/>
  <c r="BI808" i="1"/>
  <c r="BI809" i="1"/>
  <c r="BI810" i="1"/>
  <c r="BI811" i="1"/>
  <c r="BI812" i="1"/>
  <c r="BI813" i="1"/>
  <c r="BI815" i="1"/>
  <c r="BI816" i="1"/>
  <c r="BI817" i="1"/>
  <c r="BI818" i="1"/>
  <c r="BI819" i="1"/>
  <c r="BI820" i="1"/>
  <c r="BI823" i="1"/>
  <c r="BI824" i="1"/>
  <c r="BI825" i="1"/>
  <c r="BI826" i="1"/>
  <c r="BI827" i="1"/>
  <c r="BI828" i="1"/>
  <c r="BI829" i="1"/>
  <c r="BI832" i="1"/>
  <c r="BI834" i="1"/>
  <c r="BI835" i="1"/>
  <c r="BI836" i="1"/>
  <c r="BI838" i="1"/>
  <c r="BI843" i="1"/>
  <c r="BI844" i="1"/>
  <c r="BI845" i="1"/>
  <c r="BI846" i="1"/>
  <c r="BI847" i="1"/>
  <c r="BI848" i="1"/>
  <c r="BI849" i="1"/>
  <c r="BI850" i="1"/>
  <c r="BI851" i="1"/>
  <c r="BI852" i="1"/>
  <c r="BI853" i="1"/>
  <c r="BI854" i="1"/>
  <c r="BI855" i="1"/>
  <c r="BI856" i="1"/>
  <c r="BI863" i="1"/>
  <c r="BI864" i="1"/>
  <c r="BI865" i="1"/>
  <c r="BI866" i="1"/>
  <c r="BI868" i="1"/>
  <c r="BI869" i="1"/>
  <c r="BI874" i="1"/>
  <c r="BI875" i="1"/>
  <c r="BI876" i="1"/>
  <c r="BI877" i="1"/>
  <c r="BI878" i="1"/>
  <c r="BI879" i="1"/>
  <c r="BI880" i="1"/>
  <c r="BI881" i="1"/>
  <c r="BI882" i="1"/>
  <c r="BI883" i="1"/>
  <c r="BI884" i="1"/>
  <c r="BI885" i="1"/>
  <c r="BI886" i="1"/>
  <c r="BI887" i="1"/>
  <c r="BI888" i="1"/>
  <c r="BI889" i="1"/>
  <c r="BI890" i="1"/>
  <c r="BI891" i="1"/>
  <c r="BI894" i="1"/>
  <c r="BI895" i="1"/>
  <c r="BI896" i="1"/>
  <c r="BI897" i="1"/>
  <c r="BI898" i="1"/>
  <c r="BI899" i="1"/>
  <c r="BI900" i="1"/>
  <c r="BI901" i="1"/>
  <c r="BI902" i="1"/>
  <c r="BI903" i="1"/>
  <c r="BI904" i="1"/>
  <c r="BI905" i="1"/>
  <c r="BI911" i="1"/>
  <c r="BI912" i="1"/>
  <c r="BI914" i="1"/>
  <c r="BI915" i="1"/>
  <c r="BI918" i="1"/>
  <c r="BI919" i="1"/>
  <c r="BI920" i="1"/>
  <c r="BI921" i="1"/>
  <c r="BI922" i="1"/>
  <c r="BI923" i="1"/>
  <c r="BI924" i="1"/>
  <c r="BI925" i="1"/>
  <c r="BI926" i="1"/>
  <c r="BI935" i="1"/>
  <c r="BI936" i="1"/>
  <c r="BI937" i="1"/>
  <c r="BI938" i="1"/>
  <c r="BI939" i="1"/>
  <c r="BI940" i="1"/>
  <c r="BI941" i="1"/>
  <c r="BI942" i="1"/>
  <c r="BI944" i="1"/>
  <c r="BI946" i="1"/>
  <c r="BI947" i="1"/>
  <c r="BI948" i="1"/>
  <c r="BI949" i="1"/>
  <c r="BI950" i="1"/>
  <c r="BI951" i="1"/>
  <c r="BI956" i="1"/>
  <c r="BI957" i="1"/>
  <c r="BI962" i="1"/>
  <c r="BI973" i="1"/>
  <c r="BI974" i="1"/>
  <c r="BI976" i="1"/>
  <c r="BI977" i="1"/>
  <c r="BI978" i="1"/>
  <c r="BI979" i="1"/>
  <c r="BI980" i="1"/>
  <c r="BI982" i="1"/>
  <c r="BI983" i="1"/>
  <c r="BI984" i="1"/>
  <c r="BI985" i="1"/>
  <c r="BI986" i="1"/>
  <c r="BI987" i="1"/>
  <c r="BI988" i="1"/>
  <c r="BI990" i="1"/>
  <c r="BI991" i="1"/>
  <c r="BI993" i="1"/>
  <c r="BI1001" i="1"/>
  <c r="BI1002" i="1"/>
  <c r="BI1005" i="1"/>
  <c r="BI1006" i="1"/>
  <c r="BI1007" i="1"/>
  <c r="BI1009" i="1"/>
  <c r="BI1010" i="1"/>
  <c r="BI1011" i="1"/>
  <c r="BI1013" i="1"/>
  <c r="BI1014" i="1"/>
  <c r="BI1015" i="1"/>
  <c r="BI1017" i="1"/>
  <c r="BI1018" i="1"/>
  <c r="BI1019" i="1"/>
  <c r="BI1020" i="1"/>
  <c r="BI1021" i="1"/>
  <c r="BI1022" i="1"/>
  <c r="BI1023" i="1"/>
  <c r="BI1024" i="1"/>
  <c r="BI1025" i="1"/>
  <c r="BI1026" i="1"/>
  <c r="BI1027" i="1"/>
  <c r="BI1028" i="1"/>
  <c r="BI1029" i="1"/>
  <c r="BI1030" i="1"/>
  <c r="BI1031" i="1"/>
  <c r="BI1032" i="1"/>
  <c r="BI1033" i="1"/>
  <c r="BI1034" i="1"/>
  <c r="BI1035" i="1"/>
  <c r="BI1036" i="1"/>
  <c r="BI1037" i="1"/>
  <c r="BI1038" i="1"/>
  <c r="BI1039" i="1"/>
  <c r="BI1040" i="1"/>
  <c r="BI1041" i="1"/>
  <c r="BI1042" i="1"/>
  <c r="BI1043" i="1"/>
  <c r="BI1044" i="1"/>
  <c r="BI1068" i="1"/>
  <c r="BI1069" i="1"/>
  <c r="BI1071" i="1"/>
  <c r="BI1072" i="1"/>
  <c r="BI1073" i="1"/>
  <c r="BI1074" i="1"/>
  <c r="BI1075" i="1"/>
  <c r="BI1076" i="1"/>
  <c r="BI1080" i="1"/>
  <c r="BI1081" i="1"/>
  <c r="BI1091" i="1"/>
  <c r="BI1092" i="1"/>
  <c r="BI1093" i="1"/>
  <c r="BI1094" i="1"/>
  <c r="BI1095" i="1"/>
  <c r="BI1096" i="1"/>
  <c r="BI1099" i="1"/>
  <c r="BI1100" i="1"/>
  <c r="BI1102" i="1"/>
  <c r="BI1103" i="1"/>
  <c r="BI1104" i="1"/>
  <c r="BI1105" i="1"/>
  <c r="BI1106" i="1"/>
  <c r="BI1108" i="1"/>
  <c r="BI1109" i="1"/>
  <c r="BI1110" i="1"/>
  <c r="BI1111" i="1"/>
  <c r="BI1112" i="1"/>
  <c r="BI1113" i="1"/>
  <c r="BI1114" i="1"/>
  <c r="BI1115" i="1"/>
  <c r="BI1116" i="1"/>
  <c r="BI1117" i="1"/>
  <c r="BI1118" i="1"/>
  <c r="BI1119" i="1"/>
  <c r="BI1120" i="1"/>
  <c r="BI1121" i="1"/>
  <c r="BI1122" i="1"/>
  <c r="BI1123" i="1"/>
  <c r="BI1127" i="1"/>
  <c r="BI1128" i="1"/>
  <c r="BI1129" i="1"/>
  <c r="BI1130" i="1"/>
  <c r="BI1131" i="1"/>
  <c r="BI1132" i="1"/>
  <c r="BI1133" i="1"/>
  <c r="BI1134" i="1"/>
  <c r="BI1135" i="1"/>
  <c r="BI1136" i="1"/>
  <c r="BI1137" i="1"/>
  <c r="BI1138" i="1"/>
  <c r="BI1139" i="1"/>
  <c r="BI1140" i="1"/>
  <c r="BI1141" i="1"/>
  <c r="BI1142" i="1"/>
  <c r="BI1143" i="1"/>
  <c r="BI1144" i="1"/>
  <c r="BI1145" i="1"/>
  <c r="BI1146" i="1"/>
  <c r="BI1147" i="1"/>
  <c r="BI1148" i="1"/>
  <c r="BI1149" i="1"/>
  <c r="BI1150" i="1"/>
  <c r="BI1151" i="1"/>
  <c r="BI1152" i="1"/>
  <c r="BI1153" i="1"/>
  <c r="BI1154" i="1"/>
  <c r="BI1155" i="1"/>
  <c r="BI1157" i="1"/>
  <c r="BI1158" i="1"/>
  <c r="BI1159" i="1"/>
  <c r="BI1161" i="1"/>
  <c r="BI1162" i="1"/>
  <c r="BI1163" i="1"/>
  <c r="BI1164" i="1"/>
  <c r="BI1165" i="1"/>
  <c r="BI1166" i="1"/>
  <c r="BI1167" i="1"/>
  <c r="BI1168" i="1"/>
  <c r="BI1169" i="1"/>
  <c r="BI1170" i="1"/>
  <c r="BI1171" i="1"/>
  <c r="BI1172" i="1"/>
  <c r="BI1173" i="1"/>
  <c r="BI1174" i="1"/>
  <c r="BI1175" i="1"/>
  <c r="BI1176" i="1"/>
  <c r="BI1177" i="1"/>
  <c r="BI1178" i="1"/>
  <c r="BI1179" i="1"/>
  <c r="BI1180" i="1"/>
  <c r="BI1181" i="1"/>
  <c r="BI1182" i="1"/>
  <c r="BI1183" i="1"/>
  <c r="BI1184" i="1"/>
  <c r="BI1185" i="1"/>
  <c r="BI1186" i="1"/>
  <c r="BI1187" i="1"/>
  <c r="BI1188" i="1"/>
  <c r="BI1189" i="1"/>
  <c r="BI1190" i="1"/>
  <c r="BI1191" i="1"/>
  <c r="BI1192" i="1"/>
  <c r="BI1193" i="1"/>
  <c r="BI1194" i="1"/>
  <c r="BI1197" i="1"/>
  <c r="BI1198" i="1"/>
  <c r="BI1199" i="1"/>
  <c r="BI1200" i="1"/>
  <c r="BI1201" i="1"/>
  <c r="BI1083" i="1"/>
  <c r="BI473" i="1"/>
  <c r="BI1213" i="1"/>
  <c r="BI41" i="1"/>
  <c r="BI645" i="1"/>
  <c r="BI431" i="1"/>
  <c r="BI995" i="1"/>
  <c r="BI1051" i="1"/>
  <c r="BI104" i="1"/>
  <c r="BI1067" i="1"/>
  <c r="BI324" i="1"/>
  <c r="BI614" i="1"/>
  <c r="BI963" i="1"/>
  <c r="BI3" i="1"/>
  <c r="BI31" i="1"/>
  <c r="BI1097" i="1"/>
  <c r="BI549" i="1"/>
  <c r="BI837" i="1"/>
  <c r="BI609" i="1"/>
  <c r="BI604" i="1"/>
  <c r="BI538" i="1"/>
  <c r="BI648" i="1"/>
  <c r="BI519" i="1"/>
  <c r="BI958" i="1"/>
  <c r="BI82" i="1"/>
  <c r="BI208" i="1"/>
  <c r="BI299" i="1"/>
  <c r="BI909" i="1"/>
  <c r="BI65" i="1"/>
  <c r="BI964" i="1"/>
  <c r="BI1082" i="1"/>
  <c r="BI992" i="1"/>
  <c r="BI108" i="1"/>
  <c r="BI703" i="1"/>
  <c r="BI907" i="1"/>
  <c r="BI517" i="1"/>
  <c r="BI618" i="1"/>
  <c r="BI51" i="1"/>
  <c r="BI757" i="1"/>
  <c r="BI638" i="1"/>
  <c r="BI92" i="1"/>
  <c r="BI501" i="1"/>
  <c r="BI1070" i="1"/>
  <c r="BI350" i="1"/>
  <c r="BI530" i="1"/>
  <c r="BI4" i="1"/>
  <c r="BI222" i="1"/>
  <c r="BI359" i="1"/>
  <c r="BI654" i="1"/>
  <c r="BI337" i="1"/>
  <c r="BI952" i="1"/>
  <c r="BI185" i="1"/>
  <c r="BI910" i="1"/>
  <c r="BI833" i="1"/>
  <c r="BI927" i="1"/>
  <c r="BI454" i="1"/>
  <c r="BI822" i="1"/>
  <c r="BI198" i="1"/>
  <c r="BI646" i="1"/>
  <c r="BI543" i="1"/>
  <c r="BI304" i="1"/>
  <c r="BI26" i="1"/>
  <c r="BI398" i="1"/>
  <c r="BI45" i="1"/>
  <c r="BI1215" i="1"/>
  <c r="BI1195" i="1"/>
  <c r="BI469" i="1"/>
  <c r="BI246" i="1"/>
  <c r="BI288" i="1"/>
  <c r="BI360" i="1"/>
  <c r="BI73" i="1"/>
  <c r="BI554" i="1"/>
  <c r="BI294" i="1"/>
  <c r="BI1124" i="1"/>
  <c r="BI953" i="1"/>
  <c r="BI67" i="1"/>
  <c r="BI58" i="1"/>
  <c r="BI870" i="1"/>
  <c r="BI325" i="1"/>
  <c r="BI1059" i="1"/>
  <c r="BI74" i="1"/>
  <c r="BI569" i="1"/>
  <c r="BI42" i="1"/>
  <c r="BI382" i="1"/>
  <c r="BI32" i="1"/>
  <c r="BI928" i="1"/>
  <c r="BI639" i="1"/>
  <c r="BI857" i="1"/>
  <c r="BI1045" i="1"/>
  <c r="BI68" i="1"/>
  <c r="BI1085" i="1"/>
  <c r="BI251" i="1"/>
  <c r="BI529" i="1"/>
  <c r="BI5" i="1"/>
  <c r="BI1000" i="1"/>
  <c r="BI60" i="1"/>
  <c r="BI1060" i="1"/>
  <c r="BI432" i="1"/>
  <c r="BI1214" i="1"/>
  <c r="BI635" i="1"/>
  <c r="BI300" i="1"/>
  <c r="BI52" i="1"/>
  <c r="BI192" i="1"/>
  <c r="BI86" i="1"/>
  <c r="BI1211" i="1"/>
  <c r="BI411" i="1"/>
  <c r="BI1077" i="1"/>
  <c r="BI289" i="1"/>
  <c r="BI502" i="1"/>
  <c r="BI503" i="1"/>
  <c r="BI961" i="1"/>
  <c r="BI399" i="1"/>
  <c r="BI842" i="1"/>
  <c r="BI284" i="1"/>
  <c r="BI1049" i="1"/>
  <c r="BI35" i="1"/>
  <c r="BI211" i="1"/>
  <c r="BI515" i="1"/>
  <c r="BI840" i="1"/>
  <c r="BI537" i="1"/>
  <c r="BI356" i="1"/>
  <c r="BI981" i="1"/>
  <c r="BI965" i="1"/>
  <c r="BI305" i="1"/>
  <c r="BI290" i="1"/>
  <c r="BI297" i="1"/>
  <c r="BI87" i="1"/>
  <c r="BI184" i="1"/>
  <c r="BI451" i="1"/>
  <c r="BI312" i="1"/>
  <c r="BI465" i="1"/>
  <c r="BI544" i="1"/>
  <c r="BI1107" i="1"/>
  <c r="BI1222" i="1"/>
  <c r="BI1088" i="1"/>
  <c r="BI383" i="1"/>
  <c r="BI636" i="1"/>
  <c r="BI27" i="1"/>
  <c r="BI130" i="1"/>
  <c r="BI814" i="1"/>
  <c r="BI966" i="1"/>
  <c r="BI1204" i="1"/>
  <c r="BI972" i="1"/>
  <c r="BI867" i="1"/>
  <c r="BI748" i="1"/>
  <c r="BI59" i="1"/>
  <c r="BI727" i="1"/>
  <c r="BI301" i="1"/>
  <c r="BI64" i="1"/>
  <c r="BI1052" i="1"/>
  <c r="BI1126" i="1"/>
  <c r="BI316" i="1"/>
  <c r="BI314" i="1"/>
  <c r="BI536" i="1"/>
  <c r="BI53" i="1"/>
  <c r="BI687" i="1"/>
  <c r="BI40" i="1"/>
  <c r="BI322" i="1"/>
  <c r="BI841" i="1"/>
  <c r="BI498" i="1"/>
  <c r="BI1218" i="1"/>
  <c r="BI397" i="1"/>
  <c r="BI24" i="1"/>
  <c r="BI186" i="1"/>
  <c r="BI455" i="1"/>
  <c r="BI929" i="1"/>
  <c r="BI740" i="1"/>
  <c r="BI1219" i="1"/>
  <c r="BI567" i="1"/>
  <c r="BI357" i="1"/>
  <c r="BI488" i="1"/>
  <c r="BI351" i="1"/>
  <c r="BI568" i="1"/>
  <c r="BI81" i="1"/>
  <c r="BI996" i="1"/>
  <c r="BI247" i="1"/>
  <c r="BI616" i="1"/>
  <c r="BI913" i="1"/>
  <c r="BI1090" i="1"/>
  <c r="BI892" i="1"/>
  <c r="BI6" i="1"/>
  <c r="BI199" i="1"/>
  <c r="BI1216" i="1"/>
  <c r="BI323" i="1"/>
  <c r="BI1205" i="1"/>
  <c r="BI457" i="1"/>
  <c r="BI555" i="1"/>
  <c r="BI1125" i="1"/>
  <c r="BI93" i="1"/>
  <c r="BI200" i="1"/>
  <c r="BI466" i="1"/>
  <c r="BI585" i="1"/>
  <c r="BI43" i="1"/>
  <c r="BI419" i="1"/>
  <c r="BI1156" i="1"/>
  <c r="BI29" i="1"/>
  <c r="BI1210" i="1"/>
  <c r="BI495" i="1"/>
  <c r="BI916" i="1"/>
  <c r="BI1050" i="1"/>
  <c r="BI1203" i="1"/>
  <c r="BI1221" i="1"/>
  <c r="BI1206" i="1"/>
  <c r="BI1012" i="1"/>
  <c r="BI361" i="1"/>
  <c r="BI1207" i="1"/>
  <c r="BI201" i="1"/>
  <c r="BI243" i="1"/>
  <c r="BI362" i="1"/>
  <c r="BI930" i="1"/>
  <c r="BI531" i="1"/>
  <c r="BI997" i="1"/>
  <c r="BI83" i="1"/>
  <c r="BI202" i="1"/>
  <c r="BI1004" i="1"/>
  <c r="BI460" i="1"/>
  <c r="BI214" i="1"/>
  <c r="BI276" i="1"/>
  <c r="BI1016" i="1"/>
  <c r="BI1061" i="1"/>
  <c r="BI433" i="1"/>
  <c r="BI349" i="1"/>
  <c r="BI191" i="1"/>
  <c r="BI417" i="1"/>
  <c r="BI871" i="1"/>
  <c r="BI1062" i="1"/>
  <c r="BI61" i="1"/>
  <c r="BI452" i="1"/>
  <c r="BI830" i="1"/>
  <c r="BI418" i="1"/>
  <c r="BI499" i="1"/>
  <c r="BI227" i="1"/>
  <c r="BI1053" i="1"/>
  <c r="BI862" i="1"/>
  <c r="BI969" i="1"/>
  <c r="BI240" i="1"/>
  <c r="BI541" i="1"/>
  <c r="BI518" i="1"/>
  <c r="BI384" i="1"/>
  <c r="BI1054" i="1"/>
  <c r="BI954" i="1"/>
  <c r="BI623" i="1"/>
  <c r="BI728" i="1"/>
  <c r="BI62" i="1"/>
  <c r="BI610" i="1"/>
  <c r="BI470" i="1"/>
  <c r="BI893" i="1"/>
  <c r="BI943" i="1"/>
  <c r="BI747" i="1"/>
  <c r="BI63" i="1"/>
  <c r="BI283" i="1"/>
  <c r="BI640" i="1"/>
  <c r="BI998" i="1"/>
  <c r="BI545" i="1"/>
  <c r="BI906" i="1"/>
  <c r="BI37" i="1"/>
  <c r="BI497" i="1"/>
  <c r="BI448" i="1"/>
  <c r="BI400" i="1"/>
  <c r="BI487" i="1"/>
  <c r="BI741" i="1"/>
  <c r="BI481" i="1"/>
  <c r="BI504" i="1"/>
  <c r="BI908" i="1"/>
  <c r="BI285" i="1"/>
  <c r="BI989" i="1"/>
  <c r="BI821" i="1"/>
  <c r="BI365" i="1"/>
  <c r="BI1063" i="1"/>
  <c r="BI507" i="1"/>
  <c r="BI492" i="1"/>
  <c r="BI762" i="1"/>
  <c r="BI566" i="1"/>
  <c r="BI385" i="1"/>
  <c r="BI858" i="1"/>
  <c r="BI546" i="1"/>
  <c r="BI967" i="1"/>
  <c r="BI532" i="1"/>
  <c r="BI500" i="1"/>
  <c r="BI663" i="1"/>
  <c r="BI212" i="1"/>
  <c r="BI1160" i="1"/>
  <c r="BI36" i="1"/>
  <c r="BI960" i="1"/>
  <c r="BI449" i="1"/>
  <c r="BI396" i="1"/>
  <c r="BI471" i="1"/>
  <c r="BI95" i="1"/>
  <c r="BI761" i="1"/>
  <c r="BI88" i="1"/>
  <c r="BI94" i="1"/>
  <c r="BI386" i="1"/>
  <c r="BI968" i="1"/>
  <c r="BI1101" i="1"/>
  <c r="BI306" i="1"/>
  <c r="BI664" i="1"/>
  <c r="BI593" i="1"/>
  <c r="BI1078" i="1"/>
  <c r="BI859" i="1"/>
  <c r="BI970" i="1"/>
  <c r="BI482" i="1"/>
  <c r="BI70" i="1"/>
  <c r="BI533" i="1"/>
  <c r="BI665" i="1"/>
  <c r="BI54" i="1"/>
  <c r="BI1008" i="1"/>
  <c r="BI931" i="1"/>
  <c r="BI96" i="1"/>
  <c r="BI494" i="1"/>
  <c r="BI262" i="1"/>
  <c r="BI1086" i="1"/>
  <c r="BI1217" i="1"/>
  <c r="BI742" i="1"/>
  <c r="BI483" i="1"/>
  <c r="BI934" i="1"/>
  <c r="BI1046" i="1"/>
  <c r="BI363" i="1"/>
  <c r="BI1047" i="1"/>
  <c r="BI730" i="1"/>
  <c r="BI91" i="1"/>
  <c r="BI197" i="1"/>
  <c r="BI317" i="1"/>
  <c r="BI1208" i="1"/>
  <c r="BI1003" i="1"/>
  <c r="BI611" i="1"/>
  <c r="BI412" i="1"/>
  <c r="BI248" i="1"/>
  <c r="BI213" i="1"/>
  <c r="BI173" i="1"/>
  <c r="BI971" i="1"/>
  <c r="BI994" i="1"/>
  <c r="BI413" i="1"/>
  <c r="BI1048" i="1"/>
  <c r="BI33" i="1"/>
  <c r="BI1064" i="1"/>
  <c r="BI453" i="1"/>
  <c r="BI771" i="1"/>
  <c r="BI401" i="1"/>
  <c r="BI534" i="1"/>
  <c r="BI484" i="1"/>
  <c r="BI352" i="1"/>
  <c r="BI861" i="1"/>
  <c r="BI7" i="1"/>
  <c r="BI206" i="1"/>
  <c r="BI744" i="1"/>
  <c r="BI1196" i="1"/>
  <c r="BI637" i="1"/>
  <c r="BI542" i="1"/>
  <c r="BI187" i="1"/>
  <c r="BI203" i="1"/>
  <c r="BI493" i="1"/>
  <c r="BI1055" i="1"/>
  <c r="BI1065" i="1"/>
  <c r="BI209" i="1"/>
  <c r="BI193" i="1"/>
  <c r="BI55" i="1"/>
  <c r="BI726" i="1"/>
  <c r="BI641" i="1"/>
  <c r="BI526" i="1"/>
  <c r="BI174" i="1"/>
  <c r="BI302" i="1"/>
  <c r="BI34" i="1"/>
  <c r="BI644" i="1"/>
  <c r="BI44" i="1"/>
  <c r="BI1220" i="1"/>
  <c r="BI194" i="1"/>
  <c r="BI917" i="1"/>
  <c r="BI872" i="1"/>
  <c r="BI188" i="1"/>
  <c r="BI28" i="1"/>
  <c r="BI1089" i="1"/>
  <c r="BI749" i="1"/>
  <c r="BI89" i="1"/>
  <c r="BI69" i="1"/>
  <c r="BI395" i="1"/>
  <c r="BI450" i="1"/>
  <c r="BI467" i="1"/>
  <c r="BI1066" i="1"/>
  <c r="BI39" i="1"/>
  <c r="BI601" i="1"/>
  <c r="BI402" i="1"/>
  <c r="BI777" i="1"/>
  <c r="BI710" i="1"/>
  <c r="BI1202" i="1"/>
  <c r="BI56" i="1"/>
  <c r="BI458" i="1"/>
  <c r="BI643" i="1"/>
  <c r="BI1058" i="1"/>
  <c r="BI959" i="1"/>
  <c r="BI1212" i="1"/>
  <c r="BI647" i="1"/>
  <c r="BI204" i="1"/>
  <c r="BI750" i="1"/>
  <c r="BI295" i="1"/>
  <c r="BI612" i="1"/>
  <c r="BI459" i="1"/>
  <c r="BI472" i="1"/>
  <c r="BI485" i="1"/>
  <c r="BI189" i="1"/>
  <c r="BI535" i="1"/>
  <c r="BI50" i="1"/>
  <c r="BI743" i="1"/>
  <c r="BI1209" i="1"/>
  <c r="BI291" i="1"/>
  <c r="BI539" i="1"/>
  <c r="BI666" i="1"/>
  <c r="BI516" i="1"/>
  <c r="BI205" i="1"/>
  <c r="BI999" i="1"/>
  <c r="BI486" i="1"/>
  <c r="BI839" i="1"/>
  <c r="BI456" i="1"/>
  <c r="BI1084" i="1"/>
  <c r="BI613" i="1"/>
  <c r="BI298" i="1"/>
  <c r="BI353" i="1"/>
  <c r="BI699" i="1"/>
  <c r="BI90" i="1"/>
  <c r="BI932" i="1"/>
  <c r="BI1056" i="1"/>
  <c r="BI975" i="1"/>
  <c r="BI8" i="1"/>
  <c r="BI1057" i="1"/>
  <c r="BI315" i="1"/>
  <c r="BI1098" i="1"/>
  <c r="BI57" i="1"/>
  <c r="BI286" i="1"/>
  <c r="BI403" i="1"/>
  <c r="BI731" i="1"/>
  <c r="BI729" i="1"/>
  <c r="BI605" i="1"/>
  <c r="BI21" i="1"/>
  <c r="BI468" i="1"/>
  <c r="BI303" i="1"/>
  <c r="BI860" i="1"/>
  <c r="BI9" i="1"/>
  <c r="BI210" i="1"/>
  <c r="BI496" i="1"/>
  <c r="BI320" i="1"/>
  <c r="BI634" i="1"/>
  <c r="BI293" i="1"/>
  <c r="BI307" i="1"/>
  <c r="BI2" i="1"/>
  <c r="BI686" i="1"/>
  <c r="BI505" i="1"/>
  <c r="BI540" i="1"/>
  <c r="BI25" i="1"/>
  <c r="BI30" i="1"/>
  <c r="BI308" i="1"/>
  <c r="BI955" i="1"/>
  <c r="BI642" i="1"/>
  <c r="BI873" i="1"/>
  <c r="BI38" i="1"/>
  <c r="BI1087" i="1"/>
  <c r="BI287" i="1"/>
  <c r="BI364" i="1"/>
  <c r="BI933" i="1"/>
  <c r="BI831" i="1"/>
  <c r="BI622" i="1"/>
  <c r="BI1079" i="1"/>
  <c r="BI292" i="1"/>
  <c r="BI945" i="1"/>
  <c r="BI1223" i="1"/>
  <c r="BI10" i="1"/>
  <c r="BE11" i="1"/>
  <c r="BE12" i="1"/>
  <c r="BE13" i="1"/>
  <c r="BE14" i="1"/>
  <c r="BE15" i="1"/>
  <c r="BE16" i="1"/>
  <c r="BE17" i="1"/>
  <c r="BE18" i="1"/>
  <c r="BE19" i="1"/>
  <c r="BE20" i="1"/>
  <c r="BE22" i="1"/>
  <c r="BE23" i="1"/>
  <c r="BE46" i="1"/>
  <c r="BE47" i="1"/>
  <c r="BE48" i="1"/>
  <c r="BE49" i="1"/>
  <c r="BE66" i="1"/>
  <c r="BE71" i="1"/>
  <c r="BE72" i="1"/>
  <c r="BE75" i="1"/>
  <c r="BE76" i="1"/>
  <c r="BE77" i="1"/>
  <c r="BE78" i="1"/>
  <c r="BE79" i="1"/>
  <c r="BE80" i="1"/>
  <c r="BE84" i="1"/>
  <c r="BE85" i="1"/>
  <c r="BE97" i="1"/>
  <c r="BE98" i="1"/>
  <c r="BE99" i="1"/>
  <c r="BE100" i="1"/>
  <c r="BE101" i="1"/>
  <c r="BE102" i="1"/>
  <c r="BE103" i="1"/>
  <c r="BE105" i="1"/>
  <c r="BE106" i="1"/>
  <c r="BE107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2" i="1"/>
  <c r="BE153" i="1"/>
  <c r="BE154" i="1"/>
  <c r="BE155" i="1"/>
  <c r="BE156" i="1"/>
  <c r="BE151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5" i="1"/>
  <c r="BE176" i="1"/>
  <c r="BE177" i="1"/>
  <c r="BE178" i="1"/>
  <c r="BE179" i="1"/>
  <c r="BE180" i="1"/>
  <c r="BE181" i="1"/>
  <c r="BE182" i="1"/>
  <c r="BE183" i="1"/>
  <c r="BE190" i="1"/>
  <c r="BE195" i="1"/>
  <c r="BE196" i="1"/>
  <c r="BE207" i="1"/>
  <c r="BE215" i="1"/>
  <c r="BE216" i="1"/>
  <c r="BE217" i="1"/>
  <c r="BE218" i="1"/>
  <c r="BE219" i="1"/>
  <c r="BE220" i="1"/>
  <c r="BE221" i="1"/>
  <c r="BE223" i="1"/>
  <c r="BE224" i="1"/>
  <c r="BE225" i="1"/>
  <c r="BE226" i="1"/>
  <c r="BE228" i="1"/>
  <c r="BE229" i="1"/>
  <c r="BE230" i="1"/>
  <c r="BE231" i="1"/>
  <c r="BE232" i="1"/>
  <c r="BE233" i="1"/>
  <c r="BE234" i="1"/>
  <c r="BE235" i="1"/>
  <c r="BE236" i="1"/>
  <c r="BE237" i="1"/>
  <c r="BE238" i="1"/>
  <c r="BE239" i="1"/>
  <c r="BE241" i="1"/>
  <c r="BE242" i="1"/>
  <c r="BE244" i="1"/>
  <c r="BE245" i="1"/>
  <c r="BE249" i="1"/>
  <c r="BE250" i="1"/>
  <c r="BE252" i="1"/>
  <c r="BE253" i="1"/>
  <c r="BE254" i="1"/>
  <c r="BE255" i="1"/>
  <c r="BE256" i="1"/>
  <c r="BE257" i="1"/>
  <c r="BE258" i="1"/>
  <c r="BE259" i="1"/>
  <c r="BE260" i="1"/>
  <c r="BE261" i="1"/>
  <c r="BE263" i="1"/>
  <c r="BE264" i="1"/>
  <c r="BE265" i="1"/>
  <c r="BE266" i="1"/>
  <c r="BE267" i="1"/>
  <c r="BE268" i="1"/>
  <c r="BE269" i="1"/>
  <c r="BE270" i="1"/>
  <c r="BE271" i="1"/>
  <c r="BE272" i="1"/>
  <c r="BE273" i="1"/>
  <c r="BE274" i="1"/>
  <c r="BE275" i="1"/>
  <c r="BE277" i="1"/>
  <c r="BE278" i="1"/>
  <c r="BE279" i="1"/>
  <c r="BE280" i="1"/>
  <c r="BE281" i="1"/>
  <c r="BE282" i="1"/>
  <c r="BE296" i="1"/>
  <c r="BE309" i="1"/>
  <c r="BE310" i="1"/>
  <c r="BE311" i="1"/>
  <c r="BE313" i="1"/>
  <c r="BE318" i="1"/>
  <c r="BE319" i="1"/>
  <c r="BE321" i="1"/>
  <c r="BE326" i="1"/>
  <c r="BE327" i="1"/>
  <c r="BE328" i="1"/>
  <c r="BE329" i="1"/>
  <c r="BE330" i="1"/>
  <c r="BE331" i="1"/>
  <c r="BE333" i="1"/>
  <c r="BE332" i="1"/>
  <c r="BE334" i="1"/>
  <c r="BE335" i="1"/>
  <c r="BE336" i="1"/>
  <c r="BE338" i="1"/>
  <c r="BE339" i="1"/>
  <c r="BE340" i="1"/>
  <c r="BE341" i="1"/>
  <c r="BE342" i="1"/>
  <c r="BE343" i="1"/>
  <c r="BE344" i="1"/>
  <c r="BE345" i="1"/>
  <c r="BE346" i="1"/>
  <c r="BE347" i="1"/>
  <c r="BE348" i="1"/>
  <c r="BE354" i="1"/>
  <c r="BE355" i="1"/>
  <c r="BE358" i="1"/>
  <c r="BE366" i="1"/>
  <c r="BE367" i="1"/>
  <c r="BE368" i="1"/>
  <c r="BE369" i="1"/>
  <c r="BE370" i="1"/>
  <c r="BE372" i="1"/>
  <c r="BE373" i="1"/>
  <c r="BE371" i="1"/>
  <c r="BE374" i="1"/>
  <c r="BE375" i="1"/>
  <c r="BE376" i="1"/>
  <c r="BE377" i="1"/>
  <c r="BE378" i="1"/>
  <c r="BE379" i="1"/>
  <c r="BE380" i="1"/>
  <c r="BE381" i="1"/>
  <c r="BE387" i="1"/>
  <c r="BE388" i="1"/>
  <c r="BE389" i="1"/>
  <c r="BE390" i="1"/>
  <c r="BE391" i="1"/>
  <c r="BE392" i="1"/>
  <c r="BE393" i="1"/>
  <c r="BE394" i="1"/>
  <c r="BE404" i="1"/>
  <c r="BE405" i="1"/>
  <c r="BE406" i="1"/>
  <c r="BE407" i="1"/>
  <c r="BE408" i="1"/>
  <c r="BE409" i="1"/>
  <c r="BE410" i="1"/>
  <c r="BE414" i="1"/>
  <c r="BE415" i="1"/>
  <c r="BE416" i="1"/>
  <c r="BE420" i="1"/>
  <c r="BE421" i="1"/>
  <c r="BE422" i="1"/>
  <c r="BE423" i="1"/>
  <c r="BE424" i="1"/>
  <c r="BE425" i="1"/>
  <c r="BE426" i="1"/>
  <c r="BE427" i="1"/>
  <c r="BE428" i="1"/>
  <c r="BE429" i="1"/>
  <c r="BE430" i="1"/>
  <c r="BE434" i="1"/>
  <c r="BE435" i="1"/>
  <c r="BE436" i="1"/>
  <c r="BE437" i="1"/>
  <c r="BE438" i="1"/>
  <c r="BE439" i="1"/>
  <c r="BE440" i="1"/>
  <c r="BE441" i="1"/>
  <c r="BE442" i="1"/>
  <c r="BE443" i="1"/>
  <c r="BE444" i="1"/>
  <c r="BE445" i="1"/>
  <c r="BE446" i="1"/>
  <c r="BE447" i="1"/>
  <c r="BE461" i="1"/>
  <c r="BE462" i="1"/>
  <c r="BE463" i="1"/>
  <c r="BE464" i="1"/>
  <c r="BE474" i="1"/>
  <c r="BE475" i="1"/>
  <c r="BE476" i="1"/>
  <c r="BE477" i="1"/>
  <c r="BE478" i="1"/>
  <c r="BE479" i="1"/>
  <c r="BE480" i="1"/>
  <c r="BE489" i="1"/>
  <c r="BE490" i="1"/>
  <c r="BE491" i="1"/>
  <c r="BE506" i="1"/>
  <c r="BE508" i="1"/>
  <c r="BE509" i="1"/>
  <c r="BE510" i="1"/>
  <c r="BE511" i="1"/>
  <c r="BE512" i="1"/>
  <c r="BE513" i="1"/>
  <c r="BE514" i="1"/>
  <c r="BE520" i="1"/>
  <c r="BE521" i="1"/>
  <c r="BE522" i="1"/>
  <c r="BE523" i="1"/>
  <c r="BE524" i="1"/>
  <c r="BE525" i="1"/>
  <c r="BE527" i="1"/>
  <c r="BE528" i="1"/>
  <c r="BE547" i="1"/>
  <c r="BE548" i="1"/>
  <c r="BE550" i="1"/>
  <c r="BE551" i="1"/>
  <c r="BE552" i="1"/>
  <c r="BE553" i="1"/>
  <c r="BE556" i="1"/>
  <c r="BE557" i="1"/>
  <c r="BE558" i="1"/>
  <c r="BE559" i="1"/>
  <c r="BE560" i="1"/>
  <c r="BE561" i="1"/>
  <c r="BE562" i="1"/>
  <c r="BE563" i="1"/>
  <c r="BE564" i="1"/>
  <c r="BE565" i="1"/>
  <c r="BE570" i="1"/>
  <c r="BE571" i="1"/>
  <c r="BE572" i="1"/>
  <c r="BE573" i="1"/>
  <c r="BE574" i="1"/>
  <c r="BE575" i="1"/>
  <c r="BE576" i="1"/>
  <c r="BE577" i="1"/>
  <c r="BE578" i="1"/>
  <c r="BE579" i="1"/>
  <c r="BE580" i="1"/>
  <c r="BE581" i="1"/>
  <c r="BE582" i="1"/>
  <c r="BE586" i="1"/>
  <c r="BE583" i="1"/>
  <c r="BE584" i="1"/>
  <c r="BE587" i="1"/>
  <c r="BE588" i="1"/>
  <c r="BE589" i="1"/>
  <c r="BE590" i="1"/>
  <c r="BE591" i="1"/>
  <c r="BE592" i="1"/>
  <c r="BE594" i="1"/>
  <c r="BE595" i="1"/>
  <c r="BE596" i="1"/>
  <c r="BE597" i="1"/>
  <c r="BE598" i="1"/>
  <c r="BE599" i="1"/>
  <c r="BE600" i="1"/>
  <c r="BE602" i="1"/>
  <c r="BE603" i="1"/>
  <c r="BE606" i="1"/>
  <c r="BE607" i="1"/>
  <c r="BE608" i="1"/>
  <c r="BE615" i="1"/>
  <c r="BE617" i="1"/>
  <c r="BE619" i="1"/>
  <c r="BE620" i="1"/>
  <c r="BE621" i="1"/>
  <c r="BE624" i="1"/>
  <c r="BE625" i="1"/>
  <c r="BE626" i="1"/>
  <c r="BE627" i="1"/>
  <c r="BE628" i="1"/>
  <c r="BE629" i="1"/>
  <c r="BE630" i="1"/>
  <c r="BE631" i="1"/>
  <c r="BE632" i="1"/>
  <c r="BE633" i="1"/>
  <c r="BE649" i="1"/>
  <c r="BE650" i="1"/>
  <c r="BE651" i="1"/>
  <c r="BE652" i="1"/>
  <c r="BE653" i="1"/>
  <c r="BE655" i="1"/>
  <c r="BE656" i="1"/>
  <c r="BE657" i="1"/>
  <c r="BE658" i="1"/>
  <c r="BE659" i="1"/>
  <c r="BE660" i="1"/>
  <c r="BE661" i="1"/>
  <c r="BE662" i="1"/>
  <c r="BE667" i="1"/>
  <c r="BE668" i="1"/>
  <c r="BE669" i="1"/>
  <c r="BE670" i="1"/>
  <c r="BE671" i="1"/>
  <c r="BE672" i="1"/>
  <c r="BE673" i="1"/>
  <c r="BE674" i="1"/>
  <c r="BE675" i="1"/>
  <c r="BE676" i="1"/>
  <c r="BE677" i="1"/>
  <c r="BE678" i="1"/>
  <c r="BE679" i="1"/>
  <c r="BE680" i="1"/>
  <c r="BE681" i="1"/>
  <c r="BE682" i="1"/>
  <c r="BE683" i="1"/>
  <c r="BE684" i="1"/>
  <c r="BE685" i="1"/>
  <c r="BE688" i="1"/>
  <c r="BE689" i="1"/>
  <c r="BE690" i="1"/>
  <c r="BE691" i="1"/>
  <c r="BE692" i="1"/>
  <c r="BE693" i="1"/>
  <c r="BE694" i="1"/>
  <c r="BE695" i="1"/>
  <c r="BE696" i="1"/>
  <c r="BE697" i="1"/>
  <c r="BE698" i="1"/>
  <c r="BE700" i="1"/>
  <c r="BE701" i="1"/>
  <c r="BE702" i="1"/>
  <c r="BE705" i="1"/>
  <c r="BE706" i="1"/>
  <c r="BE707" i="1"/>
  <c r="BE708" i="1"/>
  <c r="BE709" i="1"/>
  <c r="BE711" i="1"/>
  <c r="BE712" i="1"/>
  <c r="BE713" i="1"/>
  <c r="BE714" i="1"/>
  <c r="BE715" i="1"/>
  <c r="BE716" i="1"/>
  <c r="BE717" i="1"/>
  <c r="BE718" i="1"/>
  <c r="BE719" i="1"/>
  <c r="BE720" i="1"/>
  <c r="BE721" i="1"/>
  <c r="BE722" i="1"/>
  <c r="BE723" i="1"/>
  <c r="BE724" i="1"/>
  <c r="BE725" i="1"/>
  <c r="BE732" i="1"/>
  <c r="BE733" i="1"/>
  <c r="BE734" i="1"/>
  <c r="BE735" i="1"/>
  <c r="BE736" i="1"/>
  <c r="BE737" i="1"/>
  <c r="BE738" i="1"/>
  <c r="BE739" i="1"/>
  <c r="BE745" i="1"/>
  <c r="BE746" i="1"/>
  <c r="BE751" i="1"/>
  <c r="BE752" i="1"/>
  <c r="BE753" i="1"/>
  <c r="BE754" i="1"/>
  <c r="BE755" i="1"/>
  <c r="BE756" i="1"/>
  <c r="BE758" i="1"/>
  <c r="BE759" i="1"/>
  <c r="BE760" i="1"/>
  <c r="BE763" i="1"/>
  <c r="BE764" i="1"/>
  <c r="BE765" i="1"/>
  <c r="BE766" i="1"/>
  <c r="BE767" i="1"/>
  <c r="BE768" i="1"/>
  <c r="BE769" i="1"/>
  <c r="BE770" i="1"/>
  <c r="BE772" i="1"/>
  <c r="BE773" i="1"/>
  <c r="BE774" i="1"/>
  <c r="BE775" i="1"/>
  <c r="BE776" i="1"/>
  <c r="BE778" i="1"/>
  <c r="BE779" i="1"/>
  <c r="BE780" i="1"/>
  <c r="BE781" i="1"/>
  <c r="BE782" i="1"/>
  <c r="BE783" i="1"/>
  <c r="BE784" i="1"/>
  <c r="BE785" i="1"/>
  <c r="BE786" i="1"/>
  <c r="BE787" i="1"/>
  <c r="BE788" i="1"/>
  <c r="BE789" i="1"/>
  <c r="BE790" i="1"/>
  <c r="BE791" i="1"/>
  <c r="BE792" i="1"/>
  <c r="BE793" i="1"/>
  <c r="BE794" i="1"/>
  <c r="BE795" i="1"/>
  <c r="BE796" i="1"/>
  <c r="BE797" i="1"/>
  <c r="BE798" i="1"/>
  <c r="BE799" i="1"/>
  <c r="BE800" i="1"/>
  <c r="BE801" i="1"/>
  <c r="BE802" i="1"/>
  <c r="BE803" i="1"/>
  <c r="BE804" i="1"/>
  <c r="BE805" i="1"/>
  <c r="BE806" i="1"/>
  <c r="BE807" i="1"/>
  <c r="BE808" i="1"/>
  <c r="BE809" i="1"/>
  <c r="BE810" i="1"/>
  <c r="BE811" i="1"/>
  <c r="BE812" i="1"/>
  <c r="BE813" i="1"/>
  <c r="BE815" i="1"/>
  <c r="BE816" i="1"/>
  <c r="BE817" i="1"/>
  <c r="BE818" i="1"/>
  <c r="BE819" i="1"/>
  <c r="BE820" i="1"/>
  <c r="BE823" i="1"/>
  <c r="BE824" i="1"/>
  <c r="BE825" i="1"/>
  <c r="BE826" i="1"/>
  <c r="BE827" i="1"/>
  <c r="BE828" i="1"/>
  <c r="BE829" i="1"/>
  <c r="BE832" i="1"/>
  <c r="BE834" i="1"/>
  <c r="BE835" i="1"/>
  <c r="BE836" i="1"/>
  <c r="BE838" i="1"/>
  <c r="BE843" i="1"/>
  <c r="BE844" i="1"/>
  <c r="BE845" i="1"/>
  <c r="BE846" i="1"/>
  <c r="BE847" i="1"/>
  <c r="BE848" i="1"/>
  <c r="BE849" i="1"/>
  <c r="BE850" i="1"/>
  <c r="BE851" i="1"/>
  <c r="BE852" i="1"/>
  <c r="BE853" i="1"/>
  <c r="BE854" i="1"/>
  <c r="BE855" i="1"/>
  <c r="BE856" i="1"/>
  <c r="BE863" i="1"/>
  <c r="BE864" i="1"/>
  <c r="BE865" i="1"/>
  <c r="BE866" i="1"/>
  <c r="BE868" i="1"/>
  <c r="BE869" i="1"/>
  <c r="BE874" i="1"/>
  <c r="BE875" i="1"/>
  <c r="BE876" i="1"/>
  <c r="BE877" i="1"/>
  <c r="BE878" i="1"/>
  <c r="BE879" i="1"/>
  <c r="BE880" i="1"/>
  <c r="BE881" i="1"/>
  <c r="BE882" i="1"/>
  <c r="BE883" i="1"/>
  <c r="BE884" i="1"/>
  <c r="BE885" i="1"/>
  <c r="BE886" i="1"/>
  <c r="BE887" i="1"/>
  <c r="BE888" i="1"/>
  <c r="BE889" i="1"/>
  <c r="BE890" i="1"/>
  <c r="BE891" i="1"/>
  <c r="BE894" i="1"/>
  <c r="BE895" i="1"/>
  <c r="BE896" i="1"/>
  <c r="BE897" i="1"/>
  <c r="BE898" i="1"/>
  <c r="BE899" i="1"/>
  <c r="BE900" i="1"/>
  <c r="BE901" i="1"/>
  <c r="BE902" i="1"/>
  <c r="BE903" i="1"/>
  <c r="BE904" i="1"/>
  <c r="BE905" i="1"/>
  <c r="BE911" i="1"/>
  <c r="BE912" i="1"/>
  <c r="BE914" i="1"/>
  <c r="BE915" i="1"/>
  <c r="BE918" i="1"/>
  <c r="BE919" i="1"/>
  <c r="BE920" i="1"/>
  <c r="BE921" i="1"/>
  <c r="BE922" i="1"/>
  <c r="BE923" i="1"/>
  <c r="BE924" i="1"/>
  <c r="BE925" i="1"/>
  <c r="BE926" i="1"/>
  <c r="BE935" i="1"/>
  <c r="BE936" i="1"/>
  <c r="BE937" i="1"/>
  <c r="BE938" i="1"/>
  <c r="BE939" i="1"/>
  <c r="BE940" i="1"/>
  <c r="BE941" i="1"/>
  <c r="BE942" i="1"/>
  <c r="BE944" i="1"/>
  <c r="BE946" i="1"/>
  <c r="BE947" i="1"/>
  <c r="BE948" i="1"/>
  <c r="BE949" i="1"/>
  <c r="BE950" i="1"/>
  <c r="BE951" i="1"/>
  <c r="BE956" i="1"/>
  <c r="BE957" i="1"/>
  <c r="BE962" i="1"/>
  <c r="BE973" i="1"/>
  <c r="BE974" i="1"/>
  <c r="BE976" i="1"/>
  <c r="BE977" i="1"/>
  <c r="BE978" i="1"/>
  <c r="BE979" i="1"/>
  <c r="BE980" i="1"/>
  <c r="BE982" i="1"/>
  <c r="BE983" i="1"/>
  <c r="BE984" i="1"/>
  <c r="BE985" i="1"/>
  <c r="BE986" i="1"/>
  <c r="BE987" i="1"/>
  <c r="BE988" i="1"/>
  <c r="BE990" i="1"/>
  <c r="BE991" i="1"/>
  <c r="BE993" i="1"/>
  <c r="BE1001" i="1"/>
  <c r="BE1002" i="1"/>
  <c r="BE1005" i="1"/>
  <c r="BE1006" i="1"/>
  <c r="BE1007" i="1"/>
  <c r="BE1009" i="1"/>
  <c r="BE1010" i="1"/>
  <c r="BE1011" i="1"/>
  <c r="BE1013" i="1"/>
  <c r="BE1014" i="1"/>
  <c r="BE1015" i="1"/>
  <c r="BE1017" i="1"/>
  <c r="BE1018" i="1"/>
  <c r="BE1019" i="1"/>
  <c r="BE1020" i="1"/>
  <c r="BE1021" i="1"/>
  <c r="BE1022" i="1"/>
  <c r="BE1023" i="1"/>
  <c r="BE1024" i="1"/>
  <c r="BE1025" i="1"/>
  <c r="BE1026" i="1"/>
  <c r="BE1027" i="1"/>
  <c r="BE1028" i="1"/>
  <c r="BE1029" i="1"/>
  <c r="BE1030" i="1"/>
  <c r="BE1031" i="1"/>
  <c r="BE1032" i="1"/>
  <c r="BE1033" i="1"/>
  <c r="BE1034" i="1"/>
  <c r="BE1035" i="1"/>
  <c r="BE1036" i="1"/>
  <c r="BE1037" i="1"/>
  <c r="BE1038" i="1"/>
  <c r="BE1039" i="1"/>
  <c r="BE1040" i="1"/>
  <c r="BE1041" i="1"/>
  <c r="BE1042" i="1"/>
  <c r="BE1043" i="1"/>
  <c r="BE1044" i="1"/>
  <c r="BE1068" i="1"/>
  <c r="BE1069" i="1"/>
  <c r="BE1071" i="1"/>
  <c r="BE1072" i="1"/>
  <c r="BE1073" i="1"/>
  <c r="BE1074" i="1"/>
  <c r="BE1075" i="1"/>
  <c r="BE1076" i="1"/>
  <c r="BE1080" i="1"/>
  <c r="BE1081" i="1"/>
  <c r="BE1091" i="1"/>
  <c r="BE1092" i="1"/>
  <c r="BE1093" i="1"/>
  <c r="BE1094" i="1"/>
  <c r="BE1095" i="1"/>
  <c r="BE1096" i="1"/>
  <c r="BE1099" i="1"/>
  <c r="BE1100" i="1"/>
  <c r="BE1102" i="1"/>
  <c r="BE1103" i="1"/>
  <c r="BE1104" i="1"/>
  <c r="BE1105" i="1"/>
  <c r="BE1106" i="1"/>
  <c r="BE1108" i="1"/>
  <c r="BE1109" i="1"/>
  <c r="BE1110" i="1"/>
  <c r="BE1111" i="1"/>
  <c r="BE1112" i="1"/>
  <c r="BE1113" i="1"/>
  <c r="BE1114" i="1"/>
  <c r="BE1115" i="1"/>
  <c r="BE1116" i="1"/>
  <c r="BE1117" i="1"/>
  <c r="BE1118" i="1"/>
  <c r="BE1119" i="1"/>
  <c r="BE1120" i="1"/>
  <c r="BE1121" i="1"/>
  <c r="BE1122" i="1"/>
  <c r="BE1123" i="1"/>
  <c r="BE1127" i="1"/>
  <c r="BE1128" i="1"/>
  <c r="BE1129" i="1"/>
  <c r="BE1130" i="1"/>
  <c r="BE1131" i="1"/>
  <c r="BE1132" i="1"/>
  <c r="BE1133" i="1"/>
  <c r="BE1134" i="1"/>
  <c r="BE1135" i="1"/>
  <c r="BE1136" i="1"/>
  <c r="BE1137" i="1"/>
  <c r="BE1138" i="1"/>
  <c r="BE1139" i="1"/>
  <c r="BE1140" i="1"/>
  <c r="BE1141" i="1"/>
  <c r="BE1142" i="1"/>
  <c r="BE1143" i="1"/>
  <c r="BE1144" i="1"/>
  <c r="BE1145" i="1"/>
  <c r="BE1146" i="1"/>
  <c r="BE1147" i="1"/>
  <c r="BE1148" i="1"/>
  <c r="BE1149" i="1"/>
  <c r="BE1150" i="1"/>
  <c r="BE1151" i="1"/>
  <c r="BE1152" i="1"/>
  <c r="BE1153" i="1"/>
  <c r="BE1154" i="1"/>
  <c r="BE1155" i="1"/>
  <c r="BE1157" i="1"/>
  <c r="BE1158" i="1"/>
  <c r="BE1159" i="1"/>
  <c r="BE1161" i="1"/>
  <c r="BE1162" i="1"/>
  <c r="BE1163" i="1"/>
  <c r="BE1164" i="1"/>
  <c r="BE1165" i="1"/>
  <c r="BE1166" i="1"/>
  <c r="BE1167" i="1"/>
  <c r="BE1168" i="1"/>
  <c r="BE1169" i="1"/>
  <c r="BE1170" i="1"/>
  <c r="BE1171" i="1"/>
  <c r="BE1172" i="1"/>
  <c r="BE1173" i="1"/>
  <c r="BE1174" i="1"/>
  <c r="BE1175" i="1"/>
  <c r="BE1176" i="1"/>
  <c r="BE1177" i="1"/>
  <c r="BE1178" i="1"/>
  <c r="BE1179" i="1"/>
  <c r="BE1180" i="1"/>
  <c r="BE1181" i="1"/>
  <c r="BE1182" i="1"/>
  <c r="BE1183" i="1"/>
  <c r="BE1184" i="1"/>
  <c r="BE1185" i="1"/>
  <c r="BE1186" i="1"/>
  <c r="BE1187" i="1"/>
  <c r="BE1188" i="1"/>
  <c r="BE1189" i="1"/>
  <c r="BE1190" i="1"/>
  <c r="BE1191" i="1"/>
  <c r="BE1192" i="1"/>
  <c r="BE1193" i="1"/>
  <c r="BE1194" i="1"/>
  <c r="BE1197" i="1"/>
  <c r="BE1198" i="1"/>
  <c r="BE1199" i="1"/>
  <c r="BE1200" i="1"/>
  <c r="BE1201" i="1"/>
  <c r="BE1083" i="1"/>
  <c r="BE473" i="1"/>
  <c r="BE1213" i="1"/>
  <c r="BE41" i="1"/>
  <c r="BE645" i="1"/>
  <c r="BE431" i="1"/>
  <c r="BE995" i="1"/>
  <c r="BE1051" i="1"/>
  <c r="BE104" i="1"/>
  <c r="BE1067" i="1"/>
  <c r="BE324" i="1"/>
  <c r="BE614" i="1"/>
  <c r="BE963" i="1"/>
  <c r="BE3" i="1"/>
  <c r="BE31" i="1"/>
  <c r="BE1097" i="1"/>
  <c r="BE549" i="1"/>
  <c r="BE837" i="1"/>
  <c r="BE609" i="1"/>
  <c r="BE604" i="1"/>
  <c r="BE538" i="1"/>
  <c r="BE648" i="1"/>
  <c r="BE519" i="1"/>
  <c r="BE958" i="1"/>
  <c r="BE82" i="1"/>
  <c r="BE208" i="1"/>
  <c r="BE299" i="1"/>
  <c r="BE909" i="1"/>
  <c r="BE65" i="1"/>
  <c r="BE964" i="1"/>
  <c r="BE1082" i="1"/>
  <c r="BE992" i="1"/>
  <c r="BE108" i="1"/>
  <c r="BE703" i="1"/>
  <c r="BE907" i="1"/>
  <c r="BE517" i="1"/>
  <c r="BE618" i="1"/>
  <c r="BE51" i="1"/>
  <c r="BE757" i="1"/>
  <c r="BE638" i="1"/>
  <c r="BE92" i="1"/>
  <c r="BE501" i="1"/>
  <c r="BE1070" i="1"/>
  <c r="BE350" i="1"/>
  <c r="BE530" i="1"/>
  <c r="BE4" i="1"/>
  <c r="BE222" i="1"/>
  <c r="BE359" i="1"/>
  <c r="BE654" i="1"/>
  <c r="BE337" i="1"/>
  <c r="BE952" i="1"/>
  <c r="BE185" i="1"/>
  <c r="BE910" i="1"/>
  <c r="BE833" i="1"/>
  <c r="BE927" i="1"/>
  <c r="BE454" i="1"/>
  <c r="BE822" i="1"/>
  <c r="BE198" i="1"/>
  <c r="BE646" i="1"/>
  <c r="BE543" i="1"/>
  <c r="BE304" i="1"/>
  <c r="BE26" i="1"/>
  <c r="BE398" i="1"/>
  <c r="BE45" i="1"/>
  <c r="BE1215" i="1"/>
  <c r="BE1195" i="1"/>
  <c r="BE469" i="1"/>
  <c r="BE246" i="1"/>
  <c r="BE288" i="1"/>
  <c r="BE360" i="1"/>
  <c r="BE73" i="1"/>
  <c r="BE554" i="1"/>
  <c r="BE294" i="1"/>
  <c r="BE1124" i="1"/>
  <c r="BE953" i="1"/>
  <c r="BE67" i="1"/>
  <c r="BE58" i="1"/>
  <c r="BE870" i="1"/>
  <c r="BE325" i="1"/>
  <c r="BE1059" i="1"/>
  <c r="BE74" i="1"/>
  <c r="BE569" i="1"/>
  <c r="BE42" i="1"/>
  <c r="BE382" i="1"/>
  <c r="BE32" i="1"/>
  <c r="BE928" i="1"/>
  <c r="BE639" i="1"/>
  <c r="BE857" i="1"/>
  <c r="BE1045" i="1"/>
  <c r="BE68" i="1"/>
  <c r="BE1085" i="1"/>
  <c r="BE251" i="1"/>
  <c r="BE529" i="1"/>
  <c r="BE5" i="1"/>
  <c r="BE1000" i="1"/>
  <c r="BE60" i="1"/>
  <c r="BE1060" i="1"/>
  <c r="BE432" i="1"/>
  <c r="BE1214" i="1"/>
  <c r="BE635" i="1"/>
  <c r="BE300" i="1"/>
  <c r="BE52" i="1"/>
  <c r="BE192" i="1"/>
  <c r="BE86" i="1"/>
  <c r="BE1211" i="1"/>
  <c r="BE411" i="1"/>
  <c r="BE1077" i="1"/>
  <c r="BE289" i="1"/>
  <c r="BE502" i="1"/>
  <c r="BE503" i="1"/>
  <c r="BE961" i="1"/>
  <c r="BE399" i="1"/>
  <c r="BE842" i="1"/>
  <c r="BE284" i="1"/>
  <c r="BE1049" i="1"/>
  <c r="BE35" i="1"/>
  <c r="BE211" i="1"/>
  <c r="BE515" i="1"/>
  <c r="BE840" i="1"/>
  <c r="BE537" i="1"/>
  <c r="BE356" i="1"/>
  <c r="BE981" i="1"/>
  <c r="BE965" i="1"/>
  <c r="BE305" i="1"/>
  <c r="BE290" i="1"/>
  <c r="BE297" i="1"/>
  <c r="BE87" i="1"/>
  <c r="BE184" i="1"/>
  <c r="BE451" i="1"/>
  <c r="BE312" i="1"/>
  <c r="BE465" i="1"/>
  <c r="BE544" i="1"/>
  <c r="BE1107" i="1"/>
  <c r="BE1222" i="1"/>
  <c r="BE1088" i="1"/>
  <c r="BE383" i="1"/>
  <c r="BE636" i="1"/>
  <c r="BE27" i="1"/>
  <c r="BE130" i="1"/>
  <c r="BE814" i="1"/>
  <c r="BE966" i="1"/>
  <c r="BE1204" i="1"/>
  <c r="BE972" i="1"/>
  <c r="BE867" i="1"/>
  <c r="BE748" i="1"/>
  <c r="BE59" i="1"/>
  <c r="BE727" i="1"/>
  <c r="BE301" i="1"/>
  <c r="BE64" i="1"/>
  <c r="BE1052" i="1"/>
  <c r="BE1126" i="1"/>
  <c r="BE316" i="1"/>
  <c r="BE314" i="1"/>
  <c r="BE536" i="1"/>
  <c r="BE53" i="1"/>
  <c r="BE687" i="1"/>
  <c r="BE40" i="1"/>
  <c r="BE322" i="1"/>
  <c r="BE841" i="1"/>
  <c r="BE498" i="1"/>
  <c r="BE1218" i="1"/>
  <c r="BE397" i="1"/>
  <c r="BE24" i="1"/>
  <c r="BE186" i="1"/>
  <c r="BE455" i="1"/>
  <c r="BE929" i="1"/>
  <c r="BE740" i="1"/>
  <c r="BE1219" i="1"/>
  <c r="BE567" i="1"/>
  <c r="BE357" i="1"/>
  <c r="BE488" i="1"/>
  <c r="BE351" i="1"/>
  <c r="BE568" i="1"/>
  <c r="BE81" i="1"/>
  <c r="BE996" i="1"/>
  <c r="BE247" i="1"/>
  <c r="BE616" i="1"/>
  <c r="BE913" i="1"/>
  <c r="BE1090" i="1"/>
  <c r="BE892" i="1"/>
  <c r="BE6" i="1"/>
  <c r="BE199" i="1"/>
  <c r="BE1216" i="1"/>
  <c r="BE323" i="1"/>
  <c r="BE1205" i="1"/>
  <c r="BE457" i="1"/>
  <c r="BE555" i="1"/>
  <c r="BE1125" i="1"/>
  <c r="BE93" i="1"/>
  <c r="BE200" i="1"/>
  <c r="BE466" i="1"/>
  <c r="BE585" i="1"/>
  <c r="BE43" i="1"/>
  <c r="BE419" i="1"/>
  <c r="BE1156" i="1"/>
  <c r="BE29" i="1"/>
  <c r="BE1210" i="1"/>
  <c r="BE495" i="1"/>
  <c r="BE916" i="1"/>
  <c r="BE1050" i="1"/>
  <c r="BE1203" i="1"/>
  <c r="BE1221" i="1"/>
  <c r="BE1206" i="1"/>
  <c r="BE1012" i="1"/>
  <c r="BE361" i="1"/>
  <c r="BE1207" i="1"/>
  <c r="BE201" i="1"/>
  <c r="BE243" i="1"/>
  <c r="BE362" i="1"/>
  <c r="BE930" i="1"/>
  <c r="BE531" i="1"/>
  <c r="BE997" i="1"/>
  <c r="BE83" i="1"/>
  <c r="BE202" i="1"/>
  <c r="BE1004" i="1"/>
  <c r="BE460" i="1"/>
  <c r="BE214" i="1"/>
  <c r="BE276" i="1"/>
  <c r="BE1016" i="1"/>
  <c r="BE1061" i="1"/>
  <c r="BE433" i="1"/>
  <c r="BE349" i="1"/>
  <c r="BE191" i="1"/>
  <c r="BE417" i="1"/>
  <c r="BE871" i="1"/>
  <c r="BE1062" i="1"/>
  <c r="BE61" i="1"/>
  <c r="BE452" i="1"/>
  <c r="BE830" i="1"/>
  <c r="BE418" i="1"/>
  <c r="BE499" i="1"/>
  <c r="BE227" i="1"/>
  <c r="BE1053" i="1"/>
  <c r="BE862" i="1"/>
  <c r="BE969" i="1"/>
  <c r="BE240" i="1"/>
  <c r="BE541" i="1"/>
  <c r="BE518" i="1"/>
  <c r="BE384" i="1"/>
  <c r="BE1054" i="1"/>
  <c r="BE954" i="1"/>
  <c r="BE623" i="1"/>
  <c r="BE728" i="1"/>
  <c r="BE62" i="1"/>
  <c r="BE610" i="1"/>
  <c r="BE470" i="1"/>
  <c r="BE893" i="1"/>
  <c r="BE943" i="1"/>
  <c r="BE747" i="1"/>
  <c r="BE63" i="1"/>
  <c r="BE283" i="1"/>
  <c r="BE640" i="1"/>
  <c r="BE998" i="1"/>
  <c r="BE545" i="1"/>
  <c r="BE906" i="1"/>
  <c r="BE37" i="1"/>
  <c r="BE497" i="1"/>
  <c r="BE448" i="1"/>
  <c r="BE400" i="1"/>
  <c r="BE487" i="1"/>
  <c r="BE741" i="1"/>
  <c r="BE481" i="1"/>
  <c r="BE504" i="1"/>
  <c r="BE908" i="1"/>
  <c r="BE285" i="1"/>
  <c r="BE989" i="1"/>
  <c r="BE821" i="1"/>
  <c r="BE365" i="1"/>
  <c r="BE1063" i="1"/>
  <c r="BE507" i="1"/>
  <c r="BE492" i="1"/>
  <c r="BE762" i="1"/>
  <c r="BE566" i="1"/>
  <c r="BE385" i="1"/>
  <c r="BE858" i="1"/>
  <c r="BE546" i="1"/>
  <c r="BE967" i="1"/>
  <c r="BE532" i="1"/>
  <c r="BE500" i="1"/>
  <c r="BE663" i="1"/>
  <c r="BE212" i="1"/>
  <c r="BE1160" i="1"/>
  <c r="BE36" i="1"/>
  <c r="BE960" i="1"/>
  <c r="BE449" i="1"/>
  <c r="BE396" i="1"/>
  <c r="BE471" i="1"/>
  <c r="BE95" i="1"/>
  <c r="BE761" i="1"/>
  <c r="BE88" i="1"/>
  <c r="BE94" i="1"/>
  <c r="BE386" i="1"/>
  <c r="BE968" i="1"/>
  <c r="BE1101" i="1"/>
  <c r="BE306" i="1"/>
  <c r="BE664" i="1"/>
  <c r="BE593" i="1"/>
  <c r="BE1078" i="1"/>
  <c r="BE859" i="1"/>
  <c r="BE970" i="1"/>
  <c r="BE482" i="1"/>
  <c r="BE70" i="1"/>
  <c r="BE533" i="1"/>
  <c r="BE665" i="1"/>
  <c r="BE54" i="1"/>
  <c r="BE1008" i="1"/>
  <c r="BE931" i="1"/>
  <c r="BE96" i="1"/>
  <c r="BE494" i="1"/>
  <c r="BE262" i="1"/>
  <c r="BE1086" i="1"/>
  <c r="BE1217" i="1"/>
  <c r="BE742" i="1"/>
  <c r="BE483" i="1"/>
  <c r="BE934" i="1"/>
  <c r="BE1046" i="1"/>
  <c r="BE363" i="1"/>
  <c r="BE1047" i="1"/>
  <c r="BE730" i="1"/>
  <c r="BE91" i="1"/>
  <c r="BE197" i="1"/>
  <c r="BE317" i="1"/>
  <c r="BE1208" i="1"/>
  <c r="BE1003" i="1"/>
  <c r="BE611" i="1"/>
  <c r="BE412" i="1"/>
  <c r="BE248" i="1"/>
  <c r="BE213" i="1"/>
  <c r="BE173" i="1"/>
  <c r="BE971" i="1"/>
  <c r="BE994" i="1"/>
  <c r="BE413" i="1"/>
  <c r="BE1048" i="1"/>
  <c r="BE33" i="1"/>
  <c r="BE1064" i="1"/>
  <c r="BE453" i="1"/>
  <c r="BE771" i="1"/>
  <c r="BE401" i="1"/>
  <c r="BE534" i="1"/>
  <c r="BE484" i="1"/>
  <c r="BE352" i="1"/>
  <c r="BE861" i="1"/>
  <c r="BE7" i="1"/>
  <c r="BE206" i="1"/>
  <c r="BE744" i="1"/>
  <c r="BE1196" i="1"/>
  <c r="BE637" i="1"/>
  <c r="BE542" i="1"/>
  <c r="BE187" i="1"/>
  <c r="BE203" i="1"/>
  <c r="BE493" i="1"/>
  <c r="BE1055" i="1"/>
  <c r="BE1065" i="1"/>
  <c r="BE209" i="1"/>
  <c r="BE193" i="1"/>
  <c r="BE55" i="1"/>
  <c r="BE726" i="1"/>
  <c r="BE641" i="1"/>
  <c r="BE526" i="1"/>
  <c r="BE174" i="1"/>
  <c r="BE302" i="1"/>
  <c r="BE34" i="1"/>
  <c r="BE644" i="1"/>
  <c r="BE44" i="1"/>
  <c r="BE1220" i="1"/>
  <c r="BE194" i="1"/>
  <c r="BE917" i="1"/>
  <c r="BE872" i="1"/>
  <c r="BE188" i="1"/>
  <c r="BE28" i="1"/>
  <c r="BE1089" i="1"/>
  <c r="BE749" i="1"/>
  <c r="BE89" i="1"/>
  <c r="BE69" i="1"/>
  <c r="BE395" i="1"/>
  <c r="BE450" i="1"/>
  <c r="BE467" i="1"/>
  <c r="BE1066" i="1"/>
  <c r="BE39" i="1"/>
  <c r="BE601" i="1"/>
  <c r="BE402" i="1"/>
  <c r="BE777" i="1"/>
  <c r="BE710" i="1"/>
  <c r="BE1202" i="1"/>
  <c r="BE56" i="1"/>
  <c r="BE458" i="1"/>
  <c r="BE643" i="1"/>
  <c r="BE1058" i="1"/>
  <c r="BE959" i="1"/>
  <c r="BE1212" i="1"/>
  <c r="BE647" i="1"/>
  <c r="BE204" i="1"/>
  <c r="BE750" i="1"/>
  <c r="BE295" i="1"/>
  <c r="BE612" i="1"/>
  <c r="BE459" i="1"/>
  <c r="BE472" i="1"/>
  <c r="BE485" i="1"/>
  <c r="BE189" i="1"/>
  <c r="BE535" i="1"/>
  <c r="BE50" i="1"/>
  <c r="BE743" i="1"/>
  <c r="BE1209" i="1"/>
  <c r="BE291" i="1"/>
  <c r="BE539" i="1"/>
  <c r="BE666" i="1"/>
  <c r="BE516" i="1"/>
  <c r="BE205" i="1"/>
  <c r="BE999" i="1"/>
  <c r="BE486" i="1"/>
  <c r="BE839" i="1"/>
  <c r="BE456" i="1"/>
  <c r="BE1084" i="1"/>
  <c r="BE613" i="1"/>
  <c r="BE298" i="1"/>
  <c r="BE353" i="1"/>
  <c r="BE699" i="1"/>
  <c r="BE90" i="1"/>
  <c r="BE932" i="1"/>
  <c r="BE1056" i="1"/>
  <c r="BE975" i="1"/>
  <c r="BE8" i="1"/>
  <c r="BE1057" i="1"/>
  <c r="BE315" i="1"/>
  <c r="BE1098" i="1"/>
  <c r="BE57" i="1"/>
  <c r="BE286" i="1"/>
  <c r="BE403" i="1"/>
  <c r="BE731" i="1"/>
  <c r="BE729" i="1"/>
  <c r="BE605" i="1"/>
  <c r="BE21" i="1"/>
  <c r="BE468" i="1"/>
  <c r="BE303" i="1"/>
  <c r="BE860" i="1"/>
  <c r="BE9" i="1"/>
  <c r="BE210" i="1"/>
  <c r="BE496" i="1"/>
  <c r="BE320" i="1"/>
  <c r="BE634" i="1"/>
  <c r="BE293" i="1"/>
  <c r="BE307" i="1"/>
  <c r="BE2" i="1"/>
  <c r="BE686" i="1"/>
  <c r="BE505" i="1"/>
  <c r="BE540" i="1"/>
  <c r="BE25" i="1"/>
  <c r="BE30" i="1"/>
  <c r="BE308" i="1"/>
  <c r="BE955" i="1"/>
  <c r="BE642" i="1"/>
  <c r="BE873" i="1"/>
  <c r="BE38" i="1"/>
  <c r="BE1087" i="1"/>
  <c r="BE287" i="1"/>
  <c r="BE364" i="1"/>
  <c r="BE933" i="1"/>
  <c r="BE831" i="1"/>
  <c r="BE622" i="1"/>
  <c r="BE1079" i="1"/>
  <c r="BE292" i="1"/>
  <c r="BE945" i="1"/>
  <c r="BE1223" i="1"/>
  <c r="BE10" i="1"/>
  <c r="BC10" i="1"/>
  <c r="BC11" i="1"/>
  <c r="BC12" i="1"/>
  <c r="BC13" i="1"/>
  <c r="BC14" i="1"/>
  <c r="BC15" i="1"/>
  <c r="BC16" i="1"/>
  <c r="BC17" i="1"/>
  <c r="BC18" i="1"/>
  <c r="BC19" i="1"/>
  <c r="BC20" i="1"/>
  <c r="BC22" i="1"/>
  <c r="BC23" i="1"/>
  <c r="BC46" i="1"/>
  <c r="BC47" i="1"/>
  <c r="BC48" i="1"/>
  <c r="BC49" i="1"/>
  <c r="BC66" i="1"/>
  <c r="BC71" i="1"/>
  <c r="BC72" i="1"/>
  <c r="BC75" i="1"/>
  <c r="BC76" i="1"/>
  <c r="BC77" i="1"/>
  <c r="BC78" i="1"/>
  <c r="BC79" i="1"/>
  <c r="BC80" i="1"/>
  <c r="BC84" i="1"/>
  <c r="BC85" i="1"/>
  <c r="BC97" i="1"/>
  <c r="BC98" i="1"/>
  <c r="BC99" i="1"/>
  <c r="BC100" i="1"/>
  <c r="BC101" i="1"/>
  <c r="BC102" i="1"/>
  <c r="BC103" i="1"/>
  <c r="BC105" i="1"/>
  <c r="BC106" i="1"/>
  <c r="BC107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2" i="1"/>
  <c r="BC153" i="1"/>
  <c r="BC154" i="1"/>
  <c r="BC155" i="1"/>
  <c r="BC156" i="1"/>
  <c r="BC151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5" i="1"/>
  <c r="BC176" i="1"/>
  <c r="BC177" i="1"/>
  <c r="BC178" i="1"/>
  <c r="BC179" i="1"/>
  <c r="BC180" i="1"/>
  <c r="BC181" i="1"/>
  <c r="BC182" i="1"/>
  <c r="BC183" i="1"/>
  <c r="BC190" i="1"/>
  <c r="BC195" i="1"/>
  <c r="BC196" i="1"/>
  <c r="BC207" i="1"/>
  <c r="BC215" i="1"/>
  <c r="BC216" i="1"/>
  <c r="BC217" i="1"/>
  <c r="BC218" i="1"/>
  <c r="BC219" i="1"/>
  <c r="BC220" i="1"/>
  <c r="BC221" i="1"/>
  <c r="BC223" i="1"/>
  <c r="BC224" i="1"/>
  <c r="BC225" i="1"/>
  <c r="BC226" i="1"/>
  <c r="BC228" i="1"/>
  <c r="BC229" i="1"/>
  <c r="BC230" i="1"/>
  <c r="BC231" i="1"/>
  <c r="BC232" i="1"/>
  <c r="BC233" i="1"/>
  <c r="BC234" i="1"/>
  <c r="BC235" i="1"/>
  <c r="BC236" i="1"/>
  <c r="BC237" i="1"/>
  <c r="BC238" i="1"/>
  <c r="BC239" i="1"/>
  <c r="BC241" i="1"/>
  <c r="BC242" i="1"/>
  <c r="BC244" i="1"/>
  <c r="BC245" i="1"/>
  <c r="BC249" i="1"/>
  <c r="BC250" i="1"/>
  <c r="BC252" i="1"/>
  <c r="BC253" i="1"/>
  <c r="BC254" i="1"/>
  <c r="BC255" i="1"/>
  <c r="BC256" i="1"/>
  <c r="BC257" i="1"/>
  <c r="BC258" i="1"/>
  <c r="BC259" i="1"/>
  <c r="BC260" i="1"/>
  <c r="BC261" i="1"/>
  <c r="BC263" i="1"/>
  <c r="BC264" i="1"/>
  <c r="BC265" i="1"/>
  <c r="BC266" i="1"/>
  <c r="BC267" i="1"/>
  <c r="BC268" i="1"/>
  <c r="BC269" i="1"/>
  <c r="BC270" i="1"/>
  <c r="BC271" i="1"/>
  <c r="BC272" i="1"/>
  <c r="BC273" i="1"/>
  <c r="BC274" i="1"/>
  <c r="BC275" i="1"/>
  <c r="BC277" i="1"/>
  <c r="BC278" i="1"/>
  <c r="BC279" i="1"/>
  <c r="BC280" i="1"/>
  <c r="BC281" i="1"/>
  <c r="BC282" i="1"/>
  <c r="BC296" i="1"/>
  <c r="BC309" i="1"/>
  <c r="BC310" i="1"/>
  <c r="BC311" i="1"/>
  <c r="BC313" i="1"/>
  <c r="BC318" i="1"/>
  <c r="BC319" i="1"/>
  <c r="BC321" i="1"/>
  <c r="BC326" i="1"/>
  <c r="BC327" i="1"/>
  <c r="BC328" i="1"/>
  <c r="BC329" i="1"/>
  <c r="BC330" i="1"/>
  <c r="BC331" i="1"/>
  <c r="BC333" i="1"/>
  <c r="BC332" i="1"/>
  <c r="BC334" i="1"/>
  <c r="BC335" i="1"/>
  <c r="BC336" i="1"/>
  <c r="BC338" i="1"/>
  <c r="BC339" i="1"/>
  <c r="BC340" i="1"/>
  <c r="BC341" i="1"/>
  <c r="BC342" i="1"/>
  <c r="BC343" i="1"/>
  <c r="BC344" i="1"/>
  <c r="BC345" i="1"/>
  <c r="BC346" i="1"/>
  <c r="BC347" i="1"/>
  <c r="BC348" i="1"/>
  <c r="BC354" i="1"/>
  <c r="BC355" i="1"/>
  <c r="BC358" i="1"/>
  <c r="BC366" i="1"/>
  <c r="BC367" i="1"/>
  <c r="BC368" i="1"/>
  <c r="BC369" i="1"/>
  <c r="BC370" i="1"/>
  <c r="BC372" i="1"/>
  <c r="BC373" i="1"/>
  <c r="BC371" i="1"/>
  <c r="BC374" i="1"/>
  <c r="BC375" i="1"/>
  <c r="BC376" i="1"/>
  <c r="BC377" i="1"/>
  <c r="BC378" i="1"/>
  <c r="BC379" i="1"/>
  <c r="BC380" i="1"/>
  <c r="BC381" i="1"/>
  <c r="BC387" i="1"/>
  <c r="BC388" i="1"/>
  <c r="BC389" i="1"/>
  <c r="BC390" i="1"/>
  <c r="BC391" i="1"/>
  <c r="BC392" i="1"/>
  <c r="BC393" i="1"/>
  <c r="BC394" i="1"/>
  <c r="BC404" i="1"/>
  <c r="BC405" i="1"/>
  <c r="BC406" i="1"/>
  <c r="BC407" i="1"/>
  <c r="BC408" i="1"/>
  <c r="BC409" i="1"/>
  <c r="BC410" i="1"/>
  <c r="BC414" i="1"/>
  <c r="BC415" i="1"/>
  <c r="BC416" i="1"/>
  <c r="BC420" i="1"/>
  <c r="BC421" i="1"/>
  <c r="BC422" i="1"/>
  <c r="BC423" i="1"/>
  <c r="BC424" i="1"/>
  <c r="BC425" i="1"/>
  <c r="BC426" i="1"/>
  <c r="BC427" i="1"/>
  <c r="BC428" i="1"/>
  <c r="BC429" i="1"/>
  <c r="BC430" i="1"/>
  <c r="BC434" i="1"/>
  <c r="BC435" i="1"/>
  <c r="BC436" i="1"/>
  <c r="BC437" i="1"/>
  <c r="BC438" i="1"/>
  <c r="BC439" i="1"/>
  <c r="BC440" i="1"/>
  <c r="BC441" i="1"/>
  <c r="BC442" i="1"/>
  <c r="BC443" i="1"/>
  <c r="BC444" i="1"/>
  <c r="BC445" i="1"/>
  <c r="BC446" i="1"/>
  <c r="BC447" i="1"/>
  <c r="BC461" i="1"/>
  <c r="BC462" i="1"/>
  <c r="BC463" i="1"/>
  <c r="BC464" i="1"/>
  <c r="BC474" i="1"/>
  <c r="BC475" i="1"/>
  <c r="BC476" i="1"/>
  <c r="BC477" i="1"/>
  <c r="BC478" i="1"/>
  <c r="BC479" i="1"/>
  <c r="BC480" i="1"/>
  <c r="BC489" i="1"/>
  <c r="BC490" i="1"/>
  <c r="BC491" i="1"/>
  <c r="BC506" i="1"/>
  <c r="BC508" i="1"/>
  <c r="BC509" i="1"/>
  <c r="BC510" i="1"/>
  <c r="BC511" i="1"/>
  <c r="BC512" i="1"/>
  <c r="BC513" i="1"/>
  <c r="BC514" i="1"/>
  <c r="BC520" i="1"/>
  <c r="BC521" i="1"/>
  <c r="BC522" i="1"/>
  <c r="BC523" i="1"/>
  <c r="BC524" i="1"/>
  <c r="BC525" i="1"/>
  <c r="BC527" i="1"/>
  <c r="BC528" i="1"/>
  <c r="BC547" i="1"/>
  <c r="BC548" i="1"/>
  <c r="BC550" i="1"/>
  <c r="BC551" i="1"/>
  <c r="BC552" i="1"/>
  <c r="BC553" i="1"/>
  <c r="BC556" i="1"/>
  <c r="BC557" i="1"/>
  <c r="BC558" i="1"/>
  <c r="BC559" i="1"/>
  <c r="BC560" i="1"/>
  <c r="BC561" i="1"/>
  <c r="BC562" i="1"/>
  <c r="BC563" i="1"/>
  <c r="BC564" i="1"/>
  <c r="BC565" i="1"/>
  <c r="BC570" i="1"/>
  <c r="BC571" i="1"/>
  <c r="BC572" i="1"/>
  <c r="BC573" i="1"/>
  <c r="BC574" i="1"/>
  <c r="BC575" i="1"/>
  <c r="BC576" i="1"/>
  <c r="BC577" i="1"/>
  <c r="BC578" i="1"/>
  <c r="BC579" i="1"/>
  <c r="BC580" i="1"/>
  <c r="BC581" i="1"/>
  <c r="BC582" i="1"/>
  <c r="BC586" i="1"/>
  <c r="BC583" i="1"/>
  <c r="BC584" i="1"/>
  <c r="BC587" i="1"/>
  <c r="BC588" i="1"/>
  <c r="BC589" i="1"/>
  <c r="BC590" i="1"/>
  <c r="BC591" i="1"/>
  <c r="BC592" i="1"/>
  <c r="BC594" i="1"/>
  <c r="BC595" i="1"/>
  <c r="BC596" i="1"/>
  <c r="BC597" i="1"/>
  <c r="BC598" i="1"/>
  <c r="BC599" i="1"/>
  <c r="BC600" i="1"/>
  <c r="BC602" i="1"/>
  <c r="BC603" i="1"/>
  <c r="BC606" i="1"/>
  <c r="BC607" i="1"/>
  <c r="BC608" i="1"/>
  <c r="BC615" i="1"/>
  <c r="BC617" i="1"/>
  <c r="BC619" i="1"/>
  <c r="BC620" i="1"/>
  <c r="BC621" i="1"/>
  <c r="BC624" i="1"/>
  <c r="BC625" i="1"/>
  <c r="BC626" i="1"/>
  <c r="BC627" i="1"/>
  <c r="BC628" i="1"/>
  <c r="BC629" i="1"/>
  <c r="BC630" i="1"/>
  <c r="BC631" i="1"/>
  <c r="BC632" i="1"/>
  <c r="BC633" i="1"/>
  <c r="BC649" i="1"/>
  <c r="BC650" i="1"/>
  <c r="BC651" i="1"/>
  <c r="BC652" i="1"/>
  <c r="BC653" i="1"/>
  <c r="BC655" i="1"/>
  <c r="BC656" i="1"/>
  <c r="BC657" i="1"/>
  <c r="BC658" i="1"/>
  <c r="BC659" i="1"/>
  <c r="BC660" i="1"/>
  <c r="BC661" i="1"/>
  <c r="BC662" i="1"/>
  <c r="BC667" i="1"/>
  <c r="BC668" i="1"/>
  <c r="BC669" i="1"/>
  <c r="BC670" i="1"/>
  <c r="BC671" i="1"/>
  <c r="BC672" i="1"/>
  <c r="BC673" i="1"/>
  <c r="BC674" i="1"/>
  <c r="BC675" i="1"/>
  <c r="BC676" i="1"/>
  <c r="BC677" i="1"/>
  <c r="BC678" i="1"/>
  <c r="BC679" i="1"/>
  <c r="BC680" i="1"/>
  <c r="BC681" i="1"/>
  <c r="BC682" i="1"/>
  <c r="BC683" i="1"/>
  <c r="BC684" i="1"/>
  <c r="BC685" i="1"/>
  <c r="BC688" i="1"/>
  <c r="BC689" i="1"/>
  <c r="BC690" i="1"/>
  <c r="BC691" i="1"/>
  <c r="BC692" i="1"/>
  <c r="BC693" i="1"/>
  <c r="BC694" i="1"/>
  <c r="BC695" i="1"/>
  <c r="BC696" i="1"/>
  <c r="BC697" i="1"/>
  <c r="BC698" i="1"/>
  <c r="BC700" i="1"/>
  <c r="BC701" i="1"/>
  <c r="BC702" i="1"/>
  <c r="BC705" i="1"/>
  <c r="BC706" i="1"/>
  <c r="BC707" i="1"/>
  <c r="BC708" i="1"/>
  <c r="BC709" i="1"/>
  <c r="BC711" i="1"/>
  <c r="BC712" i="1"/>
  <c r="BC713" i="1"/>
  <c r="BC714" i="1"/>
  <c r="BC715" i="1"/>
  <c r="BC716" i="1"/>
  <c r="BC717" i="1"/>
  <c r="BC718" i="1"/>
  <c r="BC719" i="1"/>
  <c r="BC720" i="1"/>
  <c r="BC721" i="1"/>
  <c r="BC722" i="1"/>
  <c r="BC723" i="1"/>
  <c r="BC724" i="1"/>
  <c r="BC725" i="1"/>
  <c r="BC732" i="1"/>
  <c r="BC733" i="1"/>
  <c r="BC734" i="1"/>
  <c r="BC735" i="1"/>
  <c r="BC736" i="1"/>
  <c r="BC737" i="1"/>
  <c r="BC738" i="1"/>
  <c r="BC739" i="1"/>
  <c r="BC745" i="1"/>
  <c r="BC746" i="1"/>
  <c r="BC751" i="1"/>
  <c r="BC752" i="1"/>
  <c r="BC753" i="1"/>
  <c r="BC754" i="1"/>
  <c r="BC755" i="1"/>
  <c r="BC756" i="1"/>
  <c r="BC758" i="1"/>
  <c r="BC759" i="1"/>
  <c r="BC760" i="1"/>
  <c r="BC763" i="1"/>
  <c r="BC764" i="1"/>
  <c r="BC765" i="1"/>
  <c r="BC766" i="1"/>
  <c r="BC767" i="1"/>
  <c r="BC768" i="1"/>
  <c r="BC769" i="1"/>
  <c r="BC770" i="1"/>
  <c r="BC772" i="1"/>
  <c r="BC773" i="1"/>
  <c r="BC774" i="1"/>
  <c r="BC775" i="1"/>
  <c r="BC776" i="1"/>
  <c r="BC778" i="1"/>
  <c r="BC779" i="1"/>
  <c r="BC780" i="1"/>
  <c r="BC781" i="1"/>
  <c r="BC782" i="1"/>
  <c r="BC783" i="1"/>
  <c r="BC784" i="1"/>
  <c r="BC785" i="1"/>
  <c r="BC786" i="1"/>
  <c r="BC787" i="1"/>
  <c r="BC788" i="1"/>
  <c r="BC789" i="1"/>
  <c r="BC790" i="1"/>
  <c r="BC791" i="1"/>
  <c r="BC792" i="1"/>
  <c r="BC793" i="1"/>
  <c r="BC794" i="1"/>
  <c r="BC795" i="1"/>
  <c r="BC796" i="1"/>
  <c r="BC797" i="1"/>
  <c r="BC798" i="1"/>
  <c r="BC799" i="1"/>
  <c r="BC800" i="1"/>
  <c r="BC801" i="1"/>
  <c r="BC802" i="1"/>
  <c r="BC803" i="1"/>
  <c r="BC804" i="1"/>
  <c r="BC805" i="1"/>
  <c r="BC806" i="1"/>
  <c r="BC807" i="1"/>
  <c r="BC808" i="1"/>
  <c r="BC809" i="1"/>
  <c r="BC810" i="1"/>
  <c r="BC811" i="1"/>
  <c r="BC812" i="1"/>
  <c r="BC813" i="1"/>
  <c r="BC815" i="1"/>
  <c r="BC816" i="1"/>
  <c r="BC817" i="1"/>
  <c r="BC818" i="1"/>
  <c r="BC819" i="1"/>
  <c r="BC820" i="1"/>
  <c r="BC823" i="1"/>
  <c r="BC824" i="1"/>
  <c r="BC825" i="1"/>
  <c r="BC826" i="1"/>
  <c r="BC827" i="1"/>
  <c r="BC828" i="1"/>
  <c r="BC829" i="1"/>
  <c r="BC832" i="1"/>
  <c r="BC834" i="1"/>
  <c r="BC835" i="1"/>
  <c r="BC836" i="1"/>
  <c r="BC838" i="1"/>
  <c r="BC843" i="1"/>
  <c r="BC844" i="1"/>
  <c r="BC845" i="1"/>
  <c r="BC846" i="1"/>
  <c r="BC847" i="1"/>
  <c r="BC848" i="1"/>
  <c r="BC849" i="1"/>
  <c r="BC850" i="1"/>
  <c r="BC851" i="1"/>
  <c r="BC852" i="1"/>
  <c r="BC853" i="1"/>
  <c r="BC854" i="1"/>
  <c r="BC855" i="1"/>
  <c r="BC856" i="1"/>
  <c r="BC863" i="1"/>
  <c r="BC864" i="1"/>
  <c r="BC865" i="1"/>
  <c r="BC866" i="1"/>
  <c r="BC868" i="1"/>
  <c r="BC869" i="1"/>
  <c r="BC874" i="1"/>
  <c r="BC875" i="1"/>
  <c r="BC876" i="1"/>
  <c r="BC877" i="1"/>
  <c r="BC878" i="1"/>
  <c r="BC879" i="1"/>
  <c r="BC880" i="1"/>
  <c r="BC881" i="1"/>
  <c r="BC882" i="1"/>
  <c r="BC883" i="1"/>
  <c r="BC884" i="1"/>
  <c r="BC885" i="1"/>
  <c r="BC886" i="1"/>
  <c r="BC887" i="1"/>
  <c r="BC888" i="1"/>
  <c r="BC889" i="1"/>
  <c r="BC890" i="1"/>
  <c r="BC891" i="1"/>
  <c r="BC894" i="1"/>
  <c r="BC895" i="1"/>
  <c r="BC896" i="1"/>
  <c r="BC897" i="1"/>
  <c r="BC898" i="1"/>
  <c r="BC899" i="1"/>
  <c r="BC900" i="1"/>
  <c r="BC901" i="1"/>
  <c r="BC902" i="1"/>
  <c r="BC903" i="1"/>
  <c r="BC904" i="1"/>
  <c r="BC905" i="1"/>
  <c r="BC911" i="1"/>
  <c r="BC912" i="1"/>
  <c r="BC914" i="1"/>
  <c r="BC915" i="1"/>
  <c r="BC918" i="1"/>
  <c r="BC919" i="1"/>
  <c r="BC920" i="1"/>
  <c r="BC921" i="1"/>
  <c r="BC922" i="1"/>
  <c r="BC923" i="1"/>
  <c r="BC924" i="1"/>
  <c r="BC925" i="1"/>
  <c r="BC926" i="1"/>
  <c r="BC935" i="1"/>
  <c r="BC936" i="1"/>
  <c r="BC937" i="1"/>
  <c r="BC938" i="1"/>
  <c r="BC939" i="1"/>
  <c r="BC940" i="1"/>
  <c r="BC941" i="1"/>
  <c r="BC942" i="1"/>
  <c r="BC944" i="1"/>
  <c r="BC946" i="1"/>
  <c r="BC947" i="1"/>
  <c r="BC948" i="1"/>
  <c r="BC949" i="1"/>
  <c r="BC950" i="1"/>
  <c r="BC951" i="1"/>
  <c r="BC956" i="1"/>
  <c r="BC957" i="1"/>
  <c r="BC962" i="1"/>
  <c r="BC973" i="1"/>
  <c r="BC974" i="1"/>
  <c r="BC976" i="1"/>
  <c r="BC977" i="1"/>
  <c r="BC978" i="1"/>
  <c r="BC979" i="1"/>
  <c r="BC980" i="1"/>
  <c r="BC982" i="1"/>
  <c r="BC983" i="1"/>
  <c r="BC984" i="1"/>
  <c r="BC985" i="1"/>
  <c r="BC986" i="1"/>
  <c r="BC987" i="1"/>
  <c r="BC988" i="1"/>
  <c r="BC990" i="1"/>
  <c r="BC991" i="1"/>
  <c r="BC993" i="1"/>
  <c r="BC1001" i="1"/>
  <c r="BC1002" i="1"/>
  <c r="BC1005" i="1"/>
  <c r="BC1006" i="1"/>
  <c r="BC1007" i="1"/>
  <c r="BC1009" i="1"/>
  <c r="BC1010" i="1"/>
  <c r="BC1011" i="1"/>
  <c r="BC1013" i="1"/>
  <c r="BC1014" i="1"/>
  <c r="BC1015" i="1"/>
  <c r="BC1017" i="1"/>
  <c r="BC1018" i="1"/>
  <c r="BC1019" i="1"/>
  <c r="BC1020" i="1"/>
  <c r="BC1021" i="1"/>
  <c r="BC1022" i="1"/>
  <c r="BC1023" i="1"/>
  <c r="BC1024" i="1"/>
  <c r="BC1025" i="1"/>
  <c r="BC1026" i="1"/>
  <c r="BC1027" i="1"/>
  <c r="BC1028" i="1"/>
  <c r="BC1029" i="1"/>
  <c r="BC1030" i="1"/>
  <c r="BC1031" i="1"/>
  <c r="BC1032" i="1"/>
  <c r="BC1033" i="1"/>
  <c r="BC1034" i="1"/>
  <c r="BC1035" i="1"/>
  <c r="BC1036" i="1"/>
  <c r="BC1037" i="1"/>
  <c r="BC1038" i="1"/>
  <c r="BC1039" i="1"/>
  <c r="BC1040" i="1"/>
  <c r="BC1041" i="1"/>
  <c r="BC1042" i="1"/>
  <c r="BC1043" i="1"/>
  <c r="BC1044" i="1"/>
  <c r="BC1068" i="1"/>
  <c r="BC1069" i="1"/>
  <c r="BC1071" i="1"/>
  <c r="BC1072" i="1"/>
  <c r="BC1073" i="1"/>
  <c r="BC1074" i="1"/>
  <c r="BC1075" i="1"/>
  <c r="BC1076" i="1"/>
  <c r="BC1080" i="1"/>
  <c r="BC1081" i="1"/>
  <c r="BC1091" i="1"/>
  <c r="BC1092" i="1"/>
  <c r="BC1093" i="1"/>
  <c r="BC1094" i="1"/>
  <c r="BC1095" i="1"/>
  <c r="BC1096" i="1"/>
  <c r="BC1099" i="1"/>
  <c r="BC1100" i="1"/>
  <c r="BC1102" i="1"/>
  <c r="BC1103" i="1"/>
  <c r="BC1104" i="1"/>
  <c r="BC1105" i="1"/>
  <c r="BC1106" i="1"/>
  <c r="BC1108" i="1"/>
  <c r="BC1109" i="1"/>
  <c r="BC1110" i="1"/>
  <c r="BC1111" i="1"/>
  <c r="BC1112" i="1"/>
  <c r="BC1113" i="1"/>
  <c r="BC1114" i="1"/>
  <c r="BC1115" i="1"/>
  <c r="BC1116" i="1"/>
  <c r="BC1117" i="1"/>
  <c r="BC1118" i="1"/>
  <c r="BC1119" i="1"/>
  <c r="BC1120" i="1"/>
  <c r="BC1121" i="1"/>
  <c r="BC1122" i="1"/>
  <c r="BC1123" i="1"/>
  <c r="BC1127" i="1"/>
  <c r="BC1128" i="1"/>
  <c r="BC1129" i="1"/>
  <c r="BC1130" i="1"/>
  <c r="BC1131" i="1"/>
  <c r="BC1132" i="1"/>
  <c r="BC1133" i="1"/>
  <c r="BC1134" i="1"/>
  <c r="BC1135" i="1"/>
  <c r="BC1136" i="1"/>
  <c r="BC1137" i="1"/>
  <c r="BC1138" i="1"/>
  <c r="BC1139" i="1"/>
  <c r="BC1140" i="1"/>
  <c r="BC1141" i="1"/>
  <c r="BC1142" i="1"/>
  <c r="BC1143" i="1"/>
  <c r="BC1144" i="1"/>
  <c r="BC1145" i="1"/>
  <c r="BC1146" i="1"/>
  <c r="BC1147" i="1"/>
  <c r="BC1148" i="1"/>
  <c r="BC1149" i="1"/>
  <c r="BC1150" i="1"/>
  <c r="BC1151" i="1"/>
  <c r="BC1152" i="1"/>
  <c r="BC1153" i="1"/>
  <c r="BC1154" i="1"/>
  <c r="BC1155" i="1"/>
  <c r="BC1157" i="1"/>
  <c r="BC1158" i="1"/>
  <c r="BC1159" i="1"/>
  <c r="BC1161" i="1"/>
  <c r="BC1162" i="1"/>
  <c r="BC1163" i="1"/>
  <c r="BC1164" i="1"/>
  <c r="BC1165" i="1"/>
  <c r="BC1166" i="1"/>
  <c r="BC1167" i="1"/>
  <c r="BC1168" i="1"/>
  <c r="BC1169" i="1"/>
  <c r="BC1170" i="1"/>
  <c r="BC1171" i="1"/>
  <c r="BC1172" i="1"/>
  <c r="BC1173" i="1"/>
  <c r="BC1174" i="1"/>
  <c r="BC1175" i="1"/>
  <c r="BC1176" i="1"/>
  <c r="BC1177" i="1"/>
  <c r="BC1178" i="1"/>
  <c r="BC1179" i="1"/>
  <c r="BC1180" i="1"/>
  <c r="BC1181" i="1"/>
  <c r="BC1182" i="1"/>
  <c r="BC1183" i="1"/>
  <c r="BC1184" i="1"/>
  <c r="BC1185" i="1"/>
  <c r="BC1186" i="1"/>
  <c r="BC1187" i="1"/>
  <c r="BC1188" i="1"/>
  <c r="BC1189" i="1"/>
  <c r="BC1190" i="1"/>
  <c r="BC1191" i="1"/>
  <c r="BC1192" i="1"/>
  <c r="BC1193" i="1"/>
  <c r="BC1194" i="1"/>
  <c r="BC1197" i="1"/>
  <c r="BC1198" i="1"/>
  <c r="BC1199" i="1"/>
  <c r="BC1200" i="1"/>
  <c r="BC1201" i="1"/>
  <c r="BC1083" i="1"/>
  <c r="BC473" i="1"/>
  <c r="BC1213" i="1"/>
  <c r="BC41" i="1"/>
  <c r="BC645" i="1"/>
  <c r="BC431" i="1"/>
  <c r="BC995" i="1"/>
  <c r="BC1051" i="1"/>
  <c r="BC104" i="1"/>
  <c r="BC1067" i="1"/>
  <c r="BC324" i="1"/>
  <c r="BC614" i="1"/>
  <c r="BC963" i="1"/>
  <c r="BC3" i="1"/>
  <c r="BC31" i="1"/>
  <c r="BC1097" i="1"/>
  <c r="BC549" i="1"/>
  <c r="BC837" i="1"/>
  <c r="BC609" i="1"/>
  <c r="BC604" i="1"/>
  <c r="BC538" i="1"/>
  <c r="BC648" i="1"/>
  <c r="BC519" i="1"/>
  <c r="BC958" i="1"/>
  <c r="BC82" i="1"/>
  <c r="BC208" i="1"/>
  <c r="BC299" i="1"/>
  <c r="BC909" i="1"/>
  <c r="BC65" i="1"/>
  <c r="BC964" i="1"/>
  <c r="BC1082" i="1"/>
  <c r="BC992" i="1"/>
  <c r="BC108" i="1"/>
  <c r="BC703" i="1"/>
  <c r="BC907" i="1"/>
  <c r="BC517" i="1"/>
  <c r="BC618" i="1"/>
  <c r="BC51" i="1"/>
  <c r="BC757" i="1"/>
  <c r="BC638" i="1"/>
  <c r="BC92" i="1"/>
  <c r="BC501" i="1"/>
  <c r="BC1070" i="1"/>
  <c r="BC350" i="1"/>
  <c r="BC530" i="1"/>
  <c r="BC4" i="1"/>
  <c r="BC222" i="1"/>
  <c r="BC359" i="1"/>
  <c r="BC654" i="1"/>
  <c r="BC337" i="1"/>
  <c r="BC952" i="1"/>
  <c r="BC185" i="1"/>
  <c r="BC910" i="1"/>
  <c r="BC833" i="1"/>
  <c r="BC927" i="1"/>
  <c r="BC454" i="1"/>
  <c r="BC822" i="1"/>
  <c r="BC198" i="1"/>
  <c r="BC646" i="1"/>
  <c r="BC543" i="1"/>
  <c r="BC304" i="1"/>
  <c r="BC26" i="1"/>
  <c r="BC398" i="1"/>
  <c r="BC45" i="1"/>
  <c r="BC1215" i="1"/>
  <c r="BC1195" i="1"/>
  <c r="BC469" i="1"/>
  <c r="BC246" i="1"/>
  <c r="BC288" i="1"/>
  <c r="BC360" i="1"/>
  <c r="BC73" i="1"/>
  <c r="BC554" i="1"/>
  <c r="BC294" i="1"/>
  <c r="BC1124" i="1"/>
  <c r="BC953" i="1"/>
  <c r="BC67" i="1"/>
  <c r="BC58" i="1"/>
  <c r="BC870" i="1"/>
  <c r="BC325" i="1"/>
  <c r="BC1059" i="1"/>
  <c r="BC74" i="1"/>
  <c r="BC569" i="1"/>
  <c r="BC42" i="1"/>
  <c r="BC382" i="1"/>
  <c r="BC32" i="1"/>
  <c r="BC928" i="1"/>
  <c r="BC639" i="1"/>
  <c r="BC857" i="1"/>
  <c r="BC1045" i="1"/>
  <c r="BC68" i="1"/>
  <c r="BC1085" i="1"/>
  <c r="BC251" i="1"/>
  <c r="BC529" i="1"/>
  <c r="BC5" i="1"/>
  <c r="BC1000" i="1"/>
  <c r="BC60" i="1"/>
  <c r="BC1060" i="1"/>
  <c r="BC432" i="1"/>
  <c r="BC1214" i="1"/>
  <c r="BC635" i="1"/>
  <c r="BC300" i="1"/>
  <c r="BC52" i="1"/>
  <c r="BC192" i="1"/>
  <c r="BC86" i="1"/>
  <c r="BC1211" i="1"/>
  <c r="BC411" i="1"/>
  <c r="BC1077" i="1"/>
  <c r="BC289" i="1"/>
  <c r="BC502" i="1"/>
  <c r="BC503" i="1"/>
  <c r="BC961" i="1"/>
  <c r="BC399" i="1"/>
  <c r="BC842" i="1"/>
  <c r="BC284" i="1"/>
  <c r="BC1049" i="1"/>
  <c r="BC35" i="1"/>
  <c r="BC211" i="1"/>
  <c r="BC515" i="1"/>
  <c r="BC840" i="1"/>
  <c r="BC537" i="1"/>
  <c r="BC356" i="1"/>
  <c r="BC981" i="1"/>
  <c r="BC965" i="1"/>
  <c r="BC305" i="1"/>
  <c r="BC290" i="1"/>
  <c r="BC297" i="1"/>
  <c r="BC87" i="1"/>
  <c r="BC184" i="1"/>
  <c r="BC451" i="1"/>
  <c r="BC312" i="1"/>
  <c r="BC465" i="1"/>
  <c r="BC544" i="1"/>
  <c r="BC1107" i="1"/>
  <c r="BC1222" i="1"/>
  <c r="BC1088" i="1"/>
  <c r="BC383" i="1"/>
  <c r="BC636" i="1"/>
  <c r="BC27" i="1"/>
  <c r="BC130" i="1"/>
  <c r="BC814" i="1"/>
  <c r="BC966" i="1"/>
  <c r="BC1204" i="1"/>
  <c r="BC972" i="1"/>
  <c r="BC867" i="1"/>
  <c r="BC748" i="1"/>
  <c r="BC59" i="1"/>
  <c r="BC727" i="1"/>
  <c r="BC301" i="1"/>
  <c r="BC64" i="1"/>
  <c r="BC1052" i="1"/>
  <c r="BC1126" i="1"/>
  <c r="BC316" i="1"/>
  <c r="BC314" i="1"/>
  <c r="BC536" i="1"/>
  <c r="BC53" i="1"/>
  <c r="BC687" i="1"/>
  <c r="BC40" i="1"/>
  <c r="BC322" i="1"/>
  <c r="BC841" i="1"/>
  <c r="BC498" i="1"/>
  <c r="BC1218" i="1"/>
  <c r="BC397" i="1"/>
  <c r="BC24" i="1"/>
  <c r="BC186" i="1"/>
  <c r="BC455" i="1"/>
  <c r="BC929" i="1"/>
  <c r="BC740" i="1"/>
  <c r="BC1219" i="1"/>
  <c r="BC567" i="1"/>
  <c r="BC357" i="1"/>
  <c r="BC488" i="1"/>
  <c r="BC351" i="1"/>
  <c r="BC568" i="1"/>
  <c r="BC81" i="1"/>
  <c r="BC996" i="1"/>
  <c r="BC247" i="1"/>
  <c r="BC616" i="1"/>
  <c r="BC913" i="1"/>
  <c r="BC1090" i="1"/>
  <c r="BC892" i="1"/>
  <c r="BC6" i="1"/>
  <c r="BC199" i="1"/>
  <c r="BC1216" i="1"/>
  <c r="BC323" i="1"/>
  <c r="BC1205" i="1"/>
  <c r="BC457" i="1"/>
  <c r="BC555" i="1"/>
  <c r="BC1125" i="1"/>
  <c r="BC93" i="1"/>
  <c r="BC200" i="1"/>
  <c r="BC466" i="1"/>
  <c r="BC585" i="1"/>
  <c r="BC43" i="1"/>
  <c r="BC419" i="1"/>
  <c r="BC1156" i="1"/>
  <c r="BC29" i="1"/>
  <c r="BC1210" i="1"/>
  <c r="BC495" i="1"/>
  <c r="BC916" i="1"/>
  <c r="BC1050" i="1"/>
  <c r="BC1203" i="1"/>
  <c r="BC1221" i="1"/>
  <c r="BC1206" i="1"/>
  <c r="BC1012" i="1"/>
  <c r="BC361" i="1"/>
  <c r="BC1207" i="1"/>
  <c r="BC201" i="1"/>
  <c r="BC243" i="1"/>
  <c r="BC362" i="1"/>
  <c r="BC930" i="1"/>
  <c r="BC531" i="1"/>
  <c r="BC997" i="1"/>
  <c r="BC83" i="1"/>
  <c r="BC202" i="1"/>
  <c r="BC1004" i="1"/>
  <c r="BC460" i="1"/>
  <c r="BC214" i="1"/>
  <c r="BC276" i="1"/>
  <c r="BC1016" i="1"/>
  <c r="BC1061" i="1"/>
  <c r="BC433" i="1"/>
  <c r="BC349" i="1"/>
  <c r="BC191" i="1"/>
  <c r="BC417" i="1"/>
  <c r="BC871" i="1"/>
  <c r="BC1062" i="1"/>
  <c r="BC61" i="1"/>
  <c r="BC452" i="1"/>
  <c r="BC830" i="1"/>
  <c r="BC418" i="1"/>
  <c r="BC499" i="1"/>
  <c r="BC227" i="1"/>
  <c r="BC1053" i="1"/>
  <c r="BC862" i="1"/>
  <c r="BC969" i="1"/>
  <c r="BC240" i="1"/>
  <c r="BC541" i="1"/>
  <c r="BC518" i="1"/>
  <c r="BC384" i="1"/>
  <c r="BC1054" i="1"/>
  <c r="BC954" i="1"/>
  <c r="BC623" i="1"/>
  <c r="BC728" i="1"/>
  <c r="BC62" i="1"/>
  <c r="BC610" i="1"/>
  <c r="BC470" i="1"/>
  <c r="BC893" i="1"/>
  <c r="BC943" i="1"/>
  <c r="BC747" i="1"/>
  <c r="BC63" i="1"/>
  <c r="BC283" i="1"/>
  <c r="BC640" i="1"/>
  <c r="BC998" i="1"/>
  <c r="BC545" i="1"/>
  <c r="BC906" i="1"/>
  <c r="BC37" i="1"/>
  <c r="BC497" i="1"/>
  <c r="BC448" i="1"/>
  <c r="BC400" i="1"/>
  <c r="BC487" i="1"/>
  <c r="BC741" i="1"/>
  <c r="BC481" i="1"/>
  <c r="BC504" i="1"/>
  <c r="BC908" i="1"/>
  <c r="BC285" i="1"/>
  <c r="BC989" i="1"/>
  <c r="BC821" i="1"/>
  <c r="BC365" i="1"/>
  <c r="BC1063" i="1"/>
  <c r="BC507" i="1"/>
  <c r="BC492" i="1"/>
  <c r="BC762" i="1"/>
  <c r="BC566" i="1"/>
  <c r="BC385" i="1"/>
  <c r="BC858" i="1"/>
  <c r="BC546" i="1"/>
  <c r="BC967" i="1"/>
  <c r="BC532" i="1"/>
  <c r="BC500" i="1"/>
  <c r="BC663" i="1"/>
  <c r="BC212" i="1"/>
  <c r="BC1160" i="1"/>
  <c r="BC36" i="1"/>
  <c r="BC960" i="1"/>
  <c r="BC449" i="1"/>
  <c r="BC396" i="1"/>
  <c r="BC471" i="1"/>
  <c r="BC95" i="1"/>
  <c r="BC761" i="1"/>
  <c r="BC88" i="1"/>
  <c r="BC94" i="1"/>
  <c r="BC386" i="1"/>
  <c r="BC968" i="1"/>
  <c r="BC1101" i="1"/>
  <c r="BC306" i="1"/>
  <c r="BC664" i="1"/>
  <c r="BC593" i="1"/>
  <c r="BC1078" i="1"/>
  <c r="BC859" i="1"/>
  <c r="BC970" i="1"/>
  <c r="BC482" i="1"/>
  <c r="BC70" i="1"/>
  <c r="BC533" i="1"/>
  <c r="BC665" i="1"/>
  <c r="BC54" i="1"/>
  <c r="BC1008" i="1"/>
  <c r="BC931" i="1"/>
  <c r="BC96" i="1"/>
  <c r="BC494" i="1"/>
  <c r="BC262" i="1"/>
  <c r="BC1086" i="1"/>
  <c r="BC1217" i="1"/>
  <c r="BC742" i="1"/>
  <c r="BC483" i="1"/>
  <c r="BC934" i="1"/>
  <c r="BC1046" i="1"/>
  <c r="BC363" i="1"/>
  <c r="BC1047" i="1"/>
  <c r="BC730" i="1"/>
  <c r="BC91" i="1"/>
  <c r="BC197" i="1"/>
  <c r="BC317" i="1"/>
  <c r="BC1208" i="1"/>
  <c r="BC1003" i="1"/>
  <c r="BC611" i="1"/>
  <c r="BC412" i="1"/>
  <c r="BC248" i="1"/>
  <c r="BC213" i="1"/>
  <c r="BC173" i="1"/>
  <c r="BC971" i="1"/>
  <c r="BC994" i="1"/>
  <c r="BC413" i="1"/>
  <c r="BC1048" i="1"/>
  <c r="BC33" i="1"/>
  <c r="BC1064" i="1"/>
  <c r="BC453" i="1"/>
  <c r="BC771" i="1"/>
  <c r="BC401" i="1"/>
  <c r="BC534" i="1"/>
  <c r="BC484" i="1"/>
  <c r="BC352" i="1"/>
  <c r="BC861" i="1"/>
  <c r="BC7" i="1"/>
  <c r="BC206" i="1"/>
  <c r="BC744" i="1"/>
  <c r="BC1196" i="1"/>
  <c r="BC637" i="1"/>
  <c r="BC542" i="1"/>
  <c r="BC187" i="1"/>
  <c r="BC203" i="1"/>
  <c r="BC493" i="1"/>
  <c r="BC1055" i="1"/>
  <c r="BC1065" i="1"/>
  <c r="BC209" i="1"/>
  <c r="BC193" i="1"/>
  <c r="BC55" i="1"/>
  <c r="BC726" i="1"/>
  <c r="BC641" i="1"/>
  <c r="BC526" i="1"/>
  <c r="BC174" i="1"/>
  <c r="BC302" i="1"/>
  <c r="BC34" i="1"/>
  <c r="BC644" i="1"/>
  <c r="BC44" i="1"/>
  <c r="BC1220" i="1"/>
  <c r="BC194" i="1"/>
  <c r="BC917" i="1"/>
  <c r="BC872" i="1"/>
  <c r="BC188" i="1"/>
  <c r="BC28" i="1"/>
  <c r="BC1089" i="1"/>
  <c r="BC749" i="1"/>
  <c r="BC89" i="1"/>
  <c r="BC69" i="1"/>
  <c r="BC395" i="1"/>
  <c r="BC450" i="1"/>
  <c r="BC467" i="1"/>
  <c r="BC1066" i="1"/>
  <c r="BC39" i="1"/>
  <c r="BC601" i="1"/>
  <c r="BC402" i="1"/>
  <c r="BC777" i="1"/>
  <c r="BC710" i="1"/>
  <c r="BC1202" i="1"/>
  <c r="BC56" i="1"/>
  <c r="BC458" i="1"/>
  <c r="BC643" i="1"/>
  <c r="BC1058" i="1"/>
  <c r="BC959" i="1"/>
  <c r="BC1212" i="1"/>
  <c r="BC647" i="1"/>
  <c r="BC204" i="1"/>
  <c r="BC750" i="1"/>
  <c r="BC295" i="1"/>
  <c r="BC612" i="1"/>
  <c r="BC459" i="1"/>
  <c r="BC472" i="1"/>
  <c r="BC485" i="1"/>
  <c r="BC189" i="1"/>
  <c r="BC535" i="1"/>
  <c r="BC50" i="1"/>
  <c r="BC743" i="1"/>
  <c r="BC1209" i="1"/>
  <c r="BC291" i="1"/>
  <c r="BC539" i="1"/>
  <c r="BC666" i="1"/>
  <c r="BC516" i="1"/>
  <c r="BC205" i="1"/>
  <c r="BC999" i="1"/>
  <c r="BC486" i="1"/>
  <c r="BC839" i="1"/>
  <c r="BC456" i="1"/>
  <c r="BC1084" i="1"/>
  <c r="BC613" i="1"/>
  <c r="BC298" i="1"/>
  <c r="BC353" i="1"/>
  <c r="BC699" i="1"/>
  <c r="BC90" i="1"/>
  <c r="BC932" i="1"/>
  <c r="BC1056" i="1"/>
  <c r="BC975" i="1"/>
  <c r="BC8" i="1"/>
  <c r="BC1057" i="1"/>
  <c r="BC315" i="1"/>
  <c r="BC1098" i="1"/>
  <c r="BC57" i="1"/>
  <c r="BC286" i="1"/>
  <c r="BC403" i="1"/>
  <c r="BC731" i="1"/>
  <c r="BC729" i="1"/>
  <c r="BC605" i="1"/>
  <c r="BC21" i="1"/>
  <c r="BC468" i="1"/>
  <c r="BC303" i="1"/>
  <c r="BC860" i="1"/>
  <c r="BC9" i="1"/>
  <c r="BC210" i="1"/>
  <c r="BC496" i="1"/>
  <c r="BC320" i="1"/>
  <c r="BC634" i="1"/>
  <c r="BC293" i="1"/>
  <c r="BC307" i="1"/>
  <c r="BC2" i="1"/>
  <c r="BC686" i="1"/>
  <c r="BC505" i="1"/>
  <c r="BC540" i="1"/>
  <c r="BC25" i="1"/>
  <c r="BC30" i="1"/>
  <c r="BC308" i="1"/>
  <c r="BC955" i="1"/>
  <c r="BC642" i="1"/>
  <c r="BC873" i="1"/>
  <c r="BC38" i="1"/>
  <c r="BC1087" i="1"/>
  <c r="BC287" i="1"/>
  <c r="BC364" i="1"/>
  <c r="BC933" i="1"/>
  <c r="BC831" i="1"/>
  <c r="BC622" i="1"/>
  <c r="BC1079" i="1"/>
  <c r="BC292" i="1"/>
  <c r="BC945" i="1"/>
  <c r="BC1223" i="1"/>
  <c r="BA10" i="1"/>
  <c r="BA18" i="1"/>
  <c r="BA19" i="1"/>
  <c r="BA20" i="1"/>
  <c r="BA22" i="1"/>
  <c r="BA23" i="1"/>
  <c r="BA46" i="1"/>
  <c r="BA47" i="1"/>
  <c r="BA48" i="1"/>
  <c r="BA49" i="1"/>
  <c r="BA66" i="1"/>
  <c r="BA71" i="1"/>
  <c r="BA72" i="1"/>
  <c r="BA75" i="1"/>
  <c r="BA76" i="1"/>
  <c r="BA77" i="1"/>
  <c r="BA78" i="1"/>
  <c r="BA79" i="1"/>
  <c r="BA80" i="1"/>
  <c r="BA84" i="1"/>
  <c r="BA85" i="1"/>
  <c r="BA97" i="1"/>
  <c r="BA98" i="1"/>
  <c r="BA99" i="1"/>
  <c r="BA100" i="1"/>
  <c r="BA101" i="1"/>
  <c r="BA102" i="1"/>
  <c r="BA103" i="1"/>
  <c r="BA105" i="1"/>
  <c r="BA106" i="1"/>
  <c r="BA107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2" i="1"/>
  <c r="BA153" i="1"/>
  <c r="BA154" i="1"/>
  <c r="BA155" i="1"/>
  <c r="BA156" i="1"/>
  <c r="BA151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5" i="1"/>
  <c r="BA176" i="1"/>
  <c r="BA177" i="1"/>
  <c r="BA178" i="1"/>
  <c r="BA179" i="1"/>
  <c r="BA180" i="1"/>
  <c r="BA181" i="1"/>
  <c r="BA182" i="1"/>
  <c r="BA183" i="1"/>
  <c r="BA190" i="1"/>
  <c r="BA195" i="1"/>
  <c r="BA196" i="1"/>
  <c r="BA207" i="1"/>
  <c r="BA215" i="1"/>
  <c r="BA216" i="1"/>
  <c r="BA217" i="1"/>
  <c r="BA218" i="1"/>
  <c r="BA219" i="1"/>
  <c r="BA220" i="1"/>
  <c r="BA221" i="1"/>
  <c r="BA223" i="1"/>
  <c r="BA224" i="1"/>
  <c r="BA225" i="1"/>
  <c r="BA226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1" i="1"/>
  <c r="BA242" i="1"/>
  <c r="BA244" i="1"/>
  <c r="BA245" i="1"/>
  <c r="BA249" i="1"/>
  <c r="BA250" i="1"/>
  <c r="BA252" i="1"/>
  <c r="BA253" i="1"/>
  <c r="BA254" i="1"/>
  <c r="BA255" i="1"/>
  <c r="BA256" i="1"/>
  <c r="BA257" i="1"/>
  <c r="BA258" i="1"/>
  <c r="BA259" i="1"/>
  <c r="BA260" i="1"/>
  <c r="BA261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7" i="1"/>
  <c r="BA278" i="1"/>
  <c r="BA279" i="1"/>
  <c r="BA280" i="1"/>
  <c r="BA281" i="1"/>
  <c r="BA282" i="1"/>
  <c r="BA296" i="1"/>
  <c r="BA309" i="1"/>
  <c r="BA310" i="1"/>
  <c r="BA311" i="1"/>
  <c r="BA313" i="1"/>
  <c r="BA318" i="1"/>
  <c r="BA319" i="1"/>
  <c r="BA321" i="1"/>
  <c r="BA326" i="1"/>
  <c r="BA327" i="1"/>
  <c r="BA328" i="1"/>
  <c r="BA329" i="1"/>
  <c r="BA330" i="1"/>
  <c r="BA331" i="1"/>
  <c r="BA333" i="1"/>
  <c r="BA332" i="1"/>
  <c r="BA334" i="1"/>
  <c r="BA335" i="1"/>
  <c r="BA336" i="1"/>
  <c r="BA338" i="1"/>
  <c r="BA339" i="1"/>
  <c r="BA340" i="1"/>
  <c r="BA341" i="1"/>
  <c r="BA342" i="1"/>
  <c r="BA343" i="1"/>
  <c r="BA344" i="1"/>
  <c r="BA345" i="1"/>
  <c r="BA346" i="1"/>
  <c r="BA347" i="1"/>
  <c r="BA348" i="1"/>
  <c r="BA354" i="1"/>
  <c r="BA355" i="1"/>
  <c r="BA358" i="1"/>
  <c r="BA366" i="1"/>
  <c r="BA367" i="1"/>
  <c r="BA368" i="1"/>
  <c r="BA369" i="1"/>
  <c r="BA370" i="1"/>
  <c r="BA372" i="1"/>
  <c r="BA373" i="1"/>
  <c r="BA371" i="1"/>
  <c r="BA374" i="1"/>
  <c r="BA375" i="1"/>
  <c r="BA376" i="1"/>
  <c r="BA377" i="1"/>
  <c r="BA378" i="1"/>
  <c r="BA379" i="1"/>
  <c r="BA380" i="1"/>
  <c r="BA381" i="1"/>
  <c r="BA387" i="1"/>
  <c r="BA388" i="1"/>
  <c r="BA389" i="1"/>
  <c r="BA390" i="1"/>
  <c r="BA391" i="1"/>
  <c r="BA392" i="1"/>
  <c r="BA393" i="1"/>
  <c r="BA394" i="1"/>
  <c r="BA404" i="1"/>
  <c r="BA405" i="1"/>
  <c r="BA406" i="1"/>
  <c r="BA407" i="1"/>
  <c r="BA408" i="1"/>
  <c r="BA409" i="1"/>
  <c r="BA410" i="1"/>
  <c r="BA414" i="1"/>
  <c r="BA415" i="1"/>
  <c r="BA416" i="1"/>
  <c r="BA420" i="1"/>
  <c r="BA421" i="1"/>
  <c r="BA422" i="1"/>
  <c r="BA423" i="1"/>
  <c r="BA424" i="1"/>
  <c r="BA425" i="1"/>
  <c r="BA426" i="1"/>
  <c r="BA427" i="1"/>
  <c r="BA428" i="1"/>
  <c r="BA429" i="1"/>
  <c r="BA430" i="1"/>
  <c r="BA434" i="1"/>
  <c r="BA435" i="1"/>
  <c r="BA436" i="1"/>
  <c r="BA437" i="1"/>
  <c r="BA438" i="1"/>
  <c r="BA439" i="1"/>
  <c r="BA440" i="1"/>
  <c r="BA441" i="1"/>
  <c r="BA442" i="1"/>
  <c r="BA443" i="1"/>
  <c r="BA444" i="1"/>
  <c r="BA445" i="1"/>
  <c r="BA446" i="1"/>
  <c r="BA447" i="1"/>
  <c r="BA461" i="1"/>
  <c r="BA462" i="1"/>
  <c r="BA463" i="1"/>
  <c r="BA464" i="1"/>
  <c r="BA474" i="1"/>
  <c r="BA475" i="1"/>
  <c r="BA476" i="1"/>
  <c r="BA477" i="1"/>
  <c r="BA478" i="1"/>
  <c r="BA479" i="1"/>
  <c r="BA480" i="1"/>
  <c r="BA489" i="1"/>
  <c r="BA490" i="1"/>
  <c r="BA491" i="1"/>
  <c r="BA506" i="1"/>
  <c r="BA508" i="1"/>
  <c r="BA509" i="1"/>
  <c r="BA510" i="1"/>
  <c r="BA511" i="1"/>
  <c r="BA512" i="1"/>
  <c r="BA513" i="1"/>
  <c r="BA514" i="1"/>
  <c r="BA520" i="1"/>
  <c r="BA521" i="1"/>
  <c r="BA522" i="1"/>
  <c r="BA523" i="1"/>
  <c r="BA524" i="1"/>
  <c r="BA525" i="1"/>
  <c r="BA527" i="1"/>
  <c r="BA528" i="1"/>
  <c r="BA547" i="1"/>
  <c r="BA548" i="1"/>
  <c r="BA550" i="1"/>
  <c r="BA551" i="1"/>
  <c r="BA552" i="1"/>
  <c r="BA553" i="1"/>
  <c r="BA556" i="1"/>
  <c r="BA557" i="1"/>
  <c r="BA558" i="1"/>
  <c r="BA559" i="1"/>
  <c r="BA560" i="1"/>
  <c r="BA561" i="1"/>
  <c r="BA562" i="1"/>
  <c r="BA563" i="1"/>
  <c r="BA564" i="1"/>
  <c r="BA565" i="1"/>
  <c r="BA570" i="1"/>
  <c r="BA571" i="1"/>
  <c r="BA572" i="1"/>
  <c r="BA573" i="1"/>
  <c r="BA574" i="1"/>
  <c r="BA575" i="1"/>
  <c r="BA576" i="1"/>
  <c r="BA577" i="1"/>
  <c r="BA578" i="1"/>
  <c r="BA579" i="1"/>
  <c r="BA580" i="1"/>
  <c r="BA581" i="1"/>
  <c r="BA582" i="1"/>
  <c r="BA586" i="1"/>
  <c r="BA583" i="1"/>
  <c r="BA584" i="1"/>
  <c r="BA587" i="1"/>
  <c r="BA588" i="1"/>
  <c r="BA589" i="1"/>
  <c r="BA590" i="1"/>
  <c r="BA591" i="1"/>
  <c r="BA592" i="1"/>
  <c r="BA594" i="1"/>
  <c r="BA595" i="1"/>
  <c r="BA596" i="1"/>
  <c r="BA597" i="1"/>
  <c r="BA598" i="1"/>
  <c r="BA599" i="1"/>
  <c r="BA600" i="1"/>
  <c r="BA602" i="1"/>
  <c r="BA603" i="1"/>
  <c r="BA606" i="1"/>
  <c r="BA607" i="1"/>
  <c r="BA608" i="1"/>
  <c r="BA615" i="1"/>
  <c r="BA617" i="1"/>
  <c r="BA619" i="1"/>
  <c r="BA620" i="1"/>
  <c r="BA621" i="1"/>
  <c r="BA624" i="1"/>
  <c r="BA625" i="1"/>
  <c r="BA626" i="1"/>
  <c r="BA627" i="1"/>
  <c r="BA628" i="1"/>
  <c r="BA629" i="1"/>
  <c r="BA630" i="1"/>
  <c r="BA631" i="1"/>
  <c r="BA632" i="1"/>
  <c r="BA633" i="1"/>
  <c r="BA649" i="1"/>
  <c r="BA650" i="1"/>
  <c r="BA651" i="1"/>
  <c r="BA652" i="1"/>
  <c r="BA653" i="1"/>
  <c r="BA655" i="1"/>
  <c r="BA656" i="1"/>
  <c r="BA657" i="1"/>
  <c r="BA658" i="1"/>
  <c r="BA659" i="1"/>
  <c r="BA660" i="1"/>
  <c r="BA661" i="1"/>
  <c r="BA662" i="1"/>
  <c r="BA667" i="1"/>
  <c r="BA668" i="1"/>
  <c r="BA669" i="1"/>
  <c r="BA670" i="1"/>
  <c r="BA671" i="1"/>
  <c r="BA672" i="1"/>
  <c r="BA673" i="1"/>
  <c r="BA674" i="1"/>
  <c r="BA675" i="1"/>
  <c r="BA676" i="1"/>
  <c r="BA677" i="1"/>
  <c r="BA678" i="1"/>
  <c r="BA679" i="1"/>
  <c r="BA680" i="1"/>
  <c r="BA681" i="1"/>
  <c r="BA682" i="1"/>
  <c r="BA683" i="1"/>
  <c r="BA684" i="1"/>
  <c r="BA685" i="1"/>
  <c r="BA688" i="1"/>
  <c r="BA689" i="1"/>
  <c r="BA690" i="1"/>
  <c r="BA691" i="1"/>
  <c r="BA692" i="1"/>
  <c r="BA693" i="1"/>
  <c r="BA694" i="1"/>
  <c r="BA695" i="1"/>
  <c r="BA696" i="1"/>
  <c r="BA697" i="1"/>
  <c r="BA698" i="1"/>
  <c r="BA700" i="1"/>
  <c r="BA701" i="1"/>
  <c r="BA702" i="1"/>
  <c r="BA705" i="1"/>
  <c r="BA706" i="1"/>
  <c r="BA707" i="1"/>
  <c r="BA708" i="1"/>
  <c r="BA709" i="1"/>
  <c r="BA711" i="1"/>
  <c r="BA712" i="1"/>
  <c r="BA713" i="1"/>
  <c r="BA714" i="1"/>
  <c r="BA715" i="1"/>
  <c r="BA716" i="1"/>
  <c r="BA717" i="1"/>
  <c r="BA718" i="1"/>
  <c r="BA719" i="1"/>
  <c r="BA720" i="1"/>
  <c r="BA721" i="1"/>
  <c r="BA722" i="1"/>
  <c r="BA723" i="1"/>
  <c r="BA724" i="1"/>
  <c r="BA725" i="1"/>
  <c r="BA732" i="1"/>
  <c r="BA733" i="1"/>
  <c r="BA734" i="1"/>
  <c r="BA735" i="1"/>
  <c r="BA736" i="1"/>
  <c r="BA737" i="1"/>
  <c r="BA738" i="1"/>
  <c r="BA739" i="1"/>
  <c r="BA745" i="1"/>
  <c r="BA746" i="1"/>
  <c r="BA751" i="1"/>
  <c r="BA752" i="1"/>
  <c r="BA753" i="1"/>
  <c r="BA754" i="1"/>
  <c r="BA755" i="1"/>
  <c r="BA756" i="1"/>
  <c r="BA758" i="1"/>
  <c r="BA759" i="1"/>
  <c r="BA760" i="1"/>
  <c r="BA763" i="1"/>
  <c r="BA764" i="1"/>
  <c r="BA765" i="1"/>
  <c r="BA766" i="1"/>
  <c r="BA767" i="1"/>
  <c r="BA768" i="1"/>
  <c r="BA769" i="1"/>
  <c r="BA770" i="1"/>
  <c r="BA772" i="1"/>
  <c r="BA773" i="1"/>
  <c r="BA774" i="1"/>
  <c r="BA775" i="1"/>
  <c r="BA776" i="1"/>
  <c r="BA778" i="1"/>
  <c r="BA779" i="1"/>
  <c r="BA780" i="1"/>
  <c r="BA781" i="1"/>
  <c r="BA782" i="1"/>
  <c r="BA783" i="1"/>
  <c r="BA784" i="1"/>
  <c r="BA785" i="1"/>
  <c r="BA786" i="1"/>
  <c r="BA787" i="1"/>
  <c r="BA788" i="1"/>
  <c r="BA789" i="1"/>
  <c r="BA790" i="1"/>
  <c r="BA791" i="1"/>
  <c r="BA792" i="1"/>
  <c r="BA793" i="1"/>
  <c r="BA794" i="1"/>
  <c r="BA795" i="1"/>
  <c r="BA796" i="1"/>
  <c r="BA797" i="1"/>
  <c r="BA798" i="1"/>
  <c r="BA799" i="1"/>
  <c r="BA800" i="1"/>
  <c r="BA801" i="1"/>
  <c r="BA802" i="1"/>
  <c r="BA803" i="1"/>
  <c r="BA804" i="1"/>
  <c r="BA805" i="1"/>
  <c r="BA806" i="1"/>
  <c r="BA807" i="1"/>
  <c r="BA808" i="1"/>
  <c r="BA809" i="1"/>
  <c r="BA810" i="1"/>
  <c r="BA811" i="1"/>
  <c r="BA812" i="1"/>
  <c r="BA813" i="1"/>
  <c r="BA815" i="1"/>
  <c r="BA816" i="1"/>
  <c r="BA817" i="1"/>
  <c r="BA818" i="1"/>
  <c r="BA819" i="1"/>
  <c r="BA820" i="1"/>
  <c r="BA823" i="1"/>
  <c r="BA824" i="1"/>
  <c r="BA825" i="1"/>
  <c r="BA826" i="1"/>
  <c r="BA827" i="1"/>
  <c r="BA828" i="1"/>
  <c r="BA829" i="1"/>
  <c r="BA832" i="1"/>
  <c r="BA834" i="1"/>
  <c r="BA835" i="1"/>
  <c r="BA836" i="1"/>
  <c r="BA838" i="1"/>
  <c r="BA843" i="1"/>
  <c r="BA844" i="1"/>
  <c r="BA845" i="1"/>
  <c r="BA846" i="1"/>
  <c r="BA847" i="1"/>
  <c r="BA848" i="1"/>
  <c r="BA849" i="1"/>
  <c r="BA850" i="1"/>
  <c r="BA851" i="1"/>
  <c r="BA852" i="1"/>
  <c r="BA853" i="1"/>
  <c r="BA854" i="1"/>
  <c r="BA855" i="1"/>
  <c r="BA856" i="1"/>
  <c r="BA863" i="1"/>
  <c r="BA864" i="1"/>
  <c r="BA865" i="1"/>
  <c r="BA866" i="1"/>
  <c r="BA868" i="1"/>
  <c r="BA869" i="1"/>
  <c r="BA874" i="1"/>
  <c r="BA875" i="1"/>
  <c r="BA876" i="1"/>
  <c r="BA877" i="1"/>
  <c r="BA878" i="1"/>
  <c r="BA879" i="1"/>
  <c r="BA880" i="1"/>
  <c r="BA881" i="1"/>
  <c r="BA882" i="1"/>
  <c r="BA883" i="1"/>
  <c r="BA884" i="1"/>
  <c r="BA885" i="1"/>
  <c r="BA886" i="1"/>
  <c r="BA887" i="1"/>
  <c r="BA888" i="1"/>
  <c r="BA889" i="1"/>
  <c r="BA890" i="1"/>
  <c r="BA891" i="1"/>
  <c r="BA894" i="1"/>
  <c r="BA895" i="1"/>
  <c r="BA896" i="1"/>
  <c r="BA897" i="1"/>
  <c r="BA898" i="1"/>
  <c r="BA899" i="1"/>
  <c r="BA900" i="1"/>
  <c r="BA901" i="1"/>
  <c r="BA902" i="1"/>
  <c r="BA903" i="1"/>
  <c r="BA904" i="1"/>
  <c r="BA905" i="1"/>
  <c r="BA911" i="1"/>
  <c r="BA912" i="1"/>
  <c r="BA914" i="1"/>
  <c r="BA915" i="1"/>
  <c r="BA918" i="1"/>
  <c r="BA919" i="1"/>
  <c r="BA920" i="1"/>
  <c r="BA921" i="1"/>
  <c r="BA922" i="1"/>
  <c r="BA923" i="1"/>
  <c r="BA924" i="1"/>
  <c r="BA925" i="1"/>
  <c r="BA926" i="1"/>
  <c r="BA935" i="1"/>
  <c r="BA936" i="1"/>
  <c r="BA937" i="1"/>
  <c r="BA938" i="1"/>
  <c r="BA939" i="1"/>
  <c r="BA940" i="1"/>
  <c r="BA941" i="1"/>
  <c r="BA942" i="1"/>
  <c r="BA944" i="1"/>
  <c r="BA946" i="1"/>
  <c r="BA947" i="1"/>
  <c r="BA948" i="1"/>
  <c r="BA949" i="1"/>
  <c r="BA950" i="1"/>
  <c r="BA951" i="1"/>
  <c r="BA956" i="1"/>
  <c r="BA957" i="1"/>
  <c r="BA962" i="1"/>
  <c r="BA973" i="1"/>
  <c r="BA974" i="1"/>
  <c r="BA976" i="1"/>
  <c r="BA977" i="1"/>
  <c r="BA978" i="1"/>
  <c r="BA979" i="1"/>
  <c r="BA980" i="1"/>
  <c r="BA982" i="1"/>
  <c r="BA983" i="1"/>
  <c r="BA984" i="1"/>
  <c r="BA985" i="1"/>
  <c r="BA986" i="1"/>
  <c r="BA987" i="1"/>
  <c r="BA988" i="1"/>
  <c r="BA990" i="1"/>
  <c r="BA991" i="1"/>
  <c r="BA993" i="1"/>
  <c r="BA1001" i="1"/>
  <c r="BA1002" i="1"/>
  <c r="BA1005" i="1"/>
  <c r="BA1006" i="1"/>
  <c r="BA1007" i="1"/>
  <c r="BA1009" i="1"/>
  <c r="BA1010" i="1"/>
  <c r="BA1011" i="1"/>
  <c r="BA1013" i="1"/>
  <c r="BA1014" i="1"/>
  <c r="BA1015" i="1"/>
  <c r="BA1017" i="1"/>
  <c r="BA1018" i="1"/>
  <c r="BA1019" i="1"/>
  <c r="BA1020" i="1"/>
  <c r="BA1021" i="1"/>
  <c r="BA1022" i="1"/>
  <c r="BA1023" i="1"/>
  <c r="BA1024" i="1"/>
  <c r="BA1025" i="1"/>
  <c r="BA1026" i="1"/>
  <c r="BA1027" i="1"/>
  <c r="BA1028" i="1"/>
  <c r="BA1029" i="1"/>
  <c r="BA1030" i="1"/>
  <c r="BA1031" i="1"/>
  <c r="BA1032" i="1"/>
  <c r="BA1033" i="1"/>
  <c r="BA1034" i="1"/>
  <c r="BA1035" i="1"/>
  <c r="BA1036" i="1"/>
  <c r="BA1037" i="1"/>
  <c r="BA1038" i="1"/>
  <c r="BA1039" i="1"/>
  <c r="BA1040" i="1"/>
  <c r="BA1041" i="1"/>
  <c r="BA1042" i="1"/>
  <c r="BA1043" i="1"/>
  <c r="BA1044" i="1"/>
  <c r="BA1068" i="1"/>
  <c r="BA1069" i="1"/>
  <c r="BA1071" i="1"/>
  <c r="BA1072" i="1"/>
  <c r="BA1073" i="1"/>
  <c r="BA1074" i="1"/>
  <c r="BA1075" i="1"/>
  <c r="BA1076" i="1"/>
  <c r="BA1080" i="1"/>
  <c r="BA1081" i="1"/>
  <c r="BA1091" i="1"/>
  <c r="BA1092" i="1"/>
  <c r="BA1093" i="1"/>
  <c r="BA1094" i="1"/>
  <c r="BA1095" i="1"/>
  <c r="BA1096" i="1"/>
  <c r="BA1099" i="1"/>
  <c r="BA1100" i="1"/>
  <c r="BA1102" i="1"/>
  <c r="BA1103" i="1"/>
  <c r="BA1104" i="1"/>
  <c r="BA1105" i="1"/>
  <c r="BA1106" i="1"/>
  <c r="BA1108" i="1"/>
  <c r="BA1109" i="1"/>
  <c r="BA1110" i="1"/>
  <c r="BA1111" i="1"/>
  <c r="BA1112" i="1"/>
  <c r="BA1113" i="1"/>
  <c r="BA1114" i="1"/>
  <c r="BA1115" i="1"/>
  <c r="BA1116" i="1"/>
  <c r="BA1117" i="1"/>
  <c r="BA1118" i="1"/>
  <c r="BA1119" i="1"/>
  <c r="BA1120" i="1"/>
  <c r="BA1121" i="1"/>
  <c r="BA1122" i="1"/>
  <c r="BA1123" i="1"/>
  <c r="BA1127" i="1"/>
  <c r="BA1128" i="1"/>
  <c r="BA1129" i="1"/>
  <c r="BA1130" i="1"/>
  <c r="BA1131" i="1"/>
  <c r="BA1132" i="1"/>
  <c r="BA1133" i="1"/>
  <c r="BA1134" i="1"/>
  <c r="BA1135" i="1"/>
  <c r="BA1136" i="1"/>
  <c r="BA1137" i="1"/>
  <c r="BA1138" i="1"/>
  <c r="BA1139" i="1"/>
  <c r="BA1140" i="1"/>
  <c r="BA1141" i="1"/>
  <c r="BA1142" i="1"/>
  <c r="BA1143" i="1"/>
  <c r="BA1144" i="1"/>
  <c r="BA1145" i="1"/>
  <c r="BA1146" i="1"/>
  <c r="BA1147" i="1"/>
  <c r="BA1148" i="1"/>
  <c r="BA1149" i="1"/>
  <c r="BA1150" i="1"/>
  <c r="BA1151" i="1"/>
  <c r="BA1152" i="1"/>
  <c r="BA1153" i="1"/>
  <c r="BA1154" i="1"/>
  <c r="BA1155" i="1"/>
  <c r="BA1157" i="1"/>
  <c r="BA1158" i="1"/>
  <c r="BA1159" i="1"/>
  <c r="BA1161" i="1"/>
  <c r="BA1162" i="1"/>
  <c r="BA1163" i="1"/>
  <c r="BA1164" i="1"/>
  <c r="BA1165" i="1"/>
  <c r="BA1166" i="1"/>
  <c r="BA1167" i="1"/>
  <c r="BA1168" i="1"/>
  <c r="BA1169" i="1"/>
  <c r="BA1170" i="1"/>
  <c r="BA1171" i="1"/>
  <c r="BA1172" i="1"/>
  <c r="BA1173" i="1"/>
  <c r="BA1174" i="1"/>
  <c r="BA1175" i="1"/>
  <c r="BA1176" i="1"/>
  <c r="BA1177" i="1"/>
  <c r="BA1178" i="1"/>
  <c r="BA1179" i="1"/>
  <c r="BA1180" i="1"/>
  <c r="BA1181" i="1"/>
  <c r="BA1182" i="1"/>
  <c r="BA1183" i="1"/>
  <c r="BA1184" i="1"/>
  <c r="BA1185" i="1"/>
  <c r="BA1186" i="1"/>
  <c r="BA1187" i="1"/>
  <c r="BA1188" i="1"/>
  <c r="BA1189" i="1"/>
  <c r="BA1190" i="1"/>
  <c r="BA1191" i="1"/>
  <c r="BA1192" i="1"/>
  <c r="BA1193" i="1"/>
  <c r="BA1194" i="1"/>
  <c r="BA1197" i="1"/>
  <c r="BA1198" i="1"/>
  <c r="BA1199" i="1"/>
  <c r="BA1200" i="1"/>
  <c r="BA1201" i="1"/>
  <c r="BA1083" i="1"/>
  <c r="BA473" i="1"/>
  <c r="BA1213" i="1"/>
  <c r="BA41" i="1"/>
  <c r="BA645" i="1"/>
  <c r="BA431" i="1"/>
  <c r="BA995" i="1"/>
  <c r="BA1051" i="1"/>
  <c r="BA104" i="1"/>
  <c r="BA1067" i="1"/>
  <c r="BA324" i="1"/>
  <c r="BA614" i="1"/>
  <c r="BA963" i="1"/>
  <c r="BA3" i="1"/>
  <c r="BA31" i="1"/>
  <c r="BA1097" i="1"/>
  <c r="BA549" i="1"/>
  <c r="BA837" i="1"/>
  <c r="BA609" i="1"/>
  <c r="BA604" i="1"/>
  <c r="BA538" i="1"/>
  <c r="BA648" i="1"/>
  <c r="BA519" i="1"/>
  <c r="BA958" i="1"/>
  <c r="BA82" i="1"/>
  <c r="BA208" i="1"/>
  <c r="BA299" i="1"/>
  <c r="BA909" i="1"/>
  <c r="BA65" i="1"/>
  <c r="BA964" i="1"/>
  <c r="BA1082" i="1"/>
  <c r="BA992" i="1"/>
  <c r="BA108" i="1"/>
  <c r="BA703" i="1"/>
  <c r="BA907" i="1"/>
  <c r="BA517" i="1"/>
  <c r="BA618" i="1"/>
  <c r="BA51" i="1"/>
  <c r="BA757" i="1"/>
  <c r="BA638" i="1"/>
  <c r="BA92" i="1"/>
  <c r="BA501" i="1"/>
  <c r="BA1070" i="1"/>
  <c r="BA350" i="1"/>
  <c r="BA530" i="1"/>
  <c r="BA4" i="1"/>
  <c r="BA222" i="1"/>
  <c r="BA359" i="1"/>
  <c r="BA654" i="1"/>
  <c r="BA337" i="1"/>
  <c r="BA952" i="1"/>
  <c r="BA185" i="1"/>
  <c r="BA910" i="1"/>
  <c r="BA833" i="1"/>
  <c r="BA927" i="1"/>
  <c r="BA454" i="1"/>
  <c r="BA822" i="1"/>
  <c r="BA198" i="1"/>
  <c r="BA646" i="1"/>
  <c r="BA543" i="1"/>
  <c r="BA304" i="1"/>
  <c r="BA26" i="1"/>
  <c r="BA398" i="1"/>
  <c r="BA45" i="1"/>
  <c r="BA1215" i="1"/>
  <c r="BA1195" i="1"/>
  <c r="BA469" i="1"/>
  <c r="BA246" i="1"/>
  <c r="BA288" i="1"/>
  <c r="BA360" i="1"/>
  <c r="BA73" i="1"/>
  <c r="BA554" i="1"/>
  <c r="BA294" i="1"/>
  <c r="BA1124" i="1"/>
  <c r="BA953" i="1"/>
  <c r="BA67" i="1"/>
  <c r="BA58" i="1"/>
  <c r="BA870" i="1"/>
  <c r="BA325" i="1"/>
  <c r="BA1059" i="1"/>
  <c r="BA74" i="1"/>
  <c r="BA569" i="1"/>
  <c r="BA42" i="1"/>
  <c r="BA382" i="1"/>
  <c r="BA32" i="1"/>
  <c r="BA928" i="1"/>
  <c r="BA639" i="1"/>
  <c r="BA857" i="1"/>
  <c r="BA1045" i="1"/>
  <c r="BA68" i="1"/>
  <c r="BA1085" i="1"/>
  <c r="BA251" i="1"/>
  <c r="BA529" i="1"/>
  <c r="BA5" i="1"/>
  <c r="BA1000" i="1"/>
  <c r="BA60" i="1"/>
  <c r="BA1060" i="1"/>
  <c r="BA432" i="1"/>
  <c r="BA1214" i="1"/>
  <c r="BA635" i="1"/>
  <c r="BA300" i="1"/>
  <c r="BA52" i="1"/>
  <c r="BA192" i="1"/>
  <c r="BA86" i="1"/>
  <c r="BA1211" i="1"/>
  <c r="BA411" i="1"/>
  <c r="BA1077" i="1"/>
  <c r="BA289" i="1"/>
  <c r="BA502" i="1"/>
  <c r="BA503" i="1"/>
  <c r="BA961" i="1"/>
  <c r="BA399" i="1"/>
  <c r="BA842" i="1"/>
  <c r="BA284" i="1"/>
  <c r="BA1049" i="1"/>
  <c r="BA35" i="1"/>
  <c r="BA211" i="1"/>
  <c r="BA515" i="1"/>
  <c r="BA840" i="1"/>
  <c r="BA537" i="1"/>
  <c r="BA356" i="1"/>
  <c r="BA981" i="1"/>
  <c r="BA965" i="1"/>
  <c r="BA305" i="1"/>
  <c r="BA290" i="1"/>
  <c r="BA297" i="1"/>
  <c r="BA87" i="1"/>
  <c r="BA184" i="1"/>
  <c r="BA451" i="1"/>
  <c r="BA312" i="1"/>
  <c r="BA465" i="1"/>
  <c r="BA544" i="1"/>
  <c r="BA1107" i="1"/>
  <c r="BA1222" i="1"/>
  <c r="BA1088" i="1"/>
  <c r="BA383" i="1"/>
  <c r="BA636" i="1"/>
  <c r="BA27" i="1"/>
  <c r="BA130" i="1"/>
  <c r="BA814" i="1"/>
  <c r="BA966" i="1"/>
  <c r="BA1204" i="1"/>
  <c r="BA972" i="1"/>
  <c r="BA867" i="1"/>
  <c r="BA748" i="1"/>
  <c r="BA59" i="1"/>
  <c r="BA727" i="1"/>
  <c r="BA301" i="1"/>
  <c r="BA64" i="1"/>
  <c r="BA1052" i="1"/>
  <c r="BA1126" i="1"/>
  <c r="BA316" i="1"/>
  <c r="BA314" i="1"/>
  <c r="BA536" i="1"/>
  <c r="BA53" i="1"/>
  <c r="BA687" i="1"/>
  <c r="BA40" i="1"/>
  <c r="BA322" i="1"/>
  <c r="BA841" i="1"/>
  <c r="BA498" i="1"/>
  <c r="BA1218" i="1"/>
  <c r="BA397" i="1"/>
  <c r="BA24" i="1"/>
  <c r="BA186" i="1"/>
  <c r="BA455" i="1"/>
  <c r="BA929" i="1"/>
  <c r="BA740" i="1"/>
  <c r="BA1219" i="1"/>
  <c r="BA567" i="1"/>
  <c r="BA357" i="1"/>
  <c r="BA488" i="1"/>
  <c r="BA351" i="1"/>
  <c r="BA568" i="1"/>
  <c r="BA81" i="1"/>
  <c r="BA996" i="1"/>
  <c r="BA247" i="1"/>
  <c r="BA616" i="1"/>
  <c r="BA913" i="1"/>
  <c r="BA1090" i="1"/>
  <c r="BA892" i="1"/>
  <c r="BA6" i="1"/>
  <c r="BA199" i="1"/>
  <c r="BA1216" i="1"/>
  <c r="BA323" i="1"/>
  <c r="BA1205" i="1"/>
  <c r="BA457" i="1"/>
  <c r="BA555" i="1"/>
  <c r="BA1125" i="1"/>
  <c r="BA93" i="1"/>
  <c r="BA200" i="1"/>
  <c r="BA466" i="1"/>
  <c r="BA585" i="1"/>
  <c r="BA43" i="1"/>
  <c r="BA419" i="1"/>
  <c r="BA1156" i="1"/>
  <c r="BA29" i="1"/>
  <c r="BA1210" i="1"/>
  <c r="BA495" i="1"/>
  <c r="BA916" i="1"/>
  <c r="BA1050" i="1"/>
  <c r="BA1203" i="1"/>
  <c r="BA1221" i="1"/>
  <c r="BA1206" i="1"/>
  <c r="BA1012" i="1"/>
  <c r="BA361" i="1"/>
  <c r="BA1207" i="1"/>
  <c r="BA201" i="1"/>
  <c r="BA243" i="1"/>
  <c r="BA362" i="1"/>
  <c r="BA930" i="1"/>
  <c r="BA531" i="1"/>
  <c r="BA997" i="1"/>
  <c r="BA83" i="1"/>
  <c r="BA202" i="1"/>
  <c r="BA1004" i="1"/>
  <c r="BA460" i="1"/>
  <c r="BA214" i="1"/>
  <c r="BA276" i="1"/>
  <c r="BA1016" i="1"/>
  <c r="BA1061" i="1"/>
  <c r="BA433" i="1"/>
  <c r="BA349" i="1"/>
  <c r="BA191" i="1"/>
  <c r="BA417" i="1"/>
  <c r="BA871" i="1"/>
  <c r="BA1062" i="1"/>
  <c r="BA61" i="1"/>
  <c r="BA452" i="1"/>
  <c r="BA830" i="1"/>
  <c r="BA418" i="1"/>
  <c r="BA499" i="1"/>
  <c r="BA227" i="1"/>
  <c r="BA1053" i="1"/>
  <c r="BA862" i="1"/>
  <c r="BA969" i="1"/>
  <c r="BA240" i="1"/>
  <c r="BA541" i="1"/>
  <c r="BA518" i="1"/>
  <c r="BA384" i="1"/>
  <c r="BA1054" i="1"/>
  <c r="BA954" i="1"/>
  <c r="BA623" i="1"/>
  <c r="BA728" i="1"/>
  <c r="BA62" i="1"/>
  <c r="BA610" i="1"/>
  <c r="BA470" i="1"/>
  <c r="BA893" i="1"/>
  <c r="BA943" i="1"/>
  <c r="BA747" i="1"/>
  <c r="BA63" i="1"/>
  <c r="BA283" i="1"/>
  <c r="BA640" i="1"/>
  <c r="BA998" i="1"/>
  <c r="BA545" i="1"/>
  <c r="BA906" i="1"/>
  <c r="BA37" i="1"/>
  <c r="BA497" i="1"/>
  <c r="BA448" i="1"/>
  <c r="BA400" i="1"/>
  <c r="BA487" i="1"/>
  <c r="BA741" i="1"/>
  <c r="BA481" i="1"/>
  <c r="BA504" i="1"/>
  <c r="BA908" i="1"/>
  <c r="BA285" i="1"/>
  <c r="BA989" i="1"/>
  <c r="BA821" i="1"/>
  <c r="BA365" i="1"/>
  <c r="BA1063" i="1"/>
  <c r="BA507" i="1"/>
  <c r="BA492" i="1"/>
  <c r="BA762" i="1"/>
  <c r="BA566" i="1"/>
  <c r="BA385" i="1"/>
  <c r="BA858" i="1"/>
  <c r="BA546" i="1"/>
  <c r="BA967" i="1"/>
  <c r="BA532" i="1"/>
  <c r="BA500" i="1"/>
  <c r="BA663" i="1"/>
  <c r="BA212" i="1"/>
  <c r="BA1160" i="1"/>
  <c r="BA36" i="1"/>
  <c r="BA960" i="1"/>
  <c r="BA449" i="1"/>
  <c r="BA396" i="1"/>
  <c r="BA471" i="1"/>
  <c r="BA95" i="1"/>
  <c r="BA761" i="1"/>
  <c r="BA88" i="1"/>
  <c r="BA94" i="1"/>
  <c r="BA386" i="1"/>
  <c r="BA968" i="1"/>
  <c r="BA1101" i="1"/>
  <c r="BA306" i="1"/>
  <c r="BA664" i="1"/>
  <c r="BA593" i="1"/>
  <c r="BA1078" i="1"/>
  <c r="BA859" i="1"/>
  <c r="BA970" i="1"/>
  <c r="BA482" i="1"/>
  <c r="BA70" i="1"/>
  <c r="BA533" i="1"/>
  <c r="BA665" i="1"/>
  <c r="BA54" i="1"/>
  <c r="BA1008" i="1"/>
  <c r="BA931" i="1"/>
  <c r="BA96" i="1"/>
  <c r="BA494" i="1"/>
  <c r="BA262" i="1"/>
  <c r="BA1086" i="1"/>
  <c r="BA1217" i="1"/>
  <c r="BA742" i="1"/>
  <c r="BA483" i="1"/>
  <c r="BA934" i="1"/>
  <c r="BA1046" i="1"/>
  <c r="BA363" i="1"/>
  <c r="BA1047" i="1"/>
  <c r="BA730" i="1"/>
  <c r="BA91" i="1"/>
  <c r="BA197" i="1"/>
  <c r="BA317" i="1"/>
  <c r="BA1208" i="1"/>
  <c r="BA1003" i="1"/>
  <c r="BA611" i="1"/>
  <c r="BA412" i="1"/>
  <c r="BA248" i="1"/>
  <c r="BA213" i="1"/>
  <c r="BA173" i="1"/>
  <c r="BA971" i="1"/>
  <c r="BA994" i="1"/>
  <c r="BA413" i="1"/>
  <c r="BA1048" i="1"/>
  <c r="BA33" i="1"/>
  <c r="BA1064" i="1"/>
  <c r="BA453" i="1"/>
  <c r="BA771" i="1"/>
  <c r="BA401" i="1"/>
  <c r="BA534" i="1"/>
  <c r="BA484" i="1"/>
  <c r="BA352" i="1"/>
  <c r="BA861" i="1"/>
  <c r="BA7" i="1"/>
  <c r="BA206" i="1"/>
  <c r="BA744" i="1"/>
  <c r="BA1196" i="1"/>
  <c r="BA637" i="1"/>
  <c r="BA542" i="1"/>
  <c r="BA187" i="1"/>
  <c r="BA203" i="1"/>
  <c r="BA493" i="1"/>
  <c r="BA1055" i="1"/>
  <c r="BA1065" i="1"/>
  <c r="BA209" i="1"/>
  <c r="BA193" i="1"/>
  <c r="BA55" i="1"/>
  <c r="BA726" i="1"/>
  <c r="BA641" i="1"/>
  <c r="BA526" i="1"/>
  <c r="BA174" i="1"/>
  <c r="BA302" i="1"/>
  <c r="BA34" i="1"/>
  <c r="BA644" i="1"/>
  <c r="BA44" i="1"/>
  <c r="BA1220" i="1"/>
  <c r="BA194" i="1"/>
  <c r="BA917" i="1"/>
  <c r="BA872" i="1"/>
  <c r="BA188" i="1"/>
  <c r="BA28" i="1"/>
  <c r="BA1089" i="1"/>
  <c r="BA749" i="1"/>
  <c r="BA89" i="1"/>
  <c r="BA69" i="1"/>
  <c r="BA395" i="1"/>
  <c r="BA450" i="1"/>
  <c r="BA467" i="1"/>
  <c r="BA1066" i="1"/>
  <c r="BA39" i="1"/>
  <c r="BA601" i="1"/>
  <c r="BA402" i="1"/>
  <c r="BA777" i="1"/>
  <c r="BA710" i="1"/>
  <c r="BA1202" i="1"/>
  <c r="BA56" i="1"/>
  <c r="BA458" i="1"/>
  <c r="BA643" i="1"/>
  <c r="BA1058" i="1"/>
  <c r="BA959" i="1"/>
  <c r="BA1212" i="1"/>
  <c r="BA647" i="1"/>
  <c r="BA204" i="1"/>
  <c r="BA750" i="1"/>
  <c r="BA295" i="1"/>
  <c r="BA612" i="1"/>
  <c r="BA459" i="1"/>
  <c r="BA472" i="1"/>
  <c r="BA485" i="1"/>
  <c r="BA189" i="1"/>
  <c r="BA535" i="1"/>
  <c r="BA50" i="1"/>
  <c r="BA743" i="1"/>
  <c r="BA1209" i="1"/>
  <c r="BA291" i="1"/>
  <c r="BA539" i="1"/>
  <c r="BA666" i="1"/>
  <c r="BA516" i="1"/>
  <c r="BA205" i="1"/>
  <c r="BA999" i="1"/>
  <c r="BA486" i="1"/>
  <c r="BA839" i="1"/>
  <c r="BA456" i="1"/>
  <c r="BA1084" i="1"/>
  <c r="BA613" i="1"/>
  <c r="BA298" i="1"/>
  <c r="BA353" i="1"/>
  <c r="BA699" i="1"/>
  <c r="BA90" i="1"/>
  <c r="BA932" i="1"/>
  <c r="BA1056" i="1"/>
  <c r="BA975" i="1"/>
  <c r="BA8" i="1"/>
  <c r="BA1057" i="1"/>
  <c r="BA315" i="1"/>
  <c r="BA1098" i="1"/>
  <c r="BA57" i="1"/>
  <c r="BA286" i="1"/>
  <c r="BA403" i="1"/>
  <c r="BA731" i="1"/>
  <c r="BA729" i="1"/>
  <c r="BA605" i="1"/>
  <c r="BA21" i="1"/>
  <c r="BA468" i="1"/>
  <c r="BA303" i="1"/>
  <c r="BA860" i="1"/>
  <c r="BA9" i="1"/>
  <c r="BA210" i="1"/>
  <c r="BA496" i="1"/>
  <c r="BA320" i="1"/>
  <c r="BA634" i="1"/>
  <c r="BA293" i="1"/>
  <c r="BA307" i="1"/>
  <c r="BA2" i="1"/>
  <c r="BA686" i="1"/>
  <c r="BA505" i="1"/>
  <c r="BA540" i="1"/>
  <c r="BA25" i="1"/>
  <c r="BA30" i="1"/>
  <c r="BA308" i="1"/>
  <c r="BA955" i="1"/>
  <c r="BA642" i="1"/>
  <c r="BA873" i="1"/>
  <c r="BA38" i="1"/>
  <c r="BA1087" i="1"/>
  <c r="BA287" i="1"/>
  <c r="BA364" i="1"/>
  <c r="BA933" i="1"/>
  <c r="BA831" i="1"/>
  <c r="BA622" i="1"/>
  <c r="BA1079" i="1"/>
  <c r="BA292" i="1"/>
  <c r="BA945" i="1"/>
  <c r="BA1223" i="1"/>
  <c r="BA11" i="1"/>
  <c r="BA12" i="1"/>
  <c r="BA13" i="1"/>
  <c r="BA14" i="1"/>
  <c r="BA15" i="1"/>
  <c r="BA16" i="1"/>
  <c r="BA17" i="1"/>
  <c r="AY10" i="1"/>
  <c r="AY11" i="1"/>
  <c r="AY12" i="1"/>
  <c r="AY13" i="1"/>
  <c r="AY14" i="1"/>
  <c r="AY15" i="1"/>
  <c r="AY16" i="1"/>
  <c r="AY17" i="1"/>
  <c r="AY18" i="1"/>
  <c r="AY19" i="1"/>
  <c r="AY20" i="1"/>
  <c r="AY22" i="1"/>
  <c r="AY23" i="1"/>
  <c r="AY46" i="1"/>
  <c r="AY47" i="1"/>
  <c r="AY48" i="1"/>
  <c r="AY49" i="1"/>
  <c r="AY66" i="1"/>
  <c r="AY71" i="1"/>
  <c r="AY72" i="1"/>
  <c r="AY75" i="1"/>
  <c r="AY76" i="1"/>
  <c r="AY77" i="1"/>
  <c r="AY78" i="1"/>
  <c r="AY79" i="1"/>
  <c r="AY80" i="1"/>
  <c r="AY84" i="1"/>
  <c r="AY85" i="1"/>
  <c r="AY97" i="1"/>
  <c r="AY98" i="1"/>
  <c r="AY99" i="1"/>
  <c r="AY100" i="1"/>
  <c r="AY101" i="1"/>
  <c r="AY102" i="1"/>
  <c r="AY103" i="1"/>
  <c r="AY105" i="1"/>
  <c r="AY106" i="1"/>
  <c r="AY107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2" i="1"/>
  <c r="AY153" i="1"/>
  <c r="AY154" i="1"/>
  <c r="AY155" i="1"/>
  <c r="AY156" i="1"/>
  <c r="AY151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5" i="1"/>
  <c r="AY176" i="1"/>
  <c r="AY177" i="1"/>
  <c r="AY178" i="1"/>
  <c r="AY179" i="1"/>
  <c r="AY180" i="1"/>
  <c r="AY181" i="1"/>
  <c r="AY182" i="1"/>
  <c r="AY183" i="1"/>
  <c r="AY190" i="1"/>
  <c r="AY195" i="1"/>
  <c r="AY196" i="1"/>
  <c r="AY207" i="1"/>
  <c r="AY215" i="1"/>
  <c r="AY216" i="1"/>
  <c r="AY217" i="1"/>
  <c r="AY218" i="1"/>
  <c r="AY219" i="1"/>
  <c r="AY220" i="1"/>
  <c r="AY221" i="1"/>
  <c r="AY223" i="1"/>
  <c r="AY224" i="1"/>
  <c r="AY225" i="1"/>
  <c r="AY226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1" i="1"/>
  <c r="AY242" i="1"/>
  <c r="AY244" i="1"/>
  <c r="AY245" i="1"/>
  <c r="AY249" i="1"/>
  <c r="AY250" i="1"/>
  <c r="AY252" i="1"/>
  <c r="AY253" i="1"/>
  <c r="AY254" i="1"/>
  <c r="AY255" i="1"/>
  <c r="AY256" i="1"/>
  <c r="AY257" i="1"/>
  <c r="AY258" i="1"/>
  <c r="AY259" i="1"/>
  <c r="AY260" i="1"/>
  <c r="AY261" i="1"/>
  <c r="AY263" i="1"/>
  <c r="AY264" i="1"/>
  <c r="AY265" i="1"/>
  <c r="AY266" i="1"/>
  <c r="AY267" i="1"/>
  <c r="AY268" i="1"/>
  <c r="AY269" i="1"/>
  <c r="AY270" i="1"/>
  <c r="AY271" i="1"/>
  <c r="AY272" i="1"/>
  <c r="AY273" i="1"/>
  <c r="AY274" i="1"/>
  <c r="AY275" i="1"/>
  <c r="AY277" i="1"/>
  <c r="AY278" i="1"/>
  <c r="AY279" i="1"/>
  <c r="AY280" i="1"/>
  <c r="AY281" i="1"/>
  <c r="AY282" i="1"/>
  <c r="AY296" i="1"/>
  <c r="AY309" i="1"/>
  <c r="AY310" i="1"/>
  <c r="AY311" i="1"/>
  <c r="AY313" i="1"/>
  <c r="AY318" i="1"/>
  <c r="AY319" i="1"/>
  <c r="AY321" i="1"/>
  <c r="AY326" i="1"/>
  <c r="AY327" i="1"/>
  <c r="AY328" i="1"/>
  <c r="AY329" i="1"/>
  <c r="AY330" i="1"/>
  <c r="AY331" i="1"/>
  <c r="AY333" i="1"/>
  <c r="AY332" i="1"/>
  <c r="AY334" i="1"/>
  <c r="AY335" i="1"/>
  <c r="AY336" i="1"/>
  <c r="AY338" i="1"/>
  <c r="AY339" i="1"/>
  <c r="AY340" i="1"/>
  <c r="AY341" i="1"/>
  <c r="AY342" i="1"/>
  <c r="AY343" i="1"/>
  <c r="AY344" i="1"/>
  <c r="AY345" i="1"/>
  <c r="AY346" i="1"/>
  <c r="AY347" i="1"/>
  <c r="AY348" i="1"/>
  <c r="AY354" i="1"/>
  <c r="AY355" i="1"/>
  <c r="AY358" i="1"/>
  <c r="AY366" i="1"/>
  <c r="AY367" i="1"/>
  <c r="AY368" i="1"/>
  <c r="AY369" i="1"/>
  <c r="AY370" i="1"/>
  <c r="AY372" i="1"/>
  <c r="AY373" i="1"/>
  <c r="AY371" i="1"/>
  <c r="AY374" i="1"/>
  <c r="AY375" i="1"/>
  <c r="AY376" i="1"/>
  <c r="AY377" i="1"/>
  <c r="AY378" i="1"/>
  <c r="AY379" i="1"/>
  <c r="AY380" i="1"/>
  <c r="AY381" i="1"/>
  <c r="AY387" i="1"/>
  <c r="AY388" i="1"/>
  <c r="AY389" i="1"/>
  <c r="AY390" i="1"/>
  <c r="AY391" i="1"/>
  <c r="AY392" i="1"/>
  <c r="AY393" i="1"/>
  <c r="AY394" i="1"/>
  <c r="AY404" i="1"/>
  <c r="AY405" i="1"/>
  <c r="AY406" i="1"/>
  <c r="AY407" i="1"/>
  <c r="AY408" i="1"/>
  <c r="AY409" i="1"/>
  <c r="AY410" i="1"/>
  <c r="AY414" i="1"/>
  <c r="AY415" i="1"/>
  <c r="AY416" i="1"/>
  <c r="AY420" i="1"/>
  <c r="AY421" i="1"/>
  <c r="AY422" i="1"/>
  <c r="AY423" i="1"/>
  <c r="AY424" i="1"/>
  <c r="AY425" i="1"/>
  <c r="AY426" i="1"/>
  <c r="AY427" i="1"/>
  <c r="AY428" i="1"/>
  <c r="AY429" i="1"/>
  <c r="AY430" i="1"/>
  <c r="AY434" i="1"/>
  <c r="AY435" i="1"/>
  <c r="AY436" i="1"/>
  <c r="AY437" i="1"/>
  <c r="AY438" i="1"/>
  <c r="AY439" i="1"/>
  <c r="AY440" i="1"/>
  <c r="AY441" i="1"/>
  <c r="AY442" i="1"/>
  <c r="AY443" i="1"/>
  <c r="AY444" i="1"/>
  <c r="AY445" i="1"/>
  <c r="AY446" i="1"/>
  <c r="AY447" i="1"/>
  <c r="AY461" i="1"/>
  <c r="AY462" i="1"/>
  <c r="AY463" i="1"/>
  <c r="AY464" i="1"/>
  <c r="AY474" i="1"/>
  <c r="AY475" i="1"/>
  <c r="AY476" i="1"/>
  <c r="AY477" i="1"/>
  <c r="AY478" i="1"/>
  <c r="AY479" i="1"/>
  <c r="AY480" i="1"/>
  <c r="AY489" i="1"/>
  <c r="AY490" i="1"/>
  <c r="AY491" i="1"/>
  <c r="AY506" i="1"/>
  <c r="AY508" i="1"/>
  <c r="AY509" i="1"/>
  <c r="AY510" i="1"/>
  <c r="AY511" i="1"/>
  <c r="AY512" i="1"/>
  <c r="AY513" i="1"/>
  <c r="AY514" i="1"/>
  <c r="AY520" i="1"/>
  <c r="AY521" i="1"/>
  <c r="AY522" i="1"/>
  <c r="AY523" i="1"/>
  <c r="AY524" i="1"/>
  <c r="AY525" i="1"/>
  <c r="AY527" i="1"/>
  <c r="AY528" i="1"/>
  <c r="AY547" i="1"/>
  <c r="AY548" i="1"/>
  <c r="AY550" i="1"/>
  <c r="AY551" i="1"/>
  <c r="AY552" i="1"/>
  <c r="AY553" i="1"/>
  <c r="AY556" i="1"/>
  <c r="AY557" i="1"/>
  <c r="AY558" i="1"/>
  <c r="AY559" i="1"/>
  <c r="AY560" i="1"/>
  <c r="AY561" i="1"/>
  <c r="AY562" i="1"/>
  <c r="AY563" i="1"/>
  <c r="AY564" i="1"/>
  <c r="AY565" i="1"/>
  <c r="AY570" i="1"/>
  <c r="AY571" i="1"/>
  <c r="AY572" i="1"/>
  <c r="AY573" i="1"/>
  <c r="AY574" i="1"/>
  <c r="AY575" i="1"/>
  <c r="AY576" i="1"/>
  <c r="AY577" i="1"/>
  <c r="AY578" i="1"/>
  <c r="AY579" i="1"/>
  <c r="AY580" i="1"/>
  <c r="AY581" i="1"/>
  <c r="AY582" i="1"/>
  <c r="AY586" i="1"/>
  <c r="AY583" i="1"/>
  <c r="AY584" i="1"/>
  <c r="AY587" i="1"/>
  <c r="AY588" i="1"/>
  <c r="AY589" i="1"/>
  <c r="AY590" i="1"/>
  <c r="AY591" i="1"/>
  <c r="AY592" i="1"/>
  <c r="AY594" i="1"/>
  <c r="AY595" i="1"/>
  <c r="AY596" i="1"/>
  <c r="AY597" i="1"/>
  <c r="AY598" i="1"/>
  <c r="AY599" i="1"/>
  <c r="AY600" i="1"/>
  <c r="AY602" i="1"/>
  <c r="AY603" i="1"/>
  <c r="AY606" i="1"/>
  <c r="AY607" i="1"/>
  <c r="AY608" i="1"/>
  <c r="AY615" i="1"/>
  <c r="AY617" i="1"/>
  <c r="AY619" i="1"/>
  <c r="AY620" i="1"/>
  <c r="AY621" i="1"/>
  <c r="AY624" i="1"/>
  <c r="AY625" i="1"/>
  <c r="AY626" i="1"/>
  <c r="AY627" i="1"/>
  <c r="AY628" i="1"/>
  <c r="AY629" i="1"/>
  <c r="AY630" i="1"/>
  <c r="AY631" i="1"/>
  <c r="AY632" i="1"/>
  <c r="AY633" i="1"/>
  <c r="AY649" i="1"/>
  <c r="AY650" i="1"/>
  <c r="AY651" i="1"/>
  <c r="AY652" i="1"/>
  <c r="AY653" i="1"/>
  <c r="AY655" i="1"/>
  <c r="AY656" i="1"/>
  <c r="AY657" i="1"/>
  <c r="AY658" i="1"/>
  <c r="AY659" i="1"/>
  <c r="AY660" i="1"/>
  <c r="AY661" i="1"/>
  <c r="AY662" i="1"/>
  <c r="AY667" i="1"/>
  <c r="AY668" i="1"/>
  <c r="AY669" i="1"/>
  <c r="AY670" i="1"/>
  <c r="AY671" i="1"/>
  <c r="AY672" i="1"/>
  <c r="AY673" i="1"/>
  <c r="AY674" i="1"/>
  <c r="AY675" i="1"/>
  <c r="AY676" i="1"/>
  <c r="AY677" i="1"/>
  <c r="AY678" i="1"/>
  <c r="AY679" i="1"/>
  <c r="AY680" i="1"/>
  <c r="AY681" i="1"/>
  <c r="AY682" i="1"/>
  <c r="AY683" i="1"/>
  <c r="AY684" i="1"/>
  <c r="AY685" i="1"/>
  <c r="AY688" i="1"/>
  <c r="AY689" i="1"/>
  <c r="AY690" i="1"/>
  <c r="AY691" i="1"/>
  <c r="AY692" i="1"/>
  <c r="AY693" i="1"/>
  <c r="AY694" i="1"/>
  <c r="AY695" i="1"/>
  <c r="AY696" i="1"/>
  <c r="AY697" i="1"/>
  <c r="AY698" i="1"/>
  <c r="AY700" i="1"/>
  <c r="AY701" i="1"/>
  <c r="AY702" i="1"/>
  <c r="AY705" i="1"/>
  <c r="AY706" i="1"/>
  <c r="AY707" i="1"/>
  <c r="AY708" i="1"/>
  <c r="AY709" i="1"/>
  <c r="AY711" i="1"/>
  <c r="AY712" i="1"/>
  <c r="AY713" i="1"/>
  <c r="AY714" i="1"/>
  <c r="AY715" i="1"/>
  <c r="AY716" i="1"/>
  <c r="AY717" i="1"/>
  <c r="AY718" i="1"/>
  <c r="AY719" i="1"/>
  <c r="AY720" i="1"/>
  <c r="AY721" i="1"/>
  <c r="AY722" i="1"/>
  <c r="AY723" i="1"/>
  <c r="AY724" i="1"/>
  <c r="AY725" i="1"/>
  <c r="AY732" i="1"/>
  <c r="AY733" i="1"/>
  <c r="AY734" i="1"/>
  <c r="AY735" i="1"/>
  <c r="AY736" i="1"/>
  <c r="AY737" i="1"/>
  <c r="AY738" i="1"/>
  <c r="AY739" i="1"/>
  <c r="AY745" i="1"/>
  <c r="AY746" i="1"/>
  <c r="AY751" i="1"/>
  <c r="AY752" i="1"/>
  <c r="AY753" i="1"/>
  <c r="AY754" i="1"/>
  <c r="AY755" i="1"/>
  <c r="AY756" i="1"/>
  <c r="AY758" i="1"/>
  <c r="AY759" i="1"/>
  <c r="AY760" i="1"/>
  <c r="AY763" i="1"/>
  <c r="AY764" i="1"/>
  <c r="AY765" i="1"/>
  <c r="AY766" i="1"/>
  <c r="AY767" i="1"/>
  <c r="AY768" i="1"/>
  <c r="AY769" i="1"/>
  <c r="AY770" i="1"/>
  <c r="AY772" i="1"/>
  <c r="AY773" i="1"/>
  <c r="AY774" i="1"/>
  <c r="AY775" i="1"/>
  <c r="AY776" i="1"/>
  <c r="AY778" i="1"/>
  <c r="AY779" i="1"/>
  <c r="AY780" i="1"/>
  <c r="AY781" i="1"/>
  <c r="AY782" i="1"/>
  <c r="AY783" i="1"/>
  <c r="AY784" i="1"/>
  <c r="AY785" i="1"/>
  <c r="AY786" i="1"/>
  <c r="AY787" i="1"/>
  <c r="AY788" i="1"/>
  <c r="AY789" i="1"/>
  <c r="AY790" i="1"/>
  <c r="AY791" i="1"/>
  <c r="AY792" i="1"/>
  <c r="AY793" i="1"/>
  <c r="AY794" i="1"/>
  <c r="AY795" i="1"/>
  <c r="AY796" i="1"/>
  <c r="AY797" i="1"/>
  <c r="AY798" i="1"/>
  <c r="AY799" i="1"/>
  <c r="AY800" i="1"/>
  <c r="AY801" i="1"/>
  <c r="AY802" i="1"/>
  <c r="AY803" i="1"/>
  <c r="AY804" i="1"/>
  <c r="AY805" i="1"/>
  <c r="AY806" i="1"/>
  <c r="AY807" i="1"/>
  <c r="AY808" i="1"/>
  <c r="AY809" i="1"/>
  <c r="AY810" i="1"/>
  <c r="AY811" i="1"/>
  <c r="AY812" i="1"/>
  <c r="AY813" i="1"/>
  <c r="AY815" i="1"/>
  <c r="AY816" i="1"/>
  <c r="AY817" i="1"/>
  <c r="AY818" i="1"/>
  <c r="AY819" i="1"/>
  <c r="AY820" i="1"/>
  <c r="AY823" i="1"/>
  <c r="AY824" i="1"/>
  <c r="AY825" i="1"/>
  <c r="AY826" i="1"/>
  <c r="AY827" i="1"/>
  <c r="AY828" i="1"/>
  <c r="AY829" i="1"/>
  <c r="AY832" i="1"/>
  <c r="AY834" i="1"/>
  <c r="AY835" i="1"/>
  <c r="AY836" i="1"/>
  <c r="AY838" i="1"/>
  <c r="AY843" i="1"/>
  <c r="AY844" i="1"/>
  <c r="AY845" i="1"/>
  <c r="AY846" i="1"/>
  <c r="AY847" i="1"/>
  <c r="AY848" i="1"/>
  <c r="AY849" i="1"/>
  <c r="AY850" i="1"/>
  <c r="AY851" i="1"/>
  <c r="AY852" i="1"/>
  <c r="AY853" i="1"/>
  <c r="AY854" i="1"/>
  <c r="AY855" i="1"/>
  <c r="AY856" i="1"/>
  <c r="AY863" i="1"/>
  <c r="AY864" i="1"/>
  <c r="AY865" i="1"/>
  <c r="AY866" i="1"/>
  <c r="AY868" i="1"/>
  <c r="AY869" i="1"/>
  <c r="AY874" i="1"/>
  <c r="AY875" i="1"/>
  <c r="AY876" i="1"/>
  <c r="AY877" i="1"/>
  <c r="AY878" i="1"/>
  <c r="AY879" i="1"/>
  <c r="AY880" i="1"/>
  <c r="AY881" i="1"/>
  <c r="AY882" i="1"/>
  <c r="AY883" i="1"/>
  <c r="AY884" i="1"/>
  <c r="AY885" i="1"/>
  <c r="AY886" i="1"/>
  <c r="AY887" i="1"/>
  <c r="AY888" i="1"/>
  <c r="AY889" i="1"/>
  <c r="AY890" i="1"/>
  <c r="AY891" i="1"/>
  <c r="AY894" i="1"/>
  <c r="AY895" i="1"/>
  <c r="AY896" i="1"/>
  <c r="AY897" i="1"/>
  <c r="AY898" i="1"/>
  <c r="AY899" i="1"/>
  <c r="AY900" i="1"/>
  <c r="AY901" i="1"/>
  <c r="AY902" i="1"/>
  <c r="AY903" i="1"/>
  <c r="AY904" i="1"/>
  <c r="AY905" i="1"/>
  <c r="AY911" i="1"/>
  <c r="AY912" i="1"/>
  <c r="AY914" i="1"/>
  <c r="AY915" i="1"/>
  <c r="AY918" i="1"/>
  <c r="AY919" i="1"/>
  <c r="AY920" i="1"/>
  <c r="AY921" i="1"/>
  <c r="AY922" i="1"/>
  <c r="AY923" i="1"/>
  <c r="AY924" i="1"/>
  <c r="AY925" i="1"/>
  <c r="AY926" i="1"/>
  <c r="AY935" i="1"/>
  <c r="AY936" i="1"/>
  <c r="AY937" i="1"/>
  <c r="AY938" i="1"/>
  <c r="AY939" i="1"/>
  <c r="AY940" i="1"/>
  <c r="AY941" i="1"/>
  <c r="AY942" i="1"/>
  <c r="AY944" i="1"/>
  <c r="AY946" i="1"/>
  <c r="AY947" i="1"/>
  <c r="AY948" i="1"/>
  <c r="AY949" i="1"/>
  <c r="AY950" i="1"/>
  <c r="AY951" i="1"/>
  <c r="AY956" i="1"/>
  <c r="AY957" i="1"/>
  <c r="AY962" i="1"/>
  <c r="AY973" i="1"/>
  <c r="AY974" i="1"/>
  <c r="AY976" i="1"/>
  <c r="AY977" i="1"/>
  <c r="AY978" i="1"/>
  <c r="AY979" i="1"/>
  <c r="AY980" i="1"/>
  <c r="AY982" i="1"/>
  <c r="AY983" i="1"/>
  <c r="AY984" i="1"/>
  <c r="AY985" i="1"/>
  <c r="AY986" i="1"/>
  <c r="AY987" i="1"/>
  <c r="AY988" i="1"/>
  <c r="AY990" i="1"/>
  <c r="AY991" i="1"/>
  <c r="AY993" i="1"/>
  <c r="AY1001" i="1"/>
  <c r="AY1002" i="1"/>
  <c r="AY1005" i="1"/>
  <c r="AY1006" i="1"/>
  <c r="AY1007" i="1"/>
  <c r="AY1009" i="1"/>
  <c r="AY1010" i="1"/>
  <c r="AY1011" i="1"/>
  <c r="AY1013" i="1"/>
  <c r="AY1014" i="1"/>
  <c r="AY1015" i="1"/>
  <c r="AY1017" i="1"/>
  <c r="AY1018" i="1"/>
  <c r="AY1019" i="1"/>
  <c r="AY1020" i="1"/>
  <c r="AY1021" i="1"/>
  <c r="AY1022" i="1"/>
  <c r="AY1023" i="1"/>
  <c r="AY1024" i="1"/>
  <c r="AY1025" i="1"/>
  <c r="AY1026" i="1"/>
  <c r="AY1027" i="1"/>
  <c r="AY1028" i="1"/>
  <c r="AY1029" i="1"/>
  <c r="AY1030" i="1"/>
  <c r="AY1031" i="1"/>
  <c r="AY1032" i="1"/>
  <c r="AY1033" i="1"/>
  <c r="AY1034" i="1"/>
  <c r="AY1035" i="1"/>
  <c r="AY1036" i="1"/>
  <c r="AY1037" i="1"/>
  <c r="AY1038" i="1"/>
  <c r="AY1039" i="1"/>
  <c r="AY1040" i="1"/>
  <c r="AY1041" i="1"/>
  <c r="AY1042" i="1"/>
  <c r="AY1043" i="1"/>
  <c r="AY1044" i="1"/>
  <c r="AY1068" i="1"/>
  <c r="AY1069" i="1"/>
  <c r="AY1071" i="1"/>
  <c r="AY1072" i="1"/>
  <c r="AY1073" i="1"/>
  <c r="AY1074" i="1"/>
  <c r="AY1075" i="1"/>
  <c r="AY1076" i="1"/>
  <c r="AY1080" i="1"/>
  <c r="AY1081" i="1"/>
  <c r="AY1091" i="1"/>
  <c r="AY1092" i="1"/>
  <c r="AY1093" i="1"/>
  <c r="AY1094" i="1"/>
  <c r="AY1095" i="1"/>
  <c r="AY1096" i="1"/>
  <c r="AY1099" i="1"/>
  <c r="AY1100" i="1"/>
  <c r="AY1102" i="1"/>
  <c r="AY1103" i="1"/>
  <c r="AY1104" i="1"/>
  <c r="AY1105" i="1"/>
  <c r="AY1106" i="1"/>
  <c r="AY1108" i="1"/>
  <c r="AY1109" i="1"/>
  <c r="AY1110" i="1"/>
  <c r="AY1111" i="1"/>
  <c r="AY1112" i="1"/>
  <c r="AY1113" i="1"/>
  <c r="AY1114" i="1"/>
  <c r="AY1115" i="1"/>
  <c r="AY1116" i="1"/>
  <c r="AY1117" i="1"/>
  <c r="AY1118" i="1"/>
  <c r="AY1119" i="1"/>
  <c r="AY1120" i="1"/>
  <c r="AY1121" i="1"/>
  <c r="AY1122" i="1"/>
  <c r="AY1123" i="1"/>
  <c r="AY1127" i="1"/>
  <c r="AY1128" i="1"/>
  <c r="AY1129" i="1"/>
  <c r="AY1130" i="1"/>
  <c r="AY1131" i="1"/>
  <c r="AY1132" i="1"/>
  <c r="AY1133" i="1"/>
  <c r="AY1134" i="1"/>
  <c r="AY1135" i="1"/>
  <c r="AY1136" i="1"/>
  <c r="AY1137" i="1"/>
  <c r="AY1138" i="1"/>
  <c r="AY1139" i="1"/>
  <c r="AY1140" i="1"/>
  <c r="AY1141" i="1"/>
  <c r="AY1142" i="1"/>
  <c r="AY1143" i="1"/>
  <c r="AY1144" i="1"/>
  <c r="AY1145" i="1"/>
  <c r="AY1146" i="1"/>
  <c r="AY1147" i="1"/>
  <c r="AY1148" i="1"/>
  <c r="AY1149" i="1"/>
  <c r="AY1150" i="1"/>
  <c r="AY1151" i="1"/>
  <c r="AY1152" i="1"/>
  <c r="AY1153" i="1"/>
  <c r="AY1154" i="1"/>
  <c r="AY1155" i="1"/>
  <c r="AY1157" i="1"/>
  <c r="AY1158" i="1"/>
  <c r="AY1159" i="1"/>
  <c r="AY1161" i="1"/>
  <c r="AY1162" i="1"/>
  <c r="AY1163" i="1"/>
  <c r="AY1164" i="1"/>
  <c r="AY1165" i="1"/>
  <c r="AY1166" i="1"/>
  <c r="AY1167" i="1"/>
  <c r="AY1168" i="1"/>
  <c r="AY1169" i="1"/>
  <c r="AY1170" i="1"/>
  <c r="AY1171" i="1"/>
  <c r="AY1172" i="1"/>
  <c r="AY1173" i="1"/>
  <c r="AY1174" i="1"/>
  <c r="AY1175" i="1"/>
  <c r="AY1176" i="1"/>
  <c r="AY1177" i="1"/>
  <c r="AY1178" i="1"/>
  <c r="AY1179" i="1"/>
  <c r="AY1180" i="1"/>
  <c r="AY1181" i="1"/>
  <c r="AY1182" i="1"/>
  <c r="AY1183" i="1"/>
  <c r="AY1184" i="1"/>
  <c r="AY1185" i="1"/>
  <c r="AY1186" i="1"/>
  <c r="AY1187" i="1"/>
  <c r="AY1188" i="1"/>
  <c r="AY1189" i="1"/>
  <c r="AY1190" i="1"/>
  <c r="AY1191" i="1"/>
  <c r="AY1192" i="1"/>
  <c r="AY1193" i="1"/>
  <c r="AY1194" i="1"/>
  <c r="AY1197" i="1"/>
  <c r="AY1198" i="1"/>
  <c r="AY1199" i="1"/>
  <c r="AY1200" i="1"/>
  <c r="AY1201" i="1"/>
  <c r="AY1083" i="1"/>
  <c r="AY473" i="1"/>
  <c r="AY1213" i="1"/>
  <c r="AY41" i="1"/>
  <c r="AY645" i="1"/>
  <c r="AY431" i="1"/>
  <c r="AY995" i="1"/>
  <c r="AY1051" i="1"/>
  <c r="AY104" i="1"/>
  <c r="AY1067" i="1"/>
  <c r="AY324" i="1"/>
  <c r="AY614" i="1"/>
  <c r="AY963" i="1"/>
  <c r="AY3" i="1"/>
  <c r="AY31" i="1"/>
  <c r="AY1097" i="1"/>
  <c r="AY549" i="1"/>
  <c r="AY837" i="1"/>
  <c r="AY609" i="1"/>
  <c r="AY604" i="1"/>
  <c r="AY538" i="1"/>
  <c r="AY648" i="1"/>
  <c r="AY519" i="1"/>
  <c r="AY958" i="1"/>
  <c r="AY82" i="1"/>
  <c r="AY208" i="1"/>
  <c r="AY299" i="1"/>
  <c r="AY909" i="1"/>
  <c r="AY65" i="1"/>
  <c r="AY964" i="1"/>
  <c r="AY1082" i="1"/>
  <c r="AY992" i="1"/>
  <c r="AY108" i="1"/>
  <c r="AY703" i="1"/>
  <c r="AY907" i="1"/>
  <c r="AY517" i="1"/>
  <c r="AY618" i="1"/>
  <c r="AY51" i="1"/>
  <c r="AY757" i="1"/>
  <c r="AY638" i="1"/>
  <c r="AY92" i="1"/>
  <c r="AY501" i="1"/>
  <c r="AY1070" i="1"/>
  <c r="AY350" i="1"/>
  <c r="AY530" i="1"/>
  <c r="AY4" i="1"/>
  <c r="AY222" i="1"/>
  <c r="AY359" i="1"/>
  <c r="AY654" i="1"/>
  <c r="AY337" i="1"/>
  <c r="AY952" i="1"/>
  <c r="AY185" i="1"/>
  <c r="AY910" i="1"/>
  <c r="AY833" i="1"/>
  <c r="AY927" i="1"/>
  <c r="AY454" i="1"/>
  <c r="AY822" i="1"/>
  <c r="AY198" i="1"/>
  <c r="AY646" i="1"/>
  <c r="AY543" i="1"/>
  <c r="AY304" i="1"/>
  <c r="AY26" i="1"/>
  <c r="AY398" i="1"/>
  <c r="AY45" i="1"/>
  <c r="AY1215" i="1"/>
  <c r="AY1195" i="1"/>
  <c r="AY469" i="1"/>
  <c r="AY246" i="1"/>
  <c r="AY288" i="1"/>
  <c r="AY360" i="1"/>
  <c r="AY73" i="1"/>
  <c r="AY554" i="1"/>
  <c r="AY294" i="1"/>
  <c r="AY1124" i="1"/>
  <c r="AY953" i="1"/>
  <c r="AY67" i="1"/>
  <c r="AY58" i="1"/>
  <c r="AY870" i="1"/>
  <c r="AY325" i="1"/>
  <c r="AY1059" i="1"/>
  <c r="AY74" i="1"/>
  <c r="AY569" i="1"/>
  <c r="AY42" i="1"/>
  <c r="AY382" i="1"/>
  <c r="AY32" i="1"/>
  <c r="AY928" i="1"/>
  <c r="AY639" i="1"/>
  <c r="AY857" i="1"/>
  <c r="AY1045" i="1"/>
  <c r="AY68" i="1"/>
  <c r="AY1085" i="1"/>
  <c r="AY251" i="1"/>
  <c r="AY529" i="1"/>
  <c r="AY5" i="1"/>
  <c r="AY1000" i="1"/>
  <c r="AY60" i="1"/>
  <c r="AY1060" i="1"/>
  <c r="AY432" i="1"/>
  <c r="AY1214" i="1"/>
  <c r="AY635" i="1"/>
  <c r="AY300" i="1"/>
  <c r="AY52" i="1"/>
  <c r="AY192" i="1"/>
  <c r="AY86" i="1"/>
  <c r="AY1211" i="1"/>
  <c r="AY411" i="1"/>
  <c r="AY1077" i="1"/>
  <c r="AY289" i="1"/>
  <c r="AY502" i="1"/>
  <c r="AY503" i="1"/>
  <c r="AY961" i="1"/>
  <c r="AY399" i="1"/>
  <c r="AY842" i="1"/>
  <c r="AY284" i="1"/>
  <c r="AY1049" i="1"/>
  <c r="AY35" i="1"/>
  <c r="AY211" i="1"/>
  <c r="AY515" i="1"/>
  <c r="AY840" i="1"/>
  <c r="AY537" i="1"/>
  <c r="AY356" i="1"/>
  <c r="AY981" i="1"/>
  <c r="AY965" i="1"/>
  <c r="AY305" i="1"/>
  <c r="AY290" i="1"/>
  <c r="AY297" i="1"/>
  <c r="AY87" i="1"/>
  <c r="AY184" i="1"/>
  <c r="AY451" i="1"/>
  <c r="AY312" i="1"/>
  <c r="AY465" i="1"/>
  <c r="AY544" i="1"/>
  <c r="AY1107" i="1"/>
  <c r="AY1222" i="1"/>
  <c r="AY1088" i="1"/>
  <c r="AY383" i="1"/>
  <c r="AY636" i="1"/>
  <c r="AY27" i="1"/>
  <c r="AY130" i="1"/>
  <c r="AY814" i="1"/>
  <c r="AY966" i="1"/>
  <c r="AY1204" i="1"/>
  <c r="AY972" i="1"/>
  <c r="AY867" i="1"/>
  <c r="AY748" i="1"/>
  <c r="AY59" i="1"/>
  <c r="AY727" i="1"/>
  <c r="AY301" i="1"/>
  <c r="AY64" i="1"/>
  <c r="AY1052" i="1"/>
  <c r="AY1126" i="1"/>
  <c r="AY316" i="1"/>
  <c r="AY314" i="1"/>
  <c r="AY536" i="1"/>
  <c r="AY53" i="1"/>
  <c r="AY687" i="1"/>
  <c r="AY40" i="1"/>
  <c r="AY322" i="1"/>
  <c r="AY841" i="1"/>
  <c r="AY498" i="1"/>
  <c r="AY1218" i="1"/>
  <c r="AY397" i="1"/>
  <c r="AY24" i="1"/>
  <c r="AY186" i="1"/>
  <c r="AY455" i="1"/>
  <c r="AY929" i="1"/>
  <c r="AY740" i="1"/>
  <c r="AY1219" i="1"/>
  <c r="AY567" i="1"/>
  <c r="AY357" i="1"/>
  <c r="AY488" i="1"/>
  <c r="AY351" i="1"/>
  <c r="AY568" i="1"/>
  <c r="AY81" i="1"/>
  <c r="AY996" i="1"/>
  <c r="AY247" i="1"/>
  <c r="AY616" i="1"/>
  <c r="AY913" i="1"/>
  <c r="AY1090" i="1"/>
  <c r="AY892" i="1"/>
  <c r="AY6" i="1"/>
  <c r="AY199" i="1"/>
  <c r="AY1216" i="1"/>
  <c r="AY323" i="1"/>
  <c r="AY1205" i="1"/>
  <c r="AY457" i="1"/>
  <c r="AY555" i="1"/>
  <c r="AY1125" i="1"/>
  <c r="AY93" i="1"/>
  <c r="AY200" i="1"/>
  <c r="AY466" i="1"/>
  <c r="AY585" i="1"/>
  <c r="AY43" i="1"/>
  <c r="AY419" i="1"/>
  <c r="AY1156" i="1"/>
  <c r="AY29" i="1"/>
  <c r="AY1210" i="1"/>
  <c r="AY495" i="1"/>
  <c r="AY916" i="1"/>
  <c r="AY1050" i="1"/>
  <c r="AY1203" i="1"/>
  <c r="AY1221" i="1"/>
  <c r="AY1206" i="1"/>
  <c r="AY1012" i="1"/>
  <c r="AY361" i="1"/>
  <c r="AY1207" i="1"/>
  <c r="AY201" i="1"/>
  <c r="AY243" i="1"/>
  <c r="AY362" i="1"/>
  <c r="AY930" i="1"/>
  <c r="AY531" i="1"/>
  <c r="AY997" i="1"/>
  <c r="AY83" i="1"/>
  <c r="AY202" i="1"/>
  <c r="AY1004" i="1"/>
  <c r="AY460" i="1"/>
  <c r="AY214" i="1"/>
  <c r="AY276" i="1"/>
  <c r="AY1016" i="1"/>
  <c r="AY1061" i="1"/>
  <c r="AY433" i="1"/>
  <c r="AY349" i="1"/>
  <c r="AY191" i="1"/>
  <c r="AY417" i="1"/>
  <c r="AY871" i="1"/>
  <c r="AY1062" i="1"/>
  <c r="AY61" i="1"/>
  <c r="AY452" i="1"/>
  <c r="AY830" i="1"/>
  <c r="AY418" i="1"/>
  <c r="AY499" i="1"/>
  <c r="AY227" i="1"/>
  <c r="AY1053" i="1"/>
  <c r="AY862" i="1"/>
  <c r="AY969" i="1"/>
  <c r="AY240" i="1"/>
  <c r="AY541" i="1"/>
  <c r="AY518" i="1"/>
  <c r="AY384" i="1"/>
  <c r="AY1054" i="1"/>
  <c r="AY954" i="1"/>
  <c r="AY623" i="1"/>
  <c r="AY728" i="1"/>
  <c r="AY62" i="1"/>
  <c r="AY610" i="1"/>
  <c r="AY470" i="1"/>
  <c r="AY893" i="1"/>
  <c r="AY943" i="1"/>
  <c r="AY747" i="1"/>
  <c r="AY63" i="1"/>
  <c r="AY283" i="1"/>
  <c r="AY640" i="1"/>
  <c r="AY998" i="1"/>
  <c r="AY545" i="1"/>
  <c r="AY906" i="1"/>
  <c r="AY37" i="1"/>
  <c r="AY497" i="1"/>
  <c r="AY448" i="1"/>
  <c r="AY400" i="1"/>
  <c r="AY487" i="1"/>
  <c r="AY741" i="1"/>
  <c r="AY481" i="1"/>
  <c r="AY504" i="1"/>
  <c r="AY908" i="1"/>
  <c r="AY285" i="1"/>
  <c r="AY989" i="1"/>
  <c r="AY821" i="1"/>
  <c r="AY365" i="1"/>
  <c r="AY1063" i="1"/>
  <c r="AY507" i="1"/>
  <c r="AY492" i="1"/>
  <c r="AY762" i="1"/>
  <c r="AY566" i="1"/>
  <c r="AY385" i="1"/>
  <c r="AY858" i="1"/>
  <c r="AY546" i="1"/>
  <c r="AY967" i="1"/>
  <c r="AY532" i="1"/>
  <c r="AY500" i="1"/>
  <c r="AY663" i="1"/>
  <c r="AY212" i="1"/>
  <c r="AY1160" i="1"/>
  <c r="AY36" i="1"/>
  <c r="AY960" i="1"/>
  <c r="AY449" i="1"/>
  <c r="AY396" i="1"/>
  <c r="AY471" i="1"/>
  <c r="AY95" i="1"/>
  <c r="AY761" i="1"/>
  <c r="AY88" i="1"/>
  <c r="AY94" i="1"/>
  <c r="AY386" i="1"/>
  <c r="AY968" i="1"/>
  <c r="AY1101" i="1"/>
  <c r="AY306" i="1"/>
  <c r="AY664" i="1"/>
  <c r="AY593" i="1"/>
  <c r="AY1078" i="1"/>
  <c r="AY859" i="1"/>
  <c r="AY970" i="1"/>
  <c r="AY482" i="1"/>
  <c r="AY70" i="1"/>
  <c r="AY533" i="1"/>
  <c r="AY665" i="1"/>
  <c r="AY54" i="1"/>
  <c r="AY1008" i="1"/>
  <c r="AY931" i="1"/>
  <c r="AY96" i="1"/>
  <c r="AY494" i="1"/>
  <c r="AY262" i="1"/>
  <c r="AY1086" i="1"/>
  <c r="AY1217" i="1"/>
  <c r="AY742" i="1"/>
  <c r="AY483" i="1"/>
  <c r="AY934" i="1"/>
  <c r="AY1046" i="1"/>
  <c r="AY363" i="1"/>
  <c r="AY1047" i="1"/>
  <c r="AY730" i="1"/>
  <c r="AY91" i="1"/>
  <c r="AY197" i="1"/>
  <c r="AY317" i="1"/>
  <c r="AY1208" i="1"/>
  <c r="AY1003" i="1"/>
  <c r="AY611" i="1"/>
  <c r="AY412" i="1"/>
  <c r="AY248" i="1"/>
  <c r="AY213" i="1"/>
  <c r="AY173" i="1"/>
  <c r="AY971" i="1"/>
  <c r="AY994" i="1"/>
  <c r="AY413" i="1"/>
  <c r="AY1048" i="1"/>
  <c r="AY33" i="1"/>
  <c r="AY1064" i="1"/>
  <c r="AY453" i="1"/>
  <c r="AY771" i="1"/>
  <c r="AY401" i="1"/>
  <c r="AY534" i="1"/>
  <c r="AY484" i="1"/>
  <c r="AY352" i="1"/>
  <c r="AY861" i="1"/>
  <c r="AY7" i="1"/>
  <c r="AY206" i="1"/>
  <c r="AY744" i="1"/>
  <c r="AY1196" i="1"/>
  <c r="AY637" i="1"/>
  <c r="AY542" i="1"/>
  <c r="AY187" i="1"/>
  <c r="AY203" i="1"/>
  <c r="AY493" i="1"/>
  <c r="AY1055" i="1"/>
  <c r="AY1065" i="1"/>
  <c r="AY209" i="1"/>
  <c r="AY193" i="1"/>
  <c r="AY55" i="1"/>
  <c r="AY726" i="1"/>
  <c r="AY641" i="1"/>
  <c r="AY526" i="1"/>
  <c r="AY174" i="1"/>
  <c r="AY302" i="1"/>
  <c r="AY34" i="1"/>
  <c r="AY644" i="1"/>
  <c r="AY44" i="1"/>
  <c r="AY1220" i="1"/>
  <c r="AY194" i="1"/>
  <c r="AY917" i="1"/>
  <c r="AY872" i="1"/>
  <c r="AY188" i="1"/>
  <c r="AY28" i="1"/>
  <c r="AY1089" i="1"/>
  <c r="AY749" i="1"/>
  <c r="AY89" i="1"/>
  <c r="AY69" i="1"/>
  <c r="AY395" i="1"/>
  <c r="AY450" i="1"/>
  <c r="AY467" i="1"/>
  <c r="AY1066" i="1"/>
  <c r="AY39" i="1"/>
  <c r="AY601" i="1"/>
  <c r="AY402" i="1"/>
  <c r="AY777" i="1"/>
  <c r="AY710" i="1"/>
  <c r="AY1202" i="1"/>
  <c r="AY56" i="1"/>
  <c r="AY458" i="1"/>
  <c r="AY643" i="1"/>
  <c r="AY1058" i="1"/>
  <c r="AY959" i="1"/>
  <c r="AY1212" i="1"/>
  <c r="AY647" i="1"/>
  <c r="AY204" i="1"/>
  <c r="AY750" i="1"/>
  <c r="AY295" i="1"/>
  <c r="AY612" i="1"/>
  <c r="AY459" i="1"/>
  <c r="AY472" i="1"/>
  <c r="AY485" i="1"/>
  <c r="AY189" i="1"/>
  <c r="AY535" i="1"/>
  <c r="AY50" i="1"/>
  <c r="AY743" i="1"/>
  <c r="AY1209" i="1"/>
  <c r="AY291" i="1"/>
  <c r="AY539" i="1"/>
  <c r="AY666" i="1"/>
  <c r="AY516" i="1"/>
  <c r="AY205" i="1"/>
  <c r="AY999" i="1"/>
  <c r="AY486" i="1"/>
  <c r="AY839" i="1"/>
  <c r="AY456" i="1"/>
  <c r="AY1084" i="1"/>
  <c r="AY613" i="1"/>
  <c r="AY298" i="1"/>
  <c r="AY353" i="1"/>
  <c r="AY699" i="1"/>
  <c r="AY90" i="1"/>
  <c r="AY932" i="1"/>
  <c r="AY1056" i="1"/>
  <c r="AY975" i="1"/>
  <c r="AY8" i="1"/>
  <c r="AY1057" i="1"/>
  <c r="AY315" i="1"/>
  <c r="AY1098" i="1"/>
  <c r="AY57" i="1"/>
  <c r="AY286" i="1"/>
  <c r="AY403" i="1"/>
  <c r="AY731" i="1"/>
  <c r="AY729" i="1"/>
  <c r="AY605" i="1"/>
  <c r="AY21" i="1"/>
  <c r="AY468" i="1"/>
  <c r="AY303" i="1"/>
  <c r="AY860" i="1"/>
  <c r="AY9" i="1"/>
  <c r="AY210" i="1"/>
  <c r="AY496" i="1"/>
  <c r="AY320" i="1"/>
  <c r="AY634" i="1"/>
  <c r="AY293" i="1"/>
  <c r="AY307" i="1"/>
  <c r="AY2" i="1"/>
  <c r="AY686" i="1"/>
  <c r="AY505" i="1"/>
  <c r="AY540" i="1"/>
  <c r="AY25" i="1"/>
  <c r="AY30" i="1"/>
  <c r="AY308" i="1"/>
  <c r="AY955" i="1"/>
  <c r="AY642" i="1"/>
  <c r="AY873" i="1"/>
  <c r="AY38" i="1"/>
  <c r="AY1087" i="1"/>
  <c r="AY287" i="1"/>
  <c r="AY364" i="1"/>
  <c r="AY933" i="1"/>
  <c r="AY831" i="1"/>
  <c r="AY622" i="1"/>
  <c r="AY1079" i="1"/>
  <c r="AY292" i="1"/>
  <c r="AY945" i="1"/>
  <c r="AY1223" i="1"/>
  <c r="BW1201" i="1" l="1"/>
  <c r="BW1200" i="1"/>
  <c r="BW1199" i="1"/>
  <c r="BW1198" i="1"/>
  <c r="BW1197" i="1"/>
  <c r="BW1194" i="1"/>
  <c r="BW1193" i="1"/>
  <c r="BW1192" i="1"/>
  <c r="BW1191" i="1"/>
  <c r="BW1190" i="1"/>
  <c r="BW1189" i="1"/>
  <c r="BW1188" i="1"/>
  <c r="BW1187" i="1"/>
  <c r="BW1186" i="1"/>
  <c r="BW1185" i="1"/>
  <c r="BW1184" i="1"/>
  <c r="BW1183" i="1"/>
  <c r="BW1182" i="1"/>
  <c r="BW1181" i="1"/>
  <c r="BW1180" i="1"/>
  <c r="BW1179" i="1"/>
  <c r="BW1178" i="1"/>
  <c r="BW1177" i="1"/>
  <c r="BW1176" i="1"/>
  <c r="BW1175" i="1"/>
  <c r="BW1174" i="1"/>
  <c r="BW1173" i="1"/>
  <c r="BW1172" i="1"/>
  <c r="BW1171" i="1"/>
  <c r="BW1170" i="1"/>
  <c r="BW1169" i="1"/>
  <c r="BW1168" i="1"/>
  <c r="BW1167" i="1"/>
  <c r="BW1166" i="1"/>
  <c r="BW1165" i="1"/>
  <c r="BW1164" i="1"/>
  <c r="BW1163" i="1"/>
  <c r="BW1162" i="1"/>
  <c r="BW1161" i="1"/>
  <c r="BW1159" i="1"/>
  <c r="BW1158" i="1"/>
  <c r="BW1157" i="1"/>
  <c r="BW1155" i="1"/>
  <c r="BW1154" i="1"/>
  <c r="BW1153" i="1"/>
  <c r="BW1152" i="1"/>
  <c r="BW1151" i="1"/>
  <c r="BW1150" i="1"/>
  <c r="BW1149" i="1"/>
  <c r="BW1148" i="1"/>
  <c r="BW1147" i="1"/>
  <c r="BW1146" i="1"/>
  <c r="BW1145" i="1"/>
  <c r="BW1144" i="1"/>
  <c r="BW1143" i="1"/>
  <c r="BW1142" i="1"/>
  <c r="BW1141" i="1"/>
  <c r="BW1140" i="1"/>
  <c r="BW1139" i="1"/>
  <c r="BW1138" i="1"/>
  <c r="BW1137" i="1"/>
  <c r="BW1136" i="1"/>
  <c r="BW1135" i="1"/>
  <c r="BW1134" i="1"/>
  <c r="BW1133" i="1"/>
  <c r="BW1132" i="1"/>
  <c r="BW1131" i="1"/>
  <c r="BW1130" i="1"/>
  <c r="BW1129" i="1"/>
  <c r="BW1128" i="1"/>
  <c r="BW1127" i="1"/>
  <c r="BW1123" i="1"/>
  <c r="BW1122" i="1"/>
  <c r="BW1121" i="1"/>
  <c r="BW1120" i="1"/>
  <c r="BW1119" i="1"/>
  <c r="BW1118" i="1"/>
  <c r="BW1117" i="1"/>
  <c r="BW1116" i="1"/>
  <c r="BW1115" i="1"/>
  <c r="BW1114" i="1"/>
  <c r="BW1113" i="1"/>
  <c r="BW1112" i="1"/>
  <c r="BW1111" i="1"/>
  <c r="BW1110" i="1"/>
  <c r="BW1109" i="1"/>
  <c r="BW1108" i="1"/>
  <c r="BW1106" i="1"/>
  <c r="BW1105" i="1"/>
  <c r="BW1104" i="1"/>
  <c r="BW1103" i="1"/>
  <c r="BW1102" i="1"/>
  <c r="BW1100" i="1"/>
  <c r="BW1099" i="1"/>
  <c r="BW1096" i="1"/>
  <c r="BW1095" i="1"/>
  <c r="BW1094" i="1"/>
  <c r="BW1093" i="1"/>
  <c r="BW1092" i="1"/>
  <c r="BW1091" i="1"/>
  <c r="BW1081" i="1"/>
  <c r="BW1080" i="1"/>
  <c r="BW1076" i="1"/>
  <c r="BW1075" i="1"/>
  <c r="BW1074" i="1"/>
  <c r="BW1073" i="1"/>
  <c r="BW1072" i="1"/>
  <c r="BW1071" i="1"/>
  <c r="BW1069" i="1"/>
  <c r="BW1068" i="1"/>
  <c r="BW1044" i="1"/>
  <c r="BW1043" i="1"/>
  <c r="BW1042" i="1"/>
  <c r="BW1041" i="1"/>
  <c r="BW1040" i="1"/>
  <c r="BW1039" i="1"/>
  <c r="BW1038" i="1"/>
  <c r="BW1037" i="1"/>
  <c r="BW1036" i="1"/>
  <c r="BW1035" i="1"/>
  <c r="BW1034" i="1"/>
  <c r="BW1033" i="1"/>
  <c r="BW1032" i="1"/>
  <c r="BW1031" i="1"/>
  <c r="BW1030" i="1"/>
  <c r="BW1029" i="1"/>
  <c r="BW1028" i="1"/>
  <c r="BW1027" i="1"/>
  <c r="BW1026" i="1"/>
  <c r="BW1025" i="1"/>
  <c r="BW1024" i="1"/>
  <c r="BW1023" i="1"/>
  <c r="BW1022" i="1"/>
  <c r="BW1021" i="1"/>
  <c r="BW1020" i="1"/>
  <c r="BW1019" i="1"/>
  <c r="BW1018" i="1"/>
  <c r="BW1017" i="1"/>
  <c r="BW1015" i="1"/>
  <c r="BW1014" i="1"/>
  <c r="BW1013" i="1"/>
  <c r="BW1011" i="1"/>
  <c r="BW1010" i="1"/>
  <c r="BW1009" i="1"/>
  <c r="BW1007" i="1"/>
  <c r="BW1006" i="1"/>
  <c r="BW1005" i="1"/>
  <c r="BW1002" i="1"/>
  <c r="BW1001" i="1"/>
  <c r="BW993" i="1"/>
  <c r="BW991" i="1"/>
  <c r="BW990" i="1"/>
  <c r="BW988" i="1"/>
  <c r="BW987" i="1"/>
  <c r="BW986" i="1"/>
  <c r="BW985" i="1"/>
  <c r="BW984" i="1"/>
  <c r="BW983" i="1"/>
  <c r="BW982" i="1"/>
  <c r="BW980" i="1"/>
  <c r="BW979" i="1"/>
  <c r="BW978" i="1"/>
  <c r="BW977" i="1"/>
  <c r="BW976" i="1"/>
  <c r="BW974" i="1"/>
  <c r="BW973" i="1"/>
  <c r="BW962" i="1"/>
  <c r="BW957" i="1"/>
  <c r="BW956" i="1"/>
  <c r="BW951" i="1"/>
  <c r="BW950" i="1"/>
  <c r="BW949" i="1"/>
  <c r="BW948" i="1"/>
  <c r="BW947" i="1"/>
  <c r="BW946" i="1"/>
  <c r="BW944" i="1"/>
  <c r="BW942" i="1"/>
  <c r="BW941" i="1"/>
  <c r="BW940" i="1"/>
  <c r="BW939" i="1"/>
  <c r="BW938" i="1"/>
  <c r="BW937" i="1"/>
  <c r="BW936" i="1"/>
  <c r="BW935" i="1"/>
  <c r="BW926" i="1"/>
  <c r="BW925" i="1"/>
  <c r="BW924" i="1"/>
  <c r="BW923" i="1"/>
  <c r="BW922" i="1"/>
  <c r="BW921" i="1"/>
  <c r="BW920" i="1"/>
  <c r="BW919" i="1"/>
  <c r="BW918" i="1"/>
  <c r="BW915" i="1"/>
  <c r="BW914" i="1"/>
  <c r="BW912" i="1"/>
  <c r="BW911" i="1"/>
  <c r="BW905" i="1"/>
  <c r="BW904" i="1"/>
  <c r="BW903" i="1"/>
  <c r="BW902" i="1"/>
  <c r="BW901" i="1"/>
  <c r="BW900" i="1"/>
  <c r="BW899" i="1"/>
  <c r="BW898" i="1"/>
  <c r="BW897" i="1"/>
  <c r="BW896" i="1"/>
  <c r="BW895" i="1"/>
  <c r="BW894" i="1"/>
  <c r="BW891" i="1"/>
  <c r="BW890" i="1"/>
  <c r="BW889" i="1"/>
  <c r="BW888" i="1"/>
  <c r="BW887" i="1"/>
  <c r="BW886" i="1"/>
  <c r="BW885" i="1"/>
  <c r="BW884" i="1"/>
  <c r="BW883" i="1"/>
  <c r="BW882" i="1"/>
  <c r="BW881" i="1"/>
  <c r="BW880" i="1"/>
  <c r="BW879" i="1"/>
  <c r="BW878" i="1"/>
  <c r="BW877" i="1"/>
  <c r="BW876" i="1"/>
  <c r="BW875" i="1"/>
  <c r="BW874" i="1"/>
  <c r="BW869" i="1"/>
  <c r="BW868" i="1"/>
  <c r="BW866" i="1"/>
  <c r="BW865" i="1"/>
  <c r="BW864" i="1"/>
  <c r="BW863" i="1"/>
  <c r="BW856" i="1"/>
  <c r="BW855" i="1"/>
  <c r="BW854" i="1"/>
  <c r="BW853" i="1"/>
  <c r="BW852" i="1"/>
  <c r="BW851" i="1"/>
  <c r="BW850" i="1"/>
  <c r="BW849" i="1"/>
  <c r="BW848" i="1"/>
  <c r="BW847" i="1"/>
  <c r="BW846" i="1"/>
  <c r="BW845" i="1"/>
  <c r="BW844" i="1"/>
  <c r="BW843" i="1"/>
  <c r="BW838" i="1"/>
  <c r="BW836" i="1"/>
  <c r="BW835" i="1"/>
  <c r="BW834" i="1"/>
  <c r="BW832" i="1"/>
  <c r="BW829" i="1"/>
  <c r="BW828" i="1"/>
  <c r="BW827" i="1"/>
  <c r="BW826" i="1"/>
  <c r="BW825" i="1"/>
  <c r="BW824" i="1"/>
  <c r="BW823" i="1"/>
  <c r="BW820" i="1"/>
  <c r="BW819" i="1"/>
  <c r="BW818" i="1"/>
  <c r="BW817" i="1"/>
  <c r="BW816" i="1"/>
  <c r="BW815" i="1"/>
  <c r="BW813" i="1"/>
  <c r="BW812" i="1"/>
  <c r="BW811" i="1"/>
  <c r="BW810" i="1"/>
  <c r="BW809" i="1"/>
  <c r="BW808" i="1"/>
  <c r="BW807" i="1"/>
  <c r="BW806" i="1"/>
  <c r="BW805" i="1"/>
  <c r="BW804" i="1"/>
  <c r="BW803" i="1"/>
  <c r="BW802" i="1"/>
  <c r="BW801" i="1"/>
  <c r="BW800" i="1"/>
  <c r="BW799" i="1"/>
  <c r="BW798" i="1"/>
  <c r="BW797" i="1"/>
  <c r="BW796" i="1"/>
  <c r="BW795" i="1"/>
  <c r="BW794" i="1"/>
  <c r="BW793" i="1"/>
  <c r="BW792" i="1"/>
  <c r="BW791" i="1"/>
  <c r="BW790" i="1"/>
  <c r="BW789" i="1"/>
  <c r="BW788" i="1"/>
  <c r="BW787" i="1"/>
  <c r="BW786" i="1"/>
  <c r="BW785" i="1"/>
  <c r="BW784" i="1"/>
  <c r="BW783" i="1"/>
  <c r="BW782" i="1"/>
  <c r="BW781" i="1"/>
  <c r="BW780" i="1"/>
  <c r="BW779" i="1"/>
  <c r="BW778" i="1"/>
  <c r="BW776" i="1"/>
  <c r="BW775" i="1"/>
  <c r="BW774" i="1"/>
  <c r="BW773" i="1"/>
  <c r="BW772" i="1"/>
  <c r="BW770" i="1"/>
  <c r="BW769" i="1"/>
  <c r="BW768" i="1"/>
  <c r="BW767" i="1"/>
  <c r="BW766" i="1"/>
  <c r="BW765" i="1"/>
  <c r="BW764" i="1"/>
  <c r="BW763" i="1"/>
  <c r="BW760" i="1"/>
  <c r="BW759" i="1"/>
  <c r="BW758" i="1"/>
  <c r="BW756" i="1"/>
  <c r="BW755" i="1"/>
  <c r="BW754" i="1"/>
  <c r="BW753" i="1"/>
  <c r="BW752" i="1"/>
  <c r="BW751" i="1"/>
  <c r="BW746" i="1"/>
  <c r="BW745" i="1"/>
  <c r="BW739" i="1"/>
  <c r="BW738" i="1"/>
  <c r="BW737" i="1"/>
  <c r="BW736" i="1"/>
  <c r="BW735" i="1"/>
  <c r="BW734" i="1"/>
  <c r="BW733" i="1"/>
  <c r="BW732" i="1"/>
  <c r="BW725" i="1"/>
  <c r="BW724" i="1"/>
  <c r="BW723" i="1"/>
  <c r="BW722" i="1"/>
  <c r="BW721" i="1"/>
  <c r="BW720" i="1"/>
  <c r="BW719" i="1"/>
  <c r="BW718" i="1"/>
  <c r="BW717" i="1"/>
  <c r="BW716" i="1"/>
  <c r="BW715" i="1"/>
  <c r="BW714" i="1"/>
  <c r="BW713" i="1"/>
  <c r="BW712" i="1"/>
  <c r="BW711" i="1"/>
  <c r="BW709" i="1"/>
  <c r="BW708" i="1"/>
  <c r="BW707" i="1"/>
  <c r="BW706" i="1"/>
  <c r="BW705" i="1"/>
  <c r="BW702" i="1"/>
  <c r="BW701" i="1"/>
  <c r="BW700" i="1"/>
  <c r="BW698" i="1"/>
  <c r="BW697" i="1"/>
  <c r="BW696" i="1"/>
  <c r="BW695" i="1"/>
  <c r="BW694" i="1"/>
  <c r="BW693" i="1"/>
  <c r="BW692" i="1"/>
  <c r="BW691" i="1"/>
  <c r="BW690" i="1"/>
  <c r="BW689" i="1"/>
  <c r="BW688" i="1"/>
  <c r="BW685" i="1"/>
  <c r="BW684" i="1"/>
  <c r="BW683" i="1"/>
  <c r="BW682" i="1"/>
  <c r="BW681" i="1"/>
  <c r="BW680" i="1"/>
  <c r="BW679" i="1"/>
  <c r="BW678" i="1"/>
  <c r="BW677" i="1"/>
  <c r="BW676" i="1"/>
  <c r="BW675" i="1"/>
  <c r="BW674" i="1"/>
  <c r="BW673" i="1"/>
  <c r="BW672" i="1"/>
  <c r="BW671" i="1"/>
  <c r="BW670" i="1"/>
  <c r="BW669" i="1"/>
  <c r="BW668" i="1"/>
  <c r="BW667" i="1"/>
  <c r="BW662" i="1"/>
  <c r="BW661" i="1"/>
  <c r="BW660" i="1"/>
  <c r="BW659" i="1"/>
  <c r="BW658" i="1"/>
  <c r="BW657" i="1"/>
  <c r="BW656" i="1"/>
  <c r="BW655" i="1"/>
  <c r="BW653" i="1"/>
  <c r="BW652" i="1"/>
  <c r="BW651" i="1"/>
  <c r="BW650" i="1"/>
  <c r="BW649" i="1"/>
  <c r="BW633" i="1"/>
  <c r="BW632" i="1"/>
  <c r="BW631" i="1"/>
  <c r="BW630" i="1"/>
  <c r="BW629" i="1"/>
  <c r="BW628" i="1"/>
  <c r="BW627" i="1"/>
  <c r="BW626" i="1"/>
  <c r="BW625" i="1"/>
  <c r="BW624" i="1"/>
  <c r="BW621" i="1"/>
  <c r="BW620" i="1"/>
  <c r="BW619" i="1"/>
  <c r="BW617" i="1"/>
  <c r="BW615" i="1"/>
  <c r="BW608" i="1"/>
  <c r="BW607" i="1"/>
  <c r="BW606" i="1"/>
  <c r="BW603" i="1"/>
  <c r="BW602" i="1"/>
  <c r="BW600" i="1"/>
  <c r="BW599" i="1"/>
  <c r="BW598" i="1"/>
  <c r="BW597" i="1"/>
  <c r="BW596" i="1"/>
  <c r="BW595" i="1"/>
  <c r="BW594" i="1"/>
  <c r="BW592" i="1"/>
  <c r="BW591" i="1"/>
  <c r="BW590" i="1"/>
  <c r="BW589" i="1"/>
  <c r="BW588" i="1"/>
  <c r="BW587" i="1"/>
  <c r="BW584" i="1"/>
  <c r="BW583" i="1"/>
  <c r="BW586" i="1"/>
  <c r="BW582" i="1"/>
  <c r="BW581" i="1"/>
  <c r="BW580" i="1"/>
  <c r="BW579" i="1"/>
  <c r="BW578" i="1"/>
  <c r="BW577" i="1"/>
  <c r="BW576" i="1"/>
  <c r="BW575" i="1"/>
  <c r="BW574" i="1"/>
  <c r="BW573" i="1"/>
  <c r="BW572" i="1"/>
  <c r="BW571" i="1"/>
  <c r="BW570" i="1"/>
  <c r="BW565" i="1"/>
  <c r="BW564" i="1"/>
  <c r="BW563" i="1"/>
  <c r="BW562" i="1"/>
  <c r="BW561" i="1"/>
  <c r="BW560" i="1"/>
  <c r="BW559" i="1"/>
  <c r="BW558" i="1"/>
  <c r="BW557" i="1"/>
  <c r="BW556" i="1"/>
  <c r="BW553" i="1"/>
  <c r="BW552" i="1"/>
  <c r="BW551" i="1"/>
  <c r="BW550" i="1"/>
  <c r="BW548" i="1"/>
  <c r="BW547" i="1"/>
  <c r="BW528" i="1"/>
  <c r="BW527" i="1"/>
  <c r="BW525" i="1"/>
  <c r="BW524" i="1"/>
  <c r="BW523" i="1"/>
  <c r="BW522" i="1"/>
  <c r="BW521" i="1"/>
  <c r="BW520" i="1"/>
  <c r="BW514" i="1"/>
  <c r="BW513" i="1"/>
  <c r="BW512" i="1"/>
  <c r="BW511" i="1"/>
  <c r="BW510" i="1"/>
  <c r="BW509" i="1"/>
  <c r="BW508" i="1"/>
  <c r="BW506" i="1"/>
  <c r="BW491" i="1"/>
  <c r="BW490" i="1"/>
  <c r="BW489" i="1"/>
  <c r="BW480" i="1"/>
  <c r="BW479" i="1"/>
  <c r="BW478" i="1"/>
  <c r="BW477" i="1"/>
  <c r="BW476" i="1"/>
  <c r="BW475" i="1"/>
  <c r="BW474" i="1"/>
  <c r="BW464" i="1"/>
  <c r="BW463" i="1"/>
  <c r="BW462" i="1"/>
  <c r="BW461" i="1"/>
  <c r="BW447" i="1"/>
  <c r="BW446" i="1"/>
  <c r="BW445" i="1"/>
  <c r="BW444" i="1"/>
  <c r="BW443" i="1"/>
  <c r="BW442" i="1"/>
  <c r="BW441" i="1"/>
  <c r="BW440" i="1"/>
  <c r="BW439" i="1"/>
  <c r="BW438" i="1"/>
  <c r="BW437" i="1"/>
  <c r="BW436" i="1"/>
  <c r="BW435" i="1"/>
  <c r="BW434" i="1"/>
  <c r="BW430" i="1"/>
  <c r="BW429" i="1"/>
  <c r="BW428" i="1"/>
  <c r="BW427" i="1"/>
  <c r="BW426" i="1"/>
  <c r="BW425" i="1"/>
  <c r="BW424" i="1"/>
  <c r="BW423" i="1"/>
  <c r="BW422" i="1"/>
  <c r="BW421" i="1"/>
  <c r="BW420" i="1"/>
  <c r="BW416" i="1"/>
  <c r="BW415" i="1"/>
  <c r="BW414" i="1"/>
  <c r="BW410" i="1"/>
  <c r="BW409" i="1"/>
  <c r="BW408" i="1"/>
  <c r="BW407" i="1"/>
  <c r="BW406" i="1"/>
  <c r="BW405" i="1"/>
  <c r="BW404" i="1"/>
  <c r="BW394" i="1"/>
  <c r="BW393" i="1"/>
  <c r="BW392" i="1"/>
  <c r="BW391" i="1"/>
  <c r="BW390" i="1"/>
  <c r="BW389" i="1"/>
  <c r="BW388" i="1"/>
  <c r="BW387" i="1"/>
  <c r="BW381" i="1"/>
  <c r="BW380" i="1"/>
  <c r="BW379" i="1"/>
  <c r="BW378" i="1"/>
  <c r="BW377" i="1"/>
  <c r="BW376" i="1"/>
  <c r="BW375" i="1"/>
  <c r="BW374" i="1"/>
  <c r="BW371" i="1"/>
  <c r="BW373" i="1"/>
  <c r="BW372" i="1"/>
  <c r="BW370" i="1"/>
  <c r="BW369" i="1"/>
  <c r="BW368" i="1"/>
  <c r="BW367" i="1"/>
  <c r="BW366" i="1"/>
  <c r="BW358" i="1"/>
  <c r="BW355" i="1"/>
  <c r="BW354" i="1"/>
  <c r="BW348" i="1"/>
  <c r="BW347" i="1"/>
  <c r="BW346" i="1"/>
  <c r="BW345" i="1"/>
  <c r="BW344" i="1"/>
  <c r="BW343" i="1"/>
  <c r="BW342" i="1"/>
  <c r="BW341" i="1"/>
  <c r="BW340" i="1"/>
  <c r="BW339" i="1"/>
  <c r="BW338" i="1"/>
  <c r="BW336" i="1"/>
  <c r="BW335" i="1"/>
  <c r="BW334" i="1"/>
  <c r="BW332" i="1"/>
  <c r="BW333" i="1"/>
  <c r="BW331" i="1"/>
  <c r="BW330" i="1"/>
  <c r="BW329" i="1"/>
  <c r="BW328" i="1"/>
  <c r="BW327" i="1"/>
  <c r="BW326" i="1"/>
  <c r="BW321" i="1"/>
  <c r="BW319" i="1"/>
  <c r="BW318" i="1"/>
  <c r="BW313" i="1"/>
  <c r="BW311" i="1"/>
  <c r="BW310" i="1"/>
  <c r="BW309" i="1"/>
  <c r="BW296" i="1"/>
  <c r="BW282" i="1"/>
  <c r="BW281" i="1"/>
  <c r="BW280" i="1"/>
  <c r="BW279" i="1"/>
  <c r="BW278" i="1"/>
  <c r="BW277" i="1"/>
  <c r="BW275" i="1"/>
  <c r="BW274" i="1"/>
  <c r="BW273" i="1"/>
  <c r="BW272" i="1"/>
  <c r="BW271" i="1"/>
  <c r="BW270" i="1"/>
  <c r="BW269" i="1"/>
  <c r="BW268" i="1"/>
  <c r="BW267" i="1"/>
  <c r="BW266" i="1"/>
  <c r="BW265" i="1"/>
  <c r="BW264" i="1"/>
  <c r="BW263" i="1"/>
  <c r="BW261" i="1"/>
  <c r="BW260" i="1"/>
  <c r="BW259" i="1"/>
  <c r="BW258" i="1"/>
  <c r="BW257" i="1"/>
  <c r="BW256" i="1"/>
  <c r="BW255" i="1"/>
  <c r="BW254" i="1"/>
  <c r="BW253" i="1"/>
  <c r="BW252" i="1"/>
  <c r="BW250" i="1"/>
  <c r="BW249" i="1"/>
  <c r="BW245" i="1"/>
  <c r="BW244" i="1"/>
  <c r="BW242" i="1"/>
  <c r="BW241" i="1"/>
  <c r="BW239" i="1"/>
  <c r="BW238" i="1"/>
  <c r="BW237" i="1"/>
  <c r="BW236" i="1"/>
  <c r="BW235" i="1"/>
  <c r="BW234" i="1"/>
  <c r="BW233" i="1"/>
  <c r="BW232" i="1"/>
  <c r="BW231" i="1"/>
  <c r="BW230" i="1"/>
  <c r="BW229" i="1"/>
  <c r="BW228" i="1"/>
  <c r="BW226" i="1"/>
  <c r="BW225" i="1"/>
  <c r="BW224" i="1"/>
  <c r="BW223" i="1"/>
  <c r="BW221" i="1"/>
  <c r="BW220" i="1"/>
  <c r="BW219" i="1"/>
  <c r="BW218" i="1"/>
  <c r="BW217" i="1"/>
  <c r="BW216" i="1"/>
  <c r="BW215" i="1"/>
  <c r="BW207" i="1"/>
  <c r="BW196" i="1"/>
  <c r="BW195" i="1"/>
  <c r="BW190" i="1"/>
  <c r="BW183" i="1"/>
  <c r="BW182" i="1"/>
  <c r="BW181" i="1"/>
  <c r="BW180" i="1"/>
  <c r="BW179" i="1"/>
  <c r="BW178" i="1"/>
  <c r="BW177" i="1"/>
  <c r="BW176" i="1"/>
  <c r="BW175" i="1"/>
  <c r="BW172" i="1"/>
  <c r="BW171" i="1"/>
  <c r="BW170" i="1"/>
  <c r="BW169" i="1"/>
  <c r="BW168" i="1"/>
  <c r="BW167" i="1"/>
  <c r="BW166" i="1"/>
  <c r="BW165" i="1"/>
  <c r="BW164" i="1"/>
  <c r="BW163" i="1"/>
  <c r="BW162" i="1"/>
  <c r="BW161" i="1"/>
  <c r="BW160" i="1"/>
  <c r="BW159" i="1"/>
  <c r="BW158" i="1"/>
  <c r="BW157" i="1"/>
  <c r="BW151" i="1"/>
  <c r="BW156" i="1"/>
  <c r="BW155" i="1"/>
  <c r="BW154" i="1"/>
  <c r="BW153" i="1"/>
  <c r="BW152" i="1"/>
  <c r="BW150" i="1"/>
  <c r="BW149" i="1"/>
  <c r="BW148" i="1"/>
  <c r="BW147" i="1"/>
  <c r="BW146" i="1"/>
  <c r="BW145" i="1"/>
  <c r="BW144" i="1"/>
  <c r="BW143" i="1"/>
  <c r="BW142" i="1"/>
  <c r="BW141" i="1"/>
  <c r="BW140" i="1"/>
  <c r="BW139" i="1"/>
  <c r="BW138" i="1"/>
  <c r="BW137" i="1"/>
  <c r="BW136" i="1"/>
  <c r="BW135" i="1"/>
  <c r="BW134" i="1"/>
  <c r="BW133" i="1"/>
  <c r="BW132" i="1"/>
  <c r="BW131" i="1"/>
  <c r="BW129" i="1"/>
  <c r="BW128" i="1"/>
  <c r="BW127" i="1"/>
  <c r="BW126" i="1"/>
  <c r="BW125" i="1"/>
  <c r="BW124" i="1"/>
  <c r="BW123" i="1"/>
  <c r="BW122" i="1"/>
  <c r="BW121" i="1"/>
  <c r="BW120" i="1"/>
  <c r="BW119" i="1"/>
  <c r="BW118" i="1"/>
  <c r="BW117" i="1"/>
  <c r="BW116" i="1"/>
  <c r="BW115" i="1"/>
  <c r="BW114" i="1"/>
  <c r="BW113" i="1"/>
  <c r="BW112" i="1"/>
  <c r="BW111" i="1"/>
  <c r="BW110" i="1"/>
  <c r="BW109" i="1"/>
  <c r="BW107" i="1"/>
  <c r="BW106" i="1"/>
  <c r="BW105" i="1"/>
  <c r="BW103" i="1"/>
  <c r="BW102" i="1"/>
  <c r="BW101" i="1"/>
  <c r="BW100" i="1"/>
  <c r="BW99" i="1"/>
  <c r="BW98" i="1"/>
  <c r="BW97" i="1"/>
  <c r="BW85" i="1"/>
  <c r="BW84" i="1"/>
  <c r="BW80" i="1"/>
  <c r="BW79" i="1"/>
  <c r="BW78" i="1"/>
  <c r="BW77" i="1"/>
  <c r="BW76" i="1"/>
  <c r="BW75" i="1"/>
  <c r="BW72" i="1"/>
  <c r="BW71" i="1"/>
  <c r="BW66" i="1"/>
  <c r="BW49" i="1"/>
  <c r="BW48" i="1"/>
  <c r="BW47" i="1"/>
  <c r="BW46" i="1"/>
  <c r="BW23" i="1"/>
  <c r="BW22" i="1"/>
  <c r="BW20" i="1"/>
  <c r="BW19" i="1"/>
  <c r="BW18" i="1"/>
  <c r="BW17" i="1"/>
  <c r="BW16" i="1"/>
  <c r="BW15" i="1"/>
  <c r="BW14" i="1"/>
  <c r="BW13" i="1"/>
  <c r="BW12" i="1"/>
  <c r="BW11" i="1"/>
  <c r="CV11" i="1" a="1"/>
  <c r="CV11" i="1" s="1"/>
  <c r="CV12" i="1" a="1"/>
  <c r="CV12" i="1" s="1"/>
  <c r="CV13" i="1" a="1"/>
  <c r="CV13" i="1" s="1"/>
  <c r="CV14" i="1" a="1"/>
  <c r="CV14" i="1" s="1"/>
  <c r="CV15" i="1" a="1"/>
  <c r="CV15" i="1" s="1"/>
  <c r="CV16" i="1" a="1"/>
  <c r="CV16" i="1" s="1"/>
  <c r="CV17" i="1" a="1"/>
  <c r="CV17" i="1" s="1"/>
  <c r="CV18" i="1" a="1"/>
  <c r="CV18" i="1" s="1"/>
  <c r="CJ46" i="1" l="1"/>
  <c r="CJ47" i="1"/>
  <c r="CJ48" i="1"/>
  <c r="CJ49" i="1"/>
  <c r="CJ66" i="1"/>
  <c r="CJ71" i="1"/>
  <c r="CJ72" i="1"/>
  <c r="CJ75" i="1"/>
  <c r="CJ76" i="1"/>
  <c r="CJ77" i="1"/>
  <c r="CJ78" i="1"/>
  <c r="CJ79" i="1"/>
  <c r="CJ80" i="1"/>
  <c r="CJ84" i="1"/>
  <c r="CJ85" i="1"/>
  <c r="CJ97" i="1"/>
  <c r="CJ98" i="1"/>
  <c r="CJ99" i="1"/>
  <c r="CJ100" i="1"/>
  <c r="CJ101" i="1"/>
  <c r="CJ102" i="1"/>
  <c r="CJ103" i="1"/>
  <c r="CJ105" i="1"/>
  <c r="CJ106" i="1"/>
  <c r="CJ107" i="1"/>
  <c r="CJ109" i="1"/>
  <c r="CJ110" i="1"/>
  <c r="CJ111" i="1"/>
  <c r="CJ112" i="1"/>
  <c r="CJ113" i="1"/>
  <c r="CJ114" i="1"/>
  <c r="CJ115" i="1"/>
  <c r="CJ116" i="1"/>
  <c r="CJ117" i="1"/>
  <c r="CJ118" i="1"/>
  <c r="CJ119" i="1"/>
  <c r="CJ120" i="1"/>
  <c r="CJ121" i="1"/>
  <c r="CJ122" i="1"/>
  <c r="CJ123" i="1"/>
  <c r="CJ124" i="1"/>
  <c r="CJ125" i="1"/>
  <c r="CJ126" i="1"/>
  <c r="CJ127" i="1"/>
  <c r="CJ128" i="1"/>
  <c r="CJ129" i="1"/>
  <c r="CJ131" i="1"/>
  <c r="CJ132" i="1"/>
  <c r="CJ133" i="1"/>
  <c r="CJ134" i="1"/>
  <c r="CJ135" i="1"/>
  <c r="CJ136" i="1"/>
  <c r="CJ137" i="1"/>
  <c r="CJ138" i="1"/>
  <c r="CJ139" i="1"/>
  <c r="CJ140" i="1"/>
  <c r="CJ141" i="1"/>
  <c r="CJ142" i="1"/>
  <c r="CJ143" i="1"/>
  <c r="CJ144" i="1"/>
  <c r="CJ145" i="1"/>
  <c r="CJ146" i="1"/>
  <c r="CJ147" i="1"/>
  <c r="CJ148" i="1"/>
  <c r="CJ149" i="1"/>
  <c r="CJ150" i="1"/>
  <c r="CJ152" i="1"/>
  <c r="CJ153" i="1"/>
  <c r="CJ154" i="1"/>
  <c r="CJ155" i="1"/>
  <c r="CJ156" i="1"/>
  <c r="CJ151" i="1"/>
  <c r="CJ157" i="1"/>
  <c r="CJ158" i="1"/>
  <c r="CJ159" i="1"/>
  <c r="CJ160" i="1"/>
  <c r="CJ161" i="1"/>
  <c r="CJ162" i="1"/>
  <c r="CJ163" i="1"/>
  <c r="CJ164" i="1"/>
  <c r="CJ165" i="1"/>
  <c r="CJ166" i="1"/>
  <c r="CJ167" i="1"/>
  <c r="CJ168" i="1"/>
  <c r="CJ169" i="1"/>
  <c r="CJ170" i="1"/>
  <c r="CJ171" i="1"/>
  <c r="CJ172" i="1"/>
  <c r="CJ175" i="1"/>
  <c r="CJ176" i="1"/>
  <c r="CJ177" i="1"/>
  <c r="CJ178" i="1"/>
  <c r="CJ179" i="1"/>
  <c r="CJ180" i="1"/>
  <c r="CJ181" i="1"/>
  <c r="CJ182" i="1"/>
  <c r="CJ183" i="1"/>
  <c r="CJ190" i="1"/>
  <c r="CJ195" i="1"/>
  <c r="CJ196" i="1"/>
  <c r="CJ207" i="1"/>
  <c r="CJ215" i="1"/>
  <c r="CJ216" i="1"/>
  <c r="CJ217" i="1"/>
  <c r="CJ218" i="1"/>
  <c r="CJ219" i="1"/>
  <c r="CJ220" i="1"/>
  <c r="CJ221" i="1"/>
  <c r="CJ223" i="1"/>
  <c r="CJ224" i="1"/>
  <c r="CJ225" i="1"/>
  <c r="CJ226" i="1"/>
  <c r="CJ228" i="1"/>
  <c r="CJ229" i="1"/>
  <c r="CJ230" i="1"/>
  <c r="CJ231" i="1"/>
  <c r="CJ232" i="1"/>
  <c r="CJ233" i="1"/>
  <c r="CJ234" i="1"/>
  <c r="CJ235" i="1"/>
  <c r="CJ236" i="1"/>
  <c r="CJ237" i="1"/>
  <c r="CJ238" i="1"/>
  <c r="CJ239" i="1"/>
  <c r="CJ241" i="1"/>
  <c r="CJ242" i="1"/>
  <c r="CJ244" i="1"/>
  <c r="CJ245" i="1"/>
  <c r="CJ249" i="1"/>
  <c r="CJ250" i="1"/>
  <c r="CJ252" i="1"/>
  <c r="CJ253" i="1"/>
  <c r="CJ254" i="1"/>
  <c r="CJ255" i="1"/>
  <c r="CJ256" i="1"/>
  <c r="CJ257" i="1"/>
  <c r="CJ258" i="1"/>
  <c r="CJ259" i="1"/>
  <c r="CJ260" i="1"/>
  <c r="CJ261" i="1"/>
  <c r="CJ263" i="1"/>
  <c r="CJ264" i="1"/>
  <c r="CJ265" i="1"/>
  <c r="CJ266" i="1"/>
  <c r="CJ267" i="1"/>
  <c r="CJ268" i="1"/>
  <c r="CJ269" i="1"/>
  <c r="CJ270" i="1"/>
  <c r="CJ271" i="1"/>
  <c r="CJ272" i="1"/>
  <c r="CJ273" i="1"/>
  <c r="CJ274" i="1"/>
  <c r="CJ275" i="1"/>
  <c r="CJ277" i="1"/>
  <c r="CJ278" i="1"/>
  <c r="CJ279" i="1"/>
  <c r="CJ280" i="1"/>
  <c r="CJ281" i="1"/>
  <c r="CJ282" i="1"/>
  <c r="CJ296" i="1"/>
  <c r="CJ309" i="1"/>
  <c r="CJ310" i="1"/>
  <c r="CJ311" i="1"/>
  <c r="CJ313" i="1"/>
  <c r="CJ318" i="1"/>
  <c r="CJ319" i="1"/>
  <c r="CJ321" i="1"/>
  <c r="CJ326" i="1"/>
  <c r="CJ327" i="1"/>
  <c r="CJ328" i="1"/>
  <c r="CJ329" i="1"/>
  <c r="CJ330" i="1"/>
  <c r="CJ331" i="1"/>
  <c r="CJ333" i="1"/>
  <c r="CJ332" i="1"/>
  <c r="CJ334" i="1"/>
  <c r="CJ335" i="1"/>
  <c r="CJ336" i="1"/>
  <c r="CJ338" i="1"/>
  <c r="CJ339" i="1"/>
  <c r="CJ340" i="1"/>
  <c r="CJ341" i="1"/>
  <c r="CJ342" i="1"/>
  <c r="CJ343" i="1"/>
  <c r="CJ344" i="1"/>
  <c r="CJ345" i="1"/>
  <c r="CJ346" i="1"/>
  <c r="CJ347" i="1"/>
  <c r="CJ348" i="1"/>
  <c r="CJ354" i="1"/>
  <c r="CJ355" i="1"/>
  <c r="CJ358" i="1"/>
  <c r="CJ366" i="1"/>
  <c r="CJ367" i="1"/>
  <c r="CJ368" i="1"/>
  <c r="CJ369" i="1"/>
  <c r="CJ370" i="1"/>
  <c r="CJ372" i="1"/>
  <c r="CJ373" i="1"/>
  <c r="CJ371" i="1"/>
  <c r="CJ374" i="1"/>
  <c r="CJ375" i="1"/>
  <c r="CJ376" i="1"/>
  <c r="CJ377" i="1"/>
  <c r="CJ378" i="1"/>
  <c r="CJ379" i="1"/>
  <c r="CJ380" i="1"/>
  <c r="CJ381" i="1"/>
  <c r="CJ387" i="1"/>
  <c r="CJ388" i="1"/>
  <c r="CJ389" i="1"/>
  <c r="CJ390" i="1"/>
  <c r="CJ391" i="1"/>
  <c r="CJ392" i="1"/>
  <c r="CJ393" i="1"/>
  <c r="CJ394" i="1"/>
  <c r="CJ404" i="1"/>
  <c r="CJ405" i="1"/>
  <c r="CJ406" i="1"/>
  <c r="CJ407" i="1"/>
  <c r="CJ408" i="1"/>
  <c r="CJ409" i="1"/>
  <c r="CJ410" i="1"/>
  <c r="CJ414" i="1"/>
  <c r="CJ415" i="1"/>
  <c r="CJ416" i="1"/>
  <c r="CJ420" i="1"/>
  <c r="CJ421" i="1"/>
  <c r="CJ422" i="1"/>
  <c r="CJ423" i="1"/>
  <c r="CJ424" i="1"/>
  <c r="CJ425" i="1"/>
  <c r="CJ426" i="1"/>
  <c r="CJ427" i="1"/>
  <c r="CJ428" i="1"/>
  <c r="CJ429" i="1"/>
  <c r="CJ430" i="1"/>
  <c r="CJ434" i="1"/>
  <c r="CJ435" i="1"/>
  <c r="CJ436" i="1"/>
  <c r="CJ437" i="1"/>
  <c r="CJ438" i="1"/>
  <c r="CJ439" i="1"/>
  <c r="CJ440" i="1"/>
  <c r="CJ441" i="1"/>
  <c r="CJ442" i="1"/>
  <c r="CJ443" i="1"/>
  <c r="CJ444" i="1"/>
  <c r="CJ445" i="1"/>
  <c r="CJ446" i="1"/>
  <c r="CJ447" i="1"/>
  <c r="CJ461" i="1"/>
  <c r="CJ462" i="1"/>
  <c r="CJ463" i="1"/>
  <c r="CJ464" i="1"/>
  <c r="CJ474" i="1"/>
  <c r="CJ475" i="1"/>
  <c r="CJ476" i="1"/>
  <c r="CJ477" i="1"/>
  <c r="CJ478" i="1"/>
  <c r="CJ479" i="1"/>
  <c r="CJ480" i="1"/>
  <c r="CJ489" i="1"/>
  <c r="CJ490" i="1"/>
  <c r="CJ491" i="1"/>
  <c r="CJ506" i="1"/>
  <c r="CJ508" i="1"/>
  <c r="CJ509" i="1"/>
  <c r="CJ510" i="1"/>
  <c r="CJ511" i="1"/>
  <c r="CJ512" i="1"/>
  <c r="CJ513" i="1"/>
  <c r="CJ514" i="1"/>
  <c r="CJ520" i="1"/>
  <c r="CJ521" i="1"/>
  <c r="CJ522" i="1"/>
  <c r="CJ523" i="1"/>
  <c r="CJ524" i="1"/>
  <c r="CJ525" i="1"/>
  <c r="CJ527" i="1"/>
  <c r="CJ528" i="1"/>
  <c r="CJ547" i="1"/>
  <c r="CJ548" i="1"/>
  <c r="CJ550" i="1"/>
  <c r="CJ551" i="1"/>
  <c r="CJ552" i="1"/>
  <c r="CJ553" i="1"/>
  <c r="CJ556" i="1"/>
  <c r="CJ557" i="1"/>
  <c r="CJ558" i="1"/>
  <c r="CJ559" i="1"/>
  <c r="CJ560" i="1"/>
  <c r="CJ561" i="1"/>
  <c r="CJ562" i="1"/>
  <c r="CJ563" i="1"/>
  <c r="CJ564" i="1"/>
  <c r="CJ565" i="1"/>
  <c r="CJ570" i="1"/>
  <c r="CJ571" i="1"/>
  <c r="CJ572" i="1"/>
  <c r="CJ573" i="1"/>
  <c r="CJ574" i="1"/>
  <c r="CJ575" i="1"/>
  <c r="CJ576" i="1"/>
  <c r="CJ577" i="1"/>
  <c r="CJ578" i="1"/>
  <c r="CJ579" i="1"/>
  <c r="CJ580" i="1"/>
  <c r="CJ581" i="1"/>
  <c r="CJ582" i="1"/>
  <c r="CJ586" i="1"/>
  <c r="CJ583" i="1"/>
  <c r="CJ584" i="1"/>
  <c r="CJ587" i="1"/>
  <c r="CJ588" i="1"/>
  <c r="CJ589" i="1"/>
  <c r="CJ590" i="1"/>
  <c r="CJ591" i="1"/>
  <c r="CJ592" i="1"/>
  <c r="CJ594" i="1"/>
  <c r="CJ595" i="1"/>
  <c r="CJ596" i="1"/>
  <c r="CJ597" i="1"/>
  <c r="CJ598" i="1"/>
  <c r="CJ599" i="1"/>
  <c r="CJ600" i="1"/>
  <c r="CJ602" i="1"/>
  <c r="CJ603" i="1"/>
  <c r="CJ606" i="1"/>
  <c r="CJ607" i="1"/>
  <c r="CJ608" i="1"/>
  <c r="CJ615" i="1"/>
  <c r="CJ617" i="1"/>
  <c r="CJ619" i="1"/>
  <c r="CJ620" i="1"/>
  <c r="CJ621" i="1"/>
  <c r="CJ624" i="1"/>
  <c r="CJ625" i="1"/>
  <c r="CJ626" i="1"/>
  <c r="CJ627" i="1"/>
  <c r="CJ628" i="1"/>
  <c r="CJ629" i="1"/>
  <c r="CJ630" i="1"/>
  <c r="CJ631" i="1"/>
  <c r="CJ632" i="1"/>
  <c r="CJ633" i="1"/>
  <c r="CJ649" i="1"/>
  <c r="CJ650" i="1"/>
  <c r="CJ651" i="1"/>
  <c r="CJ652" i="1"/>
  <c r="CJ653" i="1"/>
  <c r="CJ655" i="1"/>
  <c r="CJ656" i="1"/>
  <c r="CJ657" i="1"/>
  <c r="CJ658" i="1"/>
  <c r="CJ659" i="1"/>
  <c r="CJ660" i="1"/>
  <c r="CJ661" i="1"/>
  <c r="CJ662" i="1"/>
  <c r="CJ667" i="1"/>
  <c r="CJ668" i="1"/>
  <c r="CJ669" i="1"/>
  <c r="CJ670" i="1"/>
  <c r="CJ671" i="1"/>
  <c r="CJ672" i="1"/>
  <c r="CJ673" i="1"/>
  <c r="CJ674" i="1"/>
  <c r="CJ675" i="1"/>
  <c r="CJ676" i="1"/>
  <c r="CJ677" i="1"/>
  <c r="CJ678" i="1"/>
  <c r="CJ679" i="1"/>
  <c r="CJ680" i="1"/>
  <c r="CJ681" i="1"/>
  <c r="CJ682" i="1"/>
  <c r="CJ683" i="1"/>
  <c r="CJ684" i="1"/>
  <c r="CJ685" i="1"/>
  <c r="CJ688" i="1"/>
  <c r="CJ689" i="1"/>
  <c r="CJ690" i="1"/>
  <c r="CJ691" i="1"/>
  <c r="CJ692" i="1"/>
  <c r="CJ693" i="1"/>
  <c r="CJ694" i="1"/>
  <c r="CJ695" i="1"/>
  <c r="CJ696" i="1"/>
  <c r="CJ697" i="1"/>
  <c r="CJ698" i="1"/>
  <c r="CJ700" i="1"/>
  <c r="CJ701" i="1"/>
  <c r="CJ702" i="1"/>
  <c r="CJ705" i="1"/>
  <c r="CJ706" i="1"/>
  <c r="CJ707" i="1"/>
  <c r="CJ708" i="1"/>
  <c r="CJ709" i="1"/>
  <c r="CJ711" i="1"/>
  <c r="CJ712" i="1"/>
  <c r="CJ713" i="1"/>
  <c r="CJ714" i="1"/>
  <c r="CJ715" i="1"/>
  <c r="CJ716" i="1"/>
  <c r="CJ717" i="1"/>
  <c r="CJ718" i="1"/>
  <c r="CJ719" i="1"/>
  <c r="CJ720" i="1"/>
  <c r="CJ721" i="1"/>
  <c r="CJ722" i="1"/>
  <c r="CJ723" i="1"/>
  <c r="CJ724" i="1"/>
  <c r="CJ725" i="1"/>
  <c r="CJ732" i="1"/>
  <c r="CJ733" i="1"/>
  <c r="CJ734" i="1"/>
  <c r="CJ735" i="1"/>
  <c r="CJ736" i="1"/>
  <c r="CJ737" i="1"/>
  <c r="CJ738" i="1"/>
  <c r="CJ739" i="1"/>
  <c r="CJ745" i="1"/>
  <c r="CJ746" i="1"/>
  <c r="CJ751" i="1"/>
  <c r="CJ752" i="1"/>
  <c r="CJ753" i="1"/>
  <c r="CJ754" i="1"/>
  <c r="CJ755" i="1"/>
  <c r="CJ756" i="1"/>
  <c r="CJ758" i="1"/>
  <c r="CJ759" i="1"/>
  <c r="CJ760" i="1"/>
  <c r="CJ763" i="1"/>
  <c r="CJ764" i="1"/>
  <c r="CJ765" i="1"/>
  <c r="CJ766" i="1"/>
  <c r="CJ767" i="1"/>
  <c r="CJ768" i="1"/>
  <c r="CJ769" i="1"/>
  <c r="CJ770" i="1"/>
  <c r="CJ772" i="1"/>
  <c r="CJ773" i="1"/>
  <c r="CJ774" i="1"/>
  <c r="CJ775" i="1"/>
  <c r="CJ776" i="1"/>
  <c r="CJ778" i="1"/>
  <c r="CJ779" i="1"/>
  <c r="CJ780" i="1"/>
  <c r="CJ781" i="1"/>
  <c r="CJ782" i="1"/>
  <c r="CJ783" i="1"/>
  <c r="CJ784" i="1"/>
  <c r="CJ785" i="1"/>
  <c r="CJ786" i="1"/>
  <c r="CJ787" i="1"/>
  <c r="CJ788" i="1"/>
  <c r="CJ789" i="1"/>
  <c r="CJ790" i="1"/>
  <c r="CJ791" i="1"/>
  <c r="CJ792" i="1"/>
  <c r="CJ793" i="1"/>
  <c r="CJ794" i="1"/>
  <c r="CJ795" i="1"/>
  <c r="CJ796" i="1"/>
  <c r="CJ797" i="1"/>
  <c r="CJ798" i="1"/>
  <c r="CJ799" i="1"/>
  <c r="CJ800" i="1"/>
  <c r="CJ801" i="1"/>
  <c r="CJ802" i="1"/>
  <c r="CJ803" i="1"/>
  <c r="CJ804" i="1"/>
  <c r="CJ805" i="1"/>
  <c r="CJ806" i="1"/>
  <c r="CJ807" i="1"/>
  <c r="CJ808" i="1"/>
  <c r="CJ809" i="1"/>
  <c r="CJ810" i="1"/>
  <c r="CJ811" i="1"/>
  <c r="CJ812" i="1"/>
  <c r="CJ813" i="1"/>
  <c r="CJ815" i="1"/>
  <c r="CJ816" i="1"/>
  <c r="CJ817" i="1"/>
  <c r="CJ818" i="1"/>
  <c r="CJ819" i="1"/>
  <c r="CJ820" i="1"/>
  <c r="CJ823" i="1"/>
  <c r="CJ824" i="1"/>
  <c r="CJ825" i="1"/>
  <c r="CJ826" i="1"/>
  <c r="CJ827" i="1"/>
  <c r="CJ828" i="1"/>
  <c r="CJ829" i="1"/>
  <c r="CJ832" i="1"/>
  <c r="CJ834" i="1"/>
  <c r="CJ835" i="1"/>
  <c r="CJ836" i="1"/>
  <c r="CJ838" i="1"/>
  <c r="CJ843" i="1"/>
  <c r="CJ844" i="1"/>
  <c r="CJ845" i="1"/>
  <c r="CJ846" i="1"/>
  <c r="CJ847" i="1"/>
  <c r="CJ848" i="1"/>
  <c r="CJ849" i="1"/>
  <c r="CJ850" i="1"/>
  <c r="CJ851" i="1"/>
  <c r="CJ852" i="1"/>
  <c r="CJ853" i="1"/>
  <c r="CJ854" i="1"/>
  <c r="CJ855" i="1"/>
  <c r="CJ856" i="1"/>
  <c r="CJ863" i="1"/>
  <c r="CJ864" i="1"/>
  <c r="CJ865" i="1"/>
  <c r="CJ866" i="1"/>
  <c r="CJ868" i="1"/>
  <c r="CJ869" i="1"/>
  <c r="CJ874" i="1"/>
  <c r="CJ875" i="1"/>
  <c r="CJ876" i="1"/>
  <c r="CJ877" i="1"/>
  <c r="CJ878" i="1"/>
  <c r="CJ879" i="1"/>
  <c r="CJ880" i="1"/>
  <c r="CJ881" i="1"/>
  <c r="CJ882" i="1"/>
  <c r="CJ883" i="1"/>
  <c r="CJ884" i="1"/>
  <c r="CJ885" i="1"/>
  <c r="CJ886" i="1"/>
  <c r="CJ887" i="1"/>
  <c r="CJ888" i="1"/>
  <c r="CJ889" i="1"/>
  <c r="CJ890" i="1"/>
  <c r="CJ891" i="1"/>
  <c r="CJ894" i="1"/>
  <c r="CJ895" i="1"/>
  <c r="CJ896" i="1"/>
  <c r="CJ897" i="1"/>
  <c r="CJ898" i="1"/>
  <c r="CJ899" i="1"/>
  <c r="CJ900" i="1"/>
  <c r="CJ901" i="1"/>
  <c r="CJ902" i="1"/>
  <c r="CJ903" i="1"/>
  <c r="CJ904" i="1"/>
  <c r="CJ905" i="1"/>
  <c r="CJ911" i="1"/>
  <c r="CJ912" i="1"/>
  <c r="CJ914" i="1"/>
  <c r="CJ915" i="1"/>
  <c r="CJ918" i="1"/>
  <c r="CJ919" i="1"/>
  <c r="CJ920" i="1"/>
  <c r="CJ921" i="1"/>
  <c r="CJ922" i="1"/>
  <c r="CJ923" i="1"/>
  <c r="CJ924" i="1"/>
  <c r="CJ925" i="1"/>
  <c r="CJ926" i="1"/>
  <c r="CJ935" i="1"/>
  <c r="CJ936" i="1"/>
  <c r="CJ937" i="1"/>
  <c r="CJ938" i="1"/>
  <c r="CJ939" i="1"/>
  <c r="CJ940" i="1"/>
  <c r="CJ941" i="1"/>
  <c r="CJ942" i="1"/>
  <c r="CJ944" i="1"/>
  <c r="CJ946" i="1"/>
  <c r="CJ947" i="1"/>
  <c r="CJ948" i="1"/>
  <c r="CJ949" i="1"/>
  <c r="CJ950" i="1"/>
  <c r="CJ951" i="1"/>
  <c r="CJ956" i="1"/>
  <c r="CJ957" i="1"/>
  <c r="CJ962" i="1"/>
  <c r="CJ973" i="1"/>
  <c r="CJ974" i="1"/>
  <c r="CJ976" i="1"/>
  <c r="CJ977" i="1"/>
  <c r="CJ978" i="1"/>
  <c r="CJ979" i="1"/>
  <c r="CJ980" i="1"/>
  <c r="CJ982" i="1"/>
  <c r="CJ983" i="1"/>
  <c r="CJ984" i="1"/>
  <c r="CJ985" i="1"/>
  <c r="CJ986" i="1"/>
  <c r="CJ987" i="1"/>
  <c r="CJ988" i="1"/>
  <c r="CJ990" i="1"/>
  <c r="CJ991" i="1"/>
  <c r="CJ993" i="1"/>
  <c r="CJ1001" i="1"/>
  <c r="CJ1002" i="1"/>
  <c r="CJ1005" i="1"/>
  <c r="CJ1006" i="1"/>
  <c r="CJ1007" i="1"/>
  <c r="CJ1009" i="1"/>
  <c r="CJ1010" i="1"/>
  <c r="CJ1011" i="1"/>
  <c r="CJ1013" i="1"/>
  <c r="CJ1014" i="1"/>
  <c r="CJ1015" i="1"/>
  <c r="CJ1017" i="1"/>
  <c r="CJ1018" i="1"/>
  <c r="CJ1019" i="1"/>
  <c r="CJ1020" i="1"/>
  <c r="CJ1021" i="1"/>
  <c r="CJ1022" i="1"/>
  <c r="CJ1023" i="1"/>
  <c r="CJ1024" i="1"/>
  <c r="CJ1025" i="1"/>
  <c r="CJ1026" i="1"/>
  <c r="CJ1027" i="1"/>
  <c r="CJ1028" i="1"/>
  <c r="CJ1029" i="1"/>
  <c r="CJ1030" i="1"/>
  <c r="CJ1031" i="1"/>
  <c r="CJ1032" i="1"/>
  <c r="CJ1033" i="1"/>
  <c r="CJ1034" i="1"/>
  <c r="CJ1035" i="1"/>
  <c r="CJ1036" i="1"/>
  <c r="CJ1037" i="1"/>
  <c r="CJ1038" i="1"/>
  <c r="CJ1039" i="1"/>
  <c r="CJ1040" i="1"/>
  <c r="CJ1041" i="1"/>
  <c r="CJ1042" i="1"/>
  <c r="CJ1043" i="1"/>
  <c r="CJ1044" i="1"/>
  <c r="CJ1068" i="1"/>
  <c r="CJ1069" i="1"/>
  <c r="CJ1071" i="1"/>
  <c r="CJ1072" i="1"/>
  <c r="CJ1073" i="1"/>
  <c r="CJ1074" i="1"/>
  <c r="CJ1075" i="1"/>
  <c r="CJ1076" i="1"/>
  <c r="CJ1080" i="1"/>
  <c r="CJ1081" i="1"/>
  <c r="CJ1091" i="1"/>
  <c r="CJ1092" i="1"/>
  <c r="CJ1093" i="1"/>
  <c r="CJ1094" i="1"/>
  <c r="CJ1095" i="1"/>
  <c r="CJ1096" i="1"/>
  <c r="CJ1099" i="1"/>
  <c r="CJ1100" i="1"/>
  <c r="CJ1102" i="1"/>
  <c r="CJ1103" i="1"/>
  <c r="CJ1104" i="1"/>
  <c r="CJ1105" i="1"/>
  <c r="CJ1106" i="1"/>
  <c r="CJ1108" i="1"/>
  <c r="CJ1109" i="1"/>
  <c r="CJ1110" i="1"/>
  <c r="CJ1111" i="1"/>
  <c r="CJ1112" i="1"/>
  <c r="CJ1113" i="1"/>
  <c r="CJ1114" i="1"/>
  <c r="CJ1115" i="1"/>
  <c r="CJ1116" i="1"/>
  <c r="CJ1117" i="1"/>
  <c r="CJ1118" i="1"/>
  <c r="CJ1119" i="1"/>
  <c r="CJ1120" i="1"/>
  <c r="CJ1121" i="1"/>
  <c r="CJ1122" i="1"/>
  <c r="CJ1123" i="1"/>
  <c r="CJ1127" i="1"/>
  <c r="CJ1128" i="1"/>
  <c r="CJ1129" i="1"/>
  <c r="CJ1130" i="1"/>
  <c r="CJ1131" i="1"/>
  <c r="CJ1132" i="1"/>
  <c r="CJ1133" i="1"/>
  <c r="CJ1134" i="1"/>
  <c r="CJ1135" i="1"/>
  <c r="CJ1136" i="1"/>
  <c r="CJ1137" i="1"/>
  <c r="CJ1138" i="1"/>
  <c r="CJ1139" i="1"/>
  <c r="CJ1140" i="1"/>
  <c r="CJ1141" i="1"/>
  <c r="CJ1142" i="1"/>
  <c r="CJ1143" i="1"/>
  <c r="CJ1144" i="1"/>
  <c r="CJ1145" i="1"/>
  <c r="CJ1146" i="1"/>
  <c r="CJ1147" i="1"/>
  <c r="CJ1148" i="1"/>
  <c r="CJ1149" i="1"/>
  <c r="CJ1150" i="1"/>
  <c r="CJ1151" i="1"/>
  <c r="CJ1152" i="1"/>
  <c r="CJ1153" i="1"/>
  <c r="CJ1154" i="1"/>
  <c r="CJ1155" i="1"/>
  <c r="CJ1157" i="1"/>
  <c r="CJ1158" i="1"/>
  <c r="CJ1159" i="1"/>
  <c r="CJ1161" i="1"/>
  <c r="CJ1162" i="1"/>
  <c r="CJ1163" i="1"/>
  <c r="CJ1164" i="1"/>
  <c r="CJ1165" i="1"/>
  <c r="CJ1166" i="1"/>
  <c r="CJ1167" i="1"/>
  <c r="CJ1168" i="1"/>
  <c r="CJ1169" i="1"/>
  <c r="CJ1170" i="1"/>
  <c r="CJ1171" i="1"/>
  <c r="CJ1172" i="1"/>
  <c r="CJ1173" i="1"/>
  <c r="CJ1174" i="1"/>
  <c r="CJ1175" i="1"/>
  <c r="CJ1176" i="1"/>
  <c r="CJ1177" i="1"/>
  <c r="CJ1178" i="1"/>
  <c r="CJ1179" i="1"/>
  <c r="CJ1180" i="1"/>
  <c r="CJ1181" i="1"/>
  <c r="CJ1182" i="1"/>
  <c r="CJ1183" i="1"/>
  <c r="CJ1184" i="1"/>
  <c r="CJ1185" i="1"/>
  <c r="CJ1186" i="1"/>
  <c r="CJ1187" i="1"/>
  <c r="CJ1188" i="1"/>
  <c r="CJ1189" i="1"/>
  <c r="CJ1190" i="1"/>
  <c r="CJ1191" i="1"/>
  <c r="CJ1192" i="1"/>
  <c r="CJ1193" i="1"/>
  <c r="CJ1194" i="1"/>
  <c r="CJ1197" i="1"/>
  <c r="CJ1198" i="1"/>
  <c r="CJ1199" i="1"/>
  <c r="CJ1200" i="1"/>
  <c r="CJ1201" i="1"/>
  <c r="CJ1083" i="1"/>
  <c r="CJ473" i="1"/>
  <c r="CJ1213" i="1"/>
  <c r="CJ41" i="1"/>
  <c r="CJ645" i="1"/>
  <c r="CJ431" i="1"/>
  <c r="CJ995" i="1"/>
  <c r="CJ1051" i="1"/>
  <c r="CJ104" i="1"/>
  <c r="CJ1067" i="1"/>
  <c r="CJ324" i="1"/>
  <c r="CJ614" i="1"/>
  <c r="CJ963" i="1"/>
  <c r="CJ31" i="1"/>
  <c r="CJ1097" i="1"/>
  <c r="CJ549" i="1"/>
  <c r="CJ837" i="1"/>
  <c r="CJ609" i="1"/>
  <c r="CJ604" i="1"/>
  <c r="CJ538" i="1"/>
  <c r="CJ648" i="1"/>
  <c r="CJ519" i="1"/>
  <c r="CJ958" i="1"/>
  <c r="CJ82" i="1"/>
  <c r="CJ208" i="1"/>
  <c r="CJ299" i="1"/>
  <c r="CJ909" i="1"/>
  <c r="CJ65" i="1"/>
  <c r="CJ964" i="1"/>
  <c r="CJ1082" i="1"/>
  <c r="CJ992" i="1"/>
  <c r="CJ108" i="1"/>
  <c r="CJ703" i="1"/>
  <c r="CJ907" i="1"/>
  <c r="CJ517" i="1"/>
  <c r="CJ618" i="1"/>
  <c r="CJ51" i="1"/>
  <c r="CJ757" i="1"/>
  <c r="CJ638" i="1"/>
  <c r="CJ92" i="1"/>
  <c r="CJ501" i="1"/>
  <c r="CJ1070" i="1"/>
  <c r="CJ350" i="1"/>
  <c r="CJ530" i="1"/>
  <c r="CJ222" i="1"/>
  <c r="CJ359" i="1"/>
  <c r="CJ654" i="1"/>
  <c r="CJ337" i="1"/>
  <c r="CJ952" i="1"/>
  <c r="CJ185" i="1"/>
  <c r="CJ910" i="1"/>
  <c r="CJ833" i="1"/>
  <c r="CJ927" i="1"/>
  <c r="CJ454" i="1"/>
  <c r="CJ822" i="1"/>
  <c r="CJ198" i="1"/>
  <c r="CJ646" i="1"/>
  <c r="CJ543" i="1"/>
  <c r="CJ304" i="1"/>
  <c r="CJ26" i="1"/>
  <c r="CJ398" i="1"/>
  <c r="CJ45" i="1"/>
  <c r="CJ1215" i="1"/>
  <c r="CJ1195" i="1"/>
  <c r="CJ469" i="1"/>
  <c r="CJ246" i="1"/>
  <c r="CJ288" i="1"/>
  <c r="CJ360" i="1"/>
  <c r="CJ73" i="1"/>
  <c r="CJ554" i="1"/>
  <c r="CJ294" i="1"/>
  <c r="CJ1124" i="1"/>
  <c r="CJ953" i="1"/>
  <c r="CJ67" i="1"/>
  <c r="CJ58" i="1"/>
  <c r="CJ870" i="1"/>
  <c r="CJ325" i="1"/>
  <c r="CJ1059" i="1"/>
  <c r="CJ74" i="1"/>
  <c r="CJ569" i="1"/>
  <c r="CJ42" i="1"/>
  <c r="CJ382" i="1"/>
  <c r="CJ32" i="1"/>
  <c r="CJ928" i="1"/>
  <c r="CJ639" i="1"/>
  <c r="CJ857" i="1"/>
  <c r="CJ1045" i="1"/>
  <c r="CJ68" i="1"/>
  <c r="CJ1085" i="1"/>
  <c r="CJ251" i="1"/>
  <c r="CJ529" i="1"/>
  <c r="CJ1000" i="1"/>
  <c r="CJ60" i="1"/>
  <c r="CJ1060" i="1"/>
  <c r="CJ432" i="1"/>
  <c r="CJ1214" i="1"/>
  <c r="CJ635" i="1"/>
  <c r="CJ300" i="1"/>
  <c r="CJ52" i="1"/>
  <c r="CJ192" i="1"/>
  <c r="CJ86" i="1"/>
  <c r="CJ1211" i="1"/>
  <c r="CJ411" i="1"/>
  <c r="CJ1077" i="1"/>
  <c r="CJ289" i="1"/>
  <c r="CJ502" i="1"/>
  <c r="CJ503" i="1"/>
  <c r="CJ961" i="1"/>
  <c r="CJ399" i="1"/>
  <c r="CJ842" i="1"/>
  <c r="CJ284" i="1"/>
  <c r="CJ1049" i="1"/>
  <c r="CJ35" i="1"/>
  <c r="CJ211" i="1"/>
  <c r="CJ515" i="1"/>
  <c r="CJ840" i="1"/>
  <c r="CJ537" i="1"/>
  <c r="CJ356" i="1"/>
  <c r="CJ981" i="1"/>
  <c r="CJ965" i="1"/>
  <c r="CJ305" i="1"/>
  <c r="CJ290" i="1"/>
  <c r="CJ297" i="1"/>
  <c r="CJ87" i="1"/>
  <c r="CJ184" i="1"/>
  <c r="CJ451" i="1"/>
  <c r="CJ312" i="1"/>
  <c r="CJ465" i="1"/>
  <c r="CJ544" i="1"/>
  <c r="CJ1107" i="1"/>
  <c r="CJ1222" i="1"/>
  <c r="CJ1088" i="1"/>
  <c r="CJ383" i="1"/>
  <c r="CJ636" i="1"/>
  <c r="CJ27" i="1"/>
  <c r="CJ130" i="1"/>
  <c r="CJ814" i="1"/>
  <c r="CJ966" i="1"/>
  <c r="CJ1204" i="1"/>
  <c r="CJ972" i="1"/>
  <c r="CJ867" i="1"/>
  <c r="CJ748" i="1"/>
  <c r="CJ59" i="1"/>
  <c r="CJ727" i="1"/>
  <c r="CJ301" i="1"/>
  <c r="CJ64" i="1"/>
  <c r="CJ1052" i="1"/>
  <c r="CJ1126" i="1"/>
  <c r="CJ316" i="1"/>
  <c r="CJ314" i="1"/>
  <c r="CJ536" i="1"/>
  <c r="CJ53" i="1"/>
  <c r="CJ687" i="1"/>
  <c r="CJ40" i="1"/>
  <c r="CJ322" i="1"/>
  <c r="CJ841" i="1"/>
  <c r="CJ498" i="1"/>
  <c r="CJ1218" i="1"/>
  <c r="CJ397" i="1"/>
  <c r="CJ24" i="1"/>
  <c r="CJ186" i="1"/>
  <c r="CJ455" i="1"/>
  <c r="CJ929" i="1"/>
  <c r="CJ740" i="1"/>
  <c r="CJ1219" i="1"/>
  <c r="CJ567" i="1"/>
  <c r="CJ357" i="1"/>
  <c r="CJ488" i="1"/>
  <c r="CJ351" i="1"/>
  <c r="CJ568" i="1"/>
  <c r="CJ81" i="1"/>
  <c r="CJ996" i="1"/>
  <c r="CJ247" i="1"/>
  <c r="CJ616" i="1"/>
  <c r="CJ913" i="1"/>
  <c r="CJ1090" i="1"/>
  <c r="CJ892" i="1"/>
  <c r="CJ199" i="1"/>
  <c r="CJ1216" i="1"/>
  <c r="CJ323" i="1"/>
  <c r="CJ1205" i="1"/>
  <c r="CJ457" i="1"/>
  <c r="CJ555" i="1"/>
  <c r="CJ1125" i="1"/>
  <c r="CJ93" i="1"/>
  <c r="CJ200" i="1"/>
  <c r="CJ466" i="1"/>
  <c r="CJ585" i="1"/>
  <c r="CJ43" i="1"/>
  <c r="CJ419" i="1"/>
  <c r="CJ1156" i="1"/>
  <c r="CJ29" i="1"/>
  <c r="CJ1210" i="1"/>
  <c r="CJ495" i="1"/>
  <c r="CJ916" i="1"/>
  <c r="CJ1050" i="1"/>
  <c r="CJ1203" i="1"/>
  <c r="CJ1221" i="1"/>
  <c r="CJ1206" i="1"/>
  <c r="CJ1012" i="1"/>
  <c r="CJ361" i="1"/>
  <c r="CJ1207" i="1"/>
  <c r="CJ201" i="1"/>
  <c r="CJ243" i="1"/>
  <c r="CJ362" i="1"/>
  <c r="CJ930" i="1"/>
  <c r="CJ531" i="1"/>
  <c r="CJ997" i="1"/>
  <c r="CJ83" i="1"/>
  <c r="CJ202" i="1"/>
  <c r="CJ1004" i="1"/>
  <c r="CJ460" i="1"/>
  <c r="CJ214" i="1"/>
  <c r="CJ276" i="1"/>
  <c r="CJ1016" i="1"/>
  <c r="CJ1061" i="1"/>
  <c r="CJ433" i="1"/>
  <c r="CJ349" i="1"/>
  <c r="CJ191" i="1"/>
  <c r="CJ417" i="1"/>
  <c r="CJ871" i="1"/>
  <c r="CJ1062" i="1"/>
  <c r="CJ61" i="1"/>
  <c r="CJ452" i="1"/>
  <c r="CJ830" i="1"/>
  <c r="CJ418" i="1"/>
  <c r="CJ499" i="1"/>
  <c r="CJ227" i="1"/>
  <c r="CJ1053" i="1"/>
  <c r="CJ862" i="1"/>
  <c r="CJ969" i="1"/>
  <c r="CJ240" i="1"/>
  <c r="CJ541" i="1"/>
  <c r="CJ518" i="1"/>
  <c r="CJ384" i="1"/>
  <c r="CJ1054" i="1"/>
  <c r="CJ954" i="1"/>
  <c r="CJ623" i="1"/>
  <c r="CJ728" i="1"/>
  <c r="CJ62" i="1"/>
  <c r="CJ610" i="1"/>
  <c r="CJ470" i="1"/>
  <c r="CJ893" i="1"/>
  <c r="CJ943" i="1"/>
  <c r="CJ747" i="1"/>
  <c r="CJ63" i="1"/>
  <c r="CJ283" i="1"/>
  <c r="CJ640" i="1"/>
  <c r="CJ998" i="1"/>
  <c r="CJ545" i="1"/>
  <c r="CJ906" i="1"/>
  <c r="CJ37" i="1"/>
  <c r="CJ497" i="1"/>
  <c r="CJ448" i="1"/>
  <c r="CJ400" i="1"/>
  <c r="CJ487" i="1"/>
  <c r="CJ741" i="1"/>
  <c r="CJ481" i="1"/>
  <c r="CJ504" i="1"/>
  <c r="CJ908" i="1"/>
  <c r="CJ285" i="1"/>
  <c r="CJ989" i="1"/>
  <c r="CJ821" i="1"/>
  <c r="CJ365" i="1"/>
  <c r="CJ1063" i="1"/>
  <c r="CJ507" i="1"/>
  <c r="CJ492" i="1"/>
  <c r="CJ762" i="1"/>
  <c r="CJ566" i="1"/>
  <c r="CJ385" i="1"/>
  <c r="CJ858" i="1"/>
  <c r="CJ546" i="1"/>
  <c r="CJ967" i="1"/>
  <c r="CJ532" i="1"/>
  <c r="CJ500" i="1"/>
  <c r="CJ663" i="1"/>
  <c r="CJ212" i="1"/>
  <c r="CJ1160" i="1"/>
  <c r="CJ36" i="1"/>
  <c r="CJ960" i="1"/>
  <c r="CJ449" i="1"/>
  <c r="CJ396" i="1"/>
  <c r="CJ471" i="1"/>
  <c r="CJ95" i="1"/>
  <c r="CJ761" i="1"/>
  <c r="CJ88" i="1"/>
  <c r="CJ94" i="1"/>
  <c r="CJ386" i="1"/>
  <c r="CJ968" i="1"/>
  <c r="CJ1101" i="1"/>
  <c r="CJ306" i="1"/>
  <c r="CJ664" i="1"/>
  <c r="CJ593" i="1"/>
  <c r="CJ1078" i="1"/>
  <c r="CJ859" i="1"/>
  <c r="CJ970" i="1"/>
  <c r="CJ482" i="1"/>
  <c r="CJ70" i="1"/>
  <c r="CJ533" i="1"/>
  <c r="CJ665" i="1"/>
  <c r="CJ54" i="1"/>
  <c r="CJ1008" i="1"/>
  <c r="CJ931" i="1"/>
  <c r="CJ96" i="1"/>
  <c r="CJ494" i="1"/>
  <c r="CJ262" i="1"/>
  <c r="CJ1086" i="1"/>
  <c r="CJ1217" i="1"/>
  <c r="CJ742" i="1"/>
  <c r="CJ483" i="1"/>
  <c r="CJ934" i="1"/>
  <c r="CJ1046" i="1"/>
  <c r="CJ363" i="1"/>
  <c r="CJ1047" i="1"/>
  <c r="CJ730" i="1"/>
  <c r="CJ91" i="1"/>
  <c r="CJ197" i="1"/>
  <c r="CJ317" i="1"/>
  <c r="CJ1208" i="1"/>
  <c r="CJ1003" i="1"/>
  <c r="CJ611" i="1"/>
  <c r="CJ412" i="1"/>
  <c r="CJ248" i="1"/>
  <c r="CJ213" i="1"/>
  <c r="CJ173" i="1"/>
  <c r="CJ971" i="1"/>
  <c r="CJ994" i="1"/>
  <c r="CJ413" i="1"/>
  <c r="CJ1048" i="1"/>
  <c r="CJ33" i="1"/>
  <c r="CJ1064" i="1"/>
  <c r="CJ453" i="1"/>
  <c r="CJ771" i="1"/>
  <c r="CJ401" i="1"/>
  <c r="CJ534" i="1"/>
  <c r="CJ484" i="1"/>
  <c r="CJ352" i="1"/>
  <c r="CJ861" i="1"/>
  <c r="CJ206" i="1"/>
  <c r="CJ744" i="1"/>
  <c r="CJ1196" i="1"/>
  <c r="CJ637" i="1"/>
  <c r="CJ542" i="1"/>
  <c r="CJ187" i="1"/>
  <c r="CJ203" i="1"/>
  <c r="CJ493" i="1"/>
  <c r="CJ1055" i="1"/>
  <c r="CJ1065" i="1"/>
  <c r="CJ209" i="1"/>
  <c r="CJ193" i="1"/>
  <c r="CJ55" i="1"/>
  <c r="CJ726" i="1"/>
  <c r="CJ641" i="1"/>
  <c r="CJ526" i="1"/>
  <c r="CJ174" i="1"/>
  <c r="CJ302" i="1"/>
  <c r="CJ34" i="1"/>
  <c r="CJ644" i="1"/>
  <c r="CJ44" i="1"/>
  <c r="CJ1220" i="1"/>
  <c r="CJ194" i="1"/>
  <c r="CJ917" i="1"/>
  <c r="CJ872" i="1"/>
  <c r="CJ188" i="1"/>
  <c r="CJ28" i="1"/>
  <c r="CJ1089" i="1"/>
  <c r="CJ749" i="1"/>
  <c r="CJ89" i="1"/>
  <c r="CJ69" i="1"/>
  <c r="CJ395" i="1"/>
  <c r="CJ450" i="1"/>
  <c r="CJ467" i="1"/>
  <c r="CJ1066" i="1"/>
  <c r="CJ39" i="1"/>
  <c r="CJ601" i="1"/>
  <c r="CJ402" i="1"/>
  <c r="CJ777" i="1"/>
  <c r="CJ710" i="1"/>
  <c r="CJ1202" i="1"/>
  <c r="CJ56" i="1"/>
  <c r="CJ458" i="1"/>
  <c r="CJ643" i="1"/>
  <c r="CJ1058" i="1"/>
  <c r="CJ959" i="1"/>
  <c r="CJ1212" i="1"/>
  <c r="CJ647" i="1"/>
  <c r="CJ204" i="1"/>
  <c r="CJ750" i="1"/>
  <c r="CJ295" i="1"/>
  <c r="CJ612" i="1"/>
  <c r="CJ459" i="1"/>
  <c r="CJ472" i="1"/>
  <c r="CJ485" i="1"/>
  <c r="CJ189" i="1"/>
  <c r="CJ535" i="1"/>
  <c r="CJ50" i="1"/>
  <c r="CJ743" i="1"/>
  <c r="CJ1209" i="1"/>
  <c r="CJ291" i="1"/>
  <c r="CJ539" i="1"/>
  <c r="CJ666" i="1"/>
  <c r="CJ516" i="1"/>
  <c r="CJ205" i="1"/>
  <c r="CJ999" i="1"/>
  <c r="CJ486" i="1"/>
  <c r="CJ839" i="1"/>
  <c r="CJ456" i="1"/>
  <c r="CJ1084" i="1"/>
  <c r="CJ613" i="1"/>
  <c r="CJ298" i="1"/>
  <c r="CJ353" i="1"/>
  <c r="CJ699" i="1"/>
  <c r="CJ90" i="1"/>
  <c r="CJ932" i="1"/>
  <c r="CJ1056" i="1"/>
  <c r="CJ975" i="1"/>
  <c r="CJ1057" i="1"/>
  <c r="CJ315" i="1"/>
  <c r="CJ1098" i="1"/>
  <c r="CJ57" i="1"/>
  <c r="CJ286" i="1"/>
  <c r="CJ403" i="1"/>
  <c r="CJ731" i="1"/>
  <c r="CJ729" i="1"/>
  <c r="CJ605" i="1"/>
  <c r="CJ468" i="1"/>
  <c r="CJ303" i="1"/>
  <c r="CJ860" i="1"/>
  <c r="CJ210" i="1"/>
  <c r="CJ496" i="1"/>
  <c r="CJ320" i="1"/>
  <c r="CJ634" i="1"/>
  <c r="CJ293" i="1"/>
  <c r="CJ307" i="1"/>
  <c r="CJ2" i="1"/>
  <c r="CJ686" i="1"/>
  <c r="CJ505" i="1"/>
  <c r="CJ540" i="1"/>
  <c r="CJ25" i="1"/>
  <c r="CJ30" i="1"/>
  <c r="CJ308" i="1"/>
  <c r="CJ955" i="1"/>
  <c r="CJ642" i="1"/>
  <c r="CJ873" i="1"/>
  <c r="CJ38" i="1"/>
  <c r="CJ1087" i="1"/>
  <c r="CJ287" i="1"/>
  <c r="CJ364" i="1"/>
  <c r="CJ933" i="1"/>
  <c r="CJ831" i="1"/>
  <c r="CJ622" i="1"/>
  <c r="CJ1079" i="1"/>
  <c r="CJ292" i="1"/>
  <c r="CJ945" i="1"/>
  <c r="CJ1223" i="1"/>
  <c r="CH46" i="1"/>
  <c r="CH47" i="1"/>
  <c r="CH48" i="1"/>
  <c r="CH49" i="1"/>
  <c r="CH66" i="1"/>
  <c r="CH71" i="1"/>
  <c r="CH72" i="1"/>
  <c r="CH75" i="1"/>
  <c r="CH76" i="1"/>
  <c r="CH77" i="1"/>
  <c r="CH78" i="1"/>
  <c r="CH79" i="1"/>
  <c r="CH80" i="1"/>
  <c r="CH84" i="1"/>
  <c r="CH85" i="1"/>
  <c r="CH97" i="1"/>
  <c r="CH98" i="1"/>
  <c r="CH99" i="1"/>
  <c r="CH100" i="1"/>
  <c r="CH101" i="1"/>
  <c r="CH102" i="1"/>
  <c r="CH103" i="1"/>
  <c r="CH105" i="1"/>
  <c r="CH106" i="1"/>
  <c r="CH107" i="1"/>
  <c r="CH109" i="1"/>
  <c r="CH110" i="1"/>
  <c r="CH111" i="1"/>
  <c r="CH112" i="1"/>
  <c r="CH113" i="1"/>
  <c r="CH114" i="1"/>
  <c r="CH115" i="1"/>
  <c r="CH116" i="1"/>
  <c r="CH117" i="1"/>
  <c r="CH118" i="1"/>
  <c r="CH119" i="1"/>
  <c r="CH120" i="1"/>
  <c r="CH121" i="1"/>
  <c r="CH122" i="1"/>
  <c r="CH123" i="1"/>
  <c r="CH124" i="1"/>
  <c r="CH125" i="1"/>
  <c r="CH126" i="1"/>
  <c r="CH127" i="1"/>
  <c r="CH128" i="1"/>
  <c r="CH129" i="1"/>
  <c r="CH131" i="1"/>
  <c r="CH132" i="1"/>
  <c r="CH133" i="1"/>
  <c r="CH134" i="1"/>
  <c r="CH135" i="1"/>
  <c r="CH136" i="1"/>
  <c r="CH137" i="1"/>
  <c r="CH138" i="1"/>
  <c r="CH139" i="1"/>
  <c r="CH140" i="1"/>
  <c r="CH141" i="1"/>
  <c r="CH142" i="1"/>
  <c r="CH143" i="1"/>
  <c r="CH144" i="1"/>
  <c r="CH145" i="1"/>
  <c r="CH146" i="1"/>
  <c r="CH147" i="1"/>
  <c r="CH148" i="1"/>
  <c r="CH149" i="1"/>
  <c r="CH150" i="1"/>
  <c r="CH152" i="1"/>
  <c r="CH153" i="1"/>
  <c r="CH154" i="1"/>
  <c r="CH155" i="1"/>
  <c r="CH156" i="1"/>
  <c r="CH151" i="1"/>
  <c r="CH157" i="1"/>
  <c r="CH158" i="1"/>
  <c r="CH159" i="1"/>
  <c r="CH160" i="1"/>
  <c r="CH161" i="1"/>
  <c r="CH162" i="1"/>
  <c r="CH163" i="1"/>
  <c r="CH164" i="1"/>
  <c r="CH165" i="1"/>
  <c r="CH166" i="1"/>
  <c r="CH167" i="1"/>
  <c r="CH168" i="1"/>
  <c r="CH169" i="1"/>
  <c r="CH170" i="1"/>
  <c r="CH171" i="1"/>
  <c r="CH172" i="1"/>
  <c r="CH175" i="1"/>
  <c r="CH176" i="1"/>
  <c r="CH177" i="1"/>
  <c r="CH178" i="1"/>
  <c r="CH179" i="1"/>
  <c r="CH180" i="1"/>
  <c r="CH181" i="1"/>
  <c r="CH182" i="1"/>
  <c r="CH183" i="1"/>
  <c r="CH190" i="1"/>
  <c r="CH195" i="1"/>
  <c r="CH196" i="1"/>
  <c r="CH207" i="1"/>
  <c r="CH215" i="1"/>
  <c r="CH216" i="1"/>
  <c r="CH217" i="1"/>
  <c r="CH218" i="1"/>
  <c r="CH219" i="1"/>
  <c r="CH220" i="1"/>
  <c r="CH221" i="1"/>
  <c r="CH223" i="1"/>
  <c r="CH224" i="1"/>
  <c r="CH225" i="1"/>
  <c r="CH226" i="1"/>
  <c r="CH228" i="1"/>
  <c r="CH229" i="1"/>
  <c r="CH230" i="1"/>
  <c r="CH231" i="1"/>
  <c r="CH232" i="1"/>
  <c r="CH233" i="1"/>
  <c r="CH234" i="1"/>
  <c r="CH235" i="1"/>
  <c r="CH236" i="1"/>
  <c r="CH237" i="1"/>
  <c r="CH238" i="1"/>
  <c r="CH239" i="1"/>
  <c r="CH241" i="1"/>
  <c r="CH242" i="1"/>
  <c r="CH244" i="1"/>
  <c r="CH245" i="1"/>
  <c r="CH249" i="1"/>
  <c r="CH250" i="1"/>
  <c r="CH252" i="1"/>
  <c r="CH253" i="1"/>
  <c r="CH254" i="1"/>
  <c r="CH255" i="1"/>
  <c r="CH256" i="1"/>
  <c r="CH257" i="1"/>
  <c r="CH258" i="1"/>
  <c r="CH259" i="1"/>
  <c r="CH260" i="1"/>
  <c r="CH261" i="1"/>
  <c r="CH263" i="1"/>
  <c r="CH264" i="1"/>
  <c r="CH265" i="1"/>
  <c r="CH266" i="1"/>
  <c r="CH267" i="1"/>
  <c r="CH268" i="1"/>
  <c r="CH269" i="1"/>
  <c r="CH270" i="1"/>
  <c r="CH271" i="1"/>
  <c r="CH272" i="1"/>
  <c r="CH273" i="1"/>
  <c r="CH274" i="1"/>
  <c r="CH275" i="1"/>
  <c r="CH277" i="1"/>
  <c r="CH278" i="1"/>
  <c r="CH279" i="1"/>
  <c r="CH280" i="1"/>
  <c r="CH281" i="1"/>
  <c r="CH282" i="1"/>
  <c r="CH296" i="1"/>
  <c r="CH309" i="1"/>
  <c r="CH310" i="1"/>
  <c r="CH311" i="1"/>
  <c r="CH313" i="1"/>
  <c r="CH318" i="1"/>
  <c r="CH319" i="1"/>
  <c r="CH321" i="1"/>
  <c r="CH326" i="1"/>
  <c r="CH327" i="1"/>
  <c r="CH328" i="1"/>
  <c r="CH329" i="1"/>
  <c r="CH330" i="1"/>
  <c r="CH331" i="1"/>
  <c r="CH333" i="1"/>
  <c r="CH332" i="1"/>
  <c r="CH334" i="1"/>
  <c r="CH335" i="1"/>
  <c r="CH336" i="1"/>
  <c r="CH338" i="1"/>
  <c r="CH339" i="1"/>
  <c r="CH340" i="1"/>
  <c r="CH341" i="1"/>
  <c r="CH342" i="1"/>
  <c r="CH343" i="1"/>
  <c r="CH344" i="1"/>
  <c r="CH345" i="1"/>
  <c r="CH346" i="1"/>
  <c r="CH347" i="1"/>
  <c r="CH348" i="1"/>
  <c r="CH354" i="1"/>
  <c r="CH355" i="1"/>
  <c r="CH358" i="1"/>
  <c r="CH366" i="1"/>
  <c r="CH367" i="1"/>
  <c r="CH368" i="1"/>
  <c r="CH369" i="1"/>
  <c r="CH370" i="1"/>
  <c r="CH372" i="1"/>
  <c r="CH373" i="1"/>
  <c r="CH371" i="1"/>
  <c r="CH374" i="1"/>
  <c r="CH375" i="1"/>
  <c r="CH376" i="1"/>
  <c r="CH377" i="1"/>
  <c r="CH378" i="1"/>
  <c r="CH379" i="1"/>
  <c r="CH380" i="1"/>
  <c r="CH381" i="1"/>
  <c r="CH387" i="1"/>
  <c r="CH388" i="1"/>
  <c r="CH389" i="1"/>
  <c r="CH390" i="1"/>
  <c r="CH391" i="1"/>
  <c r="CH392" i="1"/>
  <c r="CH393" i="1"/>
  <c r="CH394" i="1"/>
  <c r="CH404" i="1"/>
  <c r="CH405" i="1"/>
  <c r="CH406" i="1"/>
  <c r="CH407" i="1"/>
  <c r="CH408" i="1"/>
  <c r="CH409" i="1"/>
  <c r="CH410" i="1"/>
  <c r="CH414" i="1"/>
  <c r="CH415" i="1"/>
  <c r="CH416" i="1"/>
  <c r="CH420" i="1"/>
  <c r="CH421" i="1"/>
  <c r="CH422" i="1"/>
  <c r="CH423" i="1"/>
  <c r="CH424" i="1"/>
  <c r="CH425" i="1"/>
  <c r="CH426" i="1"/>
  <c r="CH427" i="1"/>
  <c r="CH428" i="1"/>
  <c r="CH429" i="1"/>
  <c r="CH430" i="1"/>
  <c r="CH434" i="1"/>
  <c r="CH435" i="1"/>
  <c r="CH436" i="1"/>
  <c r="CH437" i="1"/>
  <c r="CH438" i="1"/>
  <c r="CH439" i="1"/>
  <c r="CH440" i="1"/>
  <c r="CH441" i="1"/>
  <c r="CH442" i="1"/>
  <c r="CH443" i="1"/>
  <c r="CH444" i="1"/>
  <c r="CH445" i="1"/>
  <c r="CH446" i="1"/>
  <c r="CH447" i="1"/>
  <c r="CH461" i="1"/>
  <c r="CH462" i="1"/>
  <c r="CH463" i="1"/>
  <c r="CH464" i="1"/>
  <c r="CH474" i="1"/>
  <c r="CH475" i="1"/>
  <c r="CH476" i="1"/>
  <c r="CH477" i="1"/>
  <c r="CH478" i="1"/>
  <c r="CH479" i="1"/>
  <c r="CH480" i="1"/>
  <c r="CH489" i="1"/>
  <c r="CH490" i="1"/>
  <c r="CH491" i="1"/>
  <c r="CH506" i="1"/>
  <c r="CH508" i="1"/>
  <c r="CH509" i="1"/>
  <c r="CH510" i="1"/>
  <c r="CH511" i="1"/>
  <c r="CH512" i="1"/>
  <c r="CH513" i="1"/>
  <c r="CH514" i="1"/>
  <c r="CH520" i="1"/>
  <c r="CH521" i="1"/>
  <c r="CH522" i="1"/>
  <c r="CH523" i="1"/>
  <c r="CH524" i="1"/>
  <c r="CH525" i="1"/>
  <c r="CH527" i="1"/>
  <c r="CH528" i="1"/>
  <c r="CH547" i="1"/>
  <c r="CH548" i="1"/>
  <c r="CH550" i="1"/>
  <c r="CH551" i="1"/>
  <c r="CH552" i="1"/>
  <c r="CH553" i="1"/>
  <c r="CH556" i="1"/>
  <c r="CH557" i="1"/>
  <c r="CH558" i="1"/>
  <c r="CH559" i="1"/>
  <c r="CH560" i="1"/>
  <c r="CH561" i="1"/>
  <c r="CH562" i="1"/>
  <c r="CH563" i="1"/>
  <c r="CH564" i="1"/>
  <c r="CH565" i="1"/>
  <c r="CH570" i="1"/>
  <c r="CH571" i="1"/>
  <c r="CH572" i="1"/>
  <c r="CH573" i="1"/>
  <c r="CH574" i="1"/>
  <c r="CH575" i="1"/>
  <c r="CH576" i="1"/>
  <c r="CH577" i="1"/>
  <c r="CH578" i="1"/>
  <c r="CH579" i="1"/>
  <c r="CH580" i="1"/>
  <c r="CH581" i="1"/>
  <c r="CH582" i="1"/>
  <c r="CH586" i="1"/>
  <c r="CH583" i="1"/>
  <c r="CH584" i="1"/>
  <c r="CH587" i="1"/>
  <c r="CH588" i="1"/>
  <c r="CH589" i="1"/>
  <c r="CH590" i="1"/>
  <c r="CH591" i="1"/>
  <c r="CH592" i="1"/>
  <c r="CH594" i="1"/>
  <c r="CH595" i="1"/>
  <c r="CH596" i="1"/>
  <c r="CH597" i="1"/>
  <c r="CH598" i="1"/>
  <c r="CH599" i="1"/>
  <c r="CH600" i="1"/>
  <c r="CH602" i="1"/>
  <c r="CH603" i="1"/>
  <c r="CH606" i="1"/>
  <c r="CH607" i="1"/>
  <c r="CH608" i="1"/>
  <c r="CH615" i="1"/>
  <c r="CH617" i="1"/>
  <c r="CH619" i="1"/>
  <c r="CH620" i="1"/>
  <c r="CH621" i="1"/>
  <c r="CH624" i="1"/>
  <c r="CH625" i="1"/>
  <c r="CH626" i="1"/>
  <c r="CH627" i="1"/>
  <c r="CH628" i="1"/>
  <c r="CH629" i="1"/>
  <c r="CH630" i="1"/>
  <c r="CH631" i="1"/>
  <c r="CH632" i="1"/>
  <c r="CH633" i="1"/>
  <c r="CH649" i="1"/>
  <c r="CH650" i="1"/>
  <c r="CH651" i="1"/>
  <c r="CH652" i="1"/>
  <c r="CH653" i="1"/>
  <c r="CH655" i="1"/>
  <c r="CH656" i="1"/>
  <c r="CH657" i="1"/>
  <c r="CH658" i="1"/>
  <c r="CH659" i="1"/>
  <c r="CH660" i="1"/>
  <c r="CH661" i="1"/>
  <c r="CH662" i="1"/>
  <c r="CH667" i="1"/>
  <c r="CH668" i="1"/>
  <c r="CH669" i="1"/>
  <c r="CH670" i="1"/>
  <c r="CH671" i="1"/>
  <c r="CH672" i="1"/>
  <c r="CH673" i="1"/>
  <c r="CH674" i="1"/>
  <c r="CH675" i="1"/>
  <c r="CH676" i="1"/>
  <c r="CH677" i="1"/>
  <c r="CH678" i="1"/>
  <c r="CH679" i="1"/>
  <c r="CH680" i="1"/>
  <c r="CH681" i="1"/>
  <c r="CH682" i="1"/>
  <c r="CH683" i="1"/>
  <c r="CH684" i="1"/>
  <c r="CH685" i="1"/>
  <c r="CH688" i="1"/>
  <c r="CH689" i="1"/>
  <c r="CH690" i="1"/>
  <c r="CH691" i="1"/>
  <c r="CH692" i="1"/>
  <c r="CH693" i="1"/>
  <c r="CH694" i="1"/>
  <c r="CH695" i="1"/>
  <c r="CH696" i="1"/>
  <c r="CH697" i="1"/>
  <c r="CH698" i="1"/>
  <c r="CH700" i="1"/>
  <c r="CH701" i="1"/>
  <c r="CH702" i="1"/>
  <c r="CH705" i="1"/>
  <c r="CH706" i="1"/>
  <c r="CH707" i="1"/>
  <c r="CH708" i="1"/>
  <c r="CH709" i="1"/>
  <c r="CH711" i="1"/>
  <c r="CH712" i="1"/>
  <c r="CH713" i="1"/>
  <c r="CH714" i="1"/>
  <c r="CH715" i="1"/>
  <c r="CH716" i="1"/>
  <c r="CH717" i="1"/>
  <c r="CH718" i="1"/>
  <c r="CH719" i="1"/>
  <c r="CH720" i="1"/>
  <c r="CH721" i="1"/>
  <c r="CH722" i="1"/>
  <c r="CH723" i="1"/>
  <c r="CH724" i="1"/>
  <c r="CH725" i="1"/>
  <c r="CH732" i="1"/>
  <c r="CH733" i="1"/>
  <c r="CH734" i="1"/>
  <c r="CH735" i="1"/>
  <c r="CH736" i="1"/>
  <c r="CH737" i="1"/>
  <c r="CH738" i="1"/>
  <c r="CH739" i="1"/>
  <c r="CH745" i="1"/>
  <c r="CH746" i="1"/>
  <c r="CH751" i="1"/>
  <c r="CH752" i="1"/>
  <c r="CH753" i="1"/>
  <c r="CH754" i="1"/>
  <c r="CH755" i="1"/>
  <c r="CH756" i="1"/>
  <c r="CH758" i="1"/>
  <c r="CH759" i="1"/>
  <c r="CH760" i="1"/>
  <c r="CH763" i="1"/>
  <c r="CH764" i="1"/>
  <c r="CH765" i="1"/>
  <c r="CH766" i="1"/>
  <c r="CH767" i="1"/>
  <c r="CH768" i="1"/>
  <c r="CH769" i="1"/>
  <c r="CH770" i="1"/>
  <c r="CH772" i="1"/>
  <c r="CH773" i="1"/>
  <c r="CH774" i="1"/>
  <c r="CH775" i="1"/>
  <c r="CH776" i="1"/>
  <c r="CH778" i="1"/>
  <c r="CH779" i="1"/>
  <c r="CH780" i="1"/>
  <c r="CH781" i="1"/>
  <c r="CH782" i="1"/>
  <c r="CH783" i="1"/>
  <c r="CH784" i="1"/>
  <c r="CH785" i="1"/>
  <c r="CH786" i="1"/>
  <c r="CH787" i="1"/>
  <c r="CH788" i="1"/>
  <c r="CH789" i="1"/>
  <c r="CH790" i="1"/>
  <c r="CH791" i="1"/>
  <c r="CH792" i="1"/>
  <c r="CH793" i="1"/>
  <c r="CH794" i="1"/>
  <c r="CH795" i="1"/>
  <c r="CH796" i="1"/>
  <c r="CH797" i="1"/>
  <c r="CH798" i="1"/>
  <c r="CH799" i="1"/>
  <c r="CH800" i="1"/>
  <c r="CH801" i="1"/>
  <c r="CH802" i="1"/>
  <c r="CH803" i="1"/>
  <c r="CH804" i="1"/>
  <c r="CH805" i="1"/>
  <c r="CH806" i="1"/>
  <c r="CH807" i="1"/>
  <c r="CH808" i="1"/>
  <c r="CH809" i="1"/>
  <c r="CH810" i="1"/>
  <c r="CH811" i="1"/>
  <c r="CH812" i="1"/>
  <c r="CH813" i="1"/>
  <c r="CH815" i="1"/>
  <c r="CH816" i="1"/>
  <c r="CH817" i="1"/>
  <c r="CH818" i="1"/>
  <c r="CH819" i="1"/>
  <c r="CH820" i="1"/>
  <c r="CH823" i="1"/>
  <c r="CH824" i="1"/>
  <c r="CH825" i="1"/>
  <c r="CH826" i="1"/>
  <c r="CH827" i="1"/>
  <c r="CH828" i="1"/>
  <c r="CH829" i="1"/>
  <c r="CH832" i="1"/>
  <c r="CH834" i="1"/>
  <c r="CH835" i="1"/>
  <c r="CH836" i="1"/>
  <c r="CH838" i="1"/>
  <c r="CH843" i="1"/>
  <c r="CH844" i="1"/>
  <c r="CH845" i="1"/>
  <c r="CH846" i="1"/>
  <c r="CH847" i="1"/>
  <c r="CH848" i="1"/>
  <c r="CH849" i="1"/>
  <c r="CH850" i="1"/>
  <c r="CH851" i="1"/>
  <c r="CH852" i="1"/>
  <c r="CH853" i="1"/>
  <c r="CH854" i="1"/>
  <c r="CH855" i="1"/>
  <c r="CH856" i="1"/>
  <c r="CH863" i="1"/>
  <c r="CH864" i="1"/>
  <c r="CH865" i="1"/>
  <c r="CH866" i="1"/>
  <c r="CH868" i="1"/>
  <c r="CH869" i="1"/>
  <c r="CH874" i="1"/>
  <c r="CH875" i="1"/>
  <c r="CH876" i="1"/>
  <c r="CH877" i="1"/>
  <c r="CH878" i="1"/>
  <c r="CH879" i="1"/>
  <c r="CH880" i="1"/>
  <c r="CH881" i="1"/>
  <c r="CH882" i="1"/>
  <c r="CH883" i="1"/>
  <c r="CH884" i="1"/>
  <c r="CH885" i="1"/>
  <c r="CH886" i="1"/>
  <c r="CH887" i="1"/>
  <c r="CH888" i="1"/>
  <c r="CH889" i="1"/>
  <c r="CH890" i="1"/>
  <c r="CH891" i="1"/>
  <c r="CH894" i="1"/>
  <c r="CH895" i="1"/>
  <c r="CH896" i="1"/>
  <c r="CH897" i="1"/>
  <c r="CH898" i="1"/>
  <c r="CH899" i="1"/>
  <c r="CH900" i="1"/>
  <c r="CH901" i="1"/>
  <c r="CH902" i="1"/>
  <c r="CH903" i="1"/>
  <c r="CH904" i="1"/>
  <c r="CH905" i="1"/>
  <c r="CH911" i="1"/>
  <c r="CH912" i="1"/>
  <c r="CH914" i="1"/>
  <c r="CH915" i="1"/>
  <c r="CH918" i="1"/>
  <c r="CH919" i="1"/>
  <c r="CH920" i="1"/>
  <c r="CH921" i="1"/>
  <c r="CH922" i="1"/>
  <c r="CH923" i="1"/>
  <c r="CH924" i="1"/>
  <c r="CH925" i="1"/>
  <c r="CH926" i="1"/>
  <c r="CH935" i="1"/>
  <c r="CH936" i="1"/>
  <c r="CH937" i="1"/>
  <c r="CH938" i="1"/>
  <c r="CH939" i="1"/>
  <c r="CH940" i="1"/>
  <c r="CH941" i="1"/>
  <c r="CH942" i="1"/>
  <c r="CH944" i="1"/>
  <c r="CH946" i="1"/>
  <c r="CH947" i="1"/>
  <c r="CH948" i="1"/>
  <c r="CH949" i="1"/>
  <c r="CH950" i="1"/>
  <c r="CH951" i="1"/>
  <c r="CH956" i="1"/>
  <c r="CH957" i="1"/>
  <c r="CH962" i="1"/>
  <c r="CH973" i="1"/>
  <c r="CH974" i="1"/>
  <c r="CH976" i="1"/>
  <c r="CH977" i="1"/>
  <c r="CH978" i="1"/>
  <c r="CH979" i="1"/>
  <c r="CH980" i="1"/>
  <c r="CH982" i="1"/>
  <c r="CH983" i="1"/>
  <c r="CH984" i="1"/>
  <c r="CH985" i="1"/>
  <c r="CH986" i="1"/>
  <c r="CH987" i="1"/>
  <c r="CH988" i="1"/>
  <c r="CH990" i="1"/>
  <c r="CH991" i="1"/>
  <c r="CH993" i="1"/>
  <c r="CH1001" i="1"/>
  <c r="CH1002" i="1"/>
  <c r="CH1005" i="1"/>
  <c r="CH1006" i="1"/>
  <c r="CH1007" i="1"/>
  <c r="CH1009" i="1"/>
  <c r="CH1010" i="1"/>
  <c r="CH1011" i="1"/>
  <c r="CH1013" i="1"/>
  <c r="CH1014" i="1"/>
  <c r="CH1015" i="1"/>
  <c r="CH1017" i="1"/>
  <c r="CH1018" i="1"/>
  <c r="CH1019" i="1"/>
  <c r="CH1020" i="1"/>
  <c r="CH1021" i="1"/>
  <c r="CH1022" i="1"/>
  <c r="CH1023" i="1"/>
  <c r="CH1024" i="1"/>
  <c r="CH1025" i="1"/>
  <c r="CH1026" i="1"/>
  <c r="CH1027" i="1"/>
  <c r="CH1028" i="1"/>
  <c r="CH1029" i="1"/>
  <c r="CH1030" i="1"/>
  <c r="CH1031" i="1"/>
  <c r="CH1032" i="1"/>
  <c r="CH1033" i="1"/>
  <c r="CH1034" i="1"/>
  <c r="CH1035" i="1"/>
  <c r="CH1036" i="1"/>
  <c r="CH1037" i="1"/>
  <c r="CH1038" i="1"/>
  <c r="CH1039" i="1"/>
  <c r="CH1040" i="1"/>
  <c r="CH1041" i="1"/>
  <c r="CH1042" i="1"/>
  <c r="CH1043" i="1"/>
  <c r="CH1044" i="1"/>
  <c r="CH1068" i="1"/>
  <c r="CH1069" i="1"/>
  <c r="CH1071" i="1"/>
  <c r="CH1072" i="1"/>
  <c r="CH1073" i="1"/>
  <c r="CH1074" i="1"/>
  <c r="CH1075" i="1"/>
  <c r="CH1076" i="1"/>
  <c r="CH1080" i="1"/>
  <c r="CH1081" i="1"/>
  <c r="CH1091" i="1"/>
  <c r="CH1092" i="1"/>
  <c r="CH1093" i="1"/>
  <c r="CH1094" i="1"/>
  <c r="CH1095" i="1"/>
  <c r="CH1096" i="1"/>
  <c r="CH1099" i="1"/>
  <c r="CH1100" i="1"/>
  <c r="CH1102" i="1"/>
  <c r="CH1103" i="1"/>
  <c r="CH1104" i="1"/>
  <c r="CH1105" i="1"/>
  <c r="CH1106" i="1"/>
  <c r="CH1108" i="1"/>
  <c r="CH1109" i="1"/>
  <c r="CH1110" i="1"/>
  <c r="CH1111" i="1"/>
  <c r="CH1112" i="1"/>
  <c r="CH1113" i="1"/>
  <c r="CH1114" i="1"/>
  <c r="CH1115" i="1"/>
  <c r="CH1116" i="1"/>
  <c r="CH1117" i="1"/>
  <c r="CH1118" i="1"/>
  <c r="CH1119" i="1"/>
  <c r="CH1120" i="1"/>
  <c r="CH1121" i="1"/>
  <c r="CH1122" i="1"/>
  <c r="CH1123" i="1"/>
  <c r="CH1127" i="1"/>
  <c r="CH1128" i="1"/>
  <c r="CH1129" i="1"/>
  <c r="CH1130" i="1"/>
  <c r="CH1131" i="1"/>
  <c r="CH1132" i="1"/>
  <c r="CH1133" i="1"/>
  <c r="CH1134" i="1"/>
  <c r="CH1135" i="1"/>
  <c r="CH1136" i="1"/>
  <c r="CH1137" i="1"/>
  <c r="CH1138" i="1"/>
  <c r="CH1139" i="1"/>
  <c r="CH1140" i="1"/>
  <c r="CH1141" i="1"/>
  <c r="CH1142" i="1"/>
  <c r="CH1143" i="1"/>
  <c r="CH1144" i="1"/>
  <c r="CH1145" i="1"/>
  <c r="CH1146" i="1"/>
  <c r="CH1147" i="1"/>
  <c r="CH1148" i="1"/>
  <c r="CH1149" i="1"/>
  <c r="CH1150" i="1"/>
  <c r="CH1151" i="1"/>
  <c r="CH1152" i="1"/>
  <c r="CH1153" i="1"/>
  <c r="CH1154" i="1"/>
  <c r="CH1155" i="1"/>
  <c r="CH1157" i="1"/>
  <c r="CH1158" i="1"/>
  <c r="CH1159" i="1"/>
  <c r="CH1161" i="1"/>
  <c r="CH1162" i="1"/>
  <c r="CH1163" i="1"/>
  <c r="CH1164" i="1"/>
  <c r="CH1165" i="1"/>
  <c r="CH1166" i="1"/>
  <c r="CH1167" i="1"/>
  <c r="CH1168" i="1"/>
  <c r="CH1169" i="1"/>
  <c r="CH1170" i="1"/>
  <c r="CH1171" i="1"/>
  <c r="CH1172" i="1"/>
  <c r="CH1173" i="1"/>
  <c r="CH1174" i="1"/>
  <c r="CH1175" i="1"/>
  <c r="CH1176" i="1"/>
  <c r="CH1177" i="1"/>
  <c r="CH1178" i="1"/>
  <c r="CH1179" i="1"/>
  <c r="CH1180" i="1"/>
  <c r="CH1181" i="1"/>
  <c r="CH1182" i="1"/>
  <c r="CH1183" i="1"/>
  <c r="CH1184" i="1"/>
  <c r="CH1185" i="1"/>
  <c r="CH1186" i="1"/>
  <c r="CH1187" i="1"/>
  <c r="CH1188" i="1"/>
  <c r="CH1189" i="1"/>
  <c r="CH1190" i="1"/>
  <c r="CH1191" i="1"/>
  <c r="CH1192" i="1"/>
  <c r="CH1193" i="1"/>
  <c r="CH1194" i="1"/>
  <c r="CH1197" i="1"/>
  <c r="CH1198" i="1"/>
  <c r="CH1199" i="1"/>
  <c r="CH1200" i="1"/>
  <c r="CH1201" i="1"/>
  <c r="CH1083" i="1"/>
  <c r="CH473" i="1"/>
  <c r="CH1213" i="1"/>
  <c r="CH41" i="1"/>
  <c r="CH645" i="1"/>
  <c r="CH431" i="1"/>
  <c r="CH995" i="1"/>
  <c r="CH1051" i="1"/>
  <c r="CH104" i="1"/>
  <c r="CH1067" i="1"/>
  <c r="CH324" i="1"/>
  <c r="CH614" i="1"/>
  <c r="CH963" i="1"/>
  <c r="CH31" i="1"/>
  <c r="CH1097" i="1"/>
  <c r="CH549" i="1"/>
  <c r="CH837" i="1"/>
  <c r="CH609" i="1"/>
  <c r="CH604" i="1"/>
  <c r="CH538" i="1"/>
  <c r="CH648" i="1"/>
  <c r="CH519" i="1"/>
  <c r="CH958" i="1"/>
  <c r="CH82" i="1"/>
  <c r="CH208" i="1"/>
  <c r="CH299" i="1"/>
  <c r="CH909" i="1"/>
  <c r="CH65" i="1"/>
  <c r="CH964" i="1"/>
  <c r="CH1082" i="1"/>
  <c r="CH992" i="1"/>
  <c r="CH108" i="1"/>
  <c r="CH703" i="1"/>
  <c r="CH907" i="1"/>
  <c r="CH517" i="1"/>
  <c r="CH618" i="1"/>
  <c r="CH51" i="1"/>
  <c r="CH757" i="1"/>
  <c r="CH638" i="1"/>
  <c r="CH92" i="1"/>
  <c r="CH501" i="1"/>
  <c r="CH1070" i="1"/>
  <c r="CH350" i="1"/>
  <c r="CH530" i="1"/>
  <c r="CH222" i="1"/>
  <c r="CH359" i="1"/>
  <c r="CH654" i="1"/>
  <c r="CH337" i="1"/>
  <c r="CH952" i="1"/>
  <c r="CH185" i="1"/>
  <c r="CH910" i="1"/>
  <c r="CH833" i="1"/>
  <c r="CH927" i="1"/>
  <c r="CH454" i="1"/>
  <c r="CH822" i="1"/>
  <c r="CH198" i="1"/>
  <c r="CH646" i="1"/>
  <c r="CH543" i="1"/>
  <c r="CH304" i="1"/>
  <c r="CH26" i="1"/>
  <c r="CH398" i="1"/>
  <c r="CH45" i="1"/>
  <c r="CH1215" i="1"/>
  <c r="CH1195" i="1"/>
  <c r="CH469" i="1"/>
  <c r="CH246" i="1"/>
  <c r="CH288" i="1"/>
  <c r="CH360" i="1"/>
  <c r="CH73" i="1"/>
  <c r="CH554" i="1"/>
  <c r="CH294" i="1"/>
  <c r="CH1124" i="1"/>
  <c r="CH953" i="1"/>
  <c r="CH67" i="1"/>
  <c r="CH58" i="1"/>
  <c r="CH870" i="1"/>
  <c r="CH325" i="1"/>
  <c r="CH1059" i="1"/>
  <c r="CH74" i="1"/>
  <c r="CH569" i="1"/>
  <c r="CH42" i="1"/>
  <c r="CH382" i="1"/>
  <c r="CH32" i="1"/>
  <c r="CH928" i="1"/>
  <c r="CH639" i="1"/>
  <c r="CH857" i="1"/>
  <c r="CH1045" i="1"/>
  <c r="CH68" i="1"/>
  <c r="CH1085" i="1"/>
  <c r="CH251" i="1"/>
  <c r="CH529" i="1"/>
  <c r="CH1000" i="1"/>
  <c r="CH60" i="1"/>
  <c r="CH1060" i="1"/>
  <c r="CH432" i="1"/>
  <c r="CH1214" i="1"/>
  <c r="CH635" i="1"/>
  <c r="CH300" i="1"/>
  <c r="CH52" i="1"/>
  <c r="CH192" i="1"/>
  <c r="CH86" i="1"/>
  <c r="CH1211" i="1"/>
  <c r="CH411" i="1"/>
  <c r="CH1077" i="1"/>
  <c r="CH289" i="1"/>
  <c r="CH502" i="1"/>
  <c r="CH503" i="1"/>
  <c r="CH961" i="1"/>
  <c r="CH399" i="1"/>
  <c r="CH842" i="1"/>
  <c r="CH284" i="1"/>
  <c r="CH1049" i="1"/>
  <c r="CH35" i="1"/>
  <c r="CH211" i="1"/>
  <c r="CH515" i="1"/>
  <c r="CH840" i="1"/>
  <c r="CH537" i="1"/>
  <c r="CH356" i="1"/>
  <c r="CH981" i="1"/>
  <c r="CH965" i="1"/>
  <c r="CH305" i="1"/>
  <c r="CH290" i="1"/>
  <c r="CH297" i="1"/>
  <c r="CH87" i="1"/>
  <c r="CH184" i="1"/>
  <c r="CH451" i="1"/>
  <c r="CH312" i="1"/>
  <c r="CH465" i="1"/>
  <c r="CH544" i="1"/>
  <c r="CH1107" i="1"/>
  <c r="CH1222" i="1"/>
  <c r="CH1088" i="1"/>
  <c r="CH383" i="1"/>
  <c r="CH636" i="1"/>
  <c r="CH27" i="1"/>
  <c r="CH130" i="1"/>
  <c r="CH814" i="1"/>
  <c r="CH966" i="1"/>
  <c r="CH1204" i="1"/>
  <c r="CH972" i="1"/>
  <c r="CH867" i="1"/>
  <c r="CH748" i="1"/>
  <c r="CH59" i="1"/>
  <c r="CH727" i="1"/>
  <c r="CH301" i="1"/>
  <c r="CH64" i="1"/>
  <c r="CH1052" i="1"/>
  <c r="CH1126" i="1"/>
  <c r="CH316" i="1"/>
  <c r="CH314" i="1"/>
  <c r="CH536" i="1"/>
  <c r="CH53" i="1"/>
  <c r="CH687" i="1"/>
  <c r="CH40" i="1"/>
  <c r="CH322" i="1"/>
  <c r="CH841" i="1"/>
  <c r="CH498" i="1"/>
  <c r="CH1218" i="1"/>
  <c r="CH397" i="1"/>
  <c r="CH186" i="1"/>
  <c r="CH455" i="1"/>
  <c r="CH929" i="1"/>
  <c r="CH740" i="1"/>
  <c r="CH1219" i="1"/>
  <c r="CH567" i="1"/>
  <c r="CH357" i="1"/>
  <c r="CH488" i="1"/>
  <c r="CH351" i="1"/>
  <c r="CH568" i="1"/>
  <c r="CH81" i="1"/>
  <c r="CH996" i="1"/>
  <c r="CH247" i="1"/>
  <c r="CH616" i="1"/>
  <c r="CH913" i="1"/>
  <c r="CH1090" i="1"/>
  <c r="CH892" i="1"/>
  <c r="CH199" i="1"/>
  <c r="CH1216" i="1"/>
  <c r="CH323" i="1"/>
  <c r="CH1205" i="1"/>
  <c r="CH457" i="1"/>
  <c r="CH555" i="1"/>
  <c r="CH1125" i="1"/>
  <c r="CH93" i="1"/>
  <c r="CH200" i="1"/>
  <c r="CH466" i="1"/>
  <c r="CH585" i="1"/>
  <c r="CH43" i="1"/>
  <c r="CH419" i="1"/>
  <c r="CH1156" i="1"/>
  <c r="CH29" i="1"/>
  <c r="CH1210" i="1"/>
  <c r="CH495" i="1"/>
  <c r="CH916" i="1"/>
  <c r="CH1050" i="1"/>
  <c r="CH1203" i="1"/>
  <c r="CH1221" i="1"/>
  <c r="CH1206" i="1"/>
  <c r="CH1012" i="1"/>
  <c r="CH361" i="1"/>
  <c r="CH1207" i="1"/>
  <c r="CH201" i="1"/>
  <c r="CH243" i="1"/>
  <c r="CH362" i="1"/>
  <c r="CH930" i="1"/>
  <c r="CH531" i="1"/>
  <c r="CH997" i="1"/>
  <c r="CH83" i="1"/>
  <c r="CH202" i="1"/>
  <c r="CH1004" i="1"/>
  <c r="CH460" i="1"/>
  <c r="CH214" i="1"/>
  <c r="CH276" i="1"/>
  <c r="CH1016" i="1"/>
  <c r="CH1061" i="1"/>
  <c r="CH433" i="1"/>
  <c r="CH349" i="1"/>
  <c r="CH191" i="1"/>
  <c r="CH417" i="1"/>
  <c r="CH871" i="1"/>
  <c r="CH1062" i="1"/>
  <c r="CH61" i="1"/>
  <c r="CH452" i="1"/>
  <c r="CH830" i="1"/>
  <c r="CH418" i="1"/>
  <c r="CH499" i="1"/>
  <c r="CH227" i="1"/>
  <c r="CH1053" i="1"/>
  <c r="CH862" i="1"/>
  <c r="CH969" i="1"/>
  <c r="CH240" i="1"/>
  <c r="CH541" i="1"/>
  <c r="CH518" i="1"/>
  <c r="CH384" i="1"/>
  <c r="CH1054" i="1"/>
  <c r="CH954" i="1"/>
  <c r="CH623" i="1"/>
  <c r="CH728" i="1"/>
  <c r="CH62" i="1"/>
  <c r="CH610" i="1"/>
  <c r="CH470" i="1"/>
  <c r="CH893" i="1"/>
  <c r="CH943" i="1"/>
  <c r="CH747" i="1"/>
  <c r="CH63" i="1"/>
  <c r="CH283" i="1"/>
  <c r="CH640" i="1"/>
  <c r="CH998" i="1"/>
  <c r="CH545" i="1"/>
  <c r="CH906" i="1"/>
  <c r="CH37" i="1"/>
  <c r="CH497" i="1"/>
  <c r="CH448" i="1"/>
  <c r="CH400" i="1"/>
  <c r="CH487" i="1"/>
  <c r="CH741" i="1"/>
  <c r="CH481" i="1"/>
  <c r="CH504" i="1"/>
  <c r="CH908" i="1"/>
  <c r="CH285" i="1"/>
  <c r="CH989" i="1"/>
  <c r="CH821" i="1"/>
  <c r="CH365" i="1"/>
  <c r="CH1063" i="1"/>
  <c r="CH507" i="1"/>
  <c r="CH492" i="1"/>
  <c r="CH762" i="1"/>
  <c r="CH566" i="1"/>
  <c r="CH385" i="1"/>
  <c r="CH858" i="1"/>
  <c r="CH546" i="1"/>
  <c r="CH967" i="1"/>
  <c r="CH532" i="1"/>
  <c r="CH500" i="1"/>
  <c r="CH663" i="1"/>
  <c r="CH212" i="1"/>
  <c r="CH1160" i="1"/>
  <c r="CH36" i="1"/>
  <c r="CH960" i="1"/>
  <c r="CH449" i="1"/>
  <c r="CH396" i="1"/>
  <c r="CH471" i="1"/>
  <c r="CH95" i="1"/>
  <c r="CH761" i="1"/>
  <c r="CH88" i="1"/>
  <c r="CH94" i="1"/>
  <c r="CH386" i="1"/>
  <c r="CH968" i="1"/>
  <c r="CH1101" i="1"/>
  <c r="CH306" i="1"/>
  <c r="CH664" i="1"/>
  <c r="CH593" i="1"/>
  <c r="CH1078" i="1"/>
  <c r="CH859" i="1"/>
  <c r="CH970" i="1"/>
  <c r="CH482" i="1"/>
  <c r="CH70" i="1"/>
  <c r="CH533" i="1"/>
  <c r="CH665" i="1"/>
  <c r="CH54" i="1"/>
  <c r="CH1008" i="1"/>
  <c r="CH931" i="1"/>
  <c r="CH96" i="1"/>
  <c r="CH494" i="1"/>
  <c r="CH262" i="1"/>
  <c r="CH1086" i="1"/>
  <c r="CH1217" i="1"/>
  <c r="CH742" i="1"/>
  <c r="CH483" i="1"/>
  <c r="CH934" i="1"/>
  <c r="CH1046" i="1"/>
  <c r="CH363" i="1"/>
  <c r="CH1047" i="1"/>
  <c r="CH730" i="1"/>
  <c r="CH91" i="1"/>
  <c r="CH197" i="1"/>
  <c r="CH317" i="1"/>
  <c r="CH1208" i="1"/>
  <c r="CH1003" i="1"/>
  <c r="CH611" i="1"/>
  <c r="CH412" i="1"/>
  <c r="CH248" i="1"/>
  <c r="CH213" i="1"/>
  <c r="CH173" i="1"/>
  <c r="CH971" i="1"/>
  <c r="CH994" i="1"/>
  <c r="CH413" i="1"/>
  <c r="CH1048" i="1"/>
  <c r="CH33" i="1"/>
  <c r="CH1064" i="1"/>
  <c r="CH453" i="1"/>
  <c r="CH771" i="1"/>
  <c r="CH401" i="1"/>
  <c r="CH534" i="1"/>
  <c r="CH484" i="1"/>
  <c r="CH352" i="1"/>
  <c r="CH861" i="1"/>
  <c r="CH206" i="1"/>
  <c r="CH744" i="1"/>
  <c r="CH1196" i="1"/>
  <c r="CH637" i="1"/>
  <c r="CH542" i="1"/>
  <c r="CH187" i="1"/>
  <c r="CH203" i="1"/>
  <c r="CH493" i="1"/>
  <c r="CH1055" i="1"/>
  <c r="CH1065" i="1"/>
  <c r="CH209" i="1"/>
  <c r="CH193" i="1"/>
  <c r="CH55" i="1"/>
  <c r="CH726" i="1"/>
  <c r="CH641" i="1"/>
  <c r="CH526" i="1"/>
  <c r="CH174" i="1"/>
  <c r="CH302" i="1"/>
  <c r="CH34" i="1"/>
  <c r="CH644" i="1"/>
  <c r="CH44" i="1"/>
  <c r="CH1220" i="1"/>
  <c r="CH194" i="1"/>
  <c r="CH917" i="1"/>
  <c r="CH872" i="1"/>
  <c r="CH188" i="1"/>
  <c r="CH28" i="1"/>
  <c r="CH1089" i="1"/>
  <c r="CH749" i="1"/>
  <c r="CH89" i="1"/>
  <c r="CH69" i="1"/>
  <c r="CH395" i="1"/>
  <c r="CH450" i="1"/>
  <c r="CH467" i="1"/>
  <c r="CH1066" i="1"/>
  <c r="CH39" i="1"/>
  <c r="CH601" i="1"/>
  <c r="CH402" i="1"/>
  <c r="CH777" i="1"/>
  <c r="CH710" i="1"/>
  <c r="CH1202" i="1"/>
  <c r="CH56" i="1"/>
  <c r="CH458" i="1"/>
  <c r="CH643" i="1"/>
  <c r="CH1058" i="1"/>
  <c r="CH959" i="1"/>
  <c r="CH1212" i="1"/>
  <c r="CH647" i="1"/>
  <c r="CH204" i="1"/>
  <c r="CH750" i="1"/>
  <c r="CH295" i="1"/>
  <c r="CH612" i="1"/>
  <c r="CH459" i="1"/>
  <c r="CH472" i="1"/>
  <c r="CH485" i="1"/>
  <c r="CH189" i="1"/>
  <c r="CH535" i="1"/>
  <c r="CH50" i="1"/>
  <c r="CH743" i="1"/>
  <c r="CH1209" i="1"/>
  <c r="CH291" i="1"/>
  <c r="CH539" i="1"/>
  <c r="CH666" i="1"/>
  <c r="CH516" i="1"/>
  <c r="CH205" i="1"/>
  <c r="CH999" i="1"/>
  <c r="CH486" i="1"/>
  <c r="CH839" i="1"/>
  <c r="CH456" i="1"/>
  <c r="CH1084" i="1"/>
  <c r="CH613" i="1"/>
  <c r="CH298" i="1"/>
  <c r="CH353" i="1"/>
  <c r="CH699" i="1"/>
  <c r="CH90" i="1"/>
  <c r="CH932" i="1"/>
  <c r="CH1056" i="1"/>
  <c r="CH975" i="1"/>
  <c r="CH1057" i="1"/>
  <c r="CH315" i="1"/>
  <c r="CH1098" i="1"/>
  <c r="CH57" i="1"/>
  <c r="CH286" i="1"/>
  <c r="CH403" i="1"/>
  <c r="CH731" i="1"/>
  <c r="CH729" i="1"/>
  <c r="CH605" i="1"/>
  <c r="CH468" i="1"/>
  <c r="CH303" i="1"/>
  <c r="CH860" i="1"/>
  <c r="CH210" i="1"/>
  <c r="CH496" i="1"/>
  <c r="CH320" i="1"/>
  <c r="CH634" i="1"/>
  <c r="CH293" i="1"/>
  <c r="CH307" i="1"/>
  <c r="CH686" i="1"/>
  <c r="CH505" i="1"/>
  <c r="CH540" i="1"/>
  <c r="CH25" i="1"/>
  <c r="CH30" i="1"/>
  <c r="CH308" i="1"/>
  <c r="CH955" i="1"/>
  <c r="CH642" i="1"/>
  <c r="CH873" i="1"/>
  <c r="CH38" i="1"/>
  <c r="CH1087" i="1"/>
  <c r="CH287" i="1"/>
  <c r="CH364" i="1"/>
  <c r="CH933" i="1"/>
  <c r="CH831" i="1"/>
  <c r="CH622" i="1"/>
  <c r="CH1079" i="1"/>
  <c r="CH292" i="1"/>
  <c r="CH945" i="1"/>
  <c r="CH1223" i="1"/>
  <c r="CV19" i="1" a="1"/>
  <c r="CV19" i="1" s="1"/>
  <c r="CV20" i="1" a="1"/>
  <c r="CV20" i="1" s="1"/>
  <c r="CV22" i="1" a="1"/>
  <c r="CV22" i="1" s="1"/>
  <c r="CV23" i="1" a="1"/>
  <c r="CV23" i="1" s="1"/>
  <c r="CV46" i="1" a="1"/>
  <c r="CV46" i="1" s="1"/>
  <c r="CV47" i="1" a="1"/>
  <c r="CV47" i="1" s="1"/>
  <c r="CV48" i="1" a="1"/>
  <c r="CV48" i="1" s="1"/>
  <c r="CV49" i="1" a="1"/>
  <c r="CV49" i="1" s="1"/>
  <c r="CV66" i="1" a="1"/>
  <c r="CV66" i="1" s="1"/>
  <c r="CV71" i="1" a="1"/>
  <c r="CV71" i="1" s="1"/>
  <c r="CV72" i="1" a="1"/>
  <c r="CV72" i="1" s="1"/>
  <c r="CV75" i="1" a="1"/>
  <c r="CV75" i="1" s="1"/>
  <c r="CV76" i="1" a="1"/>
  <c r="CV76" i="1" s="1"/>
  <c r="CV77" i="1" a="1"/>
  <c r="CV77" i="1" s="1"/>
  <c r="CV78" i="1" a="1"/>
  <c r="CV78" i="1" s="1"/>
  <c r="CV79" i="1" a="1"/>
  <c r="CV79" i="1" s="1"/>
  <c r="CV80" i="1" a="1"/>
  <c r="CV80" i="1" s="1"/>
  <c r="CV84" i="1" a="1"/>
  <c r="CV84" i="1" s="1"/>
  <c r="CV85" i="1" a="1"/>
  <c r="CV85" i="1" s="1"/>
  <c r="CV97" i="1" a="1"/>
  <c r="CV97" i="1" s="1"/>
  <c r="CV98" i="1" a="1"/>
  <c r="CV98" i="1" s="1"/>
  <c r="CV99" i="1" a="1"/>
  <c r="CV99" i="1" s="1"/>
  <c r="CV100" i="1" a="1"/>
  <c r="CV100" i="1" s="1"/>
  <c r="CV101" i="1" a="1"/>
  <c r="CV101" i="1" s="1"/>
  <c r="CV102" i="1" a="1"/>
  <c r="CV102" i="1" s="1"/>
  <c r="CV103" i="1" a="1"/>
  <c r="CV103" i="1" s="1"/>
  <c r="CV105" i="1" a="1"/>
  <c r="CV105" i="1" s="1"/>
  <c r="CV106" i="1" a="1"/>
  <c r="CV106" i="1" s="1"/>
  <c r="CV107" i="1" a="1"/>
  <c r="CV107" i="1" s="1"/>
  <c r="CV109" i="1" a="1"/>
  <c r="CV109" i="1" s="1"/>
  <c r="CV110" i="1" a="1"/>
  <c r="CV110" i="1" s="1"/>
  <c r="CV111" i="1" a="1"/>
  <c r="CV111" i="1" s="1"/>
  <c r="CV112" i="1" a="1"/>
  <c r="CV112" i="1" s="1"/>
  <c r="CV113" i="1" a="1"/>
  <c r="CV113" i="1" s="1"/>
  <c r="CV114" i="1" a="1"/>
  <c r="CV114" i="1" s="1"/>
  <c r="CV115" i="1" a="1"/>
  <c r="CV115" i="1" s="1"/>
  <c r="CV116" i="1" a="1"/>
  <c r="CV116" i="1" s="1"/>
  <c r="CV117" i="1" a="1"/>
  <c r="CV117" i="1" s="1"/>
  <c r="CV118" i="1" a="1"/>
  <c r="CV118" i="1" s="1"/>
  <c r="CV119" i="1" a="1"/>
  <c r="CV119" i="1" s="1"/>
  <c r="CV120" i="1" a="1"/>
  <c r="CV120" i="1" s="1"/>
  <c r="CV121" i="1" a="1"/>
  <c r="CV121" i="1" s="1"/>
  <c r="CV122" i="1" a="1"/>
  <c r="CV122" i="1" s="1"/>
  <c r="CV123" i="1" a="1"/>
  <c r="CV123" i="1" s="1"/>
  <c r="CV124" i="1" a="1"/>
  <c r="CV124" i="1" s="1"/>
  <c r="CV125" i="1" a="1"/>
  <c r="CV125" i="1" s="1"/>
  <c r="CV126" i="1" a="1"/>
  <c r="CV126" i="1" s="1"/>
  <c r="CV127" i="1" a="1"/>
  <c r="CV127" i="1" s="1"/>
  <c r="CV128" i="1" a="1"/>
  <c r="CV128" i="1" s="1"/>
  <c r="CV129" i="1" a="1"/>
  <c r="CV129" i="1" s="1"/>
  <c r="CV131" i="1" a="1"/>
  <c r="CV131" i="1" s="1"/>
  <c r="CV132" i="1" a="1"/>
  <c r="CV132" i="1" s="1"/>
  <c r="CV133" i="1" a="1"/>
  <c r="CV133" i="1" s="1"/>
  <c r="CV134" i="1" a="1"/>
  <c r="CV134" i="1" s="1"/>
  <c r="CV135" i="1" a="1"/>
  <c r="CV135" i="1" s="1"/>
  <c r="CV136" i="1" a="1"/>
  <c r="CV136" i="1" s="1"/>
  <c r="CV137" i="1" a="1"/>
  <c r="CV137" i="1" s="1"/>
  <c r="CV138" i="1" a="1"/>
  <c r="CV138" i="1" s="1"/>
  <c r="CV139" i="1" a="1"/>
  <c r="CV139" i="1" s="1"/>
  <c r="CV140" i="1" a="1"/>
  <c r="CV140" i="1" s="1"/>
  <c r="CV141" i="1" a="1"/>
  <c r="CV141" i="1" s="1"/>
  <c r="CV142" i="1" a="1"/>
  <c r="CV142" i="1" s="1"/>
  <c r="CV143" i="1" a="1"/>
  <c r="CV143" i="1" s="1"/>
  <c r="CV144" i="1" a="1"/>
  <c r="CV144" i="1" s="1"/>
  <c r="CV145" i="1" a="1"/>
  <c r="CV145" i="1" s="1"/>
  <c r="CV146" i="1" a="1"/>
  <c r="CV146" i="1" s="1"/>
  <c r="CV147" i="1" a="1"/>
  <c r="CV147" i="1" s="1"/>
  <c r="CV148" i="1" a="1"/>
  <c r="CV148" i="1" s="1"/>
  <c r="CV149" i="1" a="1"/>
  <c r="CV149" i="1" s="1"/>
  <c r="CV150" i="1" a="1"/>
  <c r="CV150" i="1" s="1"/>
  <c r="CV152" i="1" a="1"/>
  <c r="CV152" i="1" s="1"/>
  <c r="CV153" i="1" a="1"/>
  <c r="CV153" i="1" s="1"/>
  <c r="CV154" i="1" a="1"/>
  <c r="CV154" i="1" s="1"/>
  <c r="CV155" i="1" a="1"/>
  <c r="CV155" i="1" s="1"/>
  <c r="CV156" i="1" a="1"/>
  <c r="CV156" i="1" s="1"/>
  <c r="CV151" i="1" a="1"/>
  <c r="CV151" i="1" s="1"/>
  <c r="CV157" i="1" a="1"/>
  <c r="CV157" i="1" s="1"/>
  <c r="CV158" i="1" a="1"/>
  <c r="CV158" i="1" s="1"/>
  <c r="CV159" i="1" a="1"/>
  <c r="CV159" i="1" s="1"/>
  <c r="CV160" i="1" a="1"/>
  <c r="CV160" i="1" s="1"/>
  <c r="CV161" i="1" a="1"/>
  <c r="CV161" i="1" s="1"/>
  <c r="CV162" i="1" a="1"/>
  <c r="CV162" i="1" s="1"/>
  <c r="CV163" i="1" a="1"/>
  <c r="CV163" i="1" s="1"/>
  <c r="CV164" i="1" a="1"/>
  <c r="CV164" i="1" s="1"/>
  <c r="CV165" i="1" a="1"/>
  <c r="CV165" i="1" s="1"/>
  <c r="CV166" i="1" a="1"/>
  <c r="CV166" i="1" s="1"/>
  <c r="CV167" i="1" a="1"/>
  <c r="CV167" i="1" s="1"/>
  <c r="CV168" i="1" a="1"/>
  <c r="CV168" i="1" s="1"/>
  <c r="CV169" i="1" a="1"/>
  <c r="CV169" i="1" s="1"/>
  <c r="CV170" i="1" a="1"/>
  <c r="CV170" i="1" s="1"/>
  <c r="CV171" i="1" a="1"/>
  <c r="CV171" i="1" s="1"/>
  <c r="CV172" i="1" a="1"/>
  <c r="CV172" i="1" s="1"/>
  <c r="CV175" i="1" a="1"/>
  <c r="CV175" i="1" s="1"/>
  <c r="CV176" i="1" a="1"/>
  <c r="CV176" i="1" s="1"/>
  <c r="CV177" i="1" a="1"/>
  <c r="CV177" i="1" s="1"/>
  <c r="CV178" i="1" a="1"/>
  <c r="CV178" i="1" s="1"/>
  <c r="CV179" i="1" a="1"/>
  <c r="CV179" i="1" s="1"/>
  <c r="CV180" i="1" a="1"/>
  <c r="CV180" i="1" s="1"/>
  <c r="CV181" i="1" a="1"/>
  <c r="CV181" i="1" s="1"/>
  <c r="CV182" i="1" a="1"/>
  <c r="CV182" i="1" s="1"/>
  <c r="CV183" i="1" a="1"/>
  <c r="CV183" i="1" s="1"/>
  <c r="CV190" i="1" a="1"/>
  <c r="CV190" i="1" s="1"/>
  <c r="CV195" i="1" a="1"/>
  <c r="CV195" i="1" s="1"/>
  <c r="CV196" i="1" a="1"/>
  <c r="CV196" i="1" s="1"/>
  <c r="CV207" i="1" a="1"/>
  <c r="CV207" i="1" s="1"/>
  <c r="CV215" i="1" a="1"/>
  <c r="CV215" i="1" s="1"/>
  <c r="CV216" i="1" a="1"/>
  <c r="CV216" i="1" s="1"/>
  <c r="CV217" i="1" a="1"/>
  <c r="CV217" i="1" s="1"/>
  <c r="CV218" i="1" a="1"/>
  <c r="CV218" i="1" s="1"/>
  <c r="CV219" i="1" a="1"/>
  <c r="CV219" i="1" s="1"/>
  <c r="CV220" i="1" a="1"/>
  <c r="CV220" i="1" s="1"/>
  <c r="CV221" i="1" a="1"/>
  <c r="CV221" i="1" s="1"/>
  <c r="CV223" i="1" a="1"/>
  <c r="CV223" i="1" s="1"/>
  <c r="CV224" i="1" a="1"/>
  <c r="CV224" i="1" s="1"/>
  <c r="CV225" i="1" a="1"/>
  <c r="CV225" i="1" s="1"/>
  <c r="CV226" i="1" a="1"/>
  <c r="CV226" i="1" s="1"/>
  <c r="CV228" i="1" a="1"/>
  <c r="CV228" i="1" s="1"/>
  <c r="CV229" i="1" a="1"/>
  <c r="CV229" i="1" s="1"/>
  <c r="CV230" i="1" a="1"/>
  <c r="CV230" i="1" s="1"/>
  <c r="CV231" i="1" a="1"/>
  <c r="CV231" i="1" s="1"/>
  <c r="CV232" i="1" a="1"/>
  <c r="CV232" i="1" s="1"/>
  <c r="CV233" i="1" a="1"/>
  <c r="CV233" i="1" s="1"/>
  <c r="CV234" i="1" a="1"/>
  <c r="CV234" i="1" s="1"/>
  <c r="CV235" i="1" a="1"/>
  <c r="CV235" i="1" s="1"/>
  <c r="CV236" i="1" a="1"/>
  <c r="CV236" i="1" s="1"/>
  <c r="CV237" i="1" a="1"/>
  <c r="CV237" i="1" s="1"/>
  <c r="CV238" i="1" a="1"/>
  <c r="CV238" i="1" s="1"/>
  <c r="CV239" i="1" a="1"/>
  <c r="CV239" i="1" s="1"/>
  <c r="CV241" i="1" a="1"/>
  <c r="CV241" i="1" s="1"/>
  <c r="CV242" i="1" a="1"/>
  <c r="CV242" i="1" s="1"/>
  <c r="CV244" i="1" a="1"/>
  <c r="CV244" i="1" s="1"/>
  <c r="CV245" i="1" a="1"/>
  <c r="CV245" i="1" s="1"/>
  <c r="CV249" i="1" a="1"/>
  <c r="CV249" i="1" s="1"/>
  <c r="CV250" i="1" a="1"/>
  <c r="CV250" i="1" s="1"/>
  <c r="CV252" i="1" a="1"/>
  <c r="CV252" i="1" s="1"/>
  <c r="CV253" i="1" a="1"/>
  <c r="CV253" i="1" s="1"/>
  <c r="CV254" i="1" a="1"/>
  <c r="CV254" i="1" s="1"/>
  <c r="CV255" i="1" a="1"/>
  <c r="CV255" i="1" s="1"/>
  <c r="CV256" i="1" a="1"/>
  <c r="CV256" i="1" s="1"/>
  <c r="CV257" i="1" a="1"/>
  <c r="CV257" i="1" s="1"/>
  <c r="CV258" i="1" a="1"/>
  <c r="CV258" i="1" s="1"/>
  <c r="CV259" i="1" a="1"/>
  <c r="CV259" i="1" s="1"/>
  <c r="CV260" i="1" a="1"/>
  <c r="CV260" i="1" s="1"/>
  <c r="CV261" i="1" a="1"/>
  <c r="CV261" i="1" s="1"/>
  <c r="CV263" i="1" a="1"/>
  <c r="CV263" i="1" s="1"/>
  <c r="CV264" i="1" a="1"/>
  <c r="CV264" i="1" s="1"/>
  <c r="CV265" i="1" a="1"/>
  <c r="CV265" i="1" s="1"/>
  <c r="CV266" i="1" a="1"/>
  <c r="CV266" i="1" s="1"/>
  <c r="CV267" i="1" a="1"/>
  <c r="CV267" i="1" s="1"/>
  <c r="CV268" i="1" a="1"/>
  <c r="CV268" i="1" s="1"/>
  <c r="CV269" i="1" a="1"/>
  <c r="CV269" i="1" s="1"/>
  <c r="CV270" i="1" a="1"/>
  <c r="CV270" i="1" s="1"/>
  <c r="CV271" i="1" a="1"/>
  <c r="CV271" i="1" s="1"/>
  <c r="CV272" i="1" a="1"/>
  <c r="CV272" i="1" s="1"/>
  <c r="CV273" i="1" a="1"/>
  <c r="CV273" i="1" s="1"/>
  <c r="CV274" i="1" a="1"/>
  <c r="CV274" i="1" s="1"/>
  <c r="CV275" i="1" a="1"/>
  <c r="CV275" i="1" s="1"/>
  <c r="CV277" i="1" a="1"/>
  <c r="CV277" i="1" s="1"/>
  <c r="CV278" i="1" a="1"/>
  <c r="CV278" i="1" s="1"/>
  <c r="CV279" i="1" a="1"/>
  <c r="CV279" i="1" s="1"/>
  <c r="CV280" i="1" a="1"/>
  <c r="CV280" i="1" s="1"/>
  <c r="CV281" i="1" a="1"/>
  <c r="CV281" i="1" s="1"/>
  <c r="CV282" i="1" a="1"/>
  <c r="CV282" i="1" s="1"/>
  <c r="CV296" i="1" a="1"/>
  <c r="CV296" i="1" s="1"/>
  <c r="CV309" i="1" a="1"/>
  <c r="CV309" i="1" s="1"/>
  <c r="CV310" i="1" a="1"/>
  <c r="CV310" i="1" s="1"/>
  <c r="CV311" i="1" a="1"/>
  <c r="CV311" i="1" s="1"/>
  <c r="CV313" i="1" a="1"/>
  <c r="CV313" i="1" s="1"/>
  <c r="CV318" i="1" a="1"/>
  <c r="CV318" i="1" s="1"/>
  <c r="CV319" i="1" a="1"/>
  <c r="CV319" i="1" s="1"/>
  <c r="CV321" i="1" a="1"/>
  <c r="CV321" i="1" s="1"/>
  <c r="CV326" i="1" a="1"/>
  <c r="CV326" i="1" s="1"/>
  <c r="CV327" i="1" a="1"/>
  <c r="CV327" i="1" s="1"/>
  <c r="CV328" i="1" a="1"/>
  <c r="CV328" i="1" s="1"/>
  <c r="CV329" i="1" a="1"/>
  <c r="CV329" i="1" s="1"/>
  <c r="CV330" i="1" a="1"/>
  <c r="CV330" i="1" s="1"/>
  <c r="CV331" i="1" a="1"/>
  <c r="CV331" i="1" s="1"/>
  <c r="CV333" i="1" a="1"/>
  <c r="CV333" i="1" s="1"/>
  <c r="CV332" i="1" a="1"/>
  <c r="CV332" i="1" s="1"/>
  <c r="CV334" i="1" a="1"/>
  <c r="CV334" i="1" s="1"/>
  <c r="CV335" i="1" a="1"/>
  <c r="CV335" i="1" s="1"/>
  <c r="CV336" i="1" a="1"/>
  <c r="CV336" i="1" s="1"/>
  <c r="CV338" i="1" a="1"/>
  <c r="CV338" i="1" s="1"/>
  <c r="CV339" i="1" a="1"/>
  <c r="CV339" i="1" s="1"/>
  <c r="CV340" i="1" a="1"/>
  <c r="CV340" i="1" s="1"/>
  <c r="CV341" i="1" a="1"/>
  <c r="CV341" i="1" s="1"/>
  <c r="CV342" i="1" a="1"/>
  <c r="CV342" i="1" s="1"/>
  <c r="CV343" i="1" a="1"/>
  <c r="CV343" i="1" s="1"/>
  <c r="CV344" i="1" a="1"/>
  <c r="CV344" i="1" s="1"/>
  <c r="CV345" i="1" a="1"/>
  <c r="CV345" i="1" s="1"/>
  <c r="CV346" i="1" a="1"/>
  <c r="CV346" i="1" s="1"/>
  <c r="CV347" i="1" a="1"/>
  <c r="CV347" i="1" s="1"/>
  <c r="CV348" i="1" a="1"/>
  <c r="CV348" i="1" s="1"/>
  <c r="CV354" i="1" a="1"/>
  <c r="CV354" i="1" s="1"/>
  <c r="CV355" i="1" a="1"/>
  <c r="CV355" i="1" s="1"/>
  <c r="CV358" i="1" a="1"/>
  <c r="CV358" i="1" s="1"/>
  <c r="CV366" i="1" a="1"/>
  <c r="CV366" i="1" s="1"/>
  <c r="CV367" i="1" a="1"/>
  <c r="CV367" i="1" s="1"/>
  <c r="CV368" i="1" a="1"/>
  <c r="CV368" i="1" s="1"/>
  <c r="CV369" i="1" a="1"/>
  <c r="CV369" i="1" s="1"/>
  <c r="CV370" i="1" a="1"/>
  <c r="CV370" i="1" s="1"/>
  <c r="CV372" i="1" a="1"/>
  <c r="CV372" i="1" s="1"/>
  <c r="CV373" i="1" a="1"/>
  <c r="CV373" i="1" s="1"/>
  <c r="CV371" i="1" a="1"/>
  <c r="CV371" i="1" s="1"/>
  <c r="CV374" i="1" a="1"/>
  <c r="CV374" i="1" s="1"/>
  <c r="CV375" i="1" a="1"/>
  <c r="CV375" i="1" s="1"/>
  <c r="CV376" i="1" a="1"/>
  <c r="CV376" i="1" s="1"/>
  <c r="CV377" i="1" a="1"/>
  <c r="CV377" i="1" s="1"/>
  <c r="CV378" i="1" a="1"/>
  <c r="CV378" i="1" s="1"/>
  <c r="CV379" i="1" a="1"/>
  <c r="CV379" i="1" s="1"/>
  <c r="CV380" i="1" a="1"/>
  <c r="CV380" i="1" s="1"/>
  <c r="CV381" i="1" a="1"/>
  <c r="CV381" i="1" s="1"/>
  <c r="CV387" i="1" a="1"/>
  <c r="CV387" i="1" s="1"/>
  <c r="CV388" i="1" a="1"/>
  <c r="CV388" i="1" s="1"/>
  <c r="CV389" i="1" a="1"/>
  <c r="CV389" i="1" s="1"/>
  <c r="CV390" i="1" a="1"/>
  <c r="CV390" i="1" s="1"/>
  <c r="CV391" i="1" a="1"/>
  <c r="CV391" i="1" s="1"/>
  <c r="CV392" i="1" a="1"/>
  <c r="CV392" i="1" s="1"/>
  <c r="CV393" i="1" a="1"/>
  <c r="CV393" i="1" s="1"/>
  <c r="CV394" i="1" a="1"/>
  <c r="CV394" i="1" s="1"/>
  <c r="CV404" i="1" a="1"/>
  <c r="CV404" i="1" s="1"/>
  <c r="CV405" i="1" a="1"/>
  <c r="CV405" i="1" s="1"/>
  <c r="CV406" i="1" a="1"/>
  <c r="CV406" i="1" s="1"/>
  <c r="CV407" i="1" a="1"/>
  <c r="CV407" i="1" s="1"/>
  <c r="CV408" i="1" a="1"/>
  <c r="CV408" i="1" s="1"/>
  <c r="CV409" i="1" a="1"/>
  <c r="CV409" i="1" s="1"/>
  <c r="CV410" i="1" a="1"/>
  <c r="CV410" i="1" s="1"/>
  <c r="CV414" i="1" a="1"/>
  <c r="CV414" i="1" s="1"/>
  <c r="CV415" i="1" a="1"/>
  <c r="CV415" i="1" s="1"/>
  <c r="CV416" i="1" a="1"/>
  <c r="CV416" i="1" s="1"/>
  <c r="CV420" i="1" a="1"/>
  <c r="CV420" i="1" s="1"/>
  <c r="CV421" i="1" a="1"/>
  <c r="CV421" i="1" s="1"/>
  <c r="CV422" i="1" a="1"/>
  <c r="CV422" i="1" s="1"/>
  <c r="CV423" i="1" a="1"/>
  <c r="CV423" i="1" s="1"/>
  <c r="CV424" i="1" a="1"/>
  <c r="CV424" i="1" s="1"/>
  <c r="CV425" i="1" a="1"/>
  <c r="CV425" i="1" s="1"/>
  <c r="CV426" i="1" a="1"/>
  <c r="CV426" i="1" s="1"/>
  <c r="CV427" i="1" a="1"/>
  <c r="CV427" i="1" s="1"/>
  <c r="CV428" i="1" a="1"/>
  <c r="CV428" i="1" s="1"/>
  <c r="CV429" i="1" a="1"/>
  <c r="CV429" i="1" s="1"/>
  <c r="CV430" i="1" a="1"/>
  <c r="CV430" i="1" s="1"/>
  <c r="CV434" i="1" a="1"/>
  <c r="CV434" i="1" s="1"/>
  <c r="CV435" i="1" a="1"/>
  <c r="CV435" i="1" s="1"/>
  <c r="CV436" i="1" a="1"/>
  <c r="CV436" i="1" s="1"/>
  <c r="CV437" i="1" a="1"/>
  <c r="CV437" i="1" s="1"/>
  <c r="CV438" i="1" a="1"/>
  <c r="CV438" i="1" s="1"/>
  <c r="CV439" i="1" a="1"/>
  <c r="CV439" i="1" s="1"/>
  <c r="CV440" i="1" a="1"/>
  <c r="CV440" i="1" s="1"/>
  <c r="CV441" i="1" a="1"/>
  <c r="CV441" i="1" s="1"/>
  <c r="CV442" i="1" a="1"/>
  <c r="CV442" i="1" s="1"/>
  <c r="CV443" i="1" a="1"/>
  <c r="CV443" i="1" s="1"/>
  <c r="CV444" i="1" a="1"/>
  <c r="CV444" i="1" s="1"/>
  <c r="CV445" i="1" a="1"/>
  <c r="CV445" i="1" s="1"/>
  <c r="CV446" i="1" a="1"/>
  <c r="CV446" i="1" s="1"/>
  <c r="CV447" i="1" a="1"/>
  <c r="CV447" i="1" s="1"/>
  <c r="CV461" i="1" a="1"/>
  <c r="CV461" i="1" s="1"/>
  <c r="CV462" i="1" a="1"/>
  <c r="CV462" i="1" s="1"/>
  <c r="CV463" i="1" a="1"/>
  <c r="CV463" i="1" s="1"/>
  <c r="CV464" i="1" a="1"/>
  <c r="CV464" i="1" s="1"/>
  <c r="CV474" i="1" a="1"/>
  <c r="CV474" i="1" s="1"/>
  <c r="CV475" i="1" a="1"/>
  <c r="CV475" i="1" s="1"/>
  <c r="CV476" i="1" a="1"/>
  <c r="CV476" i="1" s="1"/>
  <c r="CV477" i="1" a="1"/>
  <c r="CV477" i="1" s="1"/>
  <c r="CV478" i="1" a="1"/>
  <c r="CV478" i="1" s="1"/>
  <c r="CV479" i="1" a="1"/>
  <c r="CV479" i="1" s="1"/>
  <c r="CV480" i="1" a="1"/>
  <c r="CV480" i="1" s="1"/>
  <c r="CV489" i="1" a="1"/>
  <c r="CV489" i="1" s="1"/>
  <c r="CV490" i="1" a="1"/>
  <c r="CV490" i="1" s="1"/>
  <c r="CV491" i="1" a="1"/>
  <c r="CV491" i="1" s="1"/>
  <c r="CV506" i="1" a="1"/>
  <c r="CV506" i="1" s="1"/>
  <c r="CV508" i="1" a="1"/>
  <c r="CV508" i="1" s="1"/>
  <c r="CV509" i="1" a="1"/>
  <c r="CV509" i="1" s="1"/>
  <c r="CV510" i="1" a="1"/>
  <c r="CV510" i="1" s="1"/>
  <c r="CV511" i="1" a="1"/>
  <c r="CV511" i="1" s="1"/>
  <c r="CV512" i="1" a="1"/>
  <c r="CV512" i="1" s="1"/>
  <c r="CV513" i="1" a="1"/>
  <c r="CV513" i="1" s="1"/>
  <c r="CV514" i="1" a="1"/>
  <c r="CV514" i="1" s="1"/>
  <c r="CV520" i="1" a="1"/>
  <c r="CV520" i="1" s="1"/>
  <c r="CV521" i="1" a="1"/>
  <c r="CV521" i="1" s="1"/>
  <c r="CV522" i="1" a="1"/>
  <c r="CV522" i="1" s="1"/>
  <c r="CV523" i="1" a="1"/>
  <c r="CV523" i="1" s="1"/>
  <c r="CV524" i="1" a="1"/>
  <c r="CV524" i="1" s="1"/>
  <c r="CV525" i="1" a="1"/>
  <c r="CV525" i="1" s="1"/>
  <c r="CV527" i="1" a="1"/>
  <c r="CV527" i="1" s="1"/>
  <c r="CV528" i="1" a="1"/>
  <c r="CV528" i="1" s="1"/>
  <c r="CV547" i="1" a="1"/>
  <c r="CV547" i="1" s="1"/>
  <c r="CV548" i="1" a="1"/>
  <c r="CV548" i="1" s="1"/>
  <c r="CV550" i="1" a="1"/>
  <c r="CV550" i="1" s="1"/>
  <c r="CV551" i="1" a="1"/>
  <c r="CV551" i="1" s="1"/>
  <c r="CV552" i="1" a="1"/>
  <c r="CV552" i="1" s="1"/>
  <c r="CV553" i="1" a="1"/>
  <c r="CV553" i="1" s="1"/>
  <c r="CV556" i="1" a="1"/>
  <c r="CV556" i="1" s="1"/>
  <c r="CV557" i="1" a="1"/>
  <c r="CV557" i="1" s="1"/>
  <c r="CV558" i="1" a="1"/>
  <c r="CV558" i="1" s="1"/>
  <c r="CV559" i="1" a="1"/>
  <c r="CV559" i="1" s="1"/>
  <c r="CV560" i="1" a="1"/>
  <c r="CV560" i="1" s="1"/>
  <c r="CV561" i="1" a="1"/>
  <c r="CV561" i="1" s="1"/>
  <c r="CV562" i="1" a="1"/>
  <c r="CV562" i="1" s="1"/>
  <c r="CV563" i="1" a="1"/>
  <c r="CV563" i="1" s="1"/>
  <c r="CV564" i="1" a="1"/>
  <c r="CV564" i="1" s="1"/>
  <c r="CV565" i="1" a="1"/>
  <c r="CV565" i="1" s="1"/>
  <c r="CV570" i="1" a="1"/>
  <c r="CV570" i="1" s="1"/>
  <c r="CV571" i="1" a="1"/>
  <c r="CV571" i="1" s="1"/>
  <c r="CV572" i="1" a="1"/>
  <c r="CV572" i="1" s="1"/>
  <c r="CV573" i="1" a="1"/>
  <c r="CV573" i="1" s="1"/>
  <c r="CV574" i="1" a="1"/>
  <c r="CV574" i="1" s="1"/>
  <c r="CV575" i="1" a="1"/>
  <c r="CV575" i="1" s="1"/>
  <c r="CV576" i="1" a="1"/>
  <c r="CV576" i="1" s="1"/>
  <c r="CV577" i="1" a="1"/>
  <c r="CV577" i="1" s="1"/>
  <c r="CV578" i="1" a="1"/>
  <c r="CV578" i="1" s="1"/>
  <c r="CV579" i="1" a="1"/>
  <c r="CV579" i="1" s="1"/>
  <c r="CV580" i="1" a="1"/>
  <c r="CV580" i="1" s="1"/>
  <c r="CV581" i="1" a="1"/>
  <c r="CV581" i="1" s="1"/>
  <c r="CV582" i="1" a="1"/>
  <c r="CV582" i="1" s="1"/>
  <c r="CV586" i="1" a="1"/>
  <c r="CV586" i="1" s="1"/>
  <c r="CV583" i="1" a="1"/>
  <c r="CV583" i="1" s="1"/>
  <c r="CV584" i="1" a="1"/>
  <c r="CV584" i="1" s="1"/>
  <c r="CV587" i="1" a="1"/>
  <c r="CV587" i="1" s="1"/>
  <c r="CV588" i="1" a="1"/>
  <c r="CV588" i="1" s="1"/>
  <c r="CV589" i="1" a="1"/>
  <c r="CV589" i="1" s="1"/>
  <c r="CV590" i="1" a="1"/>
  <c r="CV590" i="1" s="1"/>
  <c r="CV591" i="1" a="1"/>
  <c r="CV591" i="1" s="1"/>
  <c r="CV592" i="1" a="1"/>
  <c r="CV592" i="1" s="1"/>
  <c r="CV594" i="1" a="1"/>
  <c r="CV594" i="1" s="1"/>
  <c r="CV595" i="1" a="1"/>
  <c r="CV595" i="1" s="1"/>
  <c r="CV596" i="1" a="1"/>
  <c r="CV596" i="1" s="1"/>
  <c r="CV597" i="1" a="1"/>
  <c r="CV597" i="1" s="1"/>
  <c r="CV598" i="1" a="1"/>
  <c r="CV598" i="1" s="1"/>
  <c r="CV599" i="1" a="1"/>
  <c r="CV599" i="1" s="1"/>
  <c r="CV600" i="1" a="1"/>
  <c r="CV600" i="1" s="1"/>
  <c r="CV602" i="1" a="1"/>
  <c r="CV602" i="1" s="1"/>
  <c r="CV603" i="1" a="1"/>
  <c r="CV603" i="1" s="1"/>
  <c r="CV606" i="1" a="1"/>
  <c r="CV606" i="1" s="1"/>
  <c r="CV607" i="1" a="1"/>
  <c r="CV607" i="1" s="1"/>
  <c r="CV608" i="1" a="1"/>
  <c r="CV608" i="1" s="1"/>
  <c r="CV615" i="1" a="1"/>
  <c r="CV615" i="1" s="1"/>
  <c r="CV617" i="1" a="1"/>
  <c r="CV617" i="1" s="1"/>
  <c r="CV619" i="1" a="1"/>
  <c r="CV619" i="1" s="1"/>
  <c r="CV620" i="1" a="1"/>
  <c r="CV620" i="1" s="1"/>
  <c r="CV621" i="1" a="1"/>
  <c r="CV621" i="1" s="1"/>
  <c r="CV624" i="1" a="1"/>
  <c r="CV624" i="1" s="1"/>
  <c r="CV625" i="1" a="1"/>
  <c r="CV625" i="1" s="1"/>
  <c r="CV626" i="1" a="1"/>
  <c r="CV626" i="1" s="1"/>
  <c r="CV627" i="1" a="1"/>
  <c r="CV627" i="1" s="1"/>
  <c r="CV628" i="1" a="1"/>
  <c r="CV628" i="1" s="1"/>
  <c r="CV629" i="1" a="1"/>
  <c r="CV629" i="1" s="1"/>
  <c r="CV630" i="1" a="1"/>
  <c r="CV630" i="1" s="1"/>
  <c r="CV631" i="1" a="1"/>
  <c r="CV631" i="1" s="1"/>
  <c r="CV632" i="1" a="1"/>
  <c r="CV632" i="1" s="1"/>
  <c r="CV633" i="1" a="1"/>
  <c r="CV633" i="1" s="1"/>
  <c r="CV649" i="1" a="1"/>
  <c r="CV649" i="1" s="1"/>
  <c r="CV650" i="1" a="1"/>
  <c r="CV650" i="1" s="1"/>
  <c r="CV651" i="1" a="1"/>
  <c r="CV651" i="1" s="1"/>
  <c r="CV652" i="1" a="1"/>
  <c r="CV652" i="1" s="1"/>
  <c r="CV653" i="1" a="1"/>
  <c r="CV653" i="1" s="1"/>
  <c r="CV655" i="1" a="1"/>
  <c r="CV655" i="1" s="1"/>
  <c r="CV656" i="1" a="1"/>
  <c r="CV656" i="1" s="1"/>
  <c r="CV657" i="1" a="1"/>
  <c r="CV657" i="1" s="1"/>
  <c r="CV658" i="1" a="1"/>
  <c r="CV658" i="1" s="1"/>
  <c r="CV659" i="1" a="1"/>
  <c r="CV659" i="1" s="1"/>
  <c r="CV660" i="1" a="1"/>
  <c r="CV660" i="1" s="1"/>
  <c r="CV661" i="1" a="1"/>
  <c r="CV661" i="1" s="1"/>
  <c r="CV662" i="1" a="1"/>
  <c r="CV662" i="1" s="1"/>
  <c r="CV667" i="1" a="1"/>
  <c r="CV667" i="1" s="1"/>
  <c r="CV668" i="1" a="1"/>
  <c r="CV668" i="1" s="1"/>
  <c r="CV669" i="1" a="1"/>
  <c r="CV669" i="1" s="1"/>
  <c r="CV670" i="1" a="1"/>
  <c r="CV670" i="1" s="1"/>
  <c r="CV671" i="1" a="1"/>
  <c r="CV671" i="1" s="1"/>
  <c r="CV672" i="1" a="1"/>
  <c r="CV672" i="1" s="1"/>
  <c r="CV673" i="1" a="1"/>
  <c r="CV673" i="1" s="1"/>
  <c r="CV674" i="1" a="1"/>
  <c r="CV674" i="1" s="1"/>
  <c r="CV675" i="1" a="1"/>
  <c r="CV675" i="1" s="1"/>
  <c r="CV676" i="1" a="1"/>
  <c r="CV676" i="1" s="1"/>
  <c r="CV677" i="1" a="1"/>
  <c r="CV677" i="1" s="1"/>
  <c r="CV678" i="1" a="1"/>
  <c r="CV678" i="1" s="1"/>
  <c r="CV679" i="1" a="1"/>
  <c r="CV679" i="1" s="1"/>
  <c r="CV680" i="1" a="1"/>
  <c r="CV680" i="1" s="1"/>
  <c r="CV681" i="1" a="1"/>
  <c r="CV681" i="1" s="1"/>
  <c r="CV682" i="1" a="1"/>
  <c r="CV682" i="1" s="1"/>
  <c r="CV683" i="1" a="1"/>
  <c r="CV683" i="1" s="1"/>
  <c r="CV684" i="1" a="1"/>
  <c r="CV684" i="1" s="1"/>
  <c r="CV685" i="1" a="1"/>
  <c r="CV685" i="1" s="1"/>
  <c r="CV688" i="1" a="1"/>
  <c r="CV688" i="1" s="1"/>
  <c r="CV689" i="1" a="1"/>
  <c r="CV689" i="1" s="1"/>
  <c r="CV690" i="1" a="1"/>
  <c r="CV690" i="1" s="1"/>
  <c r="CV691" i="1" a="1"/>
  <c r="CV691" i="1" s="1"/>
  <c r="CV692" i="1" a="1"/>
  <c r="CV692" i="1" s="1"/>
  <c r="CV693" i="1" a="1"/>
  <c r="CV693" i="1" s="1"/>
  <c r="CV694" i="1" a="1"/>
  <c r="CV694" i="1" s="1"/>
  <c r="CV695" i="1" a="1"/>
  <c r="CV695" i="1" s="1"/>
  <c r="CV696" i="1" a="1"/>
  <c r="CV696" i="1" s="1"/>
  <c r="CV697" i="1" a="1"/>
  <c r="CV697" i="1" s="1"/>
  <c r="CV698" i="1" a="1"/>
  <c r="CV698" i="1" s="1"/>
  <c r="CV700" i="1" a="1"/>
  <c r="CV700" i="1" s="1"/>
  <c r="CV701" i="1" a="1"/>
  <c r="CV701" i="1" s="1"/>
  <c r="CV702" i="1" a="1"/>
  <c r="CV702" i="1" s="1"/>
  <c r="CV705" i="1" a="1"/>
  <c r="CV705" i="1" s="1"/>
  <c r="CV706" i="1" a="1"/>
  <c r="CV706" i="1" s="1"/>
  <c r="CV707" i="1" a="1"/>
  <c r="CV707" i="1" s="1"/>
  <c r="CV708" i="1" a="1"/>
  <c r="CV708" i="1" s="1"/>
  <c r="CV709" i="1" a="1"/>
  <c r="CV709" i="1" s="1"/>
  <c r="CV711" i="1" a="1"/>
  <c r="CV711" i="1" s="1"/>
  <c r="CV712" i="1" a="1"/>
  <c r="CV712" i="1" s="1"/>
  <c r="CV713" i="1" a="1"/>
  <c r="CV713" i="1" s="1"/>
  <c r="CV714" i="1" a="1"/>
  <c r="CV714" i="1" s="1"/>
  <c r="CV715" i="1" a="1"/>
  <c r="CV715" i="1" s="1"/>
  <c r="CV716" i="1" a="1"/>
  <c r="CV716" i="1" s="1"/>
  <c r="CV717" i="1" a="1"/>
  <c r="CV717" i="1" s="1"/>
  <c r="CV718" i="1" a="1"/>
  <c r="CV718" i="1" s="1"/>
  <c r="CV719" i="1" a="1"/>
  <c r="CV719" i="1" s="1"/>
  <c r="CV720" i="1" a="1"/>
  <c r="CV720" i="1" s="1"/>
  <c r="CV721" i="1" a="1"/>
  <c r="CV721" i="1" s="1"/>
  <c r="CV722" i="1" a="1"/>
  <c r="CV722" i="1" s="1"/>
  <c r="CV723" i="1" a="1"/>
  <c r="CV723" i="1" s="1"/>
  <c r="CV724" i="1" a="1"/>
  <c r="CV724" i="1" s="1"/>
  <c r="CV725" i="1" a="1"/>
  <c r="CV725" i="1" s="1"/>
  <c r="CV732" i="1" a="1"/>
  <c r="CV732" i="1" s="1"/>
  <c r="CV733" i="1" a="1"/>
  <c r="CV733" i="1" s="1"/>
  <c r="CV734" i="1" a="1"/>
  <c r="CV734" i="1" s="1"/>
  <c r="CV735" i="1" a="1"/>
  <c r="CV735" i="1" s="1"/>
  <c r="CV736" i="1" a="1"/>
  <c r="CV736" i="1" s="1"/>
  <c r="CV737" i="1" a="1"/>
  <c r="CV737" i="1" s="1"/>
  <c r="CV738" i="1" a="1"/>
  <c r="CV738" i="1" s="1"/>
  <c r="CV739" i="1" a="1"/>
  <c r="CV739" i="1" s="1"/>
  <c r="CV745" i="1" a="1"/>
  <c r="CV745" i="1" s="1"/>
  <c r="CV746" i="1" a="1"/>
  <c r="CV746" i="1" s="1"/>
  <c r="CV751" i="1" a="1"/>
  <c r="CV751" i="1" s="1"/>
  <c r="CV752" i="1" a="1"/>
  <c r="CV752" i="1" s="1"/>
  <c r="CV753" i="1" a="1"/>
  <c r="CV753" i="1" s="1"/>
  <c r="CV754" i="1" a="1"/>
  <c r="CV754" i="1" s="1"/>
  <c r="CV755" i="1" a="1"/>
  <c r="CV755" i="1" s="1"/>
  <c r="CV756" i="1" a="1"/>
  <c r="CV756" i="1" s="1"/>
  <c r="CV758" i="1" a="1"/>
  <c r="CV758" i="1" s="1"/>
  <c r="CV759" i="1" a="1"/>
  <c r="CV759" i="1" s="1"/>
  <c r="CV760" i="1" a="1"/>
  <c r="CV760" i="1" s="1"/>
  <c r="CV763" i="1" a="1"/>
  <c r="CV763" i="1" s="1"/>
  <c r="CV764" i="1" a="1"/>
  <c r="CV764" i="1" s="1"/>
  <c r="CV765" i="1" a="1"/>
  <c r="CV765" i="1" s="1"/>
  <c r="CV766" i="1" a="1"/>
  <c r="CV766" i="1" s="1"/>
  <c r="CV767" i="1" a="1"/>
  <c r="CV767" i="1" s="1"/>
  <c r="CV768" i="1" a="1"/>
  <c r="CV768" i="1" s="1"/>
  <c r="CV769" i="1" a="1"/>
  <c r="CV769" i="1" s="1"/>
  <c r="CV770" i="1" a="1"/>
  <c r="CV770" i="1" s="1"/>
  <c r="CV772" i="1" a="1"/>
  <c r="CV772" i="1" s="1"/>
  <c r="CV773" i="1" a="1"/>
  <c r="CV773" i="1" s="1"/>
  <c r="CV774" i="1" a="1"/>
  <c r="CV774" i="1" s="1"/>
  <c r="CV775" i="1" a="1"/>
  <c r="CV775" i="1" s="1"/>
  <c r="CV776" i="1" a="1"/>
  <c r="CV776" i="1" s="1"/>
  <c r="CV778" i="1" a="1"/>
  <c r="CV778" i="1" s="1"/>
  <c r="CV779" i="1" a="1"/>
  <c r="CV779" i="1" s="1"/>
  <c r="CV780" i="1" a="1"/>
  <c r="CV780" i="1" s="1"/>
  <c r="CV781" i="1" a="1"/>
  <c r="CV781" i="1" s="1"/>
  <c r="CV782" i="1" a="1"/>
  <c r="CV782" i="1" s="1"/>
  <c r="CV783" i="1" a="1"/>
  <c r="CV783" i="1" s="1"/>
  <c r="CV784" i="1" a="1"/>
  <c r="CV784" i="1" s="1"/>
  <c r="CV785" i="1" a="1"/>
  <c r="CV785" i="1" s="1"/>
  <c r="CV786" i="1" a="1"/>
  <c r="CV786" i="1" s="1"/>
  <c r="CV787" i="1" a="1"/>
  <c r="CV787" i="1" s="1"/>
  <c r="CV788" i="1" a="1"/>
  <c r="CV788" i="1" s="1"/>
  <c r="CV789" i="1" a="1"/>
  <c r="CV789" i="1" s="1"/>
  <c r="CV790" i="1" a="1"/>
  <c r="CV790" i="1" s="1"/>
  <c r="CV791" i="1" a="1"/>
  <c r="CV791" i="1" s="1"/>
  <c r="CV792" i="1" a="1"/>
  <c r="CV792" i="1" s="1"/>
  <c r="CV793" i="1" a="1"/>
  <c r="CV793" i="1" s="1"/>
  <c r="CV794" i="1" a="1"/>
  <c r="CV794" i="1" s="1"/>
  <c r="CV795" i="1" a="1"/>
  <c r="CV795" i="1" s="1"/>
  <c r="CV796" i="1" a="1"/>
  <c r="CV796" i="1" s="1"/>
  <c r="CV797" i="1" a="1"/>
  <c r="CV797" i="1" s="1"/>
  <c r="CV798" i="1" a="1"/>
  <c r="CV798" i="1" s="1"/>
  <c r="CV799" i="1" a="1"/>
  <c r="CV799" i="1" s="1"/>
  <c r="CV800" i="1" a="1"/>
  <c r="CV800" i="1" s="1"/>
  <c r="CV801" i="1" a="1"/>
  <c r="CV801" i="1" s="1"/>
  <c r="CV802" i="1" a="1"/>
  <c r="CV802" i="1" s="1"/>
  <c r="CV803" i="1" a="1"/>
  <c r="CV803" i="1" s="1"/>
  <c r="CV804" i="1" a="1"/>
  <c r="CV804" i="1" s="1"/>
  <c r="CV805" i="1" a="1"/>
  <c r="CV805" i="1" s="1"/>
  <c r="CV806" i="1" a="1"/>
  <c r="CV806" i="1" s="1"/>
  <c r="CV807" i="1" a="1"/>
  <c r="CV807" i="1" s="1"/>
  <c r="CV808" i="1" a="1"/>
  <c r="CV808" i="1" s="1"/>
  <c r="CV809" i="1" a="1"/>
  <c r="CV809" i="1" s="1"/>
  <c r="CV810" i="1" a="1"/>
  <c r="CV810" i="1" s="1"/>
  <c r="CV811" i="1" a="1"/>
  <c r="CV811" i="1" s="1"/>
  <c r="CV812" i="1" a="1"/>
  <c r="CV812" i="1" s="1"/>
  <c r="CV813" i="1" a="1"/>
  <c r="CV813" i="1" s="1"/>
  <c r="CV815" i="1" a="1"/>
  <c r="CV815" i="1" s="1"/>
  <c r="CV816" i="1" a="1"/>
  <c r="CV816" i="1" s="1"/>
  <c r="CV817" i="1" a="1"/>
  <c r="CV817" i="1" s="1"/>
  <c r="CV818" i="1" a="1"/>
  <c r="CV818" i="1" s="1"/>
  <c r="CV819" i="1" a="1"/>
  <c r="CV819" i="1" s="1"/>
  <c r="CV820" i="1" a="1"/>
  <c r="CV820" i="1" s="1"/>
  <c r="CV823" i="1" a="1"/>
  <c r="CV823" i="1" s="1"/>
  <c r="CV824" i="1" a="1"/>
  <c r="CV824" i="1" s="1"/>
  <c r="CV825" i="1" a="1"/>
  <c r="CV825" i="1" s="1"/>
  <c r="CV826" i="1" a="1"/>
  <c r="CV826" i="1" s="1"/>
  <c r="CV827" i="1" a="1"/>
  <c r="CV827" i="1" s="1"/>
  <c r="CV828" i="1" a="1"/>
  <c r="CV828" i="1" s="1"/>
  <c r="CV829" i="1" a="1"/>
  <c r="CV829" i="1" s="1"/>
  <c r="CV832" i="1" a="1"/>
  <c r="CV832" i="1" s="1"/>
  <c r="CV834" i="1" a="1"/>
  <c r="CV834" i="1" s="1"/>
  <c r="CV835" i="1" a="1"/>
  <c r="CV835" i="1" s="1"/>
  <c r="CV836" i="1" a="1"/>
  <c r="CV836" i="1" s="1"/>
  <c r="CV838" i="1" a="1"/>
  <c r="CV838" i="1" s="1"/>
  <c r="CV843" i="1" a="1"/>
  <c r="CV843" i="1" s="1"/>
  <c r="CV844" i="1" a="1"/>
  <c r="CV844" i="1" s="1"/>
  <c r="CV845" i="1" a="1"/>
  <c r="CV845" i="1" s="1"/>
  <c r="CV846" i="1" a="1"/>
  <c r="CV846" i="1" s="1"/>
  <c r="CV847" i="1" a="1"/>
  <c r="CV847" i="1" s="1"/>
  <c r="CV848" i="1" a="1"/>
  <c r="CV848" i="1" s="1"/>
  <c r="CV849" i="1" a="1"/>
  <c r="CV849" i="1" s="1"/>
  <c r="CV850" i="1" a="1"/>
  <c r="CV850" i="1" s="1"/>
  <c r="CV851" i="1" a="1"/>
  <c r="CV851" i="1" s="1"/>
  <c r="CV852" i="1" a="1"/>
  <c r="CV852" i="1" s="1"/>
  <c r="CV853" i="1" a="1"/>
  <c r="CV853" i="1" s="1"/>
  <c r="CV854" i="1" a="1"/>
  <c r="CV854" i="1" s="1"/>
  <c r="CV855" i="1" a="1"/>
  <c r="CV855" i="1" s="1"/>
  <c r="CV856" i="1" a="1"/>
  <c r="CV856" i="1" s="1"/>
  <c r="CV863" i="1" a="1"/>
  <c r="CV863" i="1" s="1"/>
  <c r="CV864" i="1" a="1"/>
  <c r="CV864" i="1" s="1"/>
  <c r="CV865" i="1" a="1"/>
  <c r="CV865" i="1" s="1"/>
  <c r="CV866" i="1" a="1"/>
  <c r="CV866" i="1" s="1"/>
  <c r="CV868" i="1" a="1"/>
  <c r="CV868" i="1" s="1"/>
  <c r="CV869" i="1" a="1"/>
  <c r="CV869" i="1" s="1"/>
  <c r="CV874" i="1" a="1"/>
  <c r="CV874" i="1" s="1"/>
  <c r="CV875" i="1" a="1"/>
  <c r="CV875" i="1" s="1"/>
  <c r="CV876" i="1" a="1"/>
  <c r="CV876" i="1" s="1"/>
  <c r="CV877" i="1" a="1"/>
  <c r="CV877" i="1" s="1"/>
  <c r="CV878" i="1" a="1"/>
  <c r="CV878" i="1" s="1"/>
  <c r="CV879" i="1" a="1"/>
  <c r="CV879" i="1" s="1"/>
  <c r="CV880" i="1" a="1"/>
  <c r="CV880" i="1" s="1"/>
  <c r="CV881" i="1" a="1"/>
  <c r="CV881" i="1" s="1"/>
  <c r="CV882" i="1" a="1"/>
  <c r="CV882" i="1" s="1"/>
  <c r="CV883" i="1" a="1"/>
  <c r="CV883" i="1" s="1"/>
  <c r="CV884" i="1" a="1"/>
  <c r="CV884" i="1" s="1"/>
  <c r="CV885" i="1" a="1"/>
  <c r="CV885" i="1" s="1"/>
  <c r="CV886" i="1" a="1"/>
  <c r="CV886" i="1" s="1"/>
  <c r="CV887" i="1" a="1"/>
  <c r="CV887" i="1" s="1"/>
  <c r="CV888" i="1" a="1"/>
  <c r="CV888" i="1" s="1"/>
  <c r="CV889" i="1" a="1"/>
  <c r="CV889" i="1" s="1"/>
  <c r="CV890" i="1" a="1"/>
  <c r="CV890" i="1" s="1"/>
  <c r="CV891" i="1" a="1"/>
  <c r="CV891" i="1" s="1"/>
  <c r="CV894" i="1" a="1"/>
  <c r="CV894" i="1" s="1"/>
  <c r="CV895" i="1" a="1"/>
  <c r="CV895" i="1" s="1"/>
  <c r="CV896" i="1" a="1"/>
  <c r="CV896" i="1" s="1"/>
  <c r="CV897" i="1" a="1"/>
  <c r="CV897" i="1" s="1"/>
  <c r="CV898" i="1" a="1"/>
  <c r="CV898" i="1" s="1"/>
  <c r="CV899" i="1" a="1"/>
  <c r="CV899" i="1" s="1"/>
  <c r="CV900" i="1" a="1"/>
  <c r="CV900" i="1" s="1"/>
  <c r="CV901" i="1" a="1"/>
  <c r="CV901" i="1" s="1"/>
  <c r="CV902" i="1" a="1"/>
  <c r="CV902" i="1" s="1"/>
  <c r="CV903" i="1" a="1"/>
  <c r="CV903" i="1" s="1"/>
  <c r="CV904" i="1" a="1"/>
  <c r="CV904" i="1" s="1"/>
  <c r="CV905" i="1" a="1"/>
  <c r="CV905" i="1" s="1"/>
  <c r="CV911" i="1" a="1"/>
  <c r="CV911" i="1" s="1"/>
  <c r="CV912" i="1" a="1"/>
  <c r="CV912" i="1" s="1"/>
  <c r="CV914" i="1" a="1"/>
  <c r="CV914" i="1" s="1"/>
  <c r="CV915" i="1" a="1"/>
  <c r="CV915" i="1" s="1"/>
  <c r="CV918" i="1" a="1"/>
  <c r="CV918" i="1" s="1"/>
  <c r="CV919" i="1" a="1"/>
  <c r="CV919" i="1" s="1"/>
  <c r="CV920" i="1" a="1"/>
  <c r="CV920" i="1" s="1"/>
  <c r="CV921" i="1" a="1"/>
  <c r="CV921" i="1" s="1"/>
  <c r="CV922" i="1" a="1"/>
  <c r="CV922" i="1" s="1"/>
  <c r="CV923" i="1" a="1"/>
  <c r="CV923" i="1" s="1"/>
  <c r="CV924" i="1" a="1"/>
  <c r="CV924" i="1" s="1"/>
  <c r="CV925" i="1" a="1"/>
  <c r="CV925" i="1" s="1"/>
  <c r="CV926" i="1" a="1"/>
  <c r="CV926" i="1" s="1"/>
  <c r="CV935" i="1" a="1"/>
  <c r="CV935" i="1" s="1"/>
  <c r="CV936" i="1" a="1"/>
  <c r="CV936" i="1" s="1"/>
  <c r="CV937" i="1" a="1"/>
  <c r="CV937" i="1" s="1"/>
  <c r="CV938" i="1" a="1"/>
  <c r="CV938" i="1" s="1"/>
  <c r="CV939" i="1" a="1"/>
  <c r="CV939" i="1" s="1"/>
  <c r="CV940" i="1" a="1"/>
  <c r="CV940" i="1" s="1"/>
  <c r="CV941" i="1" a="1"/>
  <c r="CV941" i="1" s="1"/>
  <c r="CV942" i="1" a="1"/>
  <c r="CV942" i="1" s="1"/>
  <c r="CV944" i="1" a="1"/>
  <c r="CV944" i="1" s="1"/>
  <c r="CV946" i="1" a="1"/>
  <c r="CV946" i="1" s="1"/>
  <c r="CV947" i="1" a="1"/>
  <c r="CV947" i="1" s="1"/>
  <c r="CV948" i="1" a="1"/>
  <c r="CV948" i="1" s="1"/>
  <c r="CV949" i="1" a="1"/>
  <c r="CV949" i="1" s="1"/>
  <c r="CV950" i="1" a="1"/>
  <c r="CV950" i="1" s="1"/>
  <c r="CV951" i="1" a="1"/>
  <c r="CV951" i="1" s="1"/>
  <c r="CV956" i="1" a="1"/>
  <c r="CV956" i="1" s="1"/>
  <c r="CV957" i="1" a="1"/>
  <c r="CV957" i="1" s="1"/>
  <c r="CV962" i="1" a="1"/>
  <c r="CV962" i="1" s="1"/>
  <c r="CV973" i="1" a="1"/>
  <c r="CV973" i="1" s="1"/>
  <c r="CV974" i="1" a="1"/>
  <c r="CV974" i="1" s="1"/>
  <c r="CV976" i="1" a="1"/>
  <c r="CV976" i="1" s="1"/>
  <c r="CV977" i="1" a="1"/>
  <c r="CV977" i="1" s="1"/>
  <c r="CV978" i="1" a="1"/>
  <c r="CV978" i="1" s="1"/>
  <c r="CV979" i="1" a="1"/>
  <c r="CV979" i="1" s="1"/>
  <c r="CV980" i="1" a="1"/>
  <c r="CV980" i="1" s="1"/>
  <c r="CV982" i="1" a="1"/>
  <c r="CV982" i="1" s="1"/>
  <c r="CV983" i="1" a="1"/>
  <c r="CV983" i="1" s="1"/>
  <c r="CV984" i="1" a="1"/>
  <c r="CV984" i="1" s="1"/>
  <c r="CV985" i="1" a="1"/>
  <c r="CV985" i="1" s="1"/>
  <c r="CV986" i="1" a="1"/>
  <c r="CV986" i="1" s="1"/>
  <c r="CV987" i="1" a="1"/>
  <c r="CV987" i="1" s="1"/>
  <c r="CV988" i="1" a="1"/>
  <c r="CV988" i="1" s="1"/>
  <c r="CV990" i="1" a="1"/>
  <c r="CV990" i="1" s="1"/>
  <c r="CV991" i="1" a="1"/>
  <c r="CV991" i="1" s="1"/>
  <c r="CV993" i="1" a="1"/>
  <c r="CV993" i="1" s="1"/>
  <c r="CV1001" i="1" a="1"/>
  <c r="CV1001" i="1" s="1"/>
  <c r="CV1002" i="1" a="1"/>
  <c r="CV1002" i="1" s="1"/>
  <c r="CV1005" i="1" a="1"/>
  <c r="CV1005" i="1" s="1"/>
  <c r="CV1006" i="1" a="1"/>
  <c r="CV1006" i="1" s="1"/>
  <c r="CV1007" i="1" a="1"/>
  <c r="CV1007" i="1" s="1"/>
  <c r="CV1009" i="1" a="1"/>
  <c r="CV1009" i="1" s="1"/>
  <c r="CV1010" i="1" a="1"/>
  <c r="CV1010" i="1" s="1"/>
  <c r="CV1011" i="1" a="1"/>
  <c r="CV1011" i="1" s="1"/>
  <c r="CV1013" i="1" a="1"/>
  <c r="CV1013" i="1" s="1"/>
  <c r="CV1014" i="1" a="1"/>
  <c r="CV1014" i="1" s="1"/>
  <c r="CV1015" i="1" a="1"/>
  <c r="CV1015" i="1" s="1"/>
  <c r="CV1017" i="1" a="1"/>
  <c r="CV1017" i="1" s="1"/>
  <c r="CV1018" i="1" a="1"/>
  <c r="CV1018" i="1" s="1"/>
  <c r="CV1019" i="1" a="1"/>
  <c r="CV1019" i="1" s="1"/>
  <c r="CV1020" i="1" a="1"/>
  <c r="CV1020" i="1" s="1"/>
  <c r="CV1021" i="1" a="1"/>
  <c r="CV1021" i="1" s="1"/>
  <c r="CV1022" i="1" a="1"/>
  <c r="CV1022" i="1" s="1"/>
  <c r="CV1023" i="1" a="1"/>
  <c r="CV1023" i="1" s="1"/>
  <c r="CV1024" i="1" a="1"/>
  <c r="CV1024" i="1" s="1"/>
  <c r="CV1025" i="1" a="1"/>
  <c r="CV1025" i="1" s="1"/>
  <c r="CV1026" i="1" a="1"/>
  <c r="CV1026" i="1" s="1"/>
  <c r="CV1027" i="1" a="1"/>
  <c r="CV1027" i="1" s="1"/>
  <c r="CV1028" i="1" a="1"/>
  <c r="CV1028" i="1" s="1"/>
  <c r="CV1029" i="1" a="1"/>
  <c r="CV1029" i="1" s="1"/>
  <c r="CV1030" i="1" a="1"/>
  <c r="CV1030" i="1" s="1"/>
  <c r="CV1031" i="1" a="1"/>
  <c r="CV1031" i="1" s="1"/>
  <c r="CV1032" i="1" a="1"/>
  <c r="CV1032" i="1" s="1"/>
  <c r="CV1033" i="1" a="1"/>
  <c r="CV1033" i="1" s="1"/>
  <c r="CV1034" i="1" a="1"/>
  <c r="CV1034" i="1" s="1"/>
  <c r="CV1035" i="1" a="1"/>
  <c r="CV1035" i="1" s="1"/>
  <c r="CV1036" i="1" a="1"/>
  <c r="CV1036" i="1" s="1"/>
  <c r="CV1037" i="1" a="1"/>
  <c r="CV1037" i="1" s="1"/>
  <c r="CV1038" i="1" a="1"/>
  <c r="CV1038" i="1" s="1"/>
  <c r="CV1039" i="1" a="1"/>
  <c r="CV1039" i="1" s="1"/>
  <c r="CV1040" i="1" a="1"/>
  <c r="CV1040" i="1" s="1"/>
  <c r="CV1041" i="1" a="1"/>
  <c r="CV1041" i="1" s="1"/>
  <c r="CV1042" i="1" a="1"/>
  <c r="CV1042" i="1" s="1"/>
  <c r="CV1043" i="1" a="1"/>
  <c r="CV1043" i="1" s="1"/>
  <c r="CV1044" i="1" a="1"/>
  <c r="CV1044" i="1" s="1"/>
  <c r="CV1068" i="1" a="1"/>
  <c r="CV1068" i="1" s="1"/>
  <c r="CV1069" i="1" a="1"/>
  <c r="CV1069" i="1" s="1"/>
  <c r="CV1071" i="1" a="1"/>
  <c r="CV1071" i="1" s="1"/>
  <c r="CV1072" i="1" a="1"/>
  <c r="CV1072" i="1" s="1"/>
  <c r="CV1073" i="1" a="1"/>
  <c r="CV1073" i="1" s="1"/>
  <c r="CV1074" i="1" a="1"/>
  <c r="CV1074" i="1" s="1"/>
  <c r="CV1075" i="1" a="1"/>
  <c r="CV1075" i="1" s="1"/>
  <c r="CV1076" i="1" a="1"/>
  <c r="CV1076" i="1" s="1"/>
  <c r="CV1080" i="1" a="1"/>
  <c r="CV1080" i="1" s="1"/>
  <c r="CV1081" i="1" a="1"/>
  <c r="CV1081" i="1" s="1"/>
  <c r="CV1091" i="1" a="1"/>
  <c r="CV1091" i="1" s="1"/>
  <c r="CV1092" i="1" a="1"/>
  <c r="CV1092" i="1" s="1"/>
  <c r="CV1093" i="1" a="1"/>
  <c r="CV1093" i="1" s="1"/>
  <c r="CV1094" i="1" a="1"/>
  <c r="CV1094" i="1" s="1"/>
  <c r="CV1095" i="1" a="1"/>
  <c r="CV1095" i="1" s="1"/>
  <c r="CV1096" i="1" a="1"/>
  <c r="CV1096" i="1" s="1"/>
  <c r="CV1099" i="1" a="1"/>
  <c r="CV1099" i="1" s="1"/>
  <c r="CV1100" i="1" a="1"/>
  <c r="CV1100" i="1" s="1"/>
  <c r="CV1102" i="1" a="1"/>
  <c r="CV1102" i="1" s="1"/>
  <c r="CV1103" i="1" a="1"/>
  <c r="CV1103" i="1" s="1"/>
  <c r="CV1104" i="1" a="1"/>
  <c r="CV1104" i="1" s="1"/>
  <c r="CV1105" i="1" a="1"/>
  <c r="CV1105" i="1" s="1"/>
  <c r="CV1106" i="1" a="1"/>
  <c r="CV1106" i="1" s="1"/>
  <c r="CV1108" i="1" a="1"/>
  <c r="CV1108" i="1" s="1"/>
  <c r="CV1109" i="1" a="1"/>
  <c r="CV1109" i="1" s="1"/>
  <c r="CV1110" i="1" a="1"/>
  <c r="CV1110" i="1" s="1"/>
  <c r="CV1111" i="1" a="1"/>
  <c r="CV1111" i="1" s="1"/>
  <c r="CV1112" i="1" a="1"/>
  <c r="CV1112" i="1" s="1"/>
  <c r="CV1113" i="1" a="1"/>
  <c r="CV1113" i="1" s="1"/>
  <c r="CV1114" i="1" a="1"/>
  <c r="CV1114" i="1" s="1"/>
  <c r="CV1115" i="1" a="1"/>
  <c r="CV1115" i="1" s="1"/>
  <c r="CV1116" i="1" a="1"/>
  <c r="CV1116" i="1" s="1"/>
  <c r="CV1117" i="1" a="1"/>
  <c r="CV1117" i="1" s="1"/>
  <c r="CV1118" i="1" a="1"/>
  <c r="CV1118" i="1" s="1"/>
  <c r="CV1119" i="1" a="1"/>
  <c r="CV1119" i="1" s="1"/>
  <c r="CV1120" i="1" a="1"/>
  <c r="CV1120" i="1" s="1"/>
  <c r="CV1121" i="1" a="1"/>
  <c r="CV1121" i="1" s="1"/>
  <c r="CV1122" i="1" a="1"/>
  <c r="CV1122" i="1" s="1"/>
  <c r="CV1123" i="1" a="1"/>
  <c r="CV1123" i="1" s="1"/>
  <c r="CV1127" i="1" a="1"/>
  <c r="CV1127" i="1" s="1"/>
  <c r="CV1128" i="1" a="1"/>
  <c r="CV1128" i="1" s="1"/>
  <c r="CV1129" i="1" a="1"/>
  <c r="CV1129" i="1" s="1"/>
  <c r="CV1130" i="1" a="1"/>
  <c r="CV1130" i="1" s="1"/>
  <c r="CV1131" i="1" a="1"/>
  <c r="CV1131" i="1" s="1"/>
  <c r="CV1132" i="1" a="1"/>
  <c r="CV1132" i="1" s="1"/>
  <c r="CV1133" i="1" a="1"/>
  <c r="CV1133" i="1" s="1"/>
  <c r="CV1134" i="1" a="1"/>
  <c r="CV1134" i="1" s="1"/>
  <c r="CV1135" i="1" a="1"/>
  <c r="CV1135" i="1" s="1"/>
  <c r="CV1136" i="1" a="1"/>
  <c r="CV1136" i="1" s="1"/>
  <c r="CV1137" i="1" a="1"/>
  <c r="CV1137" i="1" s="1"/>
  <c r="CV1138" i="1" a="1"/>
  <c r="CV1138" i="1" s="1"/>
  <c r="CV1139" i="1" a="1"/>
  <c r="CV1139" i="1" s="1"/>
  <c r="CV1140" i="1" a="1"/>
  <c r="CV1140" i="1" s="1"/>
  <c r="CV1141" i="1" a="1"/>
  <c r="CV1141" i="1" s="1"/>
  <c r="CV1142" i="1" a="1"/>
  <c r="CV1142" i="1" s="1"/>
  <c r="CV1143" i="1" a="1"/>
  <c r="CV1143" i="1" s="1"/>
  <c r="CV1144" i="1" a="1"/>
  <c r="CV1144" i="1" s="1"/>
  <c r="CV1145" i="1" a="1"/>
  <c r="CV1145" i="1" s="1"/>
  <c r="CV1146" i="1" a="1"/>
  <c r="CV1146" i="1" s="1"/>
  <c r="CV1147" i="1" a="1"/>
  <c r="CV1147" i="1" s="1"/>
  <c r="CV1148" i="1" a="1"/>
  <c r="CV1148" i="1" s="1"/>
  <c r="CV1149" i="1" a="1"/>
  <c r="CV1149" i="1" s="1"/>
  <c r="CV1150" i="1" a="1"/>
  <c r="CV1150" i="1" s="1"/>
  <c r="CV1151" i="1" a="1"/>
  <c r="CV1151" i="1" s="1"/>
  <c r="CV1152" i="1" a="1"/>
  <c r="CV1152" i="1" s="1"/>
  <c r="CV1153" i="1" a="1"/>
  <c r="CV1153" i="1" s="1"/>
  <c r="CV1154" i="1" a="1"/>
  <c r="CV1154" i="1" s="1"/>
  <c r="CV1155" i="1" a="1"/>
  <c r="CV1155" i="1" s="1"/>
  <c r="CV1157" i="1" a="1"/>
  <c r="CV1157" i="1" s="1"/>
  <c r="CV1158" i="1" a="1"/>
  <c r="CV1158" i="1" s="1"/>
  <c r="CV1159" i="1" a="1"/>
  <c r="CV1159" i="1" s="1"/>
  <c r="CV1161" i="1" a="1"/>
  <c r="CV1161" i="1" s="1"/>
  <c r="CV1162" i="1" a="1"/>
  <c r="CV1162" i="1" s="1"/>
  <c r="CV1163" i="1" a="1"/>
  <c r="CV1163" i="1" s="1"/>
  <c r="CV1164" i="1" a="1"/>
  <c r="CV1164" i="1" s="1"/>
  <c r="CV1165" i="1" a="1"/>
  <c r="CV1165" i="1" s="1"/>
  <c r="CV1166" i="1" a="1"/>
  <c r="CV1166" i="1" s="1"/>
  <c r="CV1167" i="1" a="1"/>
  <c r="CV1167" i="1" s="1"/>
  <c r="CV1168" i="1" a="1"/>
  <c r="CV1168" i="1" s="1"/>
  <c r="CV1169" i="1" a="1"/>
  <c r="CV1169" i="1" s="1"/>
  <c r="CV1170" i="1" a="1"/>
  <c r="CV1170" i="1" s="1"/>
  <c r="CV1171" i="1" a="1"/>
  <c r="CV1171" i="1" s="1"/>
  <c r="CV1172" i="1" a="1"/>
  <c r="CV1172" i="1" s="1"/>
  <c r="CV1173" i="1" a="1"/>
  <c r="CV1173" i="1" s="1"/>
  <c r="CV1174" i="1" a="1"/>
  <c r="CV1174" i="1" s="1"/>
  <c r="CV1175" i="1" a="1"/>
  <c r="CV1175" i="1" s="1"/>
  <c r="CV1176" i="1" a="1"/>
  <c r="CV1176" i="1" s="1"/>
  <c r="CV1177" i="1" a="1"/>
  <c r="CV1177" i="1" s="1"/>
  <c r="CV1178" i="1" a="1"/>
  <c r="CV1178" i="1" s="1"/>
  <c r="CV1179" i="1" a="1"/>
  <c r="CV1179" i="1" s="1"/>
  <c r="CV1180" i="1" a="1"/>
  <c r="CV1180" i="1" s="1"/>
  <c r="CV1181" i="1" a="1"/>
  <c r="CV1181" i="1" s="1"/>
  <c r="CV1182" i="1" a="1"/>
  <c r="CV1182" i="1" s="1"/>
  <c r="CV1183" i="1" a="1"/>
  <c r="CV1183" i="1" s="1"/>
  <c r="CV1184" i="1" a="1"/>
  <c r="CV1184" i="1" s="1"/>
  <c r="CV1185" i="1" a="1"/>
  <c r="CV1185" i="1" s="1"/>
  <c r="CV1186" i="1" a="1"/>
  <c r="CV1186" i="1" s="1"/>
  <c r="CV1187" i="1" a="1"/>
  <c r="CV1187" i="1" s="1"/>
  <c r="CV1188" i="1" a="1"/>
  <c r="CV1188" i="1" s="1"/>
  <c r="CV1189" i="1" a="1"/>
  <c r="CV1189" i="1" s="1"/>
  <c r="CV1190" i="1" a="1"/>
  <c r="CV1190" i="1" s="1"/>
  <c r="CV1191" i="1" a="1"/>
  <c r="CV1191" i="1" s="1"/>
  <c r="CV1192" i="1" a="1"/>
  <c r="CV1192" i="1" s="1"/>
  <c r="CV1193" i="1" a="1"/>
  <c r="CV1193" i="1" s="1"/>
  <c r="CV1194" i="1" a="1"/>
  <c r="CV1194" i="1" s="1"/>
  <c r="CV1197" i="1" a="1"/>
  <c r="CV1197" i="1" s="1"/>
  <c r="CV1198" i="1" a="1"/>
  <c r="CV1198" i="1" s="1"/>
  <c r="CV1199" i="1" a="1"/>
  <c r="CV1199" i="1" s="1"/>
  <c r="CV1200" i="1" a="1"/>
  <c r="CV1200" i="1" s="1"/>
  <c r="CV1201" i="1" a="1"/>
  <c r="CV1201" i="1" s="1"/>
  <c r="CV1083" i="1" a="1"/>
  <c r="CV1083" i="1" s="1"/>
  <c r="CV473" i="1" a="1"/>
  <c r="CV473" i="1" s="1"/>
  <c r="CV1213" i="1" a="1"/>
  <c r="CV1213" i="1" s="1"/>
  <c r="CV41" i="1" a="1"/>
  <c r="CV41" i="1" s="1"/>
  <c r="CV645" i="1" a="1"/>
  <c r="CV645" i="1" s="1"/>
  <c r="CV431" i="1" a="1"/>
  <c r="CV431" i="1" s="1"/>
  <c r="CV995" i="1" a="1"/>
  <c r="CV995" i="1" s="1"/>
  <c r="CV1051" i="1" a="1"/>
  <c r="CV1051" i="1" s="1"/>
  <c r="CV104" i="1" a="1"/>
  <c r="CV104" i="1" s="1"/>
  <c r="CV1067" i="1" a="1"/>
  <c r="CV1067" i="1" s="1"/>
  <c r="CV324" i="1" a="1"/>
  <c r="CV324" i="1" s="1"/>
  <c r="CV614" i="1" a="1"/>
  <c r="CV614" i="1" s="1"/>
  <c r="CV963" i="1" a="1"/>
  <c r="CV963" i="1" s="1"/>
  <c r="CV3" i="1" a="1"/>
  <c r="CV3" i="1" s="1"/>
  <c r="CV31" i="1" a="1"/>
  <c r="CV31" i="1" s="1"/>
  <c r="CV1097" i="1" a="1"/>
  <c r="CV1097" i="1" s="1"/>
  <c r="CV549" i="1" a="1"/>
  <c r="CV549" i="1" s="1"/>
  <c r="CV837" i="1" a="1"/>
  <c r="CV837" i="1" s="1"/>
  <c r="CV609" i="1" a="1"/>
  <c r="CV609" i="1" s="1"/>
  <c r="CV604" i="1" a="1"/>
  <c r="CV604" i="1" s="1"/>
  <c r="CV538" i="1" a="1"/>
  <c r="CV538" i="1" s="1"/>
  <c r="CV648" i="1" a="1"/>
  <c r="CV648" i="1" s="1"/>
  <c r="CV519" i="1" a="1"/>
  <c r="CV519" i="1" s="1"/>
  <c r="CV958" i="1" a="1"/>
  <c r="CV958" i="1" s="1"/>
  <c r="CV82" i="1" a="1"/>
  <c r="CV82" i="1" s="1"/>
  <c r="CV208" i="1" a="1"/>
  <c r="CV208" i="1" s="1"/>
  <c r="CV299" i="1" a="1"/>
  <c r="CV299" i="1" s="1"/>
  <c r="CV909" i="1" a="1"/>
  <c r="CV909" i="1" s="1"/>
  <c r="CV65" i="1" a="1"/>
  <c r="CV65" i="1" s="1"/>
  <c r="CV964" i="1" a="1"/>
  <c r="CV964" i="1" s="1"/>
  <c r="CV1082" i="1" a="1"/>
  <c r="CV1082" i="1" s="1"/>
  <c r="CV992" i="1" a="1"/>
  <c r="CV992" i="1" s="1"/>
  <c r="CV108" i="1" a="1"/>
  <c r="CV108" i="1" s="1"/>
  <c r="CV703" i="1" a="1"/>
  <c r="CV703" i="1" s="1"/>
  <c r="CV907" i="1" a="1"/>
  <c r="CV907" i="1" s="1"/>
  <c r="CV517" i="1" a="1"/>
  <c r="CV517" i="1" s="1"/>
  <c r="CV618" i="1" a="1"/>
  <c r="CV618" i="1" s="1"/>
  <c r="CV51" i="1" a="1"/>
  <c r="CV51" i="1" s="1"/>
  <c r="CV757" i="1" a="1"/>
  <c r="CV757" i="1" s="1"/>
  <c r="CV638" i="1" a="1"/>
  <c r="CV638" i="1" s="1"/>
  <c r="CV92" i="1" a="1"/>
  <c r="CV92" i="1" s="1"/>
  <c r="CV501" i="1" a="1"/>
  <c r="CV501" i="1" s="1"/>
  <c r="CV1070" i="1" a="1"/>
  <c r="CV1070" i="1" s="1"/>
  <c r="CV350" i="1" a="1"/>
  <c r="CV350" i="1" s="1"/>
  <c r="CV530" i="1" a="1"/>
  <c r="CV530" i="1" s="1"/>
  <c r="CV4" i="1" a="1"/>
  <c r="CV4" i="1" s="1"/>
  <c r="CV222" i="1" a="1"/>
  <c r="CV222" i="1" s="1"/>
  <c r="CV359" i="1" a="1"/>
  <c r="CV359" i="1" s="1"/>
  <c r="CV654" i="1" a="1"/>
  <c r="CV654" i="1" s="1"/>
  <c r="CV337" i="1" a="1"/>
  <c r="CV337" i="1" s="1"/>
  <c r="CV952" i="1" a="1"/>
  <c r="CV952" i="1" s="1"/>
  <c r="CV185" i="1" a="1"/>
  <c r="CV185" i="1" s="1"/>
  <c r="CV910" i="1" a="1"/>
  <c r="CV910" i="1" s="1"/>
  <c r="CV833" i="1" a="1"/>
  <c r="CV833" i="1" s="1"/>
  <c r="CV927" i="1" a="1"/>
  <c r="CV927" i="1" s="1"/>
  <c r="CV454" i="1" a="1"/>
  <c r="CV454" i="1" s="1"/>
  <c r="CV822" i="1" a="1"/>
  <c r="CV822" i="1" s="1"/>
  <c r="CV198" i="1" a="1"/>
  <c r="CV198" i="1" s="1"/>
  <c r="CV646" i="1" a="1"/>
  <c r="CV646" i="1" s="1"/>
  <c r="CV543" i="1" a="1"/>
  <c r="CV543" i="1" s="1"/>
  <c r="CV304" i="1" a="1"/>
  <c r="CV304" i="1" s="1"/>
  <c r="CV26" i="1" a="1"/>
  <c r="CV26" i="1" s="1"/>
  <c r="CV398" i="1" a="1"/>
  <c r="CV398" i="1" s="1"/>
  <c r="CV45" i="1" a="1"/>
  <c r="CV45" i="1" s="1"/>
  <c r="CV1215" i="1" a="1"/>
  <c r="CV1215" i="1" s="1"/>
  <c r="CV1195" i="1" a="1"/>
  <c r="CV1195" i="1" s="1"/>
  <c r="CV469" i="1" a="1"/>
  <c r="CV469" i="1" s="1"/>
  <c r="CV246" i="1" a="1"/>
  <c r="CV246" i="1" s="1"/>
  <c r="CV288" i="1" a="1"/>
  <c r="CV288" i="1" s="1"/>
  <c r="CV360" i="1" a="1"/>
  <c r="CV360" i="1" s="1"/>
  <c r="CV73" i="1" a="1"/>
  <c r="CV73" i="1" s="1"/>
  <c r="CV554" i="1" a="1"/>
  <c r="CV554" i="1" s="1"/>
  <c r="CV294" i="1" a="1"/>
  <c r="CV294" i="1" s="1"/>
  <c r="CV1124" i="1" a="1"/>
  <c r="CV1124" i="1" s="1"/>
  <c r="CV953" i="1" a="1"/>
  <c r="CV953" i="1" s="1"/>
  <c r="CV67" i="1" a="1"/>
  <c r="CV67" i="1" s="1"/>
  <c r="CV58" i="1" a="1"/>
  <c r="CV58" i="1" s="1"/>
  <c r="CV870" i="1" a="1"/>
  <c r="CV870" i="1" s="1"/>
  <c r="CV325" i="1" a="1"/>
  <c r="CV325" i="1" s="1"/>
  <c r="CV1059" i="1" a="1"/>
  <c r="CV1059" i="1" s="1"/>
  <c r="CV74" i="1" a="1"/>
  <c r="CV74" i="1" s="1"/>
  <c r="CV569" i="1" a="1"/>
  <c r="CV569" i="1" s="1"/>
  <c r="CV42" i="1" a="1"/>
  <c r="CV42" i="1" s="1"/>
  <c r="CV382" i="1" a="1"/>
  <c r="CV382" i="1" s="1"/>
  <c r="CV32" i="1" a="1"/>
  <c r="CV32" i="1" s="1"/>
  <c r="CV928" i="1" a="1"/>
  <c r="CV928" i="1" s="1"/>
  <c r="CV639" i="1" a="1"/>
  <c r="CV639" i="1" s="1"/>
  <c r="CV857" i="1" a="1"/>
  <c r="CV857" i="1" s="1"/>
  <c r="CV1045" i="1" a="1"/>
  <c r="CV1045" i="1" s="1"/>
  <c r="CV68" i="1" a="1"/>
  <c r="CV68" i="1" s="1"/>
  <c r="CV1085" i="1" a="1"/>
  <c r="CV1085" i="1" s="1"/>
  <c r="CV251" i="1" a="1"/>
  <c r="CV251" i="1" s="1"/>
  <c r="CV529" i="1" a="1"/>
  <c r="CV529" i="1" s="1"/>
  <c r="CV5" i="1" a="1"/>
  <c r="CV5" i="1" s="1"/>
  <c r="CV1000" i="1" a="1"/>
  <c r="CV1000" i="1" s="1"/>
  <c r="CV60" i="1" a="1"/>
  <c r="CV60" i="1" s="1"/>
  <c r="CV1060" i="1" a="1"/>
  <c r="CV1060" i="1" s="1"/>
  <c r="CV432" i="1" a="1"/>
  <c r="CV432" i="1" s="1"/>
  <c r="CV1214" i="1" a="1"/>
  <c r="CV1214" i="1" s="1"/>
  <c r="CV635" i="1" a="1"/>
  <c r="CV635" i="1" s="1"/>
  <c r="CV300" i="1" a="1"/>
  <c r="CV300" i="1" s="1"/>
  <c r="CV52" i="1" a="1"/>
  <c r="CV52" i="1" s="1"/>
  <c r="CV192" i="1" a="1"/>
  <c r="CV192" i="1" s="1"/>
  <c r="CV86" i="1" a="1"/>
  <c r="CV86" i="1" s="1"/>
  <c r="CV1211" i="1" a="1"/>
  <c r="CV1211" i="1" s="1"/>
  <c r="CV411" i="1" a="1"/>
  <c r="CV411" i="1" s="1"/>
  <c r="CV1077" i="1" a="1"/>
  <c r="CV1077" i="1" s="1"/>
  <c r="CV289" i="1" a="1"/>
  <c r="CV289" i="1" s="1"/>
  <c r="CV502" i="1" a="1"/>
  <c r="CV502" i="1" s="1"/>
  <c r="CV503" i="1" a="1"/>
  <c r="CV503" i="1" s="1"/>
  <c r="CV961" i="1" a="1"/>
  <c r="CV961" i="1" s="1"/>
  <c r="CV399" i="1" a="1"/>
  <c r="CV399" i="1" s="1"/>
  <c r="CV842" i="1" a="1"/>
  <c r="CV842" i="1" s="1"/>
  <c r="CV284" i="1" a="1"/>
  <c r="CV284" i="1" s="1"/>
  <c r="CV1049" i="1" a="1"/>
  <c r="CV1049" i="1" s="1"/>
  <c r="CV35" i="1" a="1"/>
  <c r="CV35" i="1" s="1"/>
  <c r="CV211" i="1" a="1"/>
  <c r="CV211" i="1" s="1"/>
  <c r="CV515" i="1" a="1"/>
  <c r="CV515" i="1" s="1"/>
  <c r="CV840" i="1" a="1"/>
  <c r="CV840" i="1" s="1"/>
  <c r="CV537" i="1" a="1"/>
  <c r="CV537" i="1" s="1"/>
  <c r="CV356" i="1" a="1"/>
  <c r="CV356" i="1" s="1"/>
  <c r="CV981" i="1" a="1"/>
  <c r="CV981" i="1" s="1"/>
  <c r="CV965" i="1" a="1"/>
  <c r="CV965" i="1" s="1"/>
  <c r="CV305" i="1" a="1"/>
  <c r="CV305" i="1" s="1"/>
  <c r="CV290" i="1" a="1"/>
  <c r="CV290" i="1" s="1"/>
  <c r="CV297" i="1" a="1"/>
  <c r="CV297" i="1" s="1"/>
  <c r="CV87" i="1" a="1"/>
  <c r="CV87" i="1" s="1"/>
  <c r="CV184" i="1" a="1"/>
  <c r="CV184" i="1" s="1"/>
  <c r="CV451" i="1" a="1"/>
  <c r="CV451" i="1" s="1"/>
  <c r="CV312" i="1" a="1"/>
  <c r="CV312" i="1" s="1"/>
  <c r="CV465" i="1" a="1"/>
  <c r="CV465" i="1" s="1"/>
  <c r="CV544" i="1" a="1"/>
  <c r="CV544" i="1" s="1"/>
  <c r="CV1107" i="1" a="1"/>
  <c r="CV1107" i="1" s="1"/>
  <c r="CV1222" i="1" a="1"/>
  <c r="CV1222" i="1" s="1"/>
  <c r="CV1088" i="1" a="1"/>
  <c r="CV1088" i="1" s="1"/>
  <c r="CV383" i="1" a="1"/>
  <c r="CV383" i="1" s="1"/>
  <c r="CV636" i="1" a="1"/>
  <c r="CV636" i="1" s="1"/>
  <c r="CV27" i="1" a="1"/>
  <c r="CV27" i="1" s="1"/>
  <c r="CV130" i="1" a="1"/>
  <c r="CV130" i="1" s="1"/>
  <c r="CV814" i="1" a="1"/>
  <c r="CV814" i="1" s="1"/>
  <c r="CV966" i="1" a="1"/>
  <c r="CV966" i="1" s="1"/>
  <c r="CV1204" i="1" a="1"/>
  <c r="CV1204" i="1" s="1"/>
  <c r="CV972" i="1" a="1"/>
  <c r="CV972" i="1" s="1"/>
  <c r="CV867" i="1" a="1"/>
  <c r="CV867" i="1" s="1"/>
  <c r="CV748" i="1" a="1"/>
  <c r="CV748" i="1" s="1"/>
  <c r="CV59" i="1" a="1"/>
  <c r="CV59" i="1" s="1"/>
  <c r="CV727" i="1" a="1"/>
  <c r="CV727" i="1" s="1"/>
  <c r="CV301" i="1" a="1"/>
  <c r="CV301" i="1" s="1"/>
  <c r="CV64" i="1" a="1"/>
  <c r="CV64" i="1" s="1"/>
  <c r="CV1052" i="1" a="1"/>
  <c r="CV1052" i="1" s="1"/>
  <c r="CV1126" i="1" a="1"/>
  <c r="CV1126" i="1" s="1"/>
  <c r="CV316" i="1" a="1"/>
  <c r="CV316" i="1" s="1"/>
  <c r="CV314" i="1" a="1"/>
  <c r="CV314" i="1" s="1"/>
  <c r="CV536" i="1" a="1"/>
  <c r="CV536" i="1" s="1"/>
  <c r="CV53" i="1" a="1"/>
  <c r="CV53" i="1" s="1"/>
  <c r="CV687" i="1" a="1"/>
  <c r="CV687" i="1" s="1"/>
  <c r="CV40" i="1" a="1"/>
  <c r="CV40" i="1" s="1"/>
  <c r="CV322" i="1" a="1"/>
  <c r="CV322" i="1" s="1"/>
  <c r="CV841" i="1" a="1"/>
  <c r="CV841" i="1" s="1"/>
  <c r="CV498" i="1" a="1"/>
  <c r="CV498" i="1" s="1"/>
  <c r="CV1218" i="1" a="1"/>
  <c r="CV1218" i="1" s="1"/>
  <c r="CV397" i="1" a="1"/>
  <c r="CV397" i="1" s="1"/>
  <c r="CV24" i="1" a="1"/>
  <c r="CV24" i="1" s="1"/>
  <c r="CV186" i="1" a="1"/>
  <c r="CV186" i="1" s="1"/>
  <c r="CV455" i="1" a="1"/>
  <c r="CV455" i="1" s="1"/>
  <c r="CV929" i="1" a="1"/>
  <c r="CV929" i="1" s="1"/>
  <c r="CV740" i="1" a="1"/>
  <c r="CV740" i="1" s="1"/>
  <c r="CV1219" i="1" a="1"/>
  <c r="CV1219" i="1" s="1"/>
  <c r="CV567" i="1" a="1"/>
  <c r="CV567" i="1" s="1"/>
  <c r="CV357" i="1" a="1"/>
  <c r="CV357" i="1" s="1"/>
  <c r="CV488" i="1" a="1"/>
  <c r="CV488" i="1" s="1"/>
  <c r="CV351" i="1" a="1"/>
  <c r="CV351" i="1" s="1"/>
  <c r="CV568" i="1" a="1"/>
  <c r="CV568" i="1" s="1"/>
  <c r="CV81" i="1" a="1"/>
  <c r="CV81" i="1" s="1"/>
  <c r="CV996" i="1" a="1"/>
  <c r="CV996" i="1" s="1"/>
  <c r="CV247" i="1" a="1"/>
  <c r="CV247" i="1" s="1"/>
  <c r="CV616" i="1" a="1"/>
  <c r="CV616" i="1" s="1"/>
  <c r="CV913" i="1" a="1"/>
  <c r="CV913" i="1" s="1"/>
  <c r="CV1090" i="1" a="1"/>
  <c r="CV1090" i="1" s="1"/>
  <c r="CV892" i="1" a="1"/>
  <c r="CV892" i="1" s="1"/>
  <c r="CV6" i="1" a="1"/>
  <c r="CV6" i="1" s="1"/>
  <c r="CV199" i="1" a="1"/>
  <c r="CV199" i="1" s="1"/>
  <c r="CV1216" i="1" a="1"/>
  <c r="CV1216" i="1" s="1"/>
  <c r="CV323" i="1" a="1"/>
  <c r="CV323" i="1" s="1"/>
  <c r="CV1205" i="1" a="1"/>
  <c r="CV1205" i="1" s="1"/>
  <c r="CV457" i="1" a="1"/>
  <c r="CV457" i="1" s="1"/>
  <c r="CV555" i="1" a="1"/>
  <c r="CV555" i="1" s="1"/>
  <c r="CV1125" i="1" a="1"/>
  <c r="CV1125" i="1" s="1"/>
  <c r="CV93" i="1" a="1"/>
  <c r="CV93" i="1" s="1"/>
  <c r="CV200" i="1" a="1"/>
  <c r="CV200" i="1" s="1"/>
  <c r="CV466" i="1" a="1"/>
  <c r="CV466" i="1" s="1"/>
  <c r="CV585" i="1" a="1"/>
  <c r="CV585" i="1" s="1"/>
  <c r="CV43" i="1" a="1"/>
  <c r="CV43" i="1" s="1"/>
  <c r="CV419" i="1" a="1"/>
  <c r="CV419" i="1" s="1"/>
  <c r="CV1156" i="1" a="1"/>
  <c r="CV1156" i="1" s="1"/>
  <c r="CV29" i="1" a="1"/>
  <c r="CV29" i="1" s="1"/>
  <c r="CV1210" i="1" a="1"/>
  <c r="CV1210" i="1" s="1"/>
  <c r="CV495" i="1" a="1"/>
  <c r="CV495" i="1" s="1"/>
  <c r="CV916" i="1" a="1"/>
  <c r="CV916" i="1" s="1"/>
  <c r="CV1050" i="1" a="1"/>
  <c r="CV1050" i="1" s="1"/>
  <c r="CV1203" i="1" a="1"/>
  <c r="CV1203" i="1" s="1"/>
  <c r="CV1221" i="1" a="1"/>
  <c r="CV1221" i="1" s="1"/>
  <c r="CV1206" i="1" a="1"/>
  <c r="CV1206" i="1" s="1"/>
  <c r="CV1012" i="1" a="1"/>
  <c r="CV1012" i="1" s="1"/>
  <c r="CV361" i="1" a="1"/>
  <c r="CV361" i="1" s="1"/>
  <c r="CV1207" i="1" a="1"/>
  <c r="CV1207" i="1" s="1"/>
  <c r="CV201" i="1" a="1"/>
  <c r="CV201" i="1" s="1"/>
  <c r="CV243" i="1" a="1"/>
  <c r="CV243" i="1" s="1"/>
  <c r="CV362" i="1" a="1"/>
  <c r="CV362" i="1" s="1"/>
  <c r="CV930" i="1" a="1"/>
  <c r="CV930" i="1" s="1"/>
  <c r="CV531" i="1" a="1"/>
  <c r="CV531" i="1" s="1"/>
  <c r="CV997" i="1" a="1"/>
  <c r="CV997" i="1" s="1"/>
  <c r="CV83" i="1" a="1"/>
  <c r="CV83" i="1" s="1"/>
  <c r="CV202" i="1" a="1"/>
  <c r="CV202" i="1" s="1"/>
  <c r="CV1004" i="1" a="1"/>
  <c r="CV1004" i="1" s="1"/>
  <c r="CV460" i="1" a="1"/>
  <c r="CV460" i="1" s="1"/>
  <c r="CV214" i="1" a="1"/>
  <c r="CV214" i="1" s="1"/>
  <c r="CV276" i="1" a="1"/>
  <c r="CV276" i="1" s="1"/>
  <c r="CV1016" i="1" a="1"/>
  <c r="CV1016" i="1" s="1"/>
  <c r="CV1061" i="1" a="1"/>
  <c r="CV1061" i="1" s="1"/>
  <c r="CV433" i="1" a="1"/>
  <c r="CV433" i="1" s="1"/>
  <c r="CV349" i="1" a="1"/>
  <c r="CV349" i="1" s="1"/>
  <c r="CV191" i="1" a="1"/>
  <c r="CV191" i="1" s="1"/>
  <c r="CV417" i="1" a="1"/>
  <c r="CV417" i="1" s="1"/>
  <c r="CV871" i="1" a="1"/>
  <c r="CV871" i="1" s="1"/>
  <c r="CV1062" i="1" a="1"/>
  <c r="CV1062" i="1" s="1"/>
  <c r="CV61" i="1" a="1"/>
  <c r="CV61" i="1" s="1"/>
  <c r="CV452" i="1" a="1"/>
  <c r="CV452" i="1" s="1"/>
  <c r="CV830" i="1" a="1"/>
  <c r="CV830" i="1" s="1"/>
  <c r="CV418" i="1" a="1"/>
  <c r="CV418" i="1" s="1"/>
  <c r="CV499" i="1" a="1"/>
  <c r="CV499" i="1" s="1"/>
  <c r="CV227" i="1" a="1"/>
  <c r="CV227" i="1" s="1"/>
  <c r="CV1053" i="1" a="1"/>
  <c r="CV1053" i="1" s="1"/>
  <c r="CV862" i="1" a="1"/>
  <c r="CV862" i="1" s="1"/>
  <c r="CV969" i="1" a="1"/>
  <c r="CV969" i="1" s="1"/>
  <c r="CV240" i="1" a="1"/>
  <c r="CV240" i="1" s="1"/>
  <c r="CV541" i="1" a="1"/>
  <c r="CV541" i="1" s="1"/>
  <c r="CV518" i="1" a="1"/>
  <c r="CV518" i="1" s="1"/>
  <c r="CV384" i="1" a="1"/>
  <c r="CV384" i="1" s="1"/>
  <c r="CV1054" i="1" a="1"/>
  <c r="CV1054" i="1" s="1"/>
  <c r="CV954" i="1" a="1"/>
  <c r="CV954" i="1" s="1"/>
  <c r="CV623" i="1" a="1"/>
  <c r="CV623" i="1" s="1"/>
  <c r="CV728" i="1" a="1"/>
  <c r="CV728" i="1" s="1"/>
  <c r="CV62" i="1" a="1"/>
  <c r="CV62" i="1" s="1"/>
  <c r="CV610" i="1" a="1"/>
  <c r="CV610" i="1" s="1"/>
  <c r="CV470" i="1" a="1"/>
  <c r="CV470" i="1" s="1"/>
  <c r="CV893" i="1" a="1"/>
  <c r="CV893" i="1" s="1"/>
  <c r="CV943" i="1" a="1"/>
  <c r="CV943" i="1" s="1"/>
  <c r="CV747" i="1" a="1"/>
  <c r="CV747" i="1" s="1"/>
  <c r="CV63" i="1" a="1"/>
  <c r="CV63" i="1" s="1"/>
  <c r="CV283" i="1" a="1"/>
  <c r="CV283" i="1" s="1"/>
  <c r="CV640" i="1" a="1"/>
  <c r="CV640" i="1" s="1"/>
  <c r="CV998" i="1" a="1"/>
  <c r="CV998" i="1" s="1"/>
  <c r="CV545" i="1" a="1"/>
  <c r="CV545" i="1" s="1"/>
  <c r="CV906" i="1" a="1"/>
  <c r="CV906" i="1" s="1"/>
  <c r="CV37" i="1" a="1"/>
  <c r="CV37" i="1" s="1"/>
  <c r="CV497" i="1" a="1"/>
  <c r="CV497" i="1" s="1"/>
  <c r="CV448" i="1" a="1"/>
  <c r="CV448" i="1" s="1"/>
  <c r="CV400" i="1" a="1"/>
  <c r="CV400" i="1" s="1"/>
  <c r="CV487" i="1" a="1"/>
  <c r="CV487" i="1" s="1"/>
  <c r="CV741" i="1" a="1"/>
  <c r="CV741" i="1" s="1"/>
  <c r="CV481" i="1" a="1"/>
  <c r="CV481" i="1" s="1"/>
  <c r="CV504" i="1" a="1"/>
  <c r="CV504" i="1" s="1"/>
  <c r="CV908" i="1" a="1"/>
  <c r="CV908" i="1" s="1"/>
  <c r="CV285" i="1" a="1"/>
  <c r="CV285" i="1" s="1"/>
  <c r="CV989" i="1" a="1"/>
  <c r="CV989" i="1" s="1"/>
  <c r="CV821" i="1" a="1"/>
  <c r="CV821" i="1" s="1"/>
  <c r="CV365" i="1" a="1"/>
  <c r="CV365" i="1" s="1"/>
  <c r="CV1063" i="1" a="1"/>
  <c r="CV1063" i="1" s="1"/>
  <c r="CV507" i="1" a="1"/>
  <c r="CV507" i="1" s="1"/>
  <c r="CV492" i="1" a="1"/>
  <c r="CV492" i="1" s="1"/>
  <c r="CV762" i="1" a="1"/>
  <c r="CV762" i="1" s="1"/>
  <c r="CV566" i="1" a="1"/>
  <c r="CV566" i="1" s="1"/>
  <c r="CV385" i="1" a="1"/>
  <c r="CV385" i="1" s="1"/>
  <c r="CV858" i="1" a="1"/>
  <c r="CV858" i="1" s="1"/>
  <c r="CV546" i="1" a="1"/>
  <c r="CV546" i="1" s="1"/>
  <c r="CV967" i="1" a="1"/>
  <c r="CV967" i="1" s="1"/>
  <c r="CV532" i="1" a="1"/>
  <c r="CV532" i="1" s="1"/>
  <c r="CV500" i="1" a="1"/>
  <c r="CV500" i="1" s="1"/>
  <c r="CV663" i="1" a="1"/>
  <c r="CV663" i="1" s="1"/>
  <c r="CV212" i="1" a="1"/>
  <c r="CV212" i="1" s="1"/>
  <c r="CV1160" i="1" a="1"/>
  <c r="CV1160" i="1" s="1"/>
  <c r="CV36" i="1" a="1"/>
  <c r="CV36" i="1" s="1"/>
  <c r="CV960" i="1" a="1"/>
  <c r="CV960" i="1" s="1"/>
  <c r="CV449" i="1" a="1"/>
  <c r="CV449" i="1" s="1"/>
  <c r="CV396" i="1" a="1"/>
  <c r="CV396" i="1" s="1"/>
  <c r="CV471" i="1" a="1"/>
  <c r="CV471" i="1" s="1"/>
  <c r="CV95" i="1" a="1"/>
  <c r="CV95" i="1" s="1"/>
  <c r="CV761" i="1" a="1"/>
  <c r="CV761" i="1" s="1"/>
  <c r="CV88" i="1" a="1"/>
  <c r="CV88" i="1" s="1"/>
  <c r="CV94" i="1" a="1"/>
  <c r="CV94" i="1" s="1"/>
  <c r="CV386" i="1" a="1"/>
  <c r="CV386" i="1" s="1"/>
  <c r="CV968" i="1" a="1"/>
  <c r="CV968" i="1" s="1"/>
  <c r="CV1101" i="1" a="1"/>
  <c r="CV1101" i="1" s="1"/>
  <c r="CV306" i="1" a="1"/>
  <c r="CV306" i="1" s="1"/>
  <c r="CV664" i="1" a="1"/>
  <c r="CV664" i="1" s="1"/>
  <c r="CV593" i="1" a="1"/>
  <c r="CV593" i="1" s="1"/>
  <c r="CV1078" i="1" a="1"/>
  <c r="CV1078" i="1" s="1"/>
  <c r="CV859" i="1" a="1"/>
  <c r="CV859" i="1" s="1"/>
  <c r="CV970" i="1" a="1"/>
  <c r="CV970" i="1" s="1"/>
  <c r="CV482" i="1" a="1"/>
  <c r="CV482" i="1" s="1"/>
  <c r="CV70" i="1" a="1"/>
  <c r="CV70" i="1" s="1"/>
  <c r="CV533" i="1" a="1"/>
  <c r="CV533" i="1" s="1"/>
  <c r="CV665" i="1" a="1"/>
  <c r="CV665" i="1" s="1"/>
  <c r="CV54" i="1" a="1"/>
  <c r="CV54" i="1" s="1"/>
  <c r="CV1008" i="1" a="1"/>
  <c r="CV1008" i="1" s="1"/>
  <c r="CV931" i="1" a="1"/>
  <c r="CV931" i="1" s="1"/>
  <c r="CV96" i="1" a="1"/>
  <c r="CV96" i="1" s="1"/>
  <c r="CV494" i="1" a="1"/>
  <c r="CV494" i="1" s="1"/>
  <c r="CV262" i="1" a="1"/>
  <c r="CV262" i="1" s="1"/>
  <c r="CV1086" i="1" a="1"/>
  <c r="CV1086" i="1" s="1"/>
  <c r="CV1217" i="1" a="1"/>
  <c r="CV1217" i="1" s="1"/>
  <c r="CV742" i="1" a="1"/>
  <c r="CV742" i="1" s="1"/>
  <c r="CV483" i="1" a="1"/>
  <c r="CV483" i="1" s="1"/>
  <c r="CV934" i="1" a="1"/>
  <c r="CV934" i="1" s="1"/>
  <c r="CV1046" i="1" a="1"/>
  <c r="CV1046" i="1" s="1"/>
  <c r="CV363" i="1" a="1"/>
  <c r="CV363" i="1" s="1"/>
  <c r="CV1047" i="1" a="1"/>
  <c r="CV1047" i="1" s="1"/>
  <c r="CV730" i="1" a="1"/>
  <c r="CV730" i="1" s="1"/>
  <c r="CV91" i="1" a="1"/>
  <c r="CV91" i="1" s="1"/>
  <c r="CV197" i="1" a="1"/>
  <c r="CV197" i="1" s="1"/>
  <c r="CV317" i="1" a="1"/>
  <c r="CV317" i="1" s="1"/>
  <c r="CV1208" i="1" a="1"/>
  <c r="CV1208" i="1" s="1"/>
  <c r="CV1003" i="1" a="1"/>
  <c r="CV1003" i="1" s="1"/>
  <c r="CV611" i="1" a="1"/>
  <c r="CV611" i="1" s="1"/>
  <c r="CV412" i="1" a="1"/>
  <c r="CV412" i="1" s="1"/>
  <c r="CV248" i="1" a="1"/>
  <c r="CV248" i="1" s="1"/>
  <c r="CV213" i="1" a="1"/>
  <c r="CV213" i="1" s="1"/>
  <c r="CV173" i="1" a="1"/>
  <c r="CV173" i="1" s="1"/>
  <c r="CV971" i="1" a="1"/>
  <c r="CV971" i="1" s="1"/>
  <c r="CV994" i="1" a="1"/>
  <c r="CV994" i="1" s="1"/>
  <c r="CV413" i="1" a="1"/>
  <c r="CV413" i="1" s="1"/>
  <c r="CV1048" i="1" a="1"/>
  <c r="CV1048" i="1" s="1"/>
  <c r="CV33" i="1" a="1"/>
  <c r="CV33" i="1" s="1"/>
  <c r="CV1064" i="1" a="1"/>
  <c r="CV1064" i="1" s="1"/>
  <c r="CV453" i="1" a="1"/>
  <c r="CV453" i="1" s="1"/>
  <c r="CV771" i="1" a="1"/>
  <c r="CV771" i="1" s="1"/>
  <c r="CV401" i="1" a="1"/>
  <c r="CV401" i="1" s="1"/>
  <c r="CV534" i="1" a="1"/>
  <c r="CV534" i="1" s="1"/>
  <c r="CV484" i="1" a="1"/>
  <c r="CV484" i="1" s="1"/>
  <c r="CV352" i="1" a="1"/>
  <c r="CV352" i="1" s="1"/>
  <c r="CV861" i="1" a="1"/>
  <c r="CV861" i="1" s="1"/>
  <c r="CV7" i="1" a="1"/>
  <c r="CV7" i="1" s="1"/>
  <c r="CV206" i="1" a="1"/>
  <c r="CV206" i="1" s="1"/>
  <c r="CV744" i="1" a="1"/>
  <c r="CV744" i="1" s="1"/>
  <c r="CV1196" i="1" a="1"/>
  <c r="CV1196" i="1" s="1"/>
  <c r="CV637" i="1" a="1"/>
  <c r="CV637" i="1" s="1"/>
  <c r="CV542" i="1" a="1"/>
  <c r="CV542" i="1" s="1"/>
  <c r="CV187" i="1" a="1"/>
  <c r="CV187" i="1" s="1"/>
  <c r="CV203" i="1" a="1"/>
  <c r="CV203" i="1" s="1"/>
  <c r="CV493" i="1" a="1"/>
  <c r="CV493" i="1" s="1"/>
  <c r="CV1055" i="1" a="1"/>
  <c r="CV1055" i="1" s="1"/>
  <c r="CV1065" i="1" a="1"/>
  <c r="CV1065" i="1" s="1"/>
  <c r="CV209" i="1" a="1"/>
  <c r="CV209" i="1" s="1"/>
  <c r="CV193" i="1" a="1"/>
  <c r="CV193" i="1" s="1"/>
  <c r="CV55" i="1" a="1"/>
  <c r="CV55" i="1" s="1"/>
  <c r="CV726" i="1" a="1"/>
  <c r="CV726" i="1" s="1"/>
  <c r="CV641" i="1" a="1"/>
  <c r="CV641" i="1" s="1"/>
  <c r="CV526" i="1" a="1"/>
  <c r="CV526" i="1" s="1"/>
  <c r="CV174" i="1" a="1"/>
  <c r="CV174" i="1" s="1"/>
  <c r="CV302" i="1" a="1"/>
  <c r="CV302" i="1" s="1"/>
  <c r="CV34" i="1" a="1"/>
  <c r="CV34" i="1" s="1"/>
  <c r="CV644" i="1" a="1"/>
  <c r="CV644" i="1" s="1"/>
  <c r="CV44" i="1" a="1"/>
  <c r="CV44" i="1" s="1"/>
  <c r="CV1220" i="1" a="1"/>
  <c r="CV1220" i="1" s="1"/>
  <c r="CV194" i="1" a="1"/>
  <c r="CV194" i="1" s="1"/>
  <c r="CV917" i="1" a="1"/>
  <c r="CV917" i="1" s="1"/>
  <c r="CV872" i="1" a="1"/>
  <c r="CV872" i="1" s="1"/>
  <c r="CV188" i="1" a="1"/>
  <c r="CV188" i="1" s="1"/>
  <c r="CV28" i="1" a="1"/>
  <c r="CV28" i="1" s="1"/>
  <c r="CV1089" i="1" a="1"/>
  <c r="CV1089" i="1" s="1"/>
  <c r="CV749" i="1" a="1"/>
  <c r="CV749" i="1" s="1"/>
  <c r="CV89" i="1" a="1"/>
  <c r="CV89" i="1" s="1"/>
  <c r="CV69" i="1" a="1"/>
  <c r="CV69" i="1" s="1"/>
  <c r="CV395" i="1" a="1"/>
  <c r="CV395" i="1" s="1"/>
  <c r="CV450" i="1" a="1"/>
  <c r="CV450" i="1" s="1"/>
  <c r="CV467" i="1" a="1"/>
  <c r="CV467" i="1" s="1"/>
  <c r="CV1066" i="1" a="1"/>
  <c r="CV1066" i="1" s="1"/>
  <c r="CV39" i="1" a="1"/>
  <c r="CV39" i="1" s="1"/>
  <c r="CV601" i="1" a="1"/>
  <c r="CV601" i="1" s="1"/>
  <c r="CV402" i="1" a="1"/>
  <c r="CV402" i="1" s="1"/>
  <c r="CV777" i="1" a="1"/>
  <c r="CV777" i="1" s="1"/>
  <c r="CV710" i="1" a="1"/>
  <c r="CV710" i="1" s="1"/>
  <c r="CV1202" i="1" a="1"/>
  <c r="CV1202" i="1" s="1"/>
  <c r="CV56" i="1" a="1"/>
  <c r="CV56" i="1" s="1"/>
  <c r="CV458" i="1" a="1"/>
  <c r="CV458" i="1" s="1"/>
  <c r="CV643" i="1" a="1"/>
  <c r="CV643" i="1" s="1"/>
  <c r="CV1058" i="1" a="1"/>
  <c r="CV1058" i="1" s="1"/>
  <c r="CV959" i="1" a="1"/>
  <c r="CV959" i="1" s="1"/>
  <c r="CV1212" i="1" a="1"/>
  <c r="CV1212" i="1" s="1"/>
  <c r="CV647" i="1" a="1"/>
  <c r="CV647" i="1" s="1"/>
  <c r="CV204" i="1" a="1"/>
  <c r="CV204" i="1" s="1"/>
  <c r="CV750" i="1" a="1"/>
  <c r="CV750" i="1" s="1"/>
  <c r="CV295" i="1" a="1"/>
  <c r="CV295" i="1" s="1"/>
  <c r="CV612" i="1" a="1"/>
  <c r="CV612" i="1" s="1"/>
  <c r="CV459" i="1" a="1"/>
  <c r="CV459" i="1" s="1"/>
  <c r="CV472" i="1" a="1"/>
  <c r="CV472" i="1" s="1"/>
  <c r="CV485" i="1" a="1"/>
  <c r="CV485" i="1" s="1"/>
  <c r="CV189" i="1" a="1"/>
  <c r="CV189" i="1" s="1"/>
  <c r="CV535" i="1" a="1"/>
  <c r="CV535" i="1" s="1"/>
  <c r="CV50" i="1" a="1"/>
  <c r="CV50" i="1" s="1"/>
  <c r="CV743" i="1" a="1"/>
  <c r="CV743" i="1" s="1"/>
  <c r="CV1209" i="1" a="1"/>
  <c r="CV1209" i="1" s="1"/>
  <c r="CV291" i="1" a="1"/>
  <c r="CV291" i="1" s="1"/>
  <c r="CV539" i="1" a="1"/>
  <c r="CV539" i="1" s="1"/>
  <c r="CV666" i="1" a="1"/>
  <c r="CV666" i="1" s="1"/>
  <c r="CV516" i="1" a="1"/>
  <c r="CV516" i="1" s="1"/>
  <c r="CV205" i="1" a="1"/>
  <c r="CV205" i="1" s="1"/>
  <c r="CV999" i="1" a="1"/>
  <c r="CV999" i="1" s="1"/>
  <c r="CV486" i="1" a="1"/>
  <c r="CV486" i="1" s="1"/>
  <c r="CV839" i="1" a="1"/>
  <c r="CV839" i="1" s="1"/>
  <c r="CV456" i="1" a="1"/>
  <c r="CV456" i="1" s="1"/>
  <c r="CV1084" i="1" a="1"/>
  <c r="CV1084" i="1" s="1"/>
  <c r="CV613" i="1" a="1"/>
  <c r="CV613" i="1" s="1"/>
  <c r="CV298" i="1" a="1"/>
  <c r="CV298" i="1" s="1"/>
  <c r="CV353" i="1" a="1"/>
  <c r="CV353" i="1" s="1"/>
  <c r="CV699" i="1" a="1"/>
  <c r="CV699" i="1" s="1"/>
  <c r="CV90" i="1" a="1"/>
  <c r="CV90" i="1" s="1"/>
  <c r="CV932" i="1" a="1"/>
  <c r="CV932" i="1" s="1"/>
  <c r="CV1056" i="1" a="1"/>
  <c r="CV1056" i="1" s="1"/>
  <c r="CV975" i="1" a="1"/>
  <c r="CV975" i="1" s="1"/>
  <c r="CV8" i="1" a="1"/>
  <c r="CV8" i="1" s="1"/>
  <c r="CV1057" i="1" a="1"/>
  <c r="CV1057" i="1" s="1"/>
  <c r="CV315" i="1" a="1"/>
  <c r="CV315" i="1" s="1"/>
  <c r="CV1098" i="1" a="1"/>
  <c r="CV1098" i="1" s="1"/>
  <c r="CV57" i="1" a="1"/>
  <c r="CV57" i="1" s="1"/>
  <c r="CV286" i="1" a="1"/>
  <c r="CV286" i="1" s="1"/>
  <c r="CV403" i="1" a="1"/>
  <c r="CV403" i="1" s="1"/>
  <c r="CV731" i="1" a="1"/>
  <c r="CV731" i="1" s="1"/>
  <c r="CV729" i="1" a="1"/>
  <c r="CV729" i="1" s="1"/>
  <c r="CV605" i="1" a="1"/>
  <c r="CV605" i="1" s="1"/>
  <c r="CV21" i="1" a="1"/>
  <c r="CV21" i="1" s="1"/>
  <c r="CV468" i="1" a="1"/>
  <c r="CV468" i="1" s="1"/>
  <c r="CV303" i="1" a="1"/>
  <c r="CV303" i="1" s="1"/>
  <c r="CV860" i="1" a="1"/>
  <c r="CV860" i="1" s="1"/>
  <c r="CV9" i="1" a="1"/>
  <c r="CV9" i="1" s="1"/>
  <c r="CV210" i="1" a="1"/>
  <c r="CV210" i="1" s="1"/>
  <c r="CV496" i="1" a="1"/>
  <c r="CV496" i="1" s="1"/>
  <c r="CV320" i="1" a="1"/>
  <c r="CV320" i="1" s="1"/>
  <c r="CV634" i="1" a="1"/>
  <c r="CV634" i="1" s="1"/>
  <c r="CV293" i="1" a="1"/>
  <c r="CV293" i="1" s="1"/>
  <c r="CV307" i="1" a="1"/>
  <c r="CV307" i="1" s="1"/>
  <c r="CV2" i="1" a="1"/>
  <c r="CV2" i="1" s="1"/>
  <c r="CV686" i="1" a="1"/>
  <c r="CV686" i="1" s="1"/>
  <c r="CV505" i="1" a="1"/>
  <c r="CV505" i="1" s="1"/>
  <c r="CV540" i="1" a="1"/>
  <c r="CV540" i="1" s="1"/>
  <c r="CV25" i="1" a="1"/>
  <c r="CV25" i="1" s="1"/>
  <c r="CV30" i="1" a="1"/>
  <c r="CV30" i="1" s="1"/>
  <c r="CV308" i="1" a="1"/>
  <c r="CV308" i="1" s="1"/>
  <c r="CV955" i="1" a="1"/>
  <c r="CV955" i="1" s="1"/>
  <c r="CV642" i="1" a="1"/>
  <c r="CV642" i="1" s="1"/>
  <c r="CV873" i="1" a="1"/>
  <c r="CV873" i="1" s="1"/>
  <c r="CV38" i="1" a="1"/>
  <c r="CV38" i="1" s="1"/>
  <c r="CV1087" i="1" a="1"/>
  <c r="CV1087" i="1" s="1"/>
  <c r="CV287" i="1" a="1"/>
  <c r="CV287" i="1" s="1"/>
  <c r="CV364" i="1" a="1"/>
  <c r="CV364" i="1" s="1"/>
  <c r="CV933" i="1" a="1"/>
  <c r="CV933" i="1" s="1"/>
  <c r="CV831" i="1" a="1"/>
  <c r="CV831" i="1" s="1"/>
  <c r="CV622" i="1" a="1"/>
  <c r="CV622" i="1" s="1"/>
  <c r="CV1079" i="1" a="1"/>
  <c r="CV1079" i="1" s="1"/>
  <c r="CV292" i="1" a="1"/>
  <c r="CV292" i="1" s="1"/>
  <c r="CV945" i="1" a="1"/>
  <c r="CV945" i="1" s="1"/>
  <c r="X1180" i="1" l="1"/>
  <c r="X1177" i="1"/>
  <c r="X1171" i="1"/>
  <c r="X1168" i="1"/>
  <c r="X1146" i="1"/>
  <c r="X1141" i="1"/>
  <c r="X1136" i="1"/>
  <c r="X1133" i="1"/>
  <c r="X1094" i="1"/>
  <c r="X1075" i="1"/>
  <c r="X1034" i="1"/>
  <c r="X1033" i="1"/>
  <c r="X1031" i="1"/>
  <c r="X1027" i="1"/>
  <c r="X986" i="1"/>
  <c r="X937" i="1"/>
  <c r="X915" i="1"/>
  <c r="X899" i="1"/>
  <c r="X890" i="1"/>
  <c r="X877" i="1"/>
  <c r="X847" i="1"/>
  <c r="X819" i="1"/>
  <c r="X793" i="1"/>
  <c r="X769" i="1"/>
  <c r="X763" i="1"/>
  <c r="X758" i="1"/>
  <c r="X706" i="1"/>
  <c r="X700" i="1"/>
  <c r="X669" i="1"/>
  <c r="X667" i="1"/>
  <c r="X652" i="1"/>
  <c r="X629" i="1"/>
  <c r="X626" i="1"/>
  <c r="X624" i="1"/>
  <c r="X621" i="1"/>
  <c r="X606" i="1"/>
  <c r="X589" i="1"/>
  <c r="X579" i="1"/>
  <c r="X556" i="1"/>
  <c r="X527" i="1"/>
  <c r="X522" i="1"/>
  <c r="X508" i="1"/>
  <c r="X445" i="1"/>
  <c r="X435" i="1"/>
  <c r="X424" i="1"/>
  <c r="X420" i="1"/>
  <c r="X405" i="1"/>
  <c r="X392" i="1"/>
  <c r="X390" i="1"/>
  <c r="X387" i="1"/>
  <c r="X378" i="1"/>
  <c r="X367" i="1"/>
  <c r="X347" i="1"/>
  <c r="X346" i="1"/>
  <c r="X330" i="1"/>
  <c r="X318" i="1"/>
  <c r="X275" i="1"/>
  <c r="X266" i="1"/>
  <c r="X265" i="1"/>
  <c r="X263" i="1"/>
  <c r="X259" i="1"/>
  <c r="X254" i="1"/>
  <c r="X232" i="1"/>
  <c r="X176" i="1"/>
  <c r="X159" i="1"/>
  <c r="X132" i="1"/>
  <c r="X117" i="1"/>
  <c r="X97" i="1"/>
  <c r="X84" i="1"/>
  <c r="X77" i="1"/>
  <c r="X18" i="1"/>
  <c r="X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<sst xmlns="http://schemas.openxmlformats.org/spreadsheetml/2006/main" count="6939" uniqueCount="1915">
  <si>
    <t xml:space="preserve">NAME </t>
  </si>
  <si>
    <t>SURNAME</t>
  </si>
  <si>
    <t>SEX</t>
  </si>
  <si>
    <t>DOB</t>
  </si>
  <si>
    <t>AGE</t>
  </si>
  <si>
    <t>GRADE</t>
  </si>
  <si>
    <t>TEST DATE YEAR</t>
  </si>
  <si>
    <t>TEST DATE MONTH</t>
  </si>
  <si>
    <t>TEST TERM</t>
  </si>
  <si>
    <t>WINTER SPORT 1</t>
  </si>
  <si>
    <t>WINTER SPORT 1- TEAM</t>
  </si>
  <si>
    <t>WINTER SPORT 1 - POSITION</t>
  </si>
  <si>
    <t>WINTER SPORT 2</t>
  </si>
  <si>
    <t>WINTER SPORT 2 - TEAM</t>
  </si>
  <si>
    <t>WINTER SPORT 2 - POSITION</t>
  </si>
  <si>
    <t>SUMMER SPORT 1</t>
  </si>
  <si>
    <t>SUMMER SPORT 1 - TEAM</t>
  </si>
  <si>
    <t>SUMMER SPORT 1 - POSITION</t>
  </si>
  <si>
    <t>SEATED HEIGHT</t>
  </si>
  <si>
    <t>STANDING HEIGHT</t>
  </si>
  <si>
    <t>WEIGHT</t>
  </si>
  <si>
    <t>TBW</t>
  </si>
  <si>
    <t>BFM (kg)</t>
  </si>
  <si>
    <t>FFM (kg)</t>
  </si>
  <si>
    <t>SMM (kg)</t>
  </si>
  <si>
    <t xml:space="preserve">BMI </t>
  </si>
  <si>
    <t>%BF</t>
  </si>
  <si>
    <t>FFM (kg) (right leg)</t>
  </si>
  <si>
    <t>FFM% (right leg)</t>
  </si>
  <si>
    <t>FFM (kg) (left leg)</t>
  </si>
  <si>
    <t>FFM% (left leg)</t>
  </si>
  <si>
    <t>BFM (kg) (right leg)</t>
  </si>
  <si>
    <t>BFM% (right leg)</t>
  </si>
  <si>
    <t>BFM (kg) (left leg)</t>
  </si>
  <si>
    <t>BFM% (left leg)</t>
  </si>
  <si>
    <t>20kHz RL impedance</t>
  </si>
  <si>
    <t>20kHz LL impedance</t>
  </si>
  <si>
    <t>100kHz RL impedance</t>
  </si>
  <si>
    <t>100kHz LL impedance</t>
  </si>
  <si>
    <t>GROWTH SCORE</t>
  </si>
  <si>
    <t>WHR</t>
  </si>
  <si>
    <t>SMI</t>
  </si>
  <si>
    <t>Stiff arm [Height]</t>
  </si>
  <si>
    <t>Stiff arm [Flight-Time]</t>
  </si>
  <si>
    <t>Counter-Movement-Jump [Height]</t>
  </si>
  <si>
    <t>Counter-Movement-Jump [Flight-Time]</t>
  </si>
  <si>
    <t>Single Leg Counter-Movement-Jump (L) [Height]</t>
  </si>
  <si>
    <t>Single Leg Counter-Movement-Jump (L) Flight-Time</t>
  </si>
  <si>
    <t>Single Leg Counter-Movement-Jump (R) Height</t>
  </si>
  <si>
    <t>Single Leg Counter-Movement-Jump (R) Flight-Time</t>
  </si>
  <si>
    <t xml:space="preserve">Stiff arm Peak Anaerobic Power (W/kg) (Sayers) </t>
  </si>
  <si>
    <t>Result based on NORM</t>
  </si>
  <si>
    <t xml:space="preserve">CMJ Peak Anaerobic Power (W/kg) (Sayers) </t>
  </si>
  <si>
    <t xml:space="preserve">CMJ LEFT Peak Anaerobic Power (W/kg) (Sayers) </t>
  </si>
  <si>
    <t xml:space="preserve">CMJ RIGHT Peak Anaerobic Power (W/kg) (Sayers) </t>
  </si>
  <si>
    <t>Sit (cm)</t>
  </si>
  <si>
    <t>Reach (cm)</t>
  </si>
  <si>
    <t>Flexibility</t>
  </si>
  <si>
    <t>K2W (L)</t>
  </si>
  <si>
    <t>K2W (R)</t>
  </si>
  <si>
    <t>MID THIGH LEFT [cm]</t>
  </si>
  <si>
    <t>MID THIGH RIGHT [cm]</t>
  </si>
  <si>
    <t>Anterior (L)</t>
  </si>
  <si>
    <t>Posterolateral (L)</t>
  </si>
  <si>
    <t>Posteromedial (L)</t>
  </si>
  <si>
    <t>Anterior (R)</t>
  </si>
  <si>
    <t>Posterolateral (R)</t>
  </si>
  <si>
    <t>Posteromedial (R)</t>
  </si>
  <si>
    <t>Composite score LEFT (%)</t>
  </si>
  <si>
    <t>Composite score RIGHT (%)</t>
  </si>
  <si>
    <t>1-min sit up</t>
  </si>
  <si>
    <t>2-min Sit-ups</t>
  </si>
  <si>
    <t>1-min push up</t>
  </si>
  <si>
    <t>Illinois (L) sec</t>
  </si>
  <si>
    <t>Illinois (R) sec</t>
  </si>
  <si>
    <t>10m sprint TIME [sec]</t>
  </si>
  <si>
    <t>10m sprint SPEED [m/s]</t>
  </si>
  <si>
    <t>40m sprint TIME (sec)</t>
  </si>
  <si>
    <t>40m sprint SPEED (m/s)</t>
  </si>
  <si>
    <t>BLEEP</t>
  </si>
  <si>
    <t>Beep test score LEVEL</t>
  </si>
  <si>
    <t>Beep test score SHUTTLE</t>
  </si>
  <si>
    <t>Distance Run</t>
  </si>
  <si>
    <t>VO2MAX</t>
  </si>
  <si>
    <t>Waggie</t>
  </si>
  <si>
    <t>Aaishah</t>
  </si>
  <si>
    <t>Female</t>
  </si>
  <si>
    <t>9P</t>
  </si>
  <si>
    <t>Netball</t>
  </si>
  <si>
    <t>U/15 D</t>
  </si>
  <si>
    <t>Attenborough</t>
  </si>
  <si>
    <t>Abigail</t>
  </si>
  <si>
    <t>9E</t>
  </si>
  <si>
    <t>U/15 E</t>
  </si>
  <si>
    <t>Bottger</t>
  </si>
  <si>
    <t>2nd</t>
  </si>
  <si>
    <t>de Coning</t>
  </si>
  <si>
    <t>8A</t>
  </si>
  <si>
    <t>Jacobs</t>
  </si>
  <si>
    <t>10E</t>
  </si>
  <si>
    <t xml:space="preserve">Hockey </t>
  </si>
  <si>
    <t>1st</t>
  </si>
  <si>
    <t>Defender</t>
  </si>
  <si>
    <t>Petersen</t>
  </si>
  <si>
    <t>9A</t>
  </si>
  <si>
    <t>U/16 C</t>
  </si>
  <si>
    <t>Turner</t>
  </si>
  <si>
    <t>8E</t>
  </si>
  <si>
    <t>U/14 C</t>
  </si>
  <si>
    <t>van Sittert</t>
  </si>
  <si>
    <t>11P</t>
  </si>
  <si>
    <t>U/17 A</t>
  </si>
  <si>
    <t>Eve</t>
  </si>
  <si>
    <t>Abrahams</t>
  </si>
  <si>
    <t>January</t>
  </si>
  <si>
    <t>Zaynab</t>
  </si>
  <si>
    <t>2.35</t>
  </si>
  <si>
    <t>4.26</t>
  </si>
  <si>
    <t>7.54</t>
  </si>
  <si>
    <t>6.63</t>
  </si>
  <si>
    <t>Amy</t>
  </si>
  <si>
    <t>Adams</t>
  </si>
  <si>
    <t>Hockey</t>
  </si>
  <si>
    <t xml:space="preserve">Amy </t>
  </si>
  <si>
    <t>August</t>
  </si>
  <si>
    <t>158.8</t>
  </si>
  <si>
    <t>61.9</t>
  </si>
  <si>
    <t>2.21</t>
  </si>
  <si>
    <t>4.52</t>
  </si>
  <si>
    <t>6.53</t>
  </si>
  <si>
    <t>7.66</t>
  </si>
  <si>
    <t>Liqhamile</t>
  </si>
  <si>
    <t>Adonis</t>
  </si>
  <si>
    <t>2.19</t>
  </si>
  <si>
    <t>4.57</t>
  </si>
  <si>
    <t>6.99</t>
  </si>
  <si>
    <t>7.15</t>
  </si>
  <si>
    <t>Liqhumile</t>
  </si>
  <si>
    <t>Aheebwa</t>
  </si>
  <si>
    <t>Holly</t>
  </si>
  <si>
    <t>Ahlschlager</t>
  </si>
  <si>
    <t>van der Vaart</t>
  </si>
  <si>
    <t>Aila</t>
  </si>
  <si>
    <t>Sienna</t>
  </si>
  <si>
    <t>Airey</t>
  </si>
  <si>
    <t>2.17</t>
  </si>
  <si>
    <t>4.61</t>
  </si>
  <si>
    <t>6.98</t>
  </si>
  <si>
    <t>7.16</t>
  </si>
  <si>
    <t>Hendricks</t>
  </si>
  <si>
    <t>Aisha</t>
  </si>
  <si>
    <t>11E</t>
  </si>
  <si>
    <t>Wareham</t>
  </si>
  <si>
    <t>Alana</t>
  </si>
  <si>
    <t>9I</t>
  </si>
  <si>
    <t>Burns</t>
  </si>
  <si>
    <t>Alexa Ella</t>
  </si>
  <si>
    <t>8D</t>
  </si>
  <si>
    <t xml:space="preserve">U/14 B </t>
  </si>
  <si>
    <t>Goosen</t>
  </si>
  <si>
    <t>Alexandra</t>
  </si>
  <si>
    <t>Rogers</t>
  </si>
  <si>
    <t>10I</t>
  </si>
  <si>
    <t>Kennedy-Good</t>
  </si>
  <si>
    <t xml:space="preserve">Alexandra </t>
  </si>
  <si>
    <t>Alexis</t>
  </si>
  <si>
    <t>Bailey</t>
  </si>
  <si>
    <t>Alice</t>
  </si>
  <si>
    <t>Conway</t>
  </si>
  <si>
    <t>Alison</t>
  </si>
  <si>
    <t>U/14 A</t>
  </si>
  <si>
    <t>Padia</t>
  </si>
  <si>
    <t>Alyana</t>
  </si>
  <si>
    <t>U/16 D</t>
  </si>
  <si>
    <t>Rawoot</t>
  </si>
  <si>
    <t>Amaara</t>
  </si>
  <si>
    <t>Emeran</t>
  </si>
  <si>
    <t>Amaarah</t>
  </si>
  <si>
    <t>10D</t>
  </si>
  <si>
    <t>Mohamed</t>
  </si>
  <si>
    <t>Amarah</t>
  </si>
  <si>
    <t>11I</t>
  </si>
  <si>
    <t>Mandy-Woodcock</t>
  </si>
  <si>
    <t>Amelia</t>
  </si>
  <si>
    <t>U/14 E</t>
  </si>
  <si>
    <t>Weir</t>
  </si>
  <si>
    <t>10P</t>
  </si>
  <si>
    <t>Schoepflin</t>
  </si>
  <si>
    <t>Amelie</t>
  </si>
  <si>
    <t>Hardres-Williams</t>
  </si>
  <si>
    <t>Amélie</t>
  </si>
  <si>
    <t>Combrink</t>
  </si>
  <si>
    <t>11D</t>
  </si>
  <si>
    <t>Kalis</t>
  </si>
  <si>
    <t>U/15 B</t>
  </si>
  <si>
    <t>Rich</t>
  </si>
  <si>
    <t>U/14 D</t>
  </si>
  <si>
    <t>Butler</t>
  </si>
  <si>
    <t>Anastacia</t>
  </si>
  <si>
    <t>Tess</t>
  </si>
  <si>
    <t>Anderson</t>
  </si>
  <si>
    <t>Polo</t>
  </si>
  <si>
    <t>174.2</t>
  </si>
  <si>
    <t>64.3</t>
  </si>
  <si>
    <t>2.26</t>
  </si>
  <si>
    <t>2.18</t>
  </si>
  <si>
    <t>7.07</t>
  </si>
  <si>
    <t>2.83</t>
  </si>
  <si>
    <t xml:space="preserve">Tess </t>
  </si>
  <si>
    <t>2.27</t>
  </si>
  <si>
    <t>4.41</t>
  </si>
  <si>
    <t>7.12</t>
  </si>
  <si>
    <t>7.02</t>
  </si>
  <si>
    <t>Smith</t>
  </si>
  <si>
    <t>Anemaé</t>
  </si>
  <si>
    <t>Blake</t>
  </si>
  <si>
    <t>Anna</t>
  </si>
  <si>
    <t>9D</t>
  </si>
  <si>
    <t>U/15 C</t>
  </si>
  <si>
    <t>Dillon</t>
  </si>
  <si>
    <t>Hansen</t>
  </si>
  <si>
    <t>Muzzell</t>
  </si>
  <si>
    <t>Raad</t>
  </si>
  <si>
    <t>Sherren</t>
  </si>
  <si>
    <t>Striker</t>
  </si>
  <si>
    <t>Van Aarde</t>
  </si>
  <si>
    <t>Clack</t>
  </si>
  <si>
    <t>Annabel</t>
  </si>
  <si>
    <t>3rd</t>
  </si>
  <si>
    <t>Grey</t>
  </si>
  <si>
    <t>Deering</t>
  </si>
  <si>
    <t>Annabelle</t>
  </si>
  <si>
    <t>Leith</t>
  </si>
  <si>
    <t>Mackinnon-Little</t>
  </si>
  <si>
    <t>Annie</t>
  </si>
  <si>
    <t>8P</t>
  </si>
  <si>
    <t>U/14 B</t>
  </si>
  <si>
    <t>Majirija</t>
  </si>
  <si>
    <t>Anotida</t>
  </si>
  <si>
    <t>Gubbins</t>
  </si>
  <si>
    <t>Aoife</t>
  </si>
  <si>
    <t>Bayly</t>
  </si>
  <si>
    <t>Arabella</t>
  </si>
  <si>
    <t>Fatima</t>
  </si>
  <si>
    <t>A-Razzak</t>
  </si>
  <si>
    <t>2.29</t>
  </si>
  <si>
    <t>4.37</t>
  </si>
  <si>
    <t>7.18</t>
  </si>
  <si>
    <t>6.96</t>
  </si>
  <si>
    <t>Chenia</t>
  </si>
  <si>
    <t>Ariana</t>
  </si>
  <si>
    <t>8I</t>
  </si>
  <si>
    <t>Daniels</t>
  </si>
  <si>
    <t>Salie</t>
  </si>
  <si>
    <t>Murray</t>
  </si>
  <si>
    <t>Ariella</t>
  </si>
  <si>
    <t>Layyah</t>
  </si>
  <si>
    <t>Arnold</t>
  </si>
  <si>
    <t>Layyan</t>
  </si>
  <si>
    <t>3.22</t>
  </si>
  <si>
    <t>3.11</t>
  </si>
  <si>
    <t>8.56</t>
  </si>
  <si>
    <t>5.84</t>
  </si>
  <si>
    <t>Chagan</t>
  </si>
  <si>
    <t>Arya</t>
  </si>
  <si>
    <t>Cloete-Hopkins</t>
  </si>
  <si>
    <t>Aryana</t>
  </si>
  <si>
    <t>Alexa</t>
  </si>
  <si>
    <t>Ashaba</t>
  </si>
  <si>
    <t>Squash</t>
  </si>
  <si>
    <t>2.07</t>
  </si>
  <si>
    <t>3.70</t>
  </si>
  <si>
    <t>8.95</t>
  </si>
  <si>
    <t>5.59</t>
  </si>
  <si>
    <t>Sarah</t>
  </si>
  <si>
    <t>Ashbolt</t>
  </si>
  <si>
    <t xml:space="preserve">Sarah </t>
  </si>
  <si>
    <t>163.3</t>
  </si>
  <si>
    <t>52.2</t>
  </si>
  <si>
    <t>30.0</t>
  </si>
  <si>
    <t>0.495</t>
  </si>
  <si>
    <t>31.0</t>
  </si>
  <si>
    <t>0.503</t>
  </si>
  <si>
    <t>16.1</t>
  </si>
  <si>
    <t>0.362</t>
  </si>
  <si>
    <t>17.4</t>
  </si>
  <si>
    <t>0.377</t>
  </si>
  <si>
    <t>17.10</t>
  </si>
  <si>
    <t>17.61</t>
  </si>
  <si>
    <t>2.11</t>
  </si>
  <si>
    <t>4.78</t>
  </si>
  <si>
    <t>6.17</t>
  </si>
  <si>
    <t>8.10</t>
  </si>
  <si>
    <t>7.1</t>
  </si>
  <si>
    <t>21,8</t>
  </si>
  <si>
    <t>Hundermark</t>
  </si>
  <si>
    <t>Ashlee</t>
  </si>
  <si>
    <t>U/16 A</t>
  </si>
  <si>
    <t>Goal Keeper</t>
  </si>
  <si>
    <t>Bassett</t>
  </si>
  <si>
    <t>Ashley</t>
  </si>
  <si>
    <t>Kropman</t>
  </si>
  <si>
    <t>171.8</t>
  </si>
  <si>
    <t>65.5</t>
  </si>
  <si>
    <t>2.09</t>
  </si>
  <si>
    <t>6.78</t>
  </si>
  <si>
    <t>7.37</t>
  </si>
  <si>
    <t>Döller</t>
  </si>
  <si>
    <t>Ava</t>
  </si>
  <si>
    <t>N/A</t>
  </si>
  <si>
    <t>Fraser-Mouneimne</t>
  </si>
  <si>
    <t>Moodycliffe</t>
  </si>
  <si>
    <t>Rowlands</t>
  </si>
  <si>
    <t>Tresfon</t>
  </si>
  <si>
    <t>Nqayi</t>
  </si>
  <si>
    <t>Ayana</t>
  </si>
  <si>
    <t>Bordiss</t>
  </si>
  <si>
    <t>Ayanda</t>
  </si>
  <si>
    <t>Joseph</t>
  </si>
  <si>
    <t>Ayesha</t>
  </si>
  <si>
    <t>Moolla</t>
  </si>
  <si>
    <t>Moodley</t>
  </si>
  <si>
    <t>Azari</t>
  </si>
  <si>
    <t>Mzimkulu</t>
  </si>
  <si>
    <t>Babalo</t>
  </si>
  <si>
    <t>160.8</t>
  </si>
  <si>
    <t>60.5</t>
  </si>
  <si>
    <t>2.14</t>
  </si>
  <si>
    <t>2.34</t>
  </si>
  <si>
    <t>6.52</t>
  </si>
  <si>
    <t>3.07</t>
  </si>
  <si>
    <t>Tiana-Mac</t>
  </si>
  <si>
    <t>Baldeo</t>
  </si>
  <si>
    <t>Soccer</t>
  </si>
  <si>
    <t>Tiana-Mae</t>
  </si>
  <si>
    <t>2.23</t>
  </si>
  <si>
    <t>4.48</t>
  </si>
  <si>
    <t>7.19</t>
  </si>
  <si>
    <t>6.95</t>
  </si>
  <si>
    <t>Kera Lee</t>
  </si>
  <si>
    <t>Ball</t>
  </si>
  <si>
    <t>Kera-lee</t>
  </si>
  <si>
    <t>172.9</t>
  </si>
  <si>
    <t>56.6</t>
  </si>
  <si>
    <t>2.28</t>
  </si>
  <si>
    <t>4.39</t>
  </si>
  <si>
    <t>6.72</t>
  </si>
  <si>
    <t>7.44</t>
  </si>
  <si>
    <t>Nsovo</t>
  </si>
  <si>
    <t>Baloyi</t>
  </si>
  <si>
    <t xml:space="preserve">Alex </t>
  </si>
  <si>
    <t>Bamaye</t>
  </si>
  <si>
    <t xml:space="preserve">Lauren </t>
  </si>
  <si>
    <t>Barnard</t>
  </si>
  <si>
    <t>4.59</t>
  </si>
  <si>
    <t>6.68</t>
  </si>
  <si>
    <t>7.49</t>
  </si>
  <si>
    <t>Katie</t>
  </si>
  <si>
    <t>Barnhoorn</t>
  </si>
  <si>
    <t>Barnnoorn</t>
  </si>
  <si>
    <t>2.43</t>
  </si>
  <si>
    <t>4.13</t>
  </si>
  <si>
    <t>Bester</t>
  </si>
  <si>
    <t>Basheerah</t>
  </si>
  <si>
    <t>Liyema</t>
  </si>
  <si>
    <t>Basini</t>
  </si>
  <si>
    <t>Basketball</t>
  </si>
  <si>
    <t>Gabriella</t>
  </si>
  <si>
    <t xml:space="preserve">Basini </t>
  </si>
  <si>
    <t>7.59</t>
  </si>
  <si>
    <t>6.59</t>
  </si>
  <si>
    <t>2.10</t>
  </si>
  <si>
    <t>4.76</t>
  </si>
  <si>
    <t>6.58</t>
  </si>
  <si>
    <t>7.60</t>
  </si>
  <si>
    <t>Juwairiya</t>
  </si>
  <si>
    <t>Bassa</t>
  </si>
  <si>
    <t>Ruqaya</t>
  </si>
  <si>
    <t>Bassadien</t>
  </si>
  <si>
    <t>6.54</t>
  </si>
  <si>
    <t>7.65</t>
  </si>
  <si>
    <t>Safaa</t>
  </si>
  <si>
    <t>Tennis</t>
  </si>
  <si>
    <t xml:space="preserve">Ashely </t>
  </si>
  <si>
    <t>Basset</t>
  </si>
  <si>
    <t xml:space="preserve">Female </t>
  </si>
  <si>
    <t>2.08</t>
  </si>
  <si>
    <t>4.81</t>
  </si>
  <si>
    <t>6.08</t>
  </si>
  <si>
    <t>8.22</t>
  </si>
  <si>
    <t>Chloe</t>
  </si>
  <si>
    <t>Bassingthwaighte</t>
  </si>
  <si>
    <t>166.4</t>
  </si>
  <si>
    <t>61.1</t>
  </si>
  <si>
    <t xml:space="preserve">Chloe </t>
  </si>
  <si>
    <t>Rachel</t>
  </si>
  <si>
    <t>Batchelor</t>
  </si>
  <si>
    <t>2.25</t>
  </si>
  <si>
    <t>4.44</t>
  </si>
  <si>
    <t>Swimming</t>
  </si>
  <si>
    <t>Baynham</t>
  </si>
  <si>
    <t>1.98</t>
  </si>
  <si>
    <t>2.53</t>
  </si>
  <si>
    <t>6.14</t>
  </si>
  <si>
    <t>3.26</t>
  </si>
  <si>
    <t>Sydney</t>
  </si>
  <si>
    <t>Beelders</t>
  </si>
  <si>
    <t>Faye</t>
  </si>
  <si>
    <t>Bellairs</t>
  </si>
  <si>
    <t>Sian</t>
  </si>
  <si>
    <t>Bennewith</t>
  </si>
  <si>
    <t>21/01/2009</t>
  </si>
  <si>
    <t>7.06</t>
  </si>
  <si>
    <t>7.08</t>
  </si>
  <si>
    <t>Raania</t>
  </si>
  <si>
    <t>Bhagoo</t>
  </si>
  <si>
    <t>Gootkin</t>
  </si>
  <si>
    <t>Billie</t>
  </si>
  <si>
    <t>Juliette</t>
  </si>
  <si>
    <t>Billimore</t>
  </si>
  <si>
    <t>6.97</t>
  </si>
  <si>
    <t>Leila</t>
  </si>
  <si>
    <t xml:space="preserve">Anna </t>
  </si>
  <si>
    <t>4.83</t>
  </si>
  <si>
    <t>6.82</t>
  </si>
  <si>
    <t>7.33</t>
  </si>
  <si>
    <t>Millie</t>
  </si>
  <si>
    <t>Blyth</t>
  </si>
  <si>
    <t>2.33</t>
  </si>
  <si>
    <t>7.90</t>
  </si>
  <si>
    <t>6.33</t>
  </si>
  <si>
    <t>Lily</t>
  </si>
  <si>
    <t>Bona</t>
  </si>
  <si>
    <t>Julliette</t>
  </si>
  <si>
    <t>Borain</t>
  </si>
  <si>
    <t>2.02</t>
  </si>
  <si>
    <t>4.95</t>
  </si>
  <si>
    <t>6.67</t>
  </si>
  <si>
    <t>7.50</t>
  </si>
  <si>
    <t>Jessica</t>
  </si>
  <si>
    <t>Bosch</t>
  </si>
  <si>
    <t xml:space="preserve">Stella </t>
  </si>
  <si>
    <t>Boshoff</t>
  </si>
  <si>
    <t>169.6</t>
  </si>
  <si>
    <t>62.7</t>
  </si>
  <si>
    <t>24(1MIN)</t>
  </si>
  <si>
    <t>Bosini</t>
  </si>
  <si>
    <t>Karla</t>
  </si>
  <si>
    <t>Bosman</t>
  </si>
  <si>
    <t>Jenna</t>
  </si>
  <si>
    <t>Botha</t>
  </si>
  <si>
    <t>4.12</t>
  </si>
  <si>
    <t>7.64</t>
  </si>
  <si>
    <t>170.7</t>
  </si>
  <si>
    <t>66.8</t>
  </si>
  <si>
    <t>Claudia</t>
  </si>
  <si>
    <t>167.2</t>
  </si>
  <si>
    <t>54.3</t>
  </si>
  <si>
    <t xml:space="preserve">Claudia </t>
  </si>
  <si>
    <t>29.0</t>
  </si>
  <si>
    <t>0.486</t>
  </si>
  <si>
    <t>32.6</t>
  </si>
  <si>
    <t>0.516</t>
  </si>
  <si>
    <t>15.5</t>
  </si>
  <si>
    <t>0.356</t>
  </si>
  <si>
    <t>19.2</t>
  </si>
  <si>
    <t>0.396</t>
  </si>
  <si>
    <t>16.44</t>
  </si>
  <si>
    <t>16.61</t>
  </si>
  <si>
    <t>12.1</t>
  </si>
  <si>
    <t>Georgia</t>
  </si>
  <si>
    <t>2.56</t>
  </si>
  <si>
    <t>3.86</t>
  </si>
  <si>
    <t>7.73</t>
  </si>
  <si>
    <t>6.47</t>
  </si>
  <si>
    <t>Lola</t>
  </si>
  <si>
    <t xml:space="preserve">Lola </t>
  </si>
  <si>
    <t>2.20</t>
  </si>
  <si>
    <t>7.72</t>
  </si>
  <si>
    <t>6.48</t>
  </si>
  <si>
    <t xml:space="preserve">Fleur </t>
  </si>
  <si>
    <t>Boyd</t>
  </si>
  <si>
    <t>6.88</t>
  </si>
  <si>
    <t>7.27</t>
  </si>
  <si>
    <t>Ruby</t>
  </si>
  <si>
    <t>Boyes</t>
  </si>
  <si>
    <t>Cara</t>
  </si>
  <si>
    <t>Bradley</t>
  </si>
  <si>
    <t>164.3</t>
  </si>
  <si>
    <t>59.4</t>
  </si>
  <si>
    <t>2.30</t>
  </si>
  <si>
    <t>4.35</t>
  </si>
  <si>
    <t>6.83</t>
  </si>
  <si>
    <t>7.32</t>
  </si>
  <si>
    <t>Imogen</t>
  </si>
  <si>
    <t>Brogan</t>
  </si>
  <si>
    <t>Neve</t>
  </si>
  <si>
    <t>2.31</t>
  </si>
  <si>
    <t>4.33</t>
  </si>
  <si>
    <t>7.22</t>
  </si>
  <si>
    <t>6.93</t>
  </si>
  <si>
    <t>Lisa</t>
  </si>
  <si>
    <t>Browne</t>
  </si>
  <si>
    <t>Emma</t>
  </si>
  <si>
    <t>Buckham</t>
  </si>
  <si>
    <t xml:space="preserve">Emma </t>
  </si>
  <si>
    <t>2.40</t>
  </si>
  <si>
    <t>4.17</t>
  </si>
  <si>
    <t>Stella</t>
  </si>
  <si>
    <t>Buckland</t>
  </si>
  <si>
    <t>Cassidy</t>
  </si>
  <si>
    <t>Burgess</t>
  </si>
  <si>
    <t xml:space="preserve">Cassidy </t>
  </si>
  <si>
    <t>2.48</t>
  </si>
  <si>
    <t>6.74</t>
  </si>
  <si>
    <t>2.97</t>
  </si>
  <si>
    <t>Zeenat</t>
  </si>
  <si>
    <t>Cader</t>
  </si>
  <si>
    <t>2.12</t>
  </si>
  <si>
    <t>4.72</t>
  </si>
  <si>
    <t>7.25</t>
  </si>
  <si>
    <t>6.90</t>
  </si>
  <si>
    <t>Oliver</t>
  </si>
  <si>
    <t>Caibella</t>
  </si>
  <si>
    <t>Ratheb</t>
  </si>
  <si>
    <t>Calia</t>
  </si>
  <si>
    <t>Philippa</t>
  </si>
  <si>
    <t>Calow</t>
  </si>
  <si>
    <t>Willow</t>
  </si>
  <si>
    <t>Came</t>
  </si>
  <si>
    <t>25.3</t>
  </si>
  <si>
    <t>0.454</t>
  </si>
  <si>
    <t>31.6</t>
  </si>
  <si>
    <t>0.508</t>
  </si>
  <si>
    <t>16.5</t>
  </si>
  <si>
    <t>0.367</t>
  </si>
  <si>
    <t>19.5</t>
  </si>
  <si>
    <t>0.399</t>
  </si>
  <si>
    <t>2.04</t>
  </si>
  <si>
    <t>4.90</t>
  </si>
  <si>
    <t>6.36</t>
  </si>
  <si>
    <t>7.86</t>
  </si>
  <si>
    <t xml:space="preserve">Willow </t>
  </si>
  <si>
    <t>2.00</t>
  </si>
  <si>
    <t>5.00</t>
  </si>
  <si>
    <t xml:space="preserve">Came </t>
  </si>
  <si>
    <t>6. 8</t>
  </si>
  <si>
    <t>Isla</t>
  </si>
  <si>
    <t>Cameron</t>
  </si>
  <si>
    <t xml:space="preserve">Isla </t>
  </si>
  <si>
    <t xml:space="preserve">Cameron </t>
  </si>
  <si>
    <t>7.63</t>
  </si>
  <si>
    <t>Dana</t>
  </si>
  <si>
    <t>Campbell</t>
  </si>
  <si>
    <t>Fürst</t>
  </si>
  <si>
    <t>Camryn</t>
  </si>
  <si>
    <t>U/16 B</t>
  </si>
  <si>
    <t>Henriques</t>
  </si>
  <si>
    <t>Cara-Grace</t>
  </si>
  <si>
    <t>Plenge-Mantell</t>
  </si>
  <si>
    <t>Carla</t>
  </si>
  <si>
    <t>Caroline</t>
  </si>
  <si>
    <t>Carrie</t>
  </si>
  <si>
    <t>Ella</t>
  </si>
  <si>
    <t>Carter</t>
  </si>
  <si>
    <t>Laver</t>
  </si>
  <si>
    <t>Casey</t>
  </si>
  <si>
    <t>Midfielder</t>
  </si>
  <si>
    <t>Docherty</t>
  </si>
  <si>
    <t>Quin</t>
  </si>
  <si>
    <t>Catalina</t>
  </si>
  <si>
    <t>Ringwood</t>
  </si>
  <si>
    <t>Catherine</t>
  </si>
  <si>
    <t>Kerryn</t>
  </si>
  <si>
    <t>Chalmers</t>
  </si>
  <si>
    <t>Nzama</t>
  </si>
  <si>
    <t>Charis</t>
  </si>
  <si>
    <t>Brown</t>
  </si>
  <si>
    <t>Charlotte</t>
  </si>
  <si>
    <t>Joubert</t>
  </si>
  <si>
    <t>Koen</t>
  </si>
  <si>
    <t>Kruyt</t>
  </si>
  <si>
    <t>Plummer</t>
  </si>
  <si>
    <t>Skinstad</t>
  </si>
  <si>
    <t>Swart</t>
  </si>
  <si>
    <t>Peterssen</t>
  </si>
  <si>
    <t>Chelsea</t>
  </si>
  <si>
    <t>Chen</t>
  </si>
  <si>
    <t>Prain</t>
  </si>
  <si>
    <t>Van Vlaanderen</t>
  </si>
  <si>
    <t>Emmerich</t>
  </si>
  <si>
    <t>Chloë</t>
  </si>
  <si>
    <t>Mills</t>
  </si>
  <si>
    <t>Oldham</t>
  </si>
  <si>
    <t>Lambrou</t>
  </si>
  <si>
    <t>Christina</t>
  </si>
  <si>
    <t>2.24</t>
  </si>
  <si>
    <t>4.46</t>
  </si>
  <si>
    <t>6.87</t>
  </si>
  <si>
    <t>7.28</t>
  </si>
  <si>
    <t>Paige</t>
  </si>
  <si>
    <t>Clarence</t>
  </si>
  <si>
    <t>165.3</t>
  </si>
  <si>
    <t>62.8</t>
  </si>
  <si>
    <t xml:space="preserve">Paige </t>
  </si>
  <si>
    <t>21.6</t>
  </si>
  <si>
    <t>0.420</t>
  </si>
  <si>
    <t>28.0</t>
  </si>
  <si>
    <t>0.478</t>
  </si>
  <si>
    <t>15.9</t>
  </si>
  <si>
    <t>0.360</t>
  </si>
  <si>
    <t>13.9</t>
  </si>
  <si>
    <t>0.337</t>
  </si>
  <si>
    <t>41.5</t>
  </si>
  <si>
    <t>19.53</t>
  </si>
  <si>
    <t>19.24</t>
  </si>
  <si>
    <t>1.59</t>
  </si>
  <si>
    <t>6.60</t>
  </si>
  <si>
    <t>7.58</t>
  </si>
  <si>
    <t>6.7</t>
  </si>
  <si>
    <t>Clark</t>
  </si>
  <si>
    <t>158.1</t>
  </si>
  <si>
    <t>47.6</t>
  </si>
  <si>
    <t>2.44</t>
  </si>
  <si>
    <t>4.67</t>
  </si>
  <si>
    <t xml:space="preserve">Faye </t>
  </si>
  <si>
    <t>Clarke</t>
  </si>
  <si>
    <t>24.1</t>
  </si>
  <si>
    <t>0.443</t>
  </si>
  <si>
    <t>13.1</t>
  </si>
  <si>
    <t>0.327</t>
  </si>
  <si>
    <t>11.2</t>
  </si>
  <si>
    <t>0.302</t>
  </si>
  <si>
    <t>14.5</t>
  </si>
  <si>
    <t>63.5</t>
  </si>
  <si>
    <t>18.15</t>
  </si>
  <si>
    <t>16.26</t>
  </si>
  <si>
    <t>12.8</t>
  </si>
  <si>
    <t>Böttger</t>
  </si>
  <si>
    <t xml:space="preserve">Emily </t>
  </si>
  <si>
    <t xml:space="preserve">Clinton </t>
  </si>
  <si>
    <t>7.04</t>
  </si>
  <si>
    <t>2.84</t>
  </si>
  <si>
    <t xml:space="preserve">Sophia </t>
  </si>
  <si>
    <t>Cloete</t>
  </si>
  <si>
    <t>Sophie</t>
  </si>
  <si>
    <t>Lobert</t>
  </si>
  <si>
    <t>Coco</t>
  </si>
  <si>
    <t>Coenen</t>
  </si>
  <si>
    <t>Rue</t>
  </si>
  <si>
    <t>Coenraad</t>
  </si>
  <si>
    <t xml:space="preserve">Rue </t>
  </si>
  <si>
    <t>2.22</t>
  </si>
  <si>
    <t>4.50</t>
  </si>
  <si>
    <t>6.81</t>
  </si>
  <si>
    <t>7.34</t>
  </si>
  <si>
    <t>Ruqeeyah</t>
  </si>
  <si>
    <t>Kirsty</t>
  </si>
  <si>
    <t>Collett</t>
  </si>
  <si>
    <t>164.2</t>
  </si>
  <si>
    <t>2.16</t>
  </si>
  <si>
    <t>4.63</t>
  </si>
  <si>
    <t>6.73</t>
  </si>
  <si>
    <t>7.43</t>
  </si>
  <si>
    <t>6.44</t>
  </si>
  <si>
    <t>7.76</t>
  </si>
  <si>
    <t>Cooper</t>
  </si>
  <si>
    <t>7.42</t>
  </si>
  <si>
    <t>2.70</t>
  </si>
  <si>
    <t>Hana</t>
  </si>
  <si>
    <t>Coovadia</t>
  </si>
  <si>
    <t>Costa</t>
  </si>
  <si>
    <t>Louw</t>
  </si>
  <si>
    <t>Courtney</t>
  </si>
  <si>
    <t>Sofia</t>
  </si>
  <si>
    <t>Crawford</t>
  </si>
  <si>
    <t>Minal</t>
  </si>
  <si>
    <t>Dahya</t>
  </si>
  <si>
    <t>Koff</t>
  </si>
  <si>
    <t>Daley</t>
  </si>
  <si>
    <t>Zaara</t>
  </si>
  <si>
    <t>Dalwai</t>
  </si>
  <si>
    <t>6.77</t>
  </si>
  <si>
    <t>Hutton</t>
  </si>
  <si>
    <t>Daniella</t>
  </si>
  <si>
    <t>Okedi</t>
  </si>
  <si>
    <t>Talia</t>
  </si>
  <si>
    <t>Daya</t>
  </si>
  <si>
    <t>Darya</t>
  </si>
  <si>
    <t>Davids</t>
  </si>
  <si>
    <t>Kareena</t>
  </si>
  <si>
    <t>Daya-Feasey</t>
  </si>
  <si>
    <t>Simone</t>
  </si>
  <si>
    <t>de la Harpe</t>
  </si>
  <si>
    <t xml:space="preserve">Simone </t>
  </si>
  <si>
    <t>Annebel</t>
  </si>
  <si>
    <t xml:space="preserve">Deering </t>
  </si>
  <si>
    <t>4.55</t>
  </si>
  <si>
    <t>6.85</t>
  </si>
  <si>
    <t>7.30</t>
  </si>
  <si>
    <t>Megan</t>
  </si>
  <si>
    <t>Dempers</t>
  </si>
  <si>
    <t>Deneys</t>
  </si>
  <si>
    <t>161.9</t>
  </si>
  <si>
    <t>6.61</t>
  </si>
  <si>
    <t>7.56</t>
  </si>
  <si>
    <t xml:space="preserve">Holly </t>
  </si>
  <si>
    <t>23.5</t>
  </si>
  <si>
    <t>0.438</t>
  </si>
  <si>
    <t>27.3</t>
  </si>
  <si>
    <t>0.472</t>
  </si>
  <si>
    <t>11.1</t>
  </si>
  <si>
    <t>0.301</t>
  </si>
  <si>
    <t>15.4</t>
  </si>
  <si>
    <t>0.354</t>
  </si>
  <si>
    <t>45.8</t>
  </si>
  <si>
    <t>16.96</t>
  </si>
  <si>
    <t>16.89</t>
  </si>
  <si>
    <t>6.55</t>
  </si>
  <si>
    <t>10.11</t>
  </si>
  <si>
    <t>Naidoo</t>
  </si>
  <si>
    <t>Devanya</t>
  </si>
  <si>
    <t xml:space="preserve">Squash </t>
  </si>
  <si>
    <t>Lilah</t>
  </si>
  <si>
    <t>Devlin</t>
  </si>
  <si>
    <t>Emily</t>
  </si>
  <si>
    <t>Dickinson</t>
  </si>
  <si>
    <t>160.9</t>
  </si>
  <si>
    <t>66.2</t>
  </si>
  <si>
    <t>Doller</t>
  </si>
  <si>
    <t>Zarna</t>
  </si>
  <si>
    <t>Douglas</t>
  </si>
  <si>
    <t>Summer</t>
  </si>
  <si>
    <t>Duchenne</t>
  </si>
  <si>
    <t xml:space="preserve">Summer </t>
  </si>
  <si>
    <t>2.42</t>
  </si>
  <si>
    <t>7.35</t>
  </si>
  <si>
    <t>6.80</t>
  </si>
  <si>
    <t>Thalla</t>
  </si>
  <si>
    <t>Keana</t>
  </si>
  <si>
    <t>Dudley-Owen</t>
  </si>
  <si>
    <t>Jess</t>
  </si>
  <si>
    <t>Durrant</t>
  </si>
  <si>
    <t>Land</t>
  </si>
  <si>
    <t>Dylan</t>
  </si>
  <si>
    <t>Hannah</t>
  </si>
  <si>
    <t>Ebrahim</t>
  </si>
  <si>
    <t xml:space="preserve">Hannah </t>
  </si>
  <si>
    <t>7.41</t>
  </si>
  <si>
    <t>6.75</t>
  </si>
  <si>
    <t>Nuriyah</t>
  </si>
  <si>
    <t>Angeliki</t>
  </si>
  <si>
    <t>Efstathiou</t>
  </si>
  <si>
    <t>Makin</t>
  </si>
  <si>
    <t>Elise</t>
  </si>
  <si>
    <t>Eedes</t>
  </si>
  <si>
    <t>Eliza</t>
  </si>
  <si>
    <t>Mason</t>
  </si>
  <si>
    <t>Elizabeth</t>
  </si>
  <si>
    <t>Van As</t>
  </si>
  <si>
    <t>Wessels</t>
  </si>
  <si>
    <t>Duffus</t>
  </si>
  <si>
    <t>Floquet</t>
  </si>
  <si>
    <t>Spaun</t>
  </si>
  <si>
    <t>Wilter</t>
  </si>
  <si>
    <t>U/15 A</t>
  </si>
  <si>
    <t>Venter</t>
  </si>
  <si>
    <t>Elle</t>
  </si>
  <si>
    <t>Charalambous</t>
  </si>
  <si>
    <t>Elounda</t>
  </si>
  <si>
    <t>Slatter</t>
  </si>
  <si>
    <t>Emelia</t>
  </si>
  <si>
    <t>8.42</t>
  </si>
  <si>
    <t>5.94</t>
  </si>
  <si>
    <t>Fontana</t>
  </si>
  <si>
    <t>Emilia</t>
  </si>
  <si>
    <t>Tomlins</t>
  </si>
  <si>
    <t>Groenewald</t>
  </si>
  <si>
    <t>Raubenheimer</t>
  </si>
  <si>
    <t>van Lierop</t>
  </si>
  <si>
    <t>Flisberg</t>
  </si>
  <si>
    <t>Mulder</t>
  </si>
  <si>
    <t>Viljoen</t>
  </si>
  <si>
    <t>Warner</t>
  </si>
  <si>
    <t>4.27</t>
  </si>
  <si>
    <t>7.38</t>
  </si>
  <si>
    <t>Emmericht</t>
  </si>
  <si>
    <t>Gamiet</t>
  </si>
  <si>
    <t>Enaas</t>
  </si>
  <si>
    <t>Skye-Leigh</t>
  </si>
  <si>
    <t>Esterhuizen</t>
  </si>
  <si>
    <t>Hammond</t>
  </si>
  <si>
    <t>Eva</t>
  </si>
  <si>
    <t>Turrell</t>
  </si>
  <si>
    <t>Hallock</t>
  </si>
  <si>
    <t>Evangelina</t>
  </si>
  <si>
    <t>Obiorah</t>
  </si>
  <si>
    <t>Ezimma</t>
  </si>
  <si>
    <t>Josephine</t>
  </si>
  <si>
    <t>Fair</t>
  </si>
  <si>
    <t>netball</t>
  </si>
  <si>
    <t xml:space="preserve">Fair </t>
  </si>
  <si>
    <t>4.42</t>
  </si>
  <si>
    <t>Van Wyk</t>
  </si>
  <si>
    <t>Faith</t>
  </si>
  <si>
    <t>Nura</t>
  </si>
  <si>
    <t>Fakir</t>
  </si>
  <si>
    <t>Harnekar</t>
  </si>
  <si>
    <t>Farah</t>
  </si>
  <si>
    <t>Janoodien</t>
  </si>
  <si>
    <t>Farheen</t>
  </si>
  <si>
    <t>Katherine</t>
  </si>
  <si>
    <t>Featherstone</t>
  </si>
  <si>
    <t>2,05</t>
  </si>
  <si>
    <t>4,88</t>
  </si>
  <si>
    <t>6,02</t>
  </si>
  <si>
    <t>8,31</t>
  </si>
  <si>
    <t>2.05</t>
  </si>
  <si>
    <t>4.88</t>
  </si>
  <si>
    <t>6.02</t>
  </si>
  <si>
    <t>8.31</t>
  </si>
  <si>
    <t>Gem</t>
  </si>
  <si>
    <t>Ferguson</t>
  </si>
  <si>
    <t>164.8</t>
  </si>
  <si>
    <t>51.7</t>
  </si>
  <si>
    <t>4.74</t>
  </si>
  <si>
    <t>6.46</t>
  </si>
  <si>
    <t>7.74</t>
  </si>
  <si>
    <t>Scout</t>
  </si>
  <si>
    <t>Fletcher</t>
  </si>
  <si>
    <t>20/06/2011</t>
  </si>
  <si>
    <t>2.39</t>
  </si>
  <si>
    <t>4.18</t>
  </si>
  <si>
    <t>7.94</t>
  </si>
  <si>
    <t>6.30</t>
  </si>
  <si>
    <t>Fleur</t>
  </si>
  <si>
    <t xml:space="preserve">Ella </t>
  </si>
  <si>
    <t>Floque</t>
  </si>
  <si>
    <t>23.0</t>
  </si>
  <si>
    <t>0.433</t>
  </si>
  <si>
    <t>29.8</t>
  </si>
  <si>
    <t>0.493</t>
  </si>
  <si>
    <t>14.4</t>
  </si>
  <si>
    <t>0.343</t>
  </si>
  <si>
    <t>13.2</t>
  </si>
  <si>
    <t>0.328</t>
  </si>
  <si>
    <t>17.5</t>
  </si>
  <si>
    <t>40.5</t>
  </si>
  <si>
    <t>16.91</t>
  </si>
  <si>
    <t>17.17</t>
  </si>
  <si>
    <t>6.34</t>
  </si>
  <si>
    <t>7.89</t>
  </si>
  <si>
    <t>163.5</t>
  </si>
  <si>
    <t>54.7</t>
  </si>
  <si>
    <t>2.80</t>
  </si>
  <si>
    <t>3.57</t>
  </si>
  <si>
    <t>Formby</t>
  </si>
  <si>
    <t>Furst</t>
  </si>
  <si>
    <t>2.06</t>
  </si>
  <si>
    <t>6.64</t>
  </si>
  <si>
    <t>7.53</t>
  </si>
  <si>
    <t>27.5</t>
  </si>
  <si>
    <t>0.474</t>
  </si>
  <si>
    <t>34.8</t>
  </si>
  <si>
    <t>0.533</t>
  </si>
  <si>
    <t>18.3</t>
  </si>
  <si>
    <t>0.386</t>
  </si>
  <si>
    <t>5.05</t>
  </si>
  <si>
    <t xml:space="preserve">Camryn </t>
  </si>
  <si>
    <t xml:space="preserve">Furst </t>
  </si>
  <si>
    <t>166.3</t>
  </si>
  <si>
    <t>51.4</t>
  </si>
  <si>
    <t>Laubscher</t>
  </si>
  <si>
    <t>Gabi</t>
  </si>
  <si>
    <t>Horne</t>
  </si>
  <si>
    <t>Pearse</t>
  </si>
  <si>
    <t>Towell</t>
  </si>
  <si>
    <t>Iman</t>
  </si>
  <si>
    <t>Gafoor</t>
  </si>
  <si>
    <t xml:space="preserve">Isabella </t>
  </si>
  <si>
    <t>Gardner</t>
  </si>
  <si>
    <t>2.79</t>
  </si>
  <si>
    <t>6.62</t>
  </si>
  <si>
    <t>7.55</t>
  </si>
  <si>
    <t>Hoeks</t>
  </si>
  <si>
    <t>Gemma</t>
  </si>
  <si>
    <t>U/17 B</t>
  </si>
  <si>
    <t>Kiah</t>
  </si>
  <si>
    <t>George</t>
  </si>
  <si>
    <t>Casson-Crook</t>
  </si>
  <si>
    <t>Kipps</t>
  </si>
  <si>
    <t>Koffinas</t>
  </si>
  <si>
    <t>Nicklin</t>
  </si>
  <si>
    <t>Maurel</t>
  </si>
  <si>
    <t>Georgina</t>
  </si>
  <si>
    <t>Zoya</t>
  </si>
  <si>
    <t>Ghani</t>
  </si>
  <si>
    <t>Taylor</t>
  </si>
  <si>
    <t>Gibb</t>
  </si>
  <si>
    <t xml:space="preserve">Taylor </t>
  </si>
  <si>
    <t>163.1</t>
  </si>
  <si>
    <t>162.0</t>
  </si>
  <si>
    <t>53.4</t>
  </si>
  <si>
    <t>Goolkin</t>
  </si>
  <si>
    <t xml:space="preserve">Billie </t>
  </si>
  <si>
    <t>4.29</t>
  </si>
  <si>
    <t>8.00</t>
  </si>
  <si>
    <t>6.25</t>
  </si>
  <si>
    <t>Alex</t>
  </si>
  <si>
    <t>7.85</t>
  </si>
  <si>
    <t>6.37</t>
  </si>
  <si>
    <t>Natheerah</t>
  </si>
  <si>
    <t>Gopal</t>
  </si>
  <si>
    <t>Isabella</t>
  </si>
  <si>
    <t>Gore</t>
  </si>
  <si>
    <t>Satara</t>
  </si>
  <si>
    <t>Govender</t>
  </si>
  <si>
    <t>Zara</t>
  </si>
  <si>
    <t>160.1</t>
  </si>
  <si>
    <t>59.1</t>
  </si>
  <si>
    <t>4.85</t>
  </si>
  <si>
    <t xml:space="preserve">Zara </t>
  </si>
  <si>
    <t>52.5</t>
  </si>
  <si>
    <t>17.31</t>
  </si>
  <si>
    <t>16.98</t>
  </si>
  <si>
    <t>10.6</t>
  </si>
  <si>
    <t>Owetu</t>
  </si>
  <si>
    <t>Gqamana</t>
  </si>
  <si>
    <t>Conroy</t>
  </si>
  <si>
    <t>Grace</t>
  </si>
  <si>
    <t>Gibbon</t>
  </si>
  <si>
    <t>Ludlam</t>
  </si>
  <si>
    <t>McPherson</t>
  </si>
  <si>
    <t>Morton</t>
  </si>
  <si>
    <t>Ella-Grace</t>
  </si>
  <si>
    <t>Gray</t>
  </si>
  <si>
    <t>Mila</t>
  </si>
  <si>
    <t>Greeff</t>
  </si>
  <si>
    <t>2.36</t>
  </si>
  <si>
    <t>4.24</t>
  </si>
  <si>
    <t>7.39</t>
  </si>
  <si>
    <t>170.9</t>
  </si>
  <si>
    <t>Griffin</t>
  </si>
  <si>
    <t>Gutsche</t>
  </si>
  <si>
    <t>179.3</t>
  </si>
  <si>
    <t>Mohamood</t>
  </si>
  <si>
    <t>Hanaa</t>
  </si>
  <si>
    <t>Hania</t>
  </si>
  <si>
    <t>Burnstone</t>
  </si>
  <si>
    <t>Marshall</t>
  </si>
  <si>
    <t>Paterson</t>
  </si>
  <si>
    <t>Schuddinh</t>
  </si>
  <si>
    <t>van den Heever</t>
  </si>
  <si>
    <t>Madison</t>
  </si>
  <si>
    <t xml:space="preserve">Madison </t>
  </si>
  <si>
    <t>159.1</t>
  </si>
  <si>
    <t>Nurah</t>
  </si>
  <si>
    <t>48.1</t>
  </si>
  <si>
    <t xml:space="preserve">Nurah </t>
  </si>
  <si>
    <t>2,34</t>
  </si>
  <si>
    <t>4,27</t>
  </si>
  <si>
    <t>6,30</t>
  </si>
  <si>
    <t>7,94</t>
  </si>
  <si>
    <t>Harper</t>
  </si>
  <si>
    <t>O'Hagan</t>
  </si>
  <si>
    <t>Orford</t>
  </si>
  <si>
    <t>Harper-Rose</t>
  </si>
  <si>
    <t>Jemima</t>
  </si>
  <si>
    <t>Hattingh</t>
  </si>
  <si>
    <t>Zoe</t>
  </si>
  <si>
    <t xml:space="preserve">Zoe </t>
  </si>
  <si>
    <t>2.50</t>
  </si>
  <si>
    <t>4.00</t>
  </si>
  <si>
    <t>8.74</t>
  </si>
  <si>
    <t>5.70</t>
  </si>
  <si>
    <t>Le Grange</t>
  </si>
  <si>
    <t>Hayley</t>
  </si>
  <si>
    <t>Lewis</t>
  </si>
  <si>
    <t>Kane</t>
  </si>
  <si>
    <t>Heather</t>
  </si>
  <si>
    <t>6.42</t>
  </si>
  <si>
    <t>7.79</t>
  </si>
  <si>
    <t xml:space="preserve">Cara-Grace </t>
  </si>
  <si>
    <t>Inara</t>
  </si>
  <si>
    <t>Hersov</t>
  </si>
  <si>
    <t>67.4</t>
  </si>
  <si>
    <t>Nathalle</t>
  </si>
  <si>
    <t>Heyns</t>
  </si>
  <si>
    <t>Kiera</t>
  </si>
  <si>
    <t>Hodgkinson</t>
  </si>
  <si>
    <t>2.45</t>
  </si>
  <si>
    <t>4.08</t>
  </si>
  <si>
    <t>7.96</t>
  </si>
  <si>
    <t>6.28</t>
  </si>
  <si>
    <t>7.24</t>
  </si>
  <si>
    <t>Holwill</t>
  </si>
  <si>
    <t>Jamie-Lee</t>
  </si>
  <si>
    <t>Horn</t>
  </si>
  <si>
    <t>4.22</t>
  </si>
  <si>
    <t>7.67</t>
  </si>
  <si>
    <t>Riley</t>
  </si>
  <si>
    <t>Hoskin</t>
  </si>
  <si>
    <t>2.85</t>
  </si>
  <si>
    <t>3.51</t>
  </si>
  <si>
    <t>9.73</t>
  </si>
  <si>
    <t>5.14</t>
  </si>
  <si>
    <t>Huang</t>
  </si>
  <si>
    <t>3.05</t>
  </si>
  <si>
    <t>161.2</t>
  </si>
  <si>
    <t>53.6</t>
  </si>
  <si>
    <t xml:space="preserve">Daniella </t>
  </si>
  <si>
    <t>161.5</t>
  </si>
  <si>
    <t>56.1</t>
  </si>
  <si>
    <t>Manuel</t>
  </si>
  <si>
    <t>Imaan</t>
  </si>
  <si>
    <t>Mohammed</t>
  </si>
  <si>
    <t>Samsodien</t>
  </si>
  <si>
    <t>Levy</t>
  </si>
  <si>
    <t>Parker</t>
  </si>
  <si>
    <t>Todd</t>
  </si>
  <si>
    <t>India</t>
  </si>
  <si>
    <t>Joannou</t>
  </si>
  <si>
    <t>Indiana</t>
  </si>
  <si>
    <t>Shinta</t>
  </si>
  <si>
    <t>Inganathi</t>
  </si>
  <si>
    <t>Slingsby</t>
  </si>
  <si>
    <t>Iona</t>
  </si>
  <si>
    <t>Küstner</t>
  </si>
  <si>
    <t>Iris</t>
  </si>
  <si>
    <t>Leah</t>
  </si>
  <si>
    <t>Isaacs</t>
  </si>
  <si>
    <t>Rahma</t>
  </si>
  <si>
    <t>Thana</t>
  </si>
  <si>
    <t>Kalam</t>
  </si>
  <si>
    <t>Saville</t>
  </si>
  <si>
    <t>van Koesveld</t>
  </si>
  <si>
    <t>MacNaughton</t>
  </si>
  <si>
    <t>Moir</t>
  </si>
  <si>
    <t>Isobella</t>
  </si>
  <si>
    <t>Smeda</t>
  </si>
  <si>
    <t>Abdulla</t>
  </si>
  <si>
    <t>Isra</t>
  </si>
  <si>
    <t>Thanah</t>
  </si>
  <si>
    <t>Issacs</t>
  </si>
  <si>
    <t xml:space="preserve">Lilly </t>
  </si>
  <si>
    <t>20.6</t>
  </si>
  <si>
    <t>0.410</t>
  </si>
  <si>
    <t>21.2</t>
  </si>
  <si>
    <t>0.416</t>
  </si>
  <si>
    <t>12.2</t>
  </si>
  <si>
    <t>0.315</t>
  </si>
  <si>
    <t>50.5</t>
  </si>
  <si>
    <t>17.82</t>
  </si>
  <si>
    <t>17.55</t>
  </si>
  <si>
    <t>6.91</t>
  </si>
  <si>
    <t>12.12</t>
  </si>
  <si>
    <t xml:space="preserve">Lily </t>
  </si>
  <si>
    <t xml:space="preserve">Jacobs </t>
  </si>
  <si>
    <t>172.4</t>
  </si>
  <si>
    <t>66.4</t>
  </si>
  <si>
    <t>Martin</t>
  </si>
  <si>
    <t>Jada</t>
  </si>
  <si>
    <t xml:space="preserve">Netball </t>
  </si>
  <si>
    <t>Murphy</t>
  </si>
  <si>
    <t>Jade</t>
  </si>
  <si>
    <t>Neale-Shutte</t>
  </si>
  <si>
    <t>Paxton</t>
  </si>
  <si>
    <t>Jaime</t>
  </si>
  <si>
    <t>Smit</t>
  </si>
  <si>
    <t>Thompson</t>
  </si>
  <si>
    <t>Jamie</t>
  </si>
  <si>
    <t>Azra</t>
  </si>
  <si>
    <t xml:space="preserve">Farheen </t>
  </si>
  <si>
    <t>2.15</t>
  </si>
  <si>
    <t>4.65</t>
  </si>
  <si>
    <t>6.94</t>
  </si>
  <si>
    <t>7.20</t>
  </si>
  <si>
    <t>Maylam</t>
  </si>
  <si>
    <t>Jasmine</t>
  </si>
  <si>
    <t>Pollock</t>
  </si>
  <si>
    <t>Jasmiya</t>
  </si>
  <si>
    <t>Kerekes</t>
  </si>
  <si>
    <t>Jay</t>
  </si>
  <si>
    <t>van Vollenhoven</t>
  </si>
  <si>
    <t>Jayde</t>
  </si>
  <si>
    <t>Jehaan</t>
  </si>
  <si>
    <t>Lloyd</t>
  </si>
  <si>
    <t>Jemma</t>
  </si>
  <si>
    <t>Miller</t>
  </si>
  <si>
    <t>Duncker</t>
  </si>
  <si>
    <t>Walsh</t>
  </si>
  <si>
    <t>Keziah</t>
  </si>
  <si>
    <t>Job</t>
  </si>
  <si>
    <t>Jodi</t>
  </si>
  <si>
    <t>Tylah</t>
  </si>
  <si>
    <t>Johannes</t>
  </si>
  <si>
    <t>61.2</t>
  </si>
  <si>
    <t>6.32</t>
  </si>
  <si>
    <t>7.91</t>
  </si>
  <si>
    <t xml:space="preserve">Tylah </t>
  </si>
  <si>
    <t>27.9</t>
  </si>
  <si>
    <t>0.477</t>
  </si>
  <si>
    <t>0.509</t>
  </si>
  <si>
    <t>17.1</t>
  </si>
  <si>
    <t>0.374</t>
  </si>
  <si>
    <t>18.0</t>
  </si>
  <si>
    <t>0.383</t>
  </si>
  <si>
    <t>16.58</t>
  </si>
  <si>
    <t>16.54</t>
  </si>
  <si>
    <t>6.19</t>
  </si>
  <si>
    <t>8.08</t>
  </si>
  <si>
    <t>Jones</t>
  </si>
  <si>
    <t>2.37</t>
  </si>
  <si>
    <t>Swain</t>
  </si>
  <si>
    <t>Julia</t>
  </si>
  <si>
    <t>Lucke</t>
  </si>
  <si>
    <t>Justine</t>
  </si>
  <si>
    <t>Kristina</t>
  </si>
  <si>
    <t>Kalil</t>
  </si>
  <si>
    <t>Ramaila</t>
  </si>
  <si>
    <t>Kamohelo</t>
  </si>
  <si>
    <t>165.7</t>
  </si>
  <si>
    <t>57.6</t>
  </si>
  <si>
    <t>Koopman</t>
  </si>
  <si>
    <t>Karys</t>
  </si>
  <si>
    <t>Millar</t>
  </si>
  <si>
    <t>Kate</t>
  </si>
  <si>
    <t>Hannant</t>
  </si>
  <si>
    <t>Katerina</t>
  </si>
  <si>
    <t>Stephen</t>
  </si>
  <si>
    <t>Ward</t>
  </si>
  <si>
    <t>Lowther</t>
  </si>
  <si>
    <t>Katinka</t>
  </si>
  <si>
    <t>Bryant</t>
  </si>
  <si>
    <t>Kayla</t>
  </si>
  <si>
    <t>Malherbe</t>
  </si>
  <si>
    <t>Meyer</t>
  </si>
  <si>
    <t>Kelly</t>
  </si>
  <si>
    <t>Zarah</t>
  </si>
  <si>
    <t>Kenwright</t>
  </si>
  <si>
    <t>7.03</t>
  </si>
  <si>
    <t>7.11</t>
  </si>
  <si>
    <t>Jay-Donte</t>
  </si>
  <si>
    <t>175.9</t>
  </si>
  <si>
    <t>68.7</t>
  </si>
  <si>
    <t>6.89</t>
  </si>
  <si>
    <t>7.26</t>
  </si>
  <si>
    <t>Kerkes</t>
  </si>
  <si>
    <t>176.5</t>
  </si>
  <si>
    <t>35.4</t>
  </si>
  <si>
    <t>0.537</t>
  </si>
  <si>
    <t>17.6</t>
  </si>
  <si>
    <t>0.379</t>
  </si>
  <si>
    <t>13.4</t>
  </si>
  <si>
    <t>0.331</t>
  </si>
  <si>
    <t>2..0</t>
  </si>
  <si>
    <t>Rana</t>
  </si>
  <si>
    <t>Khan</t>
  </si>
  <si>
    <t xml:space="preserve">Rana </t>
  </si>
  <si>
    <t>28.5</t>
  </si>
  <si>
    <t>0.482</t>
  </si>
  <si>
    <t>0.476</t>
  </si>
  <si>
    <t>16.7</t>
  </si>
  <si>
    <t>0.369</t>
  </si>
  <si>
    <t>17.47</t>
  </si>
  <si>
    <t>10.5</t>
  </si>
  <si>
    <t>Soha</t>
  </si>
  <si>
    <t>Zahra</t>
  </si>
  <si>
    <t>7.52</t>
  </si>
  <si>
    <t>6.65</t>
  </si>
  <si>
    <t xml:space="preserve">Zara Maria </t>
  </si>
  <si>
    <t>Khoury</t>
  </si>
  <si>
    <t>Siyanda</t>
  </si>
  <si>
    <t>Khoza</t>
  </si>
  <si>
    <t>2.38</t>
  </si>
  <si>
    <t>4.20</t>
  </si>
  <si>
    <t>7.97</t>
  </si>
  <si>
    <t>6.27</t>
  </si>
  <si>
    <t>Mclean</t>
  </si>
  <si>
    <t>Kiara</t>
  </si>
  <si>
    <t>Knoop</t>
  </si>
  <si>
    <t>8.51</t>
  </si>
  <si>
    <t>5.88</t>
  </si>
  <si>
    <t>Alexander</t>
  </si>
  <si>
    <t>Knutsen</t>
  </si>
  <si>
    <t xml:space="preserve">Daley </t>
  </si>
  <si>
    <t>8.20</t>
  </si>
  <si>
    <t>6.05</t>
  </si>
  <si>
    <t>6.41</t>
  </si>
  <si>
    <t>7.80</t>
  </si>
  <si>
    <t>Georgia-Aven</t>
  </si>
  <si>
    <t>Rebecca</t>
  </si>
  <si>
    <t>Koller</t>
  </si>
  <si>
    <t xml:space="preserve">Karys </t>
  </si>
  <si>
    <t>11. 1</t>
  </si>
  <si>
    <t>Krarys</t>
  </si>
  <si>
    <t>Krause</t>
  </si>
  <si>
    <t>7.36</t>
  </si>
  <si>
    <t>6.79</t>
  </si>
  <si>
    <t>Krohn</t>
  </si>
  <si>
    <t xml:space="preserve">Ashley </t>
  </si>
  <si>
    <t>2.47</t>
  </si>
  <si>
    <t>7.46</t>
  </si>
  <si>
    <t>6.70</t>
  </si>
  <si>
    <t xml:space="preserve">Muller </t>
  </si>
  <si>
    <t>Kyla</t>
  </si>
  <si>
    <t>La Grange</t>
  </si>
  <si>
    <t>7.21</t>
  </si>
  <si>
    <t>Logan</t>
  </si>
  <si>
    <t>Lamb</t>
  </si>
  <si>
    <t>167.7</t>
  </si>
  <si>
    <t>70.4</t>
  </si>
  <si>
    <t>Skyler</t>
  </si>
  <si>
    <t>Langhoven</t>
  </si>
  <si>
    <t>4.03</t>
  </si>
  <si>
    <t>Schrieder</t>
  </si>
  <si>
    <t>Lara</t>
  </si>
  <si>
    <t>Sophia</t>
  </si>
  <si>
    <t>Lashbrooke</t>
  </si>
  <si>
    <t>163.8</t>
  </si>
  <si>
    <t>6.49</t>
  </si>
  <si>
    <t>7.70</t>
  </si>
  <si>
    <t>Lauren</t>
  </si>
  <si>
    <t>van der Spuy</t>
  </si>
  <si>
    <t xml:space="preserve">Casey </t>
  </si>
  <si>
    <t xml:space="preserve">Laver </t>
  </si>
  <si>
    <t>29.7</t>
  </si>
  <si>
    <t>0.492</t>
  </si>
  <si>
    <t>33.1</t>
  </si>
  <si>
    <t>0.520</t>
  </si>
  <si>
    <t>20.3</t>
  </si>
  <si>
    <t>0.407</t>
  </si>
  <si>
    <t>39.5</t>
  </si>
  <si>
    <t>16.13</t>
  </si>
  <si>
    <t>16.28</t>
  </si>
  <si>
    <t>16.11</t>
  </si>
  <si>
    <t>Barber-Luna</t>
  </si>
  <si>
    <t>Layla</t>
  </si>
  <si>
    <t>Ofsowitz</t>
  </si>
  <si>
    <t>Toll</t>
  </si>
  <si>
    <t>Leigh</t>
  </si>
  <si>
    <t xml:space="preserve">Frances </t>
  </si>
  <si>
    <t>Leinberg</t>
  </si>
  <si>
    <t>Leinberger</t>
  </si>
  <si>
    <t>Wigham</t>
  </si>
  <si>
    <t>Leola</t>
  </si>
  <si>
    <t>Mabokano</t>
  </si>
  <si>
    <t>Lesedi</t>
  </si>
  <si>
    <t>164.4</t>
  </si>
  <si>
    <t>62.6</t>
  </si>
  <si>
    <t>59.5</t>
  </si>
  <si>
    <t>2.57</t>
  </si>
  <si>
    <t xml:space="preserve">Hayley </t>
  </si>
  <si>
    <t>Nina</t>
  </si>
  <si>
    <t>175.4</t>
  </si>
  <si>
    <t>7.01</t>
  </si>
  <si>
    <t>7.13</t>
  </si>
  <si>
    <t>15.7</t>
  </si>
  <si>
    <t>0.358</t>
  </si>
  <si>
    <t xml:space="preserve">Nina </t>
  </si>
  <si>
    <t xml:space="preserve">8.5 </t>
  </si>
  <si>
    <t>van Zyl</t>
  </si>
  <si>
    <t>Liah</t>
  </si>
  <si>
    <t>Gonsenhauser</t>
  </si>
  <si>
    <t>Pinkham</t>
  </si>
  <si>
    <t>Lila-Harper</t>
  </si>
  <si>
    <t>Malan</t>
  </si>
  <si>
    <t>Ralph</t>
  </si>
  <si>
    <t>Watson</t>
  </si>
  <si>
    <t xml:space="preserve">U/17 B </t>
  </si>
  <si>
    <t>Sickle</t>
  </si>
  <si>
    <t>Lily-Mae</t>
  </si>
  <si>
    <t>Rayi</t>
  </si>
  <si>
    <t>Linako</t>
  </si>
  <si>
    <t>Sitelo</t>
  </si>
  <si>
    <t>Lisakhanya</t>
  </si>
  <si>
    <t>163.9</t>
  </si>
  <si>
    <t>63.8</t>
  </si>
  <si>
    <t>Ophelia</t>
  </si>
  <si>
    <t>Loggenberg</t>
  </si>
  <si>
    <t>Lombard</t>
  </si>
  <si>
    <t>7.05</t>
  </si>
  <si>
    <t>7.57</t>
  </si>
  <si>
    <t xml:space="preserve">Justine </t>
  </si>
  <si>
    <t>Lucy</t>
  </si>
  <si>
    <t>Strydom</t>
  </si>
  <si>
    <t>168.4</t>
  </si>
  <si>
    <t>56.8</t>
  </si>
  <si>
    <t>Luger</t>
  </si>
  <si>
    <t xml:space="preserve">Sophie </t>
  </si>
  <si>
    <t xml:space="preserve">Luger </t>
  </si>
  <si>
    <t>2.46</t>
  </si>
  <si>
    <t>4.07</t>
  </si>
  <si>
    <t>Lumb</t>
  </si>
  <si>
    <t xml:space="preserve">Ruby </t>
  </si>
  <si>
    <t>Lisedi</t>
  </si>
  <si>
    <t>2010-11-31</t>
  </si>
  <si>
    <t>2.55</t>
  </si>
  <si>
    <t>3.92</t>
  </si>
  <si>
    <t>8.05</t>
  </si>
  <si>
    <t>6.21</t>
  </si>
  <si>
    <t>Mackay</t>
  </si>
  <si>
    <t>MacKay</t>
  </si>
  <si>
    <t>168.1</t>
  </si>
  <si>
    <t>61.5</t>
  </si>
  <si>
    <t>Rania</t>
  </si>
  <si>
    <t>Macnab</t>
  </si>
  <si>
    <t>3.06</t>
  </si>
  <si>
    <t>150.6</t>
  </si>
  <si>
    <t>53.3</t>
  </si>
  <si>
    <t>31.8</t>
  </si>
  <si>
    <t>35.7</t>
  </si>
  <si>
    <t>0.540</t>
  </si>
  <si>
    <t>22.9</t>
  </si>
  <si>
    <t>0.432</t>
  </si>
  <si>
    <t>24.5</t>
  </si>
  <si>
    <t>16.93</t>
  </si>
  <si>
    <t>16..85</t>
  </si>
  <si>
    <t>9.1</t>
  </si>
  <si>
    <t>Wallace</t>
  </si>
  <si>
    <t>Maddison</t>
  </si>
  <si>
    <t xml:space="preserve">Pheobe </t>
  </si>
  <si>
    <t>Madonko</t>
  </si>
  <si>
    <t>164.9</t>
  </si>
  <si>
    <t>Riziki</t>
  </si>
  <si>
    <t>Magotsi</t>
  </si>
  <si>
    <t>1.86</t>
  </si>
  <si>
    <t>5.38</t>
  </si>
  <si>
    <t>5.99</t>
  </si>
  <si>
    <t>8.35</t>
  </si>
  <si>
    <t>Mahamood</t>
  </si>
  <si>
    <t>Malhebe</t>
  </si>
  <si>
    <t>169.4</t>
  </si>
  <si>
    <t>58.5</t>
  </si>
  <si>
    <t>Raaina</t>
  </si>
  <si>
    <t>Mallie</t>
  </si>
  <si>
    <t>Lihlombe</t>
  </si>
  <si>
    <t>Mandindi</t>
  </si>
  <si>
    <t>8.37</t>
  </si>
  <si>
    <t>5.97</t>
  </si>
  <si>
    <t>Trantraal</t>
  </si>
  <si>
    <t>Manilla</t>
  </si>
  <si>
    <t>160.4</t>
  </si>
  <si>
    <t>57.2</t>
  </si>
  <si>
    <t>Beyer</t>
  </si>
  <si>
    <t>Maria</t>
  </si>
  <si>
    <t>Mia</t>
  </si>
  <si>
    <t>Martens</t>
  </si>
  <si>
    <t xml:space="preserve">Jada </t>
  </si>
  <si>
    <t>Sengulane</t>
  </si>
  <si>
    <t>Martina</t>
  </si>
  <si>
    <t>164.1</t>
  </si>
  <si>
    <t>58.2</t>
  </si>
  <si>
    <t xml:space="preserve">Georgina </t>
  </si>
  <si>
    <t>27.0</t>
  </si>
  <si>
    <t>0.469</t>
  </si>
  <si>
    <t>29.1</t>
  </si>
  <si>
    <t>0.487</t>
  </si>
  <si>
    <t>13.6</t>
  </si>
  <si>
    <t>0.333</t>
  </si>
  <si>
    <t>17.54</t>
  </si>
  <si>
    <t>16.79</t>
  </si>
  <si>
    <t>7.10</t>
  </si>
  <si>
    <t>15.3</t>
  </si>
  <si>
    <t>162.1</t>
  </si>
  <si>
    <t>60.2</t>
  </si>
  <si>
    <t xml:space="preserve">Maurel </t>
  </si>
  <si>
    <t>16.8</t>
  </si>
  <si>
    <t>0.370</t>
  </si>
  <si>
    <t>19.9</t>
  </si>
  <si>
    <t>0.403</t>
  </si>
  <si>
    <t>8.5</t>
  </si>
  <si>
    <t>0.264</t>
  </si>
  <si>
    <t>18.57</t>
  </si>
  <si>
    <t>17.89</t>
  </si>
  <si>
    <t>15.0</t>
  </si>
  <si>
    <t>Dani</t>
  </si>
  <si>
    <t>McIvor</t>
  </si>
  <si>
    <t xml:space="preserve">Dani </t>
  </si>
  <si>
    <t>McLean</t>
  </si>
  <si>
    <t>Rahim</t>
  </si>
  <si>
    <t>Meesha</t>
  </si>
  <si>
    <t>Macdonald</t>
  </si>
  <si>
    <t>Noorani</t>
  </si>
  <si>
    <t>Mehreen</t>
  </si>
  <si>
    <t>van der Merwe</t>
  </si>
  <si>
    <t>Merryn</t>
  </si>
  <si>
    <t>Gabrielle</t>
  </si>
  <si>
    <t>166.6</t>
  </si>
  <si>
    <t xml:space="preserve">Meyer </t>
  </si>
  <si>
    <t>33.3</t>
  </si>
  <si>
    <t>0.521</t>
  </si>
  <si>
    <t>18.9</t>
  </si>
  <si>
    <t>0.393</t>
  </si>
  <si>
    <t>17.52</t>
  </si>
  <si>
    <t>2.03</t>
  </si>
  <si>
    <t>4.93</t>
  </si>
  <si>
    <t>Hobbs</t>
  </si>
  <si>
    <t>Snyman</t>
  </si>
  <si>
    <t>Pharo</t>
  </si>
  <si>
    <t>Michela</t>
  </si>
  <si>
    <t>Keeva</t>
  </si>
  <si>
    <t>Middleton</t>
  </si>
  <si>
    <t>7.29</t>
  </si>
  <si>
    <t>6.86</t>
  </si>
  <si>
    <t>Mahlangu</t>
  </si>
  <si>
    <t>Mikha</t>
  </si>
  <si>
    <t>Ross</t>
  </si>
  <si>
    <t>86,1</t>
  </si>
  <si>
    <t>154,8</t>
  </si>
  <si>
    <t>Mila-Belle</t>
  </si>
  <si>
    <t>8.79</t>
  </si>
  <si>
    <t>5.69</t>
  </si>
  <si>
    <t xml:space="preserve">Lucy </t>
  </si>
  <si>
    <t>Samantha</t>
  </si>
  <si>
    <t>7.09</t>
  </si>
  <si>
    <t>Milly</t>
  </si>
  <si>
    <t>Mbambo</t>
  </si>
  <si>
    <t>Minenhle</t>
  </si>
  <si>
    <t>Vuyo</t>
  </si>
  <si>
    <t>Mkosi</t>
  </si>
  <si>
    <t>6.18</t>
  </si>
  <si>
    <t>Samara</t>
  </si>
  <si>
    <t>Mohammed-Hosain</t>
  </si>
  <si>
    <t xml:space="preserve">Isobella </t>
  </si>
  <si>
    <t>Parry</t>
  </si>
  <si>
    <t>Molly</t>
  </si>
  <si>
    <t>Azariah</t>
  </si>
  <si>
    <t>4.10</t>
  </si>
  <si>
    <t>7.83</t>
  </si>
  <si>
    <t>6.39</t>
  </si>
  <si>
    <t>Saara</t>
  </si>
  <si>
    <t>Moosa</t>
  </si>
  <si>
    <t>Scott</t>
  </si>
  <si>
    <t>Morgan</t>
  </si>
  <si>
    <t xml:space="preserve">Carys </t>
  </si>
  <si>
    <t>Morkel</t>
  </si>
  <si>
    <t>1.63</t>
  </si>
  <si>
    <t>8.15</t>
  </si>
  <si>
    <t>Moss</t>
  </si>
  <si>
    <t>Teagan</t>
  </si>
  <si>
    <t>Mozley</t>
  </si>
  <si>
    <t>Tinotenda</t>
  </si>
  <si>
    <t>Mukomana</t>
  </si>
  <si>
    <t>3.82</t>
  </si>
  <si>
    <t>Muller</t>
  </si>
  <si>
    <t>Muller Thompson</t>
  </si>
  <si>
    <t>Muller Thomson</t>
  </si>
  <si>
    <t>Olivia</t>
  </si>
  <si>
    <t>Mundy</t>
  </si>
  <si>
    <t>Munting</t>
  </si>
  <si>
    <t xml:space="preserve">Jade </t>
  </si>
  <si>
    <t>29.5</t>
  </si>
  <si>
    <t xml:space="preserve">Murphy </t>
  </si>
  <si>
    <t>175.5</t>
  </si>
  <si>
    <t>23.8</t>
  </si>
  <si>
    <t>0.441</t>
  </si>
  <si>
    <t>10.7</t>
  </si>
  <si>
    <t>0.295</t>
  </si>
  <si>
    <t>13.3</t>
  </si>
  <si>
    <t>0.329</t>
  </si>
  <si>
    <t>Sisipho</t>
  </si>
  <si>
    <t>Mvwnyiswa</t>
  </si>
  <si>
    <t>3.27</t>
  </si>
  <si>
    <t>8.57</t>
  </si>
  <si>
    <t>3.83</t>
  </si>
  <si>
    <t>Bohale</t>
  </si>
  <si>
    <t>2.13</t>
  </si>
  <si>
    <t>4.69</t>
  </si>
  <si>
    <t>Tamika</t>
  </si>
  <si>
    <t>Nair</t>
  </si>
  <si>
    <t>22.6</t>
  </si>
  <si>
    <t>0.426</t>
  </si>
  <si>
    <t>27.8</t>
  </si>
  <si>
    <t xml:space="preserve">Nair </t>
  </si>
  <si>
    <t>9. 2</t>
  </si>
  <si>
    <t xml:space="preserve">Tamika </t>
  </si>
  <si>
    <t>66.6</t>
  </si>
  <si>
    <t>Neale-Schutte</t>
  </si>
  <si>
    <t>170.6</t>
  </si>
  <si>
    <t>56.7</t>
  </si>
  <si>
    <t>30.2</t>
  </si>
  <si>
    <t>0.496</t>
  </si>
  <si>
    <t>31.3</t>
  </si>
  <si>
    <t>0.505</t>
  </si>
  <si>
    <t>15.8</t>
  </si>
  <si>
    <t>0l359</t>
  </si>
  <si>
    <t>54.5</t>
  </si>
  <si>
    <t>17.02</t>
  </si>
  <si>
    <t>16.84</t>
  </si>
  <si>
    <t>1.99</t>
  </si>
  <si>
    <t>5.03</t>
  </si>
  <si>
    <t>70.3</t>
  </si>
  <si>
    <t>Matosi</t>
  </si>
  <si>
    <t>Nehema</t>
  </si>
  <si>
    <t>Reese</t>
  </si>
  <si>
    <t>Newton</t>
  </si>
  <si>
    <t>171.4</t>
  </si>
  <si>
    <t>59.7</t>
  </si>
  <si>
    <t xml:space="preserve">Sofia </t>
  </si>
  <si>
    <t>151.8</t>
  </si>
  <si>
    <t>46.8</t>
  </si>
  <si>
    <t>6.15</t>
  </si>
  <si>
    <t>8.13</t>
  </si>
  <si>
    <t xml:space="preserve">Georgia </t>
  </si>
  <si>
    <t>28.4</t>
  </si>
  <si>
    <t>0.481</t>
  </si>
  <si>
    <t>0.460</t>
  </si>
  <si>
    <t>0.340</t>
  </si>
  <si>
    <t>16.86</t>
  </si>
  <si>
    <t>16.60</t>
  </si>
  <si>
    <t>6.10</t>
  </si>
  <si>
    <t>Wides</t>
  </si>
  <si>
    <t>Nixon-Stanley</t>
  </si>
  <si>
    <t>Bray</t>
  </si>
  <si>
    <t>Noor</t>
  </si>
  <si>
    <t>Lilitha</t>
  </si>
  <si>
    <t>Ntikinca</t>
  </si>
  <si>
    <t>Timm</t>
  </si>
  <si>
    <t>Nuha</t>
  </si>
  <si>
    <t>2009-15-10</t>
  </si>
  <si>
    <t xml:space="preserve">Harnekar </t>
  </si>
  <si>
    <t>172.6</t>
  </si>
  <si>
    <t xml:space="preserve">Ezimma </t>
  </si>
  <si>
    <t>172.2</t>
  </si>
  <si>
    <t>63.6</t>
  </si>
  <si>
    <t>6.31</t>
  </si>
  <si>
    <t>7.92</t>
  </si>
  <si>
    <t>Sinead</t>
  </si>
  <si>
    <t>O'Conner</t>
  </si>
  <si>
    <t>166.7</t>
  </si>
  <si>
    <t>52.0</t>
  </si>
  <si>
    <t>O'Connor</t>
  </si>
  <si>
    <t>7.17</t>
  </si>
  <si>
    <t>7.78</t>
  </si>
  <si>
    <t>6.43</t>
  </si>
  <si>
    <t>2.51</t>
  </si>
  <si>
    <t>3.98</t>
  </si>
  <si>
    <t>7.87</t>
  </si>
  <si>
    <t>6.35</t>
  </si>
  <si>
    <t xml:space="preserve">Caibella </t>
  </si>
  <si>
    <t>Cowden</t>
  </si>
  <si>
    <t>Melck</t>
  </si>
  <si>
    <t>Peter</t>
  </si>
  <si>
    <t>Onathi</t>
  </si>
  <si>
    <t>Daniela</t>
  </si>
  <si>
    <t>Osler</t>
  </si>
  <si>
    <t>2.65</t>
  </si>
  <si>
    <t>2.88</t>
  </si>
  <si>
    <t>2.67</t>
  </si>
  <si>
    <t>3.75</t>
  </si>
  <si>
    <t>8.99</t>
  </si>
  <si>
    <t>5.56</t>
  </si>
  <si>
    <t>Padoa</t>
  </si>
  <si>
    <t>Robertson</t>
  </si>
  <si>
    <t>Webber</t>
  </si>
  <si>
    <t>0,328</t>
  </si>
  <si>
    <t>45.3</t>
  </si>
  <si>
    <t>154.1</t>
  </si>
  <si>
    <t>42.2</t>
  </si>
  <si>
    <t xml:space="preserve">Jaime </t>
  </si>
  <si>
    <t>0.447</t>
  </si>
  <si>
    <t>0.497</t>
  </si>
  <si>
    <t>16.2</t>
  </si>
  <si>
    <t>0.363</t>
  </si>
  <si>
    <t>17.96</t>
  </si>
  <si>
    <t xml:space="preserve">Onathi </t>
  </si>
  <si>
    <t>peter</t>
  </si>
  <si>
    <t xml:space="preserve">Peter </t>
  </si>
  <si>
    <t>Chella</t>
  </si>
  <si>
    <t>Petrie</t>
  </si>
  <si>
    <t>155.2</t>
  </si>
  <si>
    <t>46.7</t>
  </si>
  <si>
    <t>Jackson</t>
  </si>
  <si>
    <t>Phoebe</t>
  </si>
  <si>
    <t>Sibu</t>
  </si>
  <si>
    <t>Pinyana</t>
  </si>
  <si>
    <t>2.41</t>
  </si>
  <si>
    <t>4.15</t>
  </si>
  <si>
    <t xml:space="preserve">Plummel </t>
  </si>
  <si>
    <t>Pooley</t>
  </si>
  <si>
    <t xml:space="preserve">Catalina </t>
  </si>
  <si>
    <t>Marwick</t>
  </si>
  <si>
    <t>Rachael</t>
  </si>
  <si>
    <t>Braune</t>
  </si>
  <si>
    <t xml:space="preserve">Calia </t>
  </si>
  <si>
    <t>Rachet</t>
  </si>
  <si>
    <t>Rinquest</t>
  </si>
  <si>
    <t>Caitlin</t>
  </si>
  <si>
    <t>Ratcliffe</t>
  </si>
  <si>
    <t>Madelyn</t>
  </si>
  <si>
    <t>Rathner</t>
  </si>
  <si>
    <t>Raubenhiemer</t>
  </si>
  <si>
    <t>21.7</t>
  </si>
  <si>
    <t>0.421</t>
  </si>
  <si>
    <t>22.7</t>
  </si>
  <si>
    <t>0.430</t>
  </si>
  <si>
    <t>11.6</t>
  </si>
  <si>
    <t>0.307</t>
  </si>
  <si>
    <t>11.3</t>
  </si>
  <si>
    <t>0.303</t>
  </si>
  <si>
    <t>26.5</t>
  </si>
  <si>
    <t>17.18</t>
  </si>
  <si>
    <t>16.99</t>
  </si>
  <si>
    <t>7.47</t>
  </si>
  <si>
    <t>Atica</t>
  </si>
  <si>
    <t>Brink</t>
  </si>
  <si>
    <t>Cooper-Williams</t>
  </si>
  <si>
    <t>Hime</t>
  </si>
  <si>
    <t>Myers</t>
  </si>
  <si>
    <t>White</t>
  </si>
  <si>
    <t>Rightford</t>
  </si>
  <si>
    <t>Zoë</t>
  </si>
  <si>
    <t>165.4</t>
  </si>
  <si>
    <t>54.4</t>
  </si>
  <si>
    <t>7.93</t>
  </si>
  <si>
    <t>17,46</t>
  </si>
  <si>
    <t>17,20</t>
  </si>
  <si>
    <t>Rona</t>
  </si>
  <si>
    <t>Zelck</t>
  </si>
  <si>
    <t>Rosa</t>
  </si>
  <si>
    <t>24.9</t>
  </si>
  <si>
    <t>0.451</t>
  </si>
  <si>
    <t>11.8</t>
  </si>
  <si>
    <t>0.310</t>
  </si>
  <si>
    <t>177.5</t>
  </si>
  <si>
    <t>83.5</t>
  </si>
  <si>
    <t xml:space="preserve">Ava </t>
  </si>
  <si>
    <t>Ruiters</t>
  </si>
  <si>
    <t>Rycroft</t>
  </si>
  <si>
    <t>Sinclair</t>
  </si>
  <si>
    <t>Sage</t>
  </si>
  <si>
    <t>Mohamed Hoosain</t>
  </si>
  <si>
    <t>Samira</t>
  </si>
  <si>
    <t>Gordon</t>
  </si>
  <si>
    <t>Sarah Kay</t>
  </si>
  <si>
    <t>Sasha</t>
  </si>
  <si>
    <t>O'Neill</t>
  </si>
  <si>
    <t xml:space="preserve">Sasha </t>
  </si>
  <si>
    <t>U/15  A</t>
  </si>
  <si>
    <t>Turck</t>
  </si>
  <si>
    <t>Scarlett</t>
  </si>
  <si>
    <t>Scheiba</t>
  </si>
  <si>
    <t>6.76</t>
  </si>
  <si>
    <t>7.40</t>
  </si>
  <si>
    <t>Scheibe</t>
  </si>
  <si>
    <t>Schelhase</t>
  </si>
  <si>
    <t>2.91</t>
  </si>
  <si>
    <t>Zafierah</t>
  </si>
  <si>
    <t>Shaboodien</t>
  </si>
  <si>
    <t>20/08/2010</t>
  </si>
  <si>
    <t>7.61</t>
  </si>
  <si>
    <t>6.57</t>
  </si>
  <si>
    <t>52.6</t>
  </si>
  <si>
    <t>6.51</t>
  </si>
  <si>
    <t>7.68</t>
  </si>
  <si>
    <t>0.400</t>
  </si>
  <si>
    <t>0.470</t>
  </si>
  <si>
    <t>6.56</t>
  </si>
  <si>
    <t>7.62</t>
  </si>
  <si>
    <t>14.1</t>
  </si>
  <si>
    <t>Mathews</t>
  </si>
  <si>
    <t>Shiloh</t>
  </si>
  <si>
    <t>Inga</t>
  </si>
  <si>
    <t>9.48</t>
  </si>
  <si>
    <t>5.27</t>
  </si>
  <si>
    <t>Sophia-Rose</t>
  </si>
  <si>
    <t>Siena</t>
  </si>
  <si>
    <t>Kröhn</t>
  </si>
  <si>
    <t>De La Harpe</t>
  </si>
  <si>
    <t xml:space="preserve">Sage </t>
  </si>
  <si>
    <t xml:space="preserve">Sinclair </t>
  </si>
  <si>
    <t>Sinéad</t>
  </si>
  <si>
    <t>Kumalo</t>
  </si>
  <si>
    <t>Siphesihle</t>
  </si>
  <si>
    <t>Zayaan</t>
  </si>
  <si>
    <t>Sirkot</t>
  </si>
  <si>
    <t xml:space="preserve">Zayaan </t>
  </si>
  <si>
    <t>Mvunyiswa</t>
  </si>
  <si>
    <t>164.0</t>
  </si>
  <si>
    <t>73.2</t>
  </si>
  <si>
    <t>Leabona</t>
  </si>
  <si>
    <t>Sixoto</t>
  </si>
  <si>
    <t>8.14</t>
  </si>
  <si>
    <t>Charley</t>
  </si>
  <si>
    <t>63.9</t>
  </si>
  <si>
    <t xml:space="preserve">Charley </t>
  </si>
  <si>
    <t>35.2</t>
  </si>
  <si>
    <t>0.536</t>
  </si>
  <si>
    <t>39.3</t>
  </si>
  <si>
    <t>0.566</t>
  </si>
  <si>
    <t>22.5</t>
  </si>
  <si>
    <t>0.428</t>
  </si>
  <si>
    <t>15.86</t>
  </si>
  <si>
    <t>4.94</t>
  </si>
  <si>
    <t>Langenhoven</t>
  </si>
  <si>
    <t>158.2</t>
  </si>
  <si>
    <t>52.4</t>
  </si>
  <si>
    <t xml:space="preserve">Emelia </t>
  </si>
  <si>
    <t>24.7</t>
  </si>
  <si>
    <t>0.449</t>
  </si>
  <si>
    <t>16.4</t>
  </si>
  <si>
    <t>0.366</t>
  </si>
  <si>
    <t>0.339</t>
  </si>
  <si>
    <t>18.64</t>
  </si>
  <si>
    <t>6.50</t>
  </si>
  <si>
    <t>7.69</t>
  </si>
  <si>
    <t>15.1</t>
  </si>
  <si>
    <t>153.2</t>
  </si>
  <si>
    <t>43.5</t>
  </si>
  <si>
    <t>17.2</t>
  </si>
  <si>
    <t>Slingers</t>
  </si>
  <si>
    <t>173.2</t>
  </si>
  <si>
    <t>62.1</t>
  </si>
  <si>
    <t>Anemae</t>
  </si>
  <si>
    <t>170.5</t>
  </si>
  <si>
    <t>63.3</t>
  </si>
  <si>
    <t>30.5</t>
  </si>
  <si>
    <t>0.499</t>
  </si>
  <si>
    <t>16.9</t>
  </si>
  <si>
    <t>0.371</t>
  </si>
  <si>
    <t>7.99</t>
  </si>
  <si>
    <t>6.26</t>
  </si>
  <si>
    <t xml:space="preserve">Smith </t>
  </si>
  <si>
    <t xml:space="preserve">Kate </t>
  </si>
  <si>
    <t>62.3</t>
  </si>
  <si>
    <t>Sofiya</t>
  </si>
  <si>
    <t>Akampurira</t>
  </si>
  <si>
    <t>Solange</t>
  </si>
  <si>
    <t>Gullan</t>
  </si>
  <si>
    <t xml:space="preserve">Lobert </t>
  </si>
  <si>
    <t>Trout</t>
  </si>
  <si>
    <t>2008-19-03</t>
  </si>
  <si>
    <t>Popham-Holloway</t>
  </si>
  <si>
    <t>Erin</t>
  </si>
  <si>
    <t>Stafford</t>
  </si>
  <si>
    <t>2.74</t>
  </si>
  <si>
    <t>Stevens</t>
  </si>
  <si>
    <t>Stodel</t>
  </si>
  <si>
    <t>Williams</t>
  </si>
  <si>
    <t>Taaliah</t>
  </si>
  <si>
    <t>Taiya</t>
  </si>
  <si>
    <t>Wellburn</t>
  </si>
  <si>
    <t>Taya</t>
  </si>
  <si>
    <t>2009-14-04</t>
  </si>
  <si>
    <t>64.8</t>
  </si>
  <si>
    <t>18.14</t>
  </si>
  <si>
    <t>18.11</t>
  </si>
  <si>
    <t>180.8</t>
  </si>
  <si>
    <t>71.5</t>
  </si>
  <si>
    <t>180.6</t>
  </si>
  <si>
    <t>Tutu</t>
  </si>
  <si>
    <t>Tiffany</t>
  </si>
  <si>
    <t>7.77</t>
  </si>
  <si>
    <t>Tahlia</t>
  </si>
  <si>
    <t>Caleigh</t>
  </si>
  <si>
    <t>Tomaz Weeden</t>
  </si>
  <si>
    <t>Geyer</t>
  </si>
  <si>
    <t>Tori</t>
  </si>
  <si>
    <t>Towel</t>
  </si>
  <si>
    <t>6.92</t>
  </si>
  <si>
    <t>7.23</t>
  </si>
  <si>
    <t>12.6</t>
  </si>
  <si>
    <t>0.321</t>
  </si>
  <si>
    <t>2.32</t>
  </si>
  <si>
    <t>4.31</t>
  </si>
  <si>
    <t>21.5</t>
  </si>
  <si>
    <t>Charles</t>
  </si>
  <si>
    <t>Tyla</t>
  </si>
  <si>
    <t>Hall</t>
  </si>
  <si>
    <t>Una</t>
  </si>
  <si>
    <t>van Aarde</t>
  </si>
  <si>
    <t>172.8</t>
  </si>
  <si>
    <t>31.4</t>
  </si>
  <si>
    <t>0.506</t>
  </si>
  <si>
    <t>0.314</t>
  </si>
  <si>
    <t>14.3</t>
  </si>
  <si>
    <t>0.341</t>
  </si>
  <si>
    <t>46.5</t>
  </si>
  <si>
    <t>18.28</t>
  </si>
  <si>
    <t>17.95</t>
  </si>
  <si>
    <t>8.2</t>
  </si>
  <si>
    <t>8.76</t>
  </si>
  <si>
    <t>5.71</t>
  </si>
  <si>
    <t>Van den Heever</t>
  </si>
  <si>
    <t>Van der Merwe</t>
  </si>
  <si>
    <t>Van Der Spuy</t>
  </si>
  <si>
    <t>161.8</t>
  </si>
  <si>
    <t>Tazkia</t>
  </si>
  <si>
    <t>van Heerden</t>
  </si>
  <si>
    <t>van Kesteren</t>
  </si>
  <si>
    <t>Van Lierop</t>
  </si>
  <si>
    <t>Van Sittert</t>
  </si>
  <si>
    <t>Eryn</t>
  </si>
  <si>
    <t>Van Vollenhoven</t>
  </si>
  <si>
    <t>184.1</t>
  </si>
  <si>
    <t>77.6</t>
  </si>
  <si>
    <t>Van vollenhoven</t>
  </si>
  <si>
    <t>7.81</t>
  </si>
  <si>
    <t>175.0</t>
  </si>
  <si>
    <t>72.2</t>
  </si>
  <si>
    <t>24.2</t>
  </si>
  <si>
    <t>0.444</t>
  </si>
  <si>
    <t>0.273</t>
  </si>
  <si>
    <t>10.9</t>
  </si>
  <si>
    <t>0.294</t>
  </si>
  <si>
    <t>6.29</t>
  </si>
  <si>
    <t>7.95</t>
  </si>
  <si>
    <t>12.5</t>
  </si>
  <si>
    <t>Van Zyl</t>
  </si>
  <si>
    <t>Victoria</t>
  </si>
  <si>
    <t>6.69</t>
  </si>
  <si>
    <t>von Lierop</t>
  </si>
  <si>
    <t>162.5</t>
  </si>
  <si>
    <t>62.2</t>
  </si>
  <si>
    <t>166.2</t>
  </si>
  <si>
    <t>50.2</t>
  </si>
  <si>
    <t xml:space="preserve">Warner </t>
  </si>
  <si>
    <t>32.9</t>
  </si>
  <si>
    <t>0.518</t>
  </si>
  <si>
    <t>0.375</t>
  </si>
  <si>
    <t>38.5</t>
  </si>
  <si>
    <t>16.53</t>
  </si>
  <si>
    <t>18.00</t>
  </si>
  <si>
    <t>157.2</t>
  </si>
  <si>
    <t>49.7</t>
  </si>
  <si>
    <t>0,348</t>
  </si>
  <si>
    <t>167.8</t>
  </si>
  <si>
    <t>56.5</t>
  </si>
  <si>
    <t>33.9</t>
  </si>
  <si>
    <t>0.526</t>
  </si>
  <si>
    <t>14.6</t>
  </si>
  <si>
    <t>16.3</t>
  </si>
  <si>
    <t>0.365</t>
  </si>
  <si>
    <t>1.89</t>
  </si>
  <si>
    <t>5.29</t>
  </si>
  <si>
    <t xml:space="preserve">Taya </t>
  </si>
  <si>
    <t>26.6</t>
  </si>
  <si>
    <t>0.466</t>
  </si>
  <si>
    <t>Wessles</t>
  </si>
  <si>
    <t>West</t>
  </si>
  <si>
    <t>165.1</t>
  </si>
  <si>
    <t>61.4</t>
  </si>
  <si>
    <t>2.90</t>
  </si>
  <si>
    <t xml:space="preserve">Wides </t>
  </si>
  <si>
    <t>25.0</t>
  </si>
  <si>
    <t>0.453</t>
  </si>
  <si>
    <t>0.319</t>
  </si>
  <si>
    <t>11.5</t>
  </si>
  <si>
    <t>0.306</t>
  </si>
  <si>
    <t>49.5</t>
  </si>
  <si>
    <t>18.23</t>
  </si>
  <si>
    <t>18.19</t>
  </si>
  <si>
    <t>Willow-Jagger</t>
  </si>
  <si>
    <t>173.8</t>
  </si>
  <si>
    <t>Wiltshire</t>
  </si>
  <si>
    <t>Rayna</t>
  </si>
  <si>
    <t>Wolhuter</t>
  </si>
  <si>
    <t>Mika</t>
  </si>
  <si>
    <t>Wyngaard</t>
  </si>
  <si>
    <t>Jantjies</t>
  </si>
  <si>
    <t>Desai</t>
  </si>
  <si>
    <t>Zaynah</t>
  </si>
  <si>
    <t xml:space="preserve">U/14 C </t>
  </si>
  <si>
    <t>Jakoet</t>
  </si>
  <si>
    <t>Zia</t>
  </si>
  <si>
    <t>Ndlovu</t>
  </si>
  <si>
    <t>Zipho</t>
  </si>
  <si>
    <t>Hodge</t>
  </si>
  <si>
    <t>Zohra</t>
  </si>
  <si>
    <t>Sit-and-Reach</t>
  </si>
  <si>
    <t>Knee to wall</t>
  </si>
  <si>
    <t>2min Sit-up</t>
  </si>
  <si>
    <t>Push-up</t>
  </si>
  <si>
    <t>Illinois Agility</t>
  </si>
  <si>
    <t>Y-BLANCE</t>
  </si>
  <si>
    <t>Cm</t>
  </si>
  <si>
    <t>Score</t>
  </si>
  <si>
    <t>cm</t>
  </si>
  <si>
    <t>score</t>
  </si>
  <si>
    <t>Norm</t>
  </si>
  <si>
    <t>Age</t>
  </si>
  <si>
    <t>Poor</t>
  </si>
  <si>
    <t>Below Avg</t>
  </si>
  <si>
    <t>Average</t>
  </si>
  <si>
    <t>Good</t>
  </si>
  <si>
    <t xml:space="preserve">Very good </t>
  </si>
  <si>
    <t>Excellent</t>
  </si>
  <si>
    <t>time</t>
  </si>
  <si>
    <t>rating</t>
  </si>
  <si>
    <t>Not completed</t>
  </si>
  <si>
    <t>Very poor</t>
  </si>
  <si>
    <t>Very good</t>
  </si>
  <si>
    <t>bad</t>
  </si>
  <si>
    <t>good</t>
  </si>
  <si>
    <t>Above Average</t>
  </si>
  <si>
    <t>High risk</t>
  </si>
  <si>
    <t>below average</t>
  </si>
  <si>
    <t>Low risk</t>
  </si>
  <si>
    <t>Very Good</t>
  </si>
  <si>
    <t>average</t>
  </si>
  <si>
    <t>Below Average</t>
  </si>
  <si>
    <t>Very low risk</t>
  </si>
  <si>
    <t>above average</t>
  </si>
  <si>
    <t>Test,</t>
  </si>
  <si>
    <t>excellent</t>
  </si>
  <si>
    <t>not completed</t>
  </si>
  <si>
    <t>DISTANCE RUN</t>
  </si>
  <si>
    <t xml:space="preserve">Age </t>
  </si>
  <si>
    <t xml:space="preserve">Very poor </t>
  </si>
  <si>
    <t xml:space="preserve">Poor </t>
  </si>
  <si>
    <t xml:space="preserve">Good </t>
  </si>
  <si>
    <t>Level (L)</t>
  </si>
  <si>
    <t>Shuttle (S)</t>
  </si>
  <si>
    <t>VO2max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</si>
</sst>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yyyy\-mm\-dd;@"/>
  </numFmts>
  <fonts count="1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color rgb="FFFFFFFF"/>
      <name val="Arial Narrow"/>
      <family val="2"/>
    </font>
    <font>
      <sz val="10"/>
      <color rgb="FF000000"/>
      <name val="Arial Narrow"/>
      <family val="2"/>
    </font>
    <font>
      <sz val="10"/>
      <color rgb="FF242424"/>
      <name val="Arial Narrow"/>
      <family val="2"/>
    </font>
    <font>
      <sz val="10"/>
      <color rgb="FFFFFFFF"/>
      <name val="Arial Narrow"/>
      <family val="2"/>
    </font>
    <font>
      <b/>
      <sz val="10"/>
      <color rgb="FF000000"/>
      <name val="Arial Narrow"/>
      <family val="2"/>
    </font>
    <font>
      <sz val="10"/>
      <color theme="1"/>
      <name val="Arial Narrow"/>
      <family val="2"/>
    </font>
    <font>
      <sz val="10"/>
      <name val="Arial Narrow"/>
      <family val="2"/>
    </font>
    <font>
      <sz val="10"/>
      <color theme="0"/>
      <name val="Arial Narrow"/>
      <family val="2"/>
    </font>
    <font>
      <b/>
      <sz val="10"/>
      <color rgb="FF242424"/>
      <name val="Arial Narrow"/>
      <family val="2"/>
    </font>
    <font>
      <b/>
      <sz val="10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10"/>
      <color rgb="FFFF0000"/>
      <name val="Arial Narrow"/>
      <family val="2"/>
    </font>
    <font>
      <sz val="11"/>
      <name val="Arial Nova"/>
      <family val="2"/>
    </font>
    <font>
      <b/>
      <sz val="11"/>
      <name val="Arial Nova"/>
      <family val="2"/>
    </font>
  </fonts>
  <fills count="2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6FA07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rgb="FF00FBFF"/>
        <bgColor rgb="FF000000"/>
      </patternFill>
    </fill>
    <fill>
      <patternFill patternType="solid">
        <fgColor rgb="FFF2993F"/>
        <bgColor rgb="FF000000"/>
      </patternFill>
    </fill>
    <fill>
      <patternFill patternType="solid">
        <fgColor rgb="FF45D65A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0F0F0"/>
        <bgColor rgb="FF000000"/>
      </patternFill>
    </fill>
    <fill>
      <patternFill patternType="solid">
        <fgColor theme="7" tint="-0.499984740745262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74F69"/>
        <bgColor rgb="FF000000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1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12" fillId="1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0" borderId="2" xfId="0" applyFont="1" applyBorder="1"/>
    <xf numFmtId="0" fontId="10" fillId="0" borderId="2" xfId="0" applyFont="1" applyBorder="1" applyAlignment="1">
      <alignment wrapText="1"/>
    </xf>
    <xf numFmtId="165" fontId="10" fillId="0" borderId="2" xfId="0" applyNumberFormat="1" applyFont="1" applyBorder="1" applyAlignment="1">
      <alignment horizontal="right" wrapText="1"/>
    </xf>
    <xf numFmtId="0" fontId="9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wrapText="1"/>
    </xf>
    <xf numFmtId="0" fontId="5" fillId="0" borderId="2" xfId="0" applyFont="1" applyBorder="1" applyAlignment="1">
      <alignment wrapText="1"/>
    </xf>
    <xf numFmtId="165" fontId="5" fillId="0" borderId="2" xfId="0" applyNumberFormat="1" applyFont="1" applyBorder="1" applyAlignment="1">
      <alignment horizontal="right" wrapText="1"/>
    </xf>
    <xf numFmtId="0" fontId="5" fillId="0" borderId="2" xfId="0" applyFont="1" applyBorder="1" applyAlignment="1">
      <alignment horizontal="right" wrapText="1"/>
    </xf>
    <xf numFmtId="0" fontId="5" fillId="0" borderId="2" xfId="0" applyFont="1" applyBorder="1" applyAlignment="1">
      <alignment horizontal="right"/>
    </xf>
    <xf numFmtId="165" fontId="9" fillId="0" borderId="2" xfId="0" applyNumberFormat="1" applyFont="1" applyBorder="1" applyAlignment="1">
      <alignment horizontal="right"/>
    </xf>
    <xf numFmtId="0" fontId="9" fillId="0" borderId="2" xfId="0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11" fillId="0" borderId="2" xfId="0" applyFont="1" applyBorder="1" applyAlignment="1">
      <alignment horizontal="right"/>
    </xf>
    <xf numFmtId="0" fontId="9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wrapText="1"/>
    </xf>
    <xf numFmtId="165" fontId="9" fillId="0" borderId="2" xfId="0" applyNumberFormat="1" applyFont="1" applyBorder="1"/>
    <xf numFmtId="165" fontId="9" fillId="0" borderId="2" xfId="0" applyNumberFormat="1" applyFont="1" applyBorder="1" applyAlignment="1">
      <alignment horizontal="right" wrapText="1"/>
    </xf>
    <xf numFmtId="3" fontId="5" fillId="0" borderId="2" xfId="0" applyNumberFormat="1" applyFont="1" applyBorder="1" applyAlignment="1">
      <alignment horizontal="right" wrapText="1"/>
    </xf>
    <xf numFmtId="0" fontId="11" fillId="0" borderId="2" xfId="0" applyFont="1" applyBorder="1" applyAlignment="1">
      <alignment horizontal="right" vertical="center"/>
    </xf>
    <xf numFmtId="16" fontId="9" fillId="0" borderId="2" xfId="0" applyNumberFormat="1" applyFont="1" applyBorder="1" applyAlignment="1">
      <alignment horizontal="right"/>
    </xf>
    <xf numFmtId="0" fontId="6" fillId="0" borderId="2" xfId="0" applyFont="1" applyBorder="1"/>
    <xf numFmtId="3" fontId="9" fillId="0" borderId="2" xfId="0" applyNumberFormat="1" applyFont="1" applyBorder="1" applyAlignment="1">
      <alignment horizontal="right"/>
    </xf>
    <xf numFmtId="0" fontId="5" fillId="0" borderId="2" xfId="0" applyFont="1" applyBorder="1"/>
    <xf numFmtId="2" fontId="9" fillId="0" borderId="2" xfId="0" applyNumberFormat="1" applyFont="1" applyBorder="1" applyAlignment="1">
      <alignment horizontal="right"/>
    </xf>
    <xf numFmtId="0" fontId="13" fillId="16" borderId="2" xfId="0" applyFont="1" applyFill="1" applyBorder="1" applyAlignment="1">
      <alignment horizontal="center" vertical="center" wrapText="1"/>
    </xf>
    <xf numFmtId="0" fontId="13" fillId="17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2" xfId="0" applyBorder="1"/>
    <xf numFmtId="0" fontId="1" fillId="0" borderId="2" xfId="0" applyFont="1" applyBorder="1" applyAlignment="1">
      <alignment horizontal="center"/>
    </xf>
    <xf numFmtId="0" fontId="0" fillId="11" borderId="2" xfId="0" applyFill="1" applyBorder="1" applyAlignment="1">
      <alignment horizontal="left"/>
    </xf>
    <xf numFmtId="0" fontId="0" fillId="10" borderId="2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10" borderId="2" xfId="0" applyFill="1" applyBorder="1"/>
    <xf numFmtId="0" fontId="0" fillId="11" borderId="3" xfId="0" applyFill="1" applyBorder="1" applyAlignment="1">
      <alignment horizontal="left"/>
    </xf>
    <xf numFmtId="0" fontId="4" fillId="15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 wrapText="1"/>
    </xf>
    <xf numFmtId="0" fontId="16" fillId="18" borderId="0" xfId="0" applyFont="1" applyFill="1" applyAlignment="1">
      <alignment horizontal="center" vertical="center" wrapText="1"/>
    </xf>
    <xf numFmtId="0" fontId="9" fillId="0" borderId="4" xfId="0" applyFont="1" applyBorder="1"/>
    <xf numFmtId="165" fontId="9" fillId="0" borderId="4" xfId="0" applyNumberFormat="1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0" fontId="9" fillId="0" borderId="5" xfId="0" applyFont="1" applyBorder="1"/>
    <xf numFmtId="0" fontId="9" fillId="0" borderId="5" xfId="0" applyFont="1" applyBorder="1" applyAlignment="1">
      <alignment horizontal="right"/>
    </xf>
    <xf numFmtId="0" fontId="9" fillId="0" borderId="6" xfId="0" applyFont="1" applyBorder="1"/>
    <xf numFmtId="165" fontId="9" fillId="0" borderId="6" xfId="0" applyNumberFormat="1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7" xfId="0" applyFont="1" applyBorder="1"/>
    <xf numFmtId="0" fontId="9" fillId="0" borderId="7" xfId="0" applyFont="1" applyBorder="1" applyAlignment="1">
      <alignment horizontal="right"/>
    </xf>
    <xf numFmtId="0" fontId="9" fillId="0" borderId="8" xfId="0" applyFont="1" applyBorder="1"/>
    <xf numFmtId="0" fontId="9" fillId="0" borderId="9" xfId="0" applyFont="1" applyBorder="1"/>
    <xf numFmtId="0" fontId="10" fillId="0" borderId="6" xfId="0" applyFont="1" applyBorder="1"/>
    <xf numFmtId="0" fontId="5" fillId="0" borderId="6" xfId="0" applyFont="1" applyBorder="1" applyAlignment="1">
      <alignment horizontal="right"/>
    </xf>
    <xf numFmtId="14" fontId="9" fillId="0" borderId="6" xfId="0" applyNumberFormat="1" applyFont="1" applyBorder="1"/>
    <xf numFmtId="14" fontId="9" fillId="0" borderId="6" xfId="0" applyNumberFormat="1" applyFont="1" applyBorder="1" applyAlignment="1">
      <alignment horizontal="right"/>
    </xf>
    <xf numFmtId="0" fontId="9" fillId="0" borderId="8" xfId="0" applyFont="1" applyBorder="1" applyAlignment="1">
      <alignment horizontal="right"/>
    </xf>
    <xf numFmtId="165" fontId="9" fillId="0" borderId="7" xfId="0" applyNumberFormat="1" applyFont="1" applyBorder="1" applyAlignment="1">
      <alignment horizontal="right"/>
    </xf>
    <xf numFmtId="165" fontId="9" fillId="0" borderId="8" xfId="0" applyNumberFormat="1" applyFont="1" applyBorder="1" applyAlignment="1">
      <alignment horizontal="right"/>
    </xf>
    <xf numFmtId="0" fontId="9" fillId="0" borderId="10" xfId="0" applyFont="1" applyBorder="1"/>
    <xf numFmtId="0" fontId="9" fillId="0" borderId="11" xfId="0" applyFont="1" applyBorder="1"/>
    <xf numFmtId="165" fontId="9" fillId="0" borderId="11" xfId="0" applyNumberFormat="1" applyFont="1" applyBorder="1" applyAlignment="1">
      <alignment horizontal="right"/>
    </xf>
    <xf numFmtId="0" fontId="9" fillId="0" borderId="11" xfId="0" applyFont="1" applyBorder="1" applyAlignment="1">
      <alignment horizontal="right"/>
    </xf>
    <xf numFmtId="0" fontId="9" fillId="0" borderId="12" xfId="0" applyFont="1" applyBorder="1"/>
    <xf numFmtId="0" fontId="0" fillId="11" borderId="2" xfId="0" applyFill="1" applyBorder="1"/>
    <xf numFmtId="0" fontId="0" fillId="11" borderId="2" xfId="0" applyFill="1" applyBorder="1" applyAlignment="1">
      <alignment horizontal="center"/>
    </xf>
    <xf numFmtId="0" fontId="15" fillId="0" borderId="2" xfId="0" applyFont="1" applyBorder="1"/>
    <xf numFmtId="0" fontId="14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right" vertical="center" wrapText="1"/>
    </xf>
    <xf numFmtId="1" fontId="9" fillId="0" borderId="2" xfId="0" applyNumberFormat="1" applyFont="1" applyBorder="1" applyAlignment="1">
      <alignment vertical="center" wrapText="1"/>
    </xf>
    <xf numFmtId="1" fontId="9" fillId="0" borderId="2" xfId="0" applyNumberFormat="1" applyFont="1" applyBorder="1" applyAlignment="1">
      <alignment horizontal="right"/>
    </xf>
    <xf numFmtId="0" fontId="15" fillId="0" borderId="2" xfId="0" applyFont="1" applyBorder="1" applyAlignment="1">
      <alignment horizontal="center"/>
    </xf>
    <xf numFmtId="0" fontId="10" fillId="0" borderId="6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9" fillId="0" borderId="2" xfId="0" applyFont="1" applyBorder="1" applyAlignment="1">
      <alignment horizontal="left" vertical="top"/>
    </xf>
    <xf numFmtId="165" fontId="10" fillId="0" borderId="6" xfId="0" applyNumberFormat="1" applyFont="1" applyBorder="1" applyAlignment="1">
      <alignment horizontal="right" wrapText="1"/>
    </xf>
    <xf numFmtId="165" fontId="5" fillId="0" borderId="6" xfId="0" applyNumberFormat="1" applyFont="1" applyBorder="1" applyAlignment="1">
      <alignment horizontal="right" wrapText="1"/>
    </xf>
    <xf numFmtId="14" fontId="9" fillId="0" borderId="2" xfId="0" applyNumberFormat="1" applyFont="1" applyBorder="1" applyAlignment="1">
      <alignment horizontal="right"/>
    </xf>
    <xf numFmtId="165" fontId="9" fillId="0" borderId="2" xfId="0" applyNumberFormat="1" applyFont="1" applyBorder="1" applyAlignment="1">
      <alignment horizontal="right" vertical="top"/>
    </xf>
    <xf numFmtId="0" fontId="9" fillId="0" borderId="2" xfId="0" applyFont="1" applyBorder="1" applyAlignment="1">
      <alignment horizontal="right" vertical="top"/>
    </xf>
    <xf numFmtId="164" fontId="9" fillId="0" borderId="6" xfId="0" applyNumberFormat="1" applyFont="1" applyBorder="1"/>
    <xf numFmtId="0" fontId="9" fillId="20" borderId="2" xfId="0" applyFont="1" applyFill="1" applyBorder="1"/>
    <xf numFmtId="0" fontId="9" fillId="0" borderId="9" xfId="0" applyFont="1" applyBorder="1" applyAlignment="1">
      <alignment horizontal="right"/>
    </xf>
    <xf numFmtId="0" fontId="9" fillId="0" borderId="6" xfId="0" applyFont="1" applyBorder="1" applyAlignment="1">
      <alignment horizontal="right" vertical="center"/>
    </xf>
    <xf numFmtId="0" fontId="10" fillId="0" borderId="6" xfId="0" applyFont="1" applyBorder="1" applyAlignment="1">
      <alignment horizontal="right" wrapText="1"/>
    </xf>
    <xf numFmtId="0" fontId="5" fillId="0" borderId="6" xfId="0" applyFont="1" applyBorder="1" applyAlignment="1">
      <alignment horizontal="right" wrapText="1"/>
    </xf>
    <xf numFmtId="0" fontId="10" fillId="0" borderId="4" xfId="0" applyFont="1" applyBorder="1" applyAlignment="1">
      <alignment horizontal="right" wrapText="1"/>
    </xf>
    <xf numFmtId="0" fontId="10" fillId="0" borderId="8" xfId="0" applyFont="1" applyBorder="1" applyAlignment="1">
      <alignment horizontal="right" wrapText="1"/>
    </xf>
    <xf numFmtId="0" fontId="10" fillId="0" borderId="7" xfId="0" applyFont="1" applyBorder="1" applyAlignment="1">
      <alignment horizontal="right" wrapText="1"/>
    </xf>
    <xf numFmtId="0" fontId="5" fillId="0" borderId="7" xfId="0" applyFont="1" applyBorder="1" applyAlignment="1">
      <alignment horizontal="right" wrapText="1"/>
    </xf>
    <xf numFmtId="0" fontId="5" fillId="0" borderId="7" xfId="0" applyFont="1" applyBorder="1" applyAlignment="1">
      <alignment horizontal="right"/>
    </xf>
    <xf numFmtId="0" fontId="9" fillId="0" borderId="7" xfId="0" applyFont="1" applyBorder="1" applyAlignment="1">
      <alignment horizontal="right" vertical="center"/>
    </xf>
    <xf numFmtId="0" fontId="9" fillId="18" borderId="2" xfId="0" applyFont="1" applyFill="1" applyBorder="1"/>
    <xf numFmtId="0" fontId="0" fillId="11" borderId="2" xfId="0" applyFill="1" applyBorder="1" applyAlignment="1">
      <alignment horizontal="right"/>
    </xf>
    <xf numFmtId="0" fontId="0" fillId="0" borderId="2" xfId="0" applyBorder="1" applyAlignment="1">
      <alignment horizontal="right"/>
    </xf>
    <xf numFmtId="0" fontId="18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top"/>
    </xf>
    <xf numFmtId="1" fontId="8" fillId="3" borderId="2" xfId="0" applyNumberFormat="1" applyFont="1" applyFill="1" applyBorder="1" applyAlignment="1">
      <alignment horizontal="center" vertical="center" wrapText="1"/>
    </xf>
    <xf numFmtId="1" fontId="9" fillId="0" borderId="2" xfId="0" applyNumberFormat="1" applyFont="1" applyBorder="1"/>
    <xf numFmtId="165" fontId="9" fillId="0" borderId="6" xfId="0" applyNumberFormat="1" applyFont="1" applyBorder="1"/>
    <xf numFmtId="16" fontId="9" fillId="0" borderId="7" xfId="0" applyNumberFormat="1" applyFont="1" applyBorder="1" applyAlignment="1">
      <alignment horizontal="right"/>
    </xf>
    <xf numFmtId="16" fontId="9" fillId="0" borderId="6" xfId="0" applyNumberFormat="1" applyFont="1" applyBorder="1" applyAlignment="1">
      <alignment horizontal="right"/>
    </xf>
    <xf numFmtId="0" fontId="5" fillId="0" borderId="6" xfId="0" applyFont="1" applyBorder="1" applyAlignment="1">
      <alignment horizontal="right" vertical="center"/>
    </xf>
    <xf numFmtId="16" fontId="9" fillId="0" borderId="7" xfId="0" applyNumberFormat="1" applyFont="1" applyBorder="1" applyAlignment="1">
      <alignment horizontal="right" vertical="center"/>
    </xf>
    <xf numFmtId="0" fontId="16" fillId="18" borderId="0" xfId="0" applyFont="1" applyFill="1" applyAlignment="1">
      <alignment horizontal="right" vertical="center" wrapText="1"/>
    </xf>
    <xf numFmtId="0" fontId="9" fillId="19" borderId="2" xfId="0" applyFont="1" applyFill="1" applyBorder="1" applyAlignment="1">
      <alignment horizontal="right"/>
    </xf>
    <xf numFmtId="0" fontId="9" fillId="19" borderId="7" xfId="0" applyFont="1" applyFill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9" fillId="0" borderId="12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0" fillId="10" borderId="14" xfId="0" applyFill="1" applyBorder="1" applyAlignment="1">
      <alignment horizontal="center" wrapText="1"/>
    </xf>
    <xf numFmtId="0" fontId="0" fillId="10" borderId="13" xfId="0" applyFill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" fillId="11" borderId="2" xfId="0" applyFont="1" applyFill="1" applyBorder="1" applyAlignment="1">
      <alignment horizontal="center" wrapText="1"/>
    </xf>
    <xf numFmtId="0" fontId="0" fillId="10" borderId="2" xfId="0" applyFill="1" applyBorder="1" applyAlignment="1">
      <alignment horizontal="center" wrapText="1"/>
    </xf>
    <xf numFmtId="0" fontId="0" fillId="11" borderId="2" xfId="0" applyFill="1" applyBorder="1" applyAlignment="1">
      <alignment horizont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988C-CF8C-4AFC-8B18-0C2596297012}">
  <dimension ref="A1:CW1223"/>
  <sheetViews>
    <sheetView tabSelected="1" topLeftCell="BV1" zoomScale="70" zoomScaleNormal="70" workbookViewId="0">
      <pane ySplit="1" topLeftCell="A2" activePane="bottomLeft" state="frozen"/>
      <selection pane="bottomLeft" activeCell="BU16" sqref="BU16"/>
    </sheetView>
  </sheetViews>
  <sheetFormatPr defaultColWidth="8.85546875" defaultRowHeight="13.9"/>
  <cols>
    <col min="1" max="1" width="11" style="17" customWidth="1"/>
    <col min="2" max="2" width="13.7109375" style="17" customWidth="1"/>
    <col min="3" max="3" width="7.85546875" style="17" customWidth="1"/>
    <col min="4" max="4" width="10.7109375" style="17" customWidth="1"/>
    <col min="5" max="5" width="7.5703125" style="17" customWidth="1"/>
    <col min="6" max="6" width="7.140625" style="17" customWidth="1"/>
    <col min="7" max="7" width="7.85546875" style="17" customWidth="1"/>
    <col min="8" max="8" width="7.7109375" style="20" customWidth="1"/>
    <col min="9" max="9" width="6.42578125" style="17" customWidth="1"/>
    <col min="10" max="18" width="8.28515625" style="17" hidden="1" customWidth="1"/>
    <col min="19" max="23" width="8.85546875" style="17" customWidth="1"/>
    <col min="24" max="24" width="10.85546875" style="17" customWidth="1"/>
    <col min="25" max="46" width="8.85546875" style="17" customWidth="1"/>
    <col min="47" max="47" width="9.85546875" style="17" customWidth="1"/>
    <col min="48" max="50" width="8.85546875" style="17" customWidth="1"/>
    <col min="51" max="58" width="12.5703125" style="17" customWidth="1"/>
    <col min="59" max="60" width="8.85546875" style="17" customWidth="1"/>
    <col min="61" max="61" width="11.28515625" style="17" customWidth="1"/>
    <col min="62" max="74" width="8.85546875" style="17" customWidth="1"/>
    <col min="75" max="75" width="11.28515625" style="119" customWidth="1"/>
    <col min="76" max="76" width="18.85546875" style="20" customWidth="1"/>
    <col min="77" max="77" width="12.7109375" style="119" customWidth="1"/>
    <col min="78" max="78" width="14.28515625" style="20" customWidth="1"/>
    <col min="79" max="79" width="8.85546875" style="17" customWidth="1"/>
    <col min="80" max="80" width="18.85546875" style="20" customWidth="1"/>
    <col min="81" max="81" width="8.85546875" style="17" customWidth="1"/>
    <col min="82" max="82" width="18.85546875" style="20" customWidth="1"/>
    <col min="83" max="83" width="8.85546875" style="17" customWidth="1"/>
    <col min="84" max="84" width="18.85546875" style="20" customWidth="1"/>
    <col min="85" max="85" width="10.140625" style="17" customWidth="1"/>
    <col min="86" max="86" width="18.85546875" style="20" customWidth="1"/>
    <col min="87" max="87" width="9.5703125" style="17" customWidth="1"/>
    <col min="88" max="88" width="18.85546875" style="20" customWidth="1"/>
    <col min="89" max="90" width="8.85546875" style="17" customWidth="1"/>
    <col min="91" max="91" width="18.85546875" style="20" customWidth="1"/>
    <col min="92" max="93" width="8.85546875" style="17" customWidth="1"/>
    <col min="94" max="94" width="18.85546875" style="20" customWidth="1"/>
    <col min="95" max="95" width="8.85546875" style="17"/>
    <col min="96" max="96" width="18.85546875" style="20" customWidth="1"/>
    <col min="97" max="98" width="8.85546875" style="17"/>
    <col min="99" max="99" width="13.28515625" style="17" customWidth="1"/>
    <col min="100" max="100" width="18.85546875" style="20" customWidth="1"/>
    <col min="101" max="101" width="12.28515625" style="17" customWidth="1"/>
    <col min="102" max="16384" width="8.85546875" style="17"/>
  </cols>
  <sheetData>
    <row r="1" spans="1:101" s="28" customFormat="1" ht="49.1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2" t="s">
        <v>15</v>
      </c>
      <c r="Q1" s="42" t="s">
        <v>16</v>
      </c>
      <c r="R1" s="42" t="s">
        <v>17</v>
      </c>
      <c r="S1" s="44" t="s">
        <v>18</v>
      </c>
      <c r="T1" s="44" t="s">
        <v>19</v>
      </c>
      <c r="U1" s="45" t="s">
        <v>20</v>
      </c>
      <c r="V1" s="56" t="s">
        <v>21</v>
      </c>
      <c r="W1" s="45" t="s">
        <v>22</v>
      </c>
      <c r="X1" s="45" t="s">
        <v>23</v>
      </c>
      <c r="Y1" s="45" t="s">
        <v>24</v>
      </c>
      <c r="Z1" s="45" t="s">
        <v>25</v>
      </c>
      <c r="AA1" s="45" t="s">
        <v>26</v>
      </c>
      <c r="AB1" s="44" t="s">
        <v>27</v>
      </c>
      <c r="AC1" s="44" t="s">
        <v>28</v>
      </c>
      <c r="AD1" s="44" t="s">
        <v>29</v>
      </c>
      <c r="AE1" s="44" t="s">
        <v>30</v>
      </c>
      <c r="AF1" s="44" t="s">
        <v>31</v>
      </c>
      <c r="AG1" s="44" t="s">
        <v>32</v>
      </c>
      <c r="AH1" s="44" t="s">
        <v>33</v>
      </c>
      <c r="AI1" s="44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44" t="s">
        <v>40</v>
      </c>
      <c r="AP1" s="44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8" t="s">
        <v>47</v>
      </c>
      <c r="AW1" s="7" t="s">
        <v>48</v>
      </c>
      <c r="AX1" s="7" t="s">
        <v>49</v>
      </c>
      <c r="AY1" s="16" t="s">
        <v>50</v>
      </c>
      <c r="AZ1" s="58" t="s">
        <v>51</v>
      </c>
      <c r="BA1" s="16" t="s">
        <v>52</v>
      </c>
      <c r="BB1" s="58" t="s">
        <v>51</v>
      </c>
      <c r="BC1" s="16" t="s">
        <v>53</v>
      </c>
      <c r="BD1" s="58" t="s">
        <v>51</v>
      </c>
      <c r="BE1" s="16" t="s">
        <v>54</v>
      </c>
      <c r="BF1" s="58" t="s">
        <v>51</v>
      </c>
      <c r="BG1" s="9" t="s">
        <v>55</v>
      </c>
      <c r="BH1" s="9" t="s">
        <v>56</v>
      </c>
      <c r="BI1" s="16" t="s">
        <v>57</v>
      </c>
      <c r="BJ1" s="58" t="s">
        <v>51</v>
      </c>
      <c r="BK1" s="9" t="s">
        <v>58</v>
      </c>
      <c r="BL1" s="58" t="s">
        <v>51</v>
      </c>
      <c r="BM1" s="9" t="s">
        <v>59</v>
      </c>
      <c r="BN1" s="58" t="s">
        <v>51</v>
      </c>
      <c r="BO1" s="10" t="s">
        <v>60</v>
      </c>
      <c r="BP1" s="10" t="s">
        <v>61</v>
      </c>
      <c r="BQ1" s="11" t="s">
        <v>62</v>
      </c>
      <c r="BR1" s="11" t="s">
        <v>63</v>
      </c>
      <c r="BS1" s="11" t="s">
        <v>64</v>
      </c>
      <c r="BT1" s="11" t="s">
        <v>65</v>
      </c>
      <c r="BU1" s="11" t="s">
        <v>66</v>
      </c>
      <c r="BV1" s="11" t="s">
        <v>67</v>
      </c>
      <c r="BW1" s="118" t="s">
        <v>68</v>
      </c>
      <c r="BX1" s="125" t="s">
        <v>51</v>
      </c>
      <c r="BY1" s="118" t="s">
        <v>69</v>
      </c>
      <c r="BZ1" s="125" t="s">
        <v>51</v>
      </c>
      <c r="CA1" s="12" t="s">
        <v>70</v>
      </c>
      <c r="CB1" s="125" t="s">
        <v>51</v>
      </c>
      <c r="CC1" s="12" t="s">
        <v>71</v>
      </c>
      <c r="CD1" s="125" t="s">
        <v>51</v>
      </c>
      <c r="CE1" s="12" t="s">
        <v>72</v>
      </c>
      <c r="CF1" s="125" t="s">
        <v>51</v>
      </c>
      <c r="CG1" s="13" t="s">
        <v>73</v>
      </c>
      <c r="CH1" s="125" t="s">
        <v>51</v>
      </c>
      <c r="CI1" s="13" t="s">
        <v>74</v>
      </c>
      <c r="CJ1" s="125" t="s">
        <v>51</v>
      </c>
      <c r="CK1" s="14" t="s">
        <v>75</v>
      </c>
      <c r="CL1" s="14" t="s">
        <v>76</v>
      </c>
      <c r="CM1" s="125" t="s">
        <v>51</v>
      </c>
      <c r="CN1" s="14" t="s">
        <v>77</v>
      </c>
      <c r="CO1" s="14" t="s">
        <v>78</v>
      </c>
      <c r="CP1" s="125" t="s">
        <v>51</v>
      </c>
      <c r="CQ1" s="15" t="s">
        <v>79</v>
      </c>
      <c r="CR1" s="125" t="s">
        <v>51</v>
      </c>
      <c r="CS1" s="15" t="s">
        <v>80</v>
      </c>
      <c r="CT1" s="15" t="s">
        <v>81</v>
      </c>
      <c r="CU1" s="16" t="s">
        <v>82</v>
      </c>
      <c r="CV1" s="125" t="s">
        <v>51</v>
      </c>
      <c r="CW1" s="16" t="s">
        <v>83</v>
      </c>
    </row>
    <row r="2" spans="1:101" ht="14.45" customHeight="1">
      <c r="A2" s="17" t="s">
        <v>84</v>
      </c>
      <c r="B2" s="17" t="s">
        <v>85</v>
      </c>
      <c r="C2" s="17" t="s">
        <v>86</v>
      </c>
      <c r="D2" s="26">
        <v>40889</v>
      </c>
      <c r="F2" s="20" t="s">
        <v>87</v>
      </c>
      <c r="G2" s="17">
        <v>2026</v>
      </c>
      <c r="I2" s="20">
        <v>2</v>
      </c>
      <c r="J2" s="20" t="s">
        <v>88</v>
      </c>
      <c r="K2" s="20" t="s">
        <v>89</v>
      </c>
      <c r="L2" s="20"/>
      <c r="S2" s="20">
        <v>81.3</v>
      </c>
      <c r="T2" s="20">
        <v>154.9</v>
      </c>
      <c r="U2" s="17">
        <v>62.5</v>
      </c>
      <c r="V2" s="17">
        <v>29.5</v>
      </c>
      <c r="W2" s="17">
        <v>22.2</v>
      </c>
      <c r="X2" s="17">
        <v>40.4</v>
      </c>
      <c r="Y2" s="17">
        <v>22</v>
      </c>
      <c r="AA2" s="17">
        <v>35.5</v>
      </c>
      <c r="AB2" s="17">
        <v>5.67</v>
      </c>
      <c r="AC2" s="17">
        <v>95.7</v>
      </c>
      <c r="AD2" s="17">
        <v>5.7</v>
      </c>
      <c r="AE2" s="17">
        <v>96.2</v>
      </c>
      <c r="AF2" s="17">
        <v>3.3</v>
      </c>
      <c r="AG2" s="17">
        <v>187</v>
      </c>
      <c r="AH2" s="17">
        <v>3.3</v>
      </c>
      <c r="AI2" s="17">
        <v>186.8</v>
      </c>
      <c r="AJ2" s="17">
        <v>289.8</v>
      </c>
      <c r="AK2" s="17">
        <v>285.60000000000002</v>
      </c>
      <c r="AL2" s="17">
        <v>255.9</v>
      </c>
      <c r="AM2" s="17">
        <v>252.3</v>
      </c>
      <c r="AN2" s="17">
        <v>70</v>
      </c>
      <c r="AQ2" s="17">
        <v>19.8</v>
      </c>
      <c r="AR2" s="17">
        <v>0.40200000000000002</v>
      </c>
      <c r="AS2" s="17">
        <v>17.2</v>
      </c>
      <c r="AT2" s="17">
        <v>0.375</v>
      </c>
      <c r="AU2" s="17">
        <v>6.4</v>
      </c>
      <c r="AV2" s="17">
        <v>0.22900000000000001</v>
      </c>
      <c r="AW2" s="17">
        <v>4.4000000000000004</v>
      </c>
      <c r="AX2" s="17">
        <v>0.19</v>
      </c>
      <c r="AY2" s="41">
        <f t="shared" ref="AY2:AY13" si="0">IF(OR(ISBLANK(U2), ISBLANK(AQ2)), "Incomplete", (60.7*AQ2)+(45.3*U2)-2055)</f>
        <v>1978.1100000000001</v>
      </c>
      <c r="BA2" s="20">
        <f t="shared" ref="BA2:BA13" si="1">IF(OR(ISBLANK(U2), ISBLANK(AS2)), "Incomplete", (60.7*AS2)+(45.3*U2)-2055)</f>
        <v>1820.29</v>
      </c>
      <c r="BC2" s="20">
        <f t="shared" ref="BC2:BC13" si="2">IF(OR(ISBLANK(U2), ISBLANK(AU2)), "Incomplete", (60.7*AU2)+(45.3*U2)-2055)</f>
        <v>1164.73</v>
      </c>
      <c r="BE2" s="20">
        <f t="shared" ref="BE2:BE13" si="3">IF(OR(ISBLANK(U2), ISBLANK(AW2)), "Incomplete", (60.7*AW2)+(45.3*U2)-2055)</f>
        <v>1043.33</v>
      </c>
      <c r="BG2" s="17">
        <v>7.2</v>
      </c>
      <c r="BH2" s="17">
        <v>27.5</v>
      </c>
      <c r="BI2" s="20">
        <f t="shared" ref="BI2:BI17" si="4">IF(OR(ISBLANK(BG2), ISBLANK(BH2)),"Incomplete",(SUM(BH2-BG2)))</f>
        <v>20.3</v>
      </c>
      <c r="BJ2" s="20"/>
      <c r="BK2" s="17">
        <v>7</v>
      </c>
      <c r="BL2" s="20"/>
      <c r="BM2" s="17">
        <v>5.5</v>
      </c>
      <c r="BN2" s="20"/>
      <c r="BO2" s="17">
        <v>52</v>
      </c>
      <c r="BP2" s="17">
        <v>53</v>
      </c>
      <c r="BQ2" s="17">
        <v>59</v>
      </c>
      <c r="BR2" s="17">
        <v>74</v>
      </c>
      <c r="BS2" s="17">
        <v>73</v>
      </c>
      <c r="BT2" s="17">
        <v>67</v>
      </c>
      <c r="BU2" s="17">
        <v>70</v>
      </c>
      <c r="BV2" s="17">
        <v>69</v>
      </c>
      <c r="BW2" s="91">
        <f t="shared" ref="BW2:BW33" si="5">IFERROR(SUM(BQ2+BR2+BS2)/(3*(T2-S2))*100, "Incomplete")</f>
        <v>93.29710144927536</v>
      </c>
      <c r="BX2" s="91" t="str">
        <f>_xlfn.XLOOKUP(BW2,'Normative data'!$V$2:$V$6,'Normative data'!$W$2:$W$6,"Not Found",-1)</f>
        <v>High risk</v>
      </c>
      <c r="BY2" s="91">
        <f t="shared" ref="BY2:BY33" si="6">IFERROR(SUM(BT2+BU2+BV2)/(3*(T2-S2))*100, "Incomplete")</f>
        <v>93.29710144927536</v>
      </c>
      <c r="BZ2" s="91" t="str">
        <f>_xlfn.XLOOKUP(BY2,'Normative data'!$V$3:$V$6,'Normative data'!$W$3:$W$6,"Not Found",-1)</f>
        <v>High risk</v>
      </c>
      <c r="CA2" s="17">
        <v>29</v>
      </c>
      <c r="CC2" s="20"/>
      <c r="CE2" s="17">
        <v>27</v>
      </c>
      <c r="CH2" s="20" t="str">
        <f>_xlfn.XLOOKUP(CG2, 'Normative data'!$S$9:$S$15,'Normative data'!$T$9:$T$15,"Not Found",-1)</f>
        <v>not completed</v>
      </c>
      <c r="CJ2" s="20" t="str">
        <f>_xlfn.XLOOKUP(CI2, 'Normative data'!$S$9:$S$15, 'Normative data'!$T$9:$T$15, "Not Found", -1)</f>
        <v>not completed</v>
      </c>
      <c r="CK2" s="17">
        <v>2.08</v>
      </c>
      <c r="CL2" s="17">
        <v>4.8099999999999996</v>
      </c>
      <c r="CN2" s="17">
        <v>6.57</v>
      </c>
      <c r="CO2" s="17">
        <v>7.61</v>
      </c>
      <c r="CR2" s="20" t="str" cm="1">
        <f t="array" ref="CR2">IF(OR(ISBLANK(E2),ISBLANK(CQ2)),"Incomplete",_xlfn.XLOOKUP(CQ2,_xlfn.XLOOKUP(E2,'Normative data'!$Y$3:$Y$6,'Normative data'!$Z$3:$AG$6,,-1),'Normative data'!$Z$2:$AG$2,"Not Found",-1))</f>
        <v>Incomplete</v>
      </c>
      <c r="CS2" s="20"/>
      <c r="CT2" s="20"/>
      <c r="CU2" s="20" t="str" cm="1">
        <f t="array" ref="CU2">_xlfn.XLOOKUP(CS2&amp;CT2,(VLOOKUP!$A$3:$A$250)&amp;(VLOOKUP!$B$3:$B$250),VLOOKUP!$C$3:$C$250,"Incomplete",-1)</f>
        <v>Incomplete</v>
      </c>
      <c r="CV2" s="20" t="str" cm="1">
        <f t="array" ref="CV2">_xlfn.XLOOKUP(CU2, _xlfn.XLOOKUP(E2, 'Normative data'!$Y$11:$Y$14, 'Normative data'!$Z$11:$AG$14, ,-1), 'Normative data'!$Z$10:$AG$10, "Not Found", -1)</f>
        <v>Excellent</v>
      </c>
      <c r="CW2" s="20" t="str" cm="1">
        <f t="array" ref="CW2">IF(OR(ISBLANK(CS2),ISBLANK(CT2)),"Incomplete",_xlfn.XLOOKUP(CS2&amp;CT2,VLOOKUP!$A$4:$A$250&amp;VLOOKUP!$B$4:$B$250,VLOOKUP!$D$4:$D$250,"0"))</f>
        <v>Incomplete</v>
      </c>
    </row>
    <row r="3" spans="1:101" ht="14.45" customHeight="1">
      <c r="A3" s="17" t="s">
        <v>90</v>
      </c>
      <c r="B3" s="17" t="s">
        <v>91</v>
      </c>
      <c r="C3" s="17" t="s">
        <v>86</v>
      </c>
      <c r="D3" s="26">
        <v>40717</v>
      </c>
      <c r="E3" s="17">
        <v>14.9</v>
      </c>
      <c r="F3" s="20" t="s">
        <v>92</v>
      </c>
      <c r="G3" s="17">
        <v>2026</v>
      </c>
      <c r="I3" s="20">
        <v>2</v>
      </c>
      <c r="J3" s="20" t="s">
        <v>88</v>
      </c>
      <c r="K3" s="20" t="s">
        <v>93</v>
      </c>
      <c r="L3" s="20"/>
      <c r="S3" s="20">
        <v>89.9</v>
      </c>
      <c r="T3" s="20">
        <v>172.6</v>
      </c>
      <c r="U3" s="17">
        <v>63.9</v>
      </c>
      <c r="V3" s="17">
        <v>33.5</v>
      </c>
      <c r="W3" s="17">
        <v>18.100000000000001</v>
      </c>
      <c r="X3" s="17">
        <v>45.8</v>
      </c>
      <c r="Y3" s="17">
        <v>25.1</v>
      </c>
      <c r="Z3" s="17">
        <v>21.4</v>
      </c>
      <c r="AA3" s="17">
        <v>28.3</v>
      </c>
      <c r="AB3" s="17">
        <v>8.11</v>
      </c>
      <c r="AC3" s="17">
        <v>109.8</v>
      </c>
      <c r="AD3" s="17">
        <v>8.09</v>
      </c>
      <c r="AE3" s="17">
        <v>109.6</v>
      </c>
      <c r="AF3" s="17">
        <v>3.3</v>
      </c>
      <c r="AG3" s="17">
        <v>120.3</v>
      </c>
      <c r="AH3" s="17">
        <v>3.3</v>
      </c>
      <c r="AI3" s="17">
        <v>120.3</v>
      </c>
      <c r="AJ3" s="17">
        <v>269.10000000000002</v>
      </c>
      <c r="AK3" s="17">
        <v>269.5</v>
      </c>
      <c r="AL3" s="17">
        <v>241.2</v>
      </c>
      <c r="AM3" s="17">
        <v>240.3</v>
      </c>
      <c r="AN3" s="17">
        <v>99</v>
      </c>
      <c r="AO3" s="17">
        <v>0.79</v>
      </c>
      <c r="AP3" s="17">
        <v>6.7</v>
      </c>
      <c r="AQ3" s="17">
        <v>22</v>
      </c>
      <c r="AR3" s="17">
        <v>0.42399999999999999</v>
      </c>
      <c r="AS3" s="17">
        <v>26.5</v>
      </c>
      <c r="AT3" s="17">
        <v>0.46500000000000002</v>
      </c>
      <c r="AU3" s="17">
        <v>14.7</v>
      </c>
      <c r="AV3" s="17">
        <v>0.34599999999999997</v>
      </c>
      <c r="AW3" s="17">
        <v>10.7</v>
      </c>
      <c r="AX3" s="17">
        <v>0.29499999999999998</v>
      </c>
      <c r="AY3" s="41">
        <f t="shared" si="0"/>
        <v>2175.0699999999997</v>
      </c>
      <c r="BA3" s="20">
        <f t="shared" si="1"/>
        <v>2448.2199999999993</v>
      </c>
      <c r="BC3" s="20">
        <f t="shared" si="2"/>
        <v>1731.9599999999996</v>
      </c>
      <c r="BE3" s="20">
        <f t="shared" si="3"/>
        <v>1489.1599999999999</v>
      </c>
      <c r="BG3" s="17">
        <v>9.6</v>
      </c>
      <c r="BH3" s="17">
        <v>43.1</v>
      </c>
      <c r="BI3" s="20">
        <f t="shared" si="4"/>
        <v>33.5</v>
      </c>
      <c r="BJ3" s="20"/>
      <c r="BL3" s="20"/>
      <c r="BM3" s="20"/>
      <c r="BN3" s="20"/>
      <c r="BO3" s="17">
        <v>48.3</v>
      </c>
      <c r="BP3" s="17">
        <v>48.3</v>
      </c>
      <c r="BQ3" s="17">
        <v>89</v>
      </c>
      <c r="BR3" s="17">
        <v>100</v>
      </c>
      <c r="BS3" s="17">
        <v>94</v>
      </c>
      <c r="BT3" s="17">
        <v>80</v>
      </c>
      <c r="BU3" s="17">
        <v>105</v>
      </c>
      <c r="BV3" s="17">
        <v>90</v>
      </c>
      <c r="BW3" s="91">
        <f t="shared" si="5"/>
        <v>114.06690850463524</v>
      </c>
      <c r="BX3" s="91" t="str">
        <f>_xlfn.XLOOKUP(BW3,'Normative data'!$V$2:$V$6,'Normative data'!$W$2:$W$6,"Not Found",-1)</f>
        <v>Low risk</v>
      </c>
      <c r="BY3" s="91">
        <f t="shared" si="6"/>
        <v>110.84240225715438</v>
      </c>
      <c r="BZ3" s="91" t="str">
        <f>_xlfn.XLOOKUP(BY3,'Normative data'!$V$3:$V$6,'Normative data'!$W$3:$W$6,"Not Found",-1)</f>
        <v>Low risk</v>
      </c>
      <c r="CA3" s="17">
        <v>32</v>
      </c>
      <c r="CC3" s="20"/>
      <c r="CE3" s="17">
        <v>13</v>
      </c>
      <c r="CG3" s="20"/>
      <c r="CH3" s="20" t="str">
        <f>_xlfn.XLOOKUP(CG3, 'Normative data'!$S$9:$S$15,'Normative data'!$T$9:$T$15, "Not Found", -1)</f>
        <v>not completed</v>
      </c>
      <c r="CI3" s="20"/>
      <c r="CJ3" s="20" t="str">
        <f>_xlfn.XLOOKUP(CI3, 'Normative data'!$S$9:$S$15, 'Normative data'!$T$9:$T$15, "Not Found", -1)</f>
        <v>not completed</v>
      </c>
      <c r="CK3" s="21"/>
      <c r="CL3" s="21"/>
      <c r="CM3" s="21"/>
      <c r="CN3" s="21"/>
      <c r="CO3" s="21"/>
      <c r="CQ3" s="17">
        <v>5.8</v>
      </c>
      <c r="CR3" s="20" t="str" cm="1">
        <f t="array" ref="CR3">IF(OR(ISBLANK(E3),ISBLANK(CQ3)),"Incomplete",_xlfn.XLOOKUP(CQ3,_xlfn.XLOOKUP(E3,'Normative data'!$Y$3:$Y$6,'Normative data'!$Z$3:$AG$6,,-1),'Normative data'!$Z$2:$AG$2,"Not Found",-1))</f>
        <v>Fair</v>
      </c>
      <c r="CS3" s="20">
        <v>5</v>
      </c>
      <c r="CT3" s="20">
        <v>8</v>
      </c>
      <c r="CU3" s="20" cm="1">
        <f t="array" ref="CU3">_xlfn.XLOOKUP(CS3&amp;CT3,(VLOOKUP!$A$3:$A$250)&amp;(VLOOKUP!$B$3:$B$250),VLOOKUP!$C$3:$C$250,"Incomplete",-1)</f>
        <v>800</v>
      </c>
      <c r="CV3" s="20" t="str" cm="1">
        <f t="array" ref="CV3">_xlfn.XLOOKUP(CU3, _xlfn.XLOOKUP(E3, 'Normative data'!$Y$11:$Y$14, 'Normative data'!$Z$11:$AG$14, ,-1), 'Normative data'!$Z$10:$AG$10, "Not Found", -1)</f>
        <v xml:space="preserve">Fair </v>
      </c>
      <c r="CW3" s="20" cm="1">
        <f t="array" ref="CW3">IF(OR(ISBLANK(CS3),ISBLANK(CT3)),"Incomplete",_xlfn.XLOOKUP(CS3&amp;CT3,VLOOKUP!$A$4:$A$250&amp;VLOOKUP!$B$4:$B$250,VLOOKUP!$D$4:$D$250,"0"))</f>
        <v>33</v>
      </c>
    </row>
    <row r="4" spans="1:101">
      <c r="A4" s="17" t="s">
        <v>94</v>
      </c>
      <c r="B4" s="17" t="s">
        <v>91</v>
      </c>
      <c r="C4" s="17" t="s">
        <v>86</v>
      </c>
      <c r="D4" s="26"/>
      <c r="F4" s="20">
        <v>12</v>
      </c>
      <c r="G4" s="17">
        <v>2026</v>
      </c>
      <c r="I4" s="20">
        <v>2</v>
      </c>
      <c r="J4" s="20" t="s">
        <v>88</v>
      </c>
      <c r="K4" s="20" t="s">
        <v>95</v>
      </c>
      <c r="L4" s="20"/>
      <c r="S4" s="20"/>
      <c r="T4" s="20"/>
      <c r="AQ4" s="20"/>
      <c r="AR4" s="20"/>
      <c r="AS4" s="20"/>
      <c r="AT4" s="20"/>
      <c r="AU4" s="20"/>
      <c r="AV4" s="20"/>
      <c r="AW4" s="20"/>
      <c r="AX4" s="20"/>
      <c r="AY4" s="41" t="str">
        <f t="shared" si="0"/>
        <v>Incomplete</v>
      </c>
      <c r="BA4" s="20" t="str">
        <f t="shared" si="1"/>
        <v>Incomplete</v>
      </c>
      <c r="BC4" s="20" t="str">
        <f t="shared" si="2"/>
        <v>Incomplete</v>
      </c>
      <c r="BE4" s="20" t="str">
        <f t="shared" si="3"/>
        <v>Incomplete</v>
      </c>
      <c r="BH4" s="20"/>
      <c r="BI4" s="20" t="str">
        <f t="shared" si="4"/>
        <v>Incomplete</v>
      </c>
      <c r="BJ4" s="20"/>
      <c r="BL4" s="20"/>
      <c r="BM4" s="20"/>
      <c r="BN4" s="20"/>
      <c r="BW4" s="91" t="str">
        <f t="shared" si="5"/>
        <v>Incomplete</v>
      </c>
      <c r="BX4" s="91" t="str">
        <f>_xlfn.XLOOKUP(BW4,'Normative data'!$V$2:$V$6,'Normative data'!$W$2:$W$6,"Not Found",-1)</f>
        <v>Very low risk</v>
      </c>
      <c r="BY4" s="91" t="str">
        <f t="shared" si="6"/>
        <v>Incomplete</v>
      </c>
      <c r="BZ4" s="91" t="str">
        <f>_xlfn.XLOOKUP(BY4,'Normative data'!$V$3:$V$6,'Normative data'!$W$3:$W$6,"Not Found",-1)</f>
        <v>Very low risk</v>
      </c>
      <c r="CA4" s="20"/>
      <c r="CC4" s="20"/>
      <c r="CE4" s="20"/>
      <c r="CG4" s="20"/>
      <c r="CH4" s="20" t="str">
        <f>_xlfn.XLOOKUP(CG4, 'Normative data'!$S$9:$S$15,'Normative data'!$T$9:$T$15, "Not Found", -1)</f>
        <v>not completed</v>
      </c>
      <c r="CI4" s="20"/>
      <c r="CJ4" s="20" t="str">
        <f>_xlfn.XLOOKUP(CI4, 'Normative data'!$S$9:$S$15, 'Normative data'!$T$9:$T$15, "Not Found", -1)</f>
        <v>not completed</v>
      </c>
      <c r="CK4" s="21"/>
      <c r="CL4" s="21"/>
      <c r="CM4" s="21"/>
      <c r="CN4" s="21"/>
      <c r="CO4" s="21"/>
      <c r="CQ4" s="17">
        <v>8.4</v>
      </c>
      <c r="CR4" s="20" t="str" cm="1">
        <f t="array" ref="CR4">IF(OR(ISBLANK(E4),ISBLANK(CQ4)),"Incomplete",_xlfn.XLOOKUP(CQ4,_xlfn.XLOOKUP(E4,'Normative data'!$Y$3:$Y$6,'Normative data'!$Z$3:$AG$6,,-1),'Normative data'!$Z$2:$AG$2,"Not Found",-1))</f>
        <v>Incomplete</v>
      </c>
      <c r="CS4" s="20">
        <v>8</v>
      </c>
      <c r="CT4" s="20">
        <v>4</v>
      </c>
      <c r="CU4" s="20" cm="1">
        <f t="array" ref="CU4">_xlfn.XLOOKUP(CS4&amp;CT4,(VLOOKUP!$A$3:$A$250)&amp;(VLOOKUP!$B$3:$B$250),VLOOKUP!$C$3:$C$250,"Incomplete",-1)</f>
        <v>1300</v>
      </c>
      <c r="CV4" s="20" t="str" cm="1">
        <f t="array" ref="CV4">_xlfn.XLOOKUP(CU4, _xlfn.XLOOKUP(E4, 'Normative data'!$Y$11:$Y$14, 'Normative data'!$Z$11:$AG$14, ,-1), 'Normative data'!$Z$10:$AG$10, "Not Found", -1)</f>
        <v>Average</v>
      </c>
      <c r="CW4" s="20" cm="1">
        <f t="array" ref="CW4">IF(OR(ISBLANK(CS4),ISBLANK(CT4)),"Incomplete",_xlfn.XLOOKUP(CS4&amp;CT4,VLOOKUP!$A$4:$A$250&amp;VLOOKUP!$B$4:$B$250,VLOOKUP!$D$4:$D$250,"0"))</f>
        <v>41</v>
      </c>
    </row>
    <row r="5" spans="1:101">
      <c r="A5" s="17" t="s">
        <v>96</v>
      </c>
      <c r="B5" s="17" t="s">
        <v>91</v>
      </c>
      <c r="C5" s="17" t="s">
        <v>86</v>
      </c>
      <c r="D5" s="26">
        <v>41166</v>
      </c>
      <c r="F5" s="20" t="s">
        <v>97</v>
      </c>
      <c r="G5" s="17">
        <v>2026</v>
      </c>
      <c r="I5" s="20">
        <v>2</v>
      </c>
      <c r="J5" s="20"/>
      <c r="K5" s="20"/>
      <c r="L5" s="20"/>
      <c r="S5" s="20">
        <v>84.2</v>
      </c>
      <c r="T5" s="20">
        <v>165.9</v>
      </c>
      <c r="U5" s="17">
        <v>49.8</v>
      </c>
      <c r="V5" s="17">
        <v>30.3</v>
      </c>
      <c r="W5" s="17">
        <v>8.3000000000000007</v>
      </c>
      <c r="X5" s="17">
        <v>41.5</v>
      </c>
      <c r="Y5" s="17">
        <v>22.6</v>
      </c>
      <c r="Z5" s="17">
        <v>18.100000000000001</v>
      </c>
      <c r="AA5" s="17">
        <v>16.7</v>
      </c>
      <c r="AB5" s="17">
        <v>6.59</v>
      </c>
      <c r="AC5" s="17">
        <v>114.4</v>
      </c>
      <c r="AD5" s="17">
        <v>6.63</v>
      </c>
      <c r="AE5" s="17">
        <v>115.1</v>
      </c>
      <c r="AF5" s="17">
        <v>1.5</v>
      </c>
      <c r="AG5" s="17">
        <v>60</v>
      </c>
      <c r="AH5" s="17">
        <v>1.5</v>
      </c>
      <c r="AI5" s="17">
        <v>60.1</v>
      </c>
      <c r="AJ5" s="17">
        <v>307</v>
      </c>
      <c r="AK5" s="17">
        <v>302.60000000000002</v>
      </c>
      <c r="AL5" s="17">
        <v>273.8</v>
      </c>
      <c r="AM5" s="17">
        <v>269.60000000000002</v>
      </c>
      <c r="AN5" s="17">
        <v>99</v>
      </c>
      <c r="AO5" s="17">
        <v>0.78</v>
      </c>
      <c r="AP5" s="17">
        <v>6.1</v>
      </c>
      <c r="AQ5" s="20"/>
      <c r="AR5" s="20"/>
      <c r="AS5" s="20"/>
      <c r="AT5" s="20"/>
      <c r="AU5" s="20"/>
      <c r="AV5" s="20"/>
      <c r="AW5" s="20"/>
      <c r="AX5" s="20"/>
      <c r="AY5" s="41" t="str">
        <f t="shared" si="0"/>
        <v>Incomplete</v>
      </c>
      <c r="BA5" s="20" t="str">
        <f t="shared" si="1"/>
        <v>Incomplete</v>
      </c>
      <c r="BC5" s="20" t="str">
        <f t="shared" si="2"/>
        <v>Incomplete</v>
      </c>
      <c r="BE5" s="20" t="str">
        <f t="shared" si="3"/>
        <v>Incomplete</v>
      </c>
      <c r="BG5" s="17">
        <v>19</v>
      </c>
      <c r="BH5" s="17">
        <v>60.7</v>
      </c>
      <c r="BI5" s="20">
        <f t="shared" si="4"/>
        <v>41.7</v>
      </c>
      <c r="BJ5" s="20"/>
      <c r="BK5" s="17">
        <v>9</v>
      </c>
      <c r="BL5" s="20"/>
      <c r="BM5" s="17">
        <v>9.5</v>
      </c>
      <c r="BN5" s="20"/>
      <c r="BO5" s="17">
        <v>45.5</v>
      </c>
      <c r="BP5" s="17">
        <v>47.5</v>
      </c>
      <c r="BQ5" s="17">
        <v>75</v>
      </c>
      <c r="BR5" s="17">
        <v>80</v>
      </c>
      <c r="BS5" s="17">
        <v>74</v>
      </c>
      <c r="BT5" s="17">
        <v>80</v>
      </c>
      <c r="BU5" s="17">
        <v>78</v>
      </c>
      <c r="BV5" s="17">
        <v>79</v>
      </c>
      <c r="BW5" s="91">
        <f t="shared" si="5"/>
        <v>93.43125254997959</v>
      </c>
      <c r="BX5" s="91" t="str">
        <f>_xlfn.XLOOKUP(BW5,'Normative data'!$V$2:$V$6,'Normative data'!$W$2:$W$6,"Not Found",-1)</f>
        <v>High risk</v>
      </c>
      <c r="BY5" s="91">
        <f t="shared" si="6"/>
        <v>96.695226438188485</v>
      </c>
      <c r="BZ5" s="91" t="str">
        <f>_xlfn.XLOOKUP(BY5,'Normative data'!$V$3:$V$6,'Normative data'!$W$3:$W$6,"Not Found",-1)</f>
        <v>Low risk</v>
      </c>
      <c r="CA5" s="17">
        <v>35</v>
      </c>
      <c r="CC5" s="20"/>
      <c r="CE5" s="17">
        <v>21</v>
      </c>
      <c r="CG5" s="20"/>
      <c r="CH5" s="20" t="str">
        <f>_xlfn.XLOOKUP(CG5, 'Normative data'!$S$9:$S$15,'Normative data'!$T$9:$T$15, "Not Found", -1)</f>
        <v>not completed</v>
      </c>
      <c r="CI5" s="20"/>
      <c r="CJ5" s="20" t="str">
        <f>_xlfn.XLOOKUP(CI5, 'Normative data'!$S$9:$S$15, 'Normative data'!$T$9:$T$15, "Not Found", -1)</f>
        <v>not completed</v>
      </c>
      <c r="CK5" s="17">
        <v>1.99</v>
      </c>
      <c r="CL5" s="17">
        <v>5.03</v>
      </c>
      <c r="CN5" s="17">
        <v>6.33</v>
      </c>
      <c r="CO5" s="17">
        <v>7.9</v>
      </c>
      <c r="CR5" s="20" t="str" cm="1">
        <f t="array" ref="CR5">IF(OR(ISBLANK(E5),ISBLANK(CQ5)),"Incomplete",_xlfn.XLOOKUP(CQ5,_xlfn.XLOOKUP(E5,'Normative data'!$Y$3:$Y$6,'Normative data'!$Z$3:$AG$6,,-1),'Normative data'!$Z$2:$AG$2,"Not Found",-1))</f>
        <v>Incomplete</v>
      </c>
      <c r="CS5" s="20"/>
      <c r="CT5" s="20"/>
      <c r="CU5" s="20" t="str" cm="1">
        <f t="array" ref="CU5">_xlfn.XLOOKUP(CS5&amp;CT5,(VLOOKUP!$A$3:$A$250)&amp;(VLOOKUP!$B$3:$B$250),VLOOKUP!$C$3:$C$250,"Incomplete",-1)</f>
        <v>Incomplete</v>
      </c>
      <c r="CV5" s="20" t="str" cm="1">
        <f t="array" ref="CV5">_xlfn.XLOOKUP(CU5, _xlfn.XLOOKUP(E5, 'Normative data'!$Y$11:$Y$14, 'Normative data'!$Z$11:$AG$14, ,-1), 'Normative data'!$Z$10:$AG$10, "Not Found", -1)</f>
        <v>Excellent</v>
      </c>
      <c r="CW5" s="20" t="str" cm="1">
        <f t="array" ref="CW5">IF(OR(ISBLANK(CS5),ISBLANK(CT5)),"Incomplete",_xlfn.XLOOKUP(CS5&amp;CT5,VLOOKUP!$A$4:$A$250&amp;VLOOKUP!$B$4:$B$250,VLOOKUP!$D$4:$D$250,"0"))</f>
        <v>Incomplete</v>
      </c>
    </row>
    <row r="6" spans="1:101">
      <c r="A6" s="17" t="s">
        <v>98</v>
      </c>
      <c r="B6" s="17" t="s">
        <v>91</v>
      </c>
      <c r="C6" s="17" t="s">
        <v>86</v>
      </c>
      <c r="D6" s="26">
        <v>40270</v>
      </c>
      <c r="F6" s="20" t="s">
        <v>99</v>
      </c>
      <c r="G6" s="17">
        <v>2026</v>
      </c>
      <c r="I6" s="20">
        <v>2</v>
      </c>
      <c r="J6" s="20" t="s">
        <v>100</v>
      </c>
      <c r="K6" s="20" t="s">
        <v>101</v>
      </c>
      <c r="L6" s="20" t="s">
        <v>102</v>
      </c>
      <c r="S6" s="20">
        <v>89.9</v>
      </c>
      <c r="T6" s="20">
        <v>171.9</v>
      </c>
      <c r="U6" s="17">
        <v>68</v>
      </c>
      <c r="V6" s="17">
        <v>41.4</v>
      </c>
      <c r="W6" s="17">
        <v>11.7</v>
      </c>
      <c r="X6" s="17">
        <v>56.3</v>
      </c>
      <c r="Y6" s="17">
        <v>31.5</v>
      </c>
      <c r="Z6" s="17">
        <v>22.8</v>
      </c>
      <c r="AA6" s="17">
        <v>17.3</v>
      </c>
      <c r="AB6" s="17">
        <v>8.43</v>
      </c>
      <c r="AC6" s="17">
        <v>111.7</v>
      </c>
      <c r="AD6" s="17">
        <v>8.3800000000000008</v>
      </c>
      <c r="AE6" s="17">
        <v>111</v>
      </c>
      <c r="AF6" s="17">
        <v>1.8</v>
      </c>
      <c r="AG6" s="17">
        <v>65.599999999999994</v>
      </c>
      <c r="AH6" s="17">
        <v>1.8</v>
      </c>
      <c r="AI6" s="17">
        <v>65.400000000000006</v>
      </c>
      <c r="AJ6" s="17">
        <v>269.10000000000002</v>
      </c>
      <c r="AK6" s="17">
        <v>271.5</v>
      </c>
      <c r="AL6" s="17">
        <v>237.5</v>
      </c>
      <c r="AM6" s="17">
        <v>239</v>
      </c>
      <c r="AN6" s="17">
        <v>117</v>
      </c>
      <c r="AO6" s="17">
        <v>0.82</v>
      </c>
      <c r="AP6" s="17">
        <v>7.6</v>
      </c>
      <c r="AQ6" s="17">
        <v>26.2</v>
      </c>
      <c r="AR6" s="17">
        <v>0.46200000000000002</v>
      </c>
      <c r="AS6" s="17">
        <v>26.7</v>
      </c>
      <c r="AT6" s="17">
        <v>0.46700000000000003</v>
      </c>
      <c r="AU6" s="17">
        <v>13.8</v>
      </c>
      <c r="AV6" s="17">
        <v>0.33600000000000002</v>
      </c>
      <c r="AW6" s="17">
        <v>12.5</v>
      </c>
      <c r="AX6" s="17">
        <v>0.31900000000000001</v>
      </c>
      <c r="AY6" s="41">
        <f t="shared" si="0"/>
        <v>2615.7399999999998</v>
      </c>
      <c r="BA6" s="20">
        <f t="shared" si="1"/>
        <v>2646.09</v>
      </c>
      <c r="BC6" s="20">
        <f t="shared" si="2"/>
        <v>1863.0599999999995</v>
      </c>
      <c r="BE6" s="20">
        <f t="shared" si="3"/>
        <v>1784.1499999999996</v>
      </c>
      <c r="BG6" s="17">
        <v>11.4</v>
      </c>
      <c r="BH6" s="17">
        <v>50.4</v>
      </c>
      <c r="BI6" s="20">
        <f t="shared" si="4"/>
        <v>39</v>
      </c>
      <c r="BJ6" s="20"/>
      <c r="BK6" s="17">
        <v>13.5</v>
      </c>
      <c r="BL6" s="20"/>
      <c r="BM6" s="17">
        <v>13</v>
      </c>
      <c r="BN6" s="20"/>
      <c r="BO6" s="17">
        <v>49</v>
      </c>
      <c r="BP6" s="17">
        <v>50</v>
      </c>
      <c r="BQ6" s="17">
        <v>84</v>
      </c>
      <c r="BR6" s="17">
        <v>80</v>
      </c>
      <c r="BS6" s="17">
        <v>70</v>
      </c>
      <c r="BT6" s="17">
        <v>80</v>
      </c>
      <c r="BU6" s="17">
        <v>83</v>
      </c>
      <c r="BV6" s="17">
        <v>74</v>
      </c>
      <c r="BW6" s="91">
        <f t="shared" si="5"/>
        <v>95.121951219512198</v>
      </c>
      <c r="BX6" s="91" t="str">
        <f>_xlfn.XLOOKUP(BW6,'Normative data'!$V$2:$V$6,'Normative data'!$W$2:$W$6,"Not Found",-1)</f>
        <v>High risk</v>
      </c>
      <c r="BY6" s="91">
        <f t="shared" si="6"/>
        <v>96.341463414634148</v>
      </c>
      <c r="BZ6" s="91" t="str">
        <f>_xlfn.XLOOKUP(BY6,'Normative data'!$V$3:$V$6,'Normative data'!$W$3:$W$6,"Not Found",-1)</f>
        <v>Low risk</v>
      </c>
      <c r="CA6" s="17">
        <v>42</v>
      </c>
      <c r="CC6" s="20"/>
      <c r="CE6" s="17">
        <v>34</v>
      </c>
      <c r="CG6" s="17">
        <v>18.02</v>
      </c>
      <c r="CH6" s="20" t="str">
        <f>_xlfn.XLOOKUP(CG6, 'Normative data'!$S$9:$S$15,'Normative data'!$T$9:$T$15, "Not Found", -1)</f>
        <v>Average</v>
      </c>
      <c r="CI6" s="17">
        <v>17.670000000000002</v>
      </c>
      <c r="CJ6" s="20" t="str">
        <f>_xlfn.XLOOKUP(CI6, 'Normative data'!$S$9:$S$15, 'Normative data'!$T$9:$T$15, "Not Found", -1)</f>
        <v>Above Average</v>
      </c>
      <c r="CK6" s="17">
        <v>2.16</v>
      </c>
      <c r="CL6" s="17">
        <v>4.63</v>
      </c>
      <c r="CN6" s="17">
        <v>6.58</v>
      </c>
      <c r="CO6" s="17">
        <v>7.6</v>
      </c>
      <c r="CQ6" s="17">
        <v>7.7</v>
      </c>
      <c r="CR6" s="20" t="str" cm="1">
        <f t="array" ref="CR6">IF(OR(ISBLANK(E6),ISBLANK(CQ6)),"Incomplete",_xlfn.XLOOKUP(CQ6,_xlfn.XLOOKUP(E6,'Normative data'!$Y$3:$Y$6,'Normative data'!$Z$3:$AG$6,,-1),'Normative data'!$Z$2:$AG$2,"Not Found",-1))</f>
        <v>Incomplete</v>
      </c>
      <c r="CS6" s="20">
        <v>7</v>
      </c>
      <c r="CT6" s="20">
        <v>7</v>
      </c>
      <c r="CU6" s="20" cm="1">
        <f t="array" ref="CU6">_xlfn.XLOOKUP(CS6&amp;CT6,(VLOOKUP!$A$3:$A$250)&amp;(VLOOKUP!$B$3:$B$250),VLOOKUP!$C$3:$C$250,"Incomplete",-1)</f>
        <v>1160</v>
      </c>
      <c r="CV6" s="20" t="str" cm="1">
        <f t="array" ref="CV6">_xlfn.XLOOKUP(CU6, _xlfn.XLOOKUP(E6, 'Normative data'!$Y$11:$Y$14, 'Normative data'!$Z$11:$AG$14, ,-1), 'Normative data'!$Z$10:$AG$10, "Not Found", -1)</f>
        <v>Average</v>
      </c>
      <c r="CW6" s="20" cm="1">
        <f t="array" ref="CW6">IF(OR(ISBLANK(CS6),ISBLANK(CT6)),"Incomplete",_xlfn.XLOOKUP(CS6&amp;CT6,VLOOKUP!$A$4:$A$250&amp;VLOOKUP!$B$4:$B$250,VLOOKUP!$D$4:$D$250,"0"))</f>
        <v>39</v>
      </c>
    </row>
    <row r="7" spans="1:101">
      <c r="A7" s="17" t="s">
        <v>103</v>
      </c>
      <c r="B7" s="17" t="s">
        <v>91</v>
      </c>
      <c r="C7" s="17" t="s">
        <v>86</v>
      </c>
      <c r="D7" s="26">
        <v>40549</v>
      </c>
      <c r="E7" s="17">
        <v>14.8</v>
      </c>
      <c r="F7" s="20" t="s">
        <v>104</v>
      </c>
      <c r="G7" s="17">
        <v>2026</v>
      </c>
      <c r="I7" s="20">
        <v>2</v>
      </c>
      <c r="J7" s="20" t="s">
        <v>100</v>
      </c>
      <c r="K7" s="20" t="s">
        <v>105</v>
      </c>
      <c r="L7" s="20"/>
      <c r="S7" s="20">
        <v>84.6</v>
      </c>
      <c r="T7" s="20">
        <v>163.30000000000001</v>
      </c>
      <c r="U7" s="17">
        <v>67.400000000000006</v>
      </c>
      <c r="V7" s="17">
        <v>32</v>
      </c>
      <c r="W7" s="17">
        <v>23.5</v>
      </c>
      <c r="X7" s="17">
        <v>43.9</v>
      </c>
      <c r="Y7" s="17">
        <v>24</v>
      </c>
      <c r="Z7" s="17">
        <v>25.3</v>
      </c>
      <c r="AA7" s="17">
        <v>34.9</v>
      </c>
      <c r="AB7" s="17">
        <v>6.45</v>
      </c>
      <c r="AC7" s="17">
        <v>92.4</v>
      </c>
      <c r="AD7" s="17">
        <v>6.46</v>
      </c>
      <c r="AE7" s="17">
        <v>92.6</v>
      </c>
      <c r="AF7" s="17">
        <v>3.5</v>
      </c>
      <c r="AG7" s="17">
        <v>141.1</v>
      </c>
      <c r="AH7" s="17">
        <v>3.5</v>
      </c>
      <c r="AI7" s="17">
        <v>140.80000000000001</v>
      </c>
      <c r="AJ7" s="17">
        <v>313.10000000000002</v>
      </c>
      <c r="AK7" s="17">
        <v>310.39999999999998</v>
      </c>
      <c r="AL7" s="17">
        <v>279.39999999999998</v>
      </c>
      <c r="AM7" s="17">
        <v>277.7</v>
      </c>
      <c r="AN7" s="17">
        <v>83</v>
      </c>
      <c r="AO7" s="17">
        <v>0.92</v>
      </c>
      <c r="AP7" s="17">
        <v>6.5</v>
      </c>
      <c r="AQ7" s="17">
        <v>21.4</v>
      </c>
      <c r="AR7" s="17">
        <v>0.41799999999999998</v>
      </c>
      <c r="AS7" s="17">
        <v>21.3</v>
      </c>
      <c r="AT7" s="17">
        <v>0.41699999999999998</v>
      </c>
      <c r="AU7" s="17">
        <v>7.1</v>
      </c>
      <c r="AV7" s="17">
        <v>0.24</v>
      </c>
      <c r="AW7" s="17">
        <v>7.1</v>
      </c>
      <c r="AX7" s="17">
        <v>0.24</v>
      </c>
      <c r="AY7" s="41">
        <f t="shared" si="0"/>
        <v>2297.2000000000007</v>
      </c>
      <c r="BA7" s="20">
        <f t="shared" si="1"/>
        <v>2291.13</v>
      </c>
      <c r="BC7" s="20">
        <f t="shared" si="2"/>
        <v>1429.19</v>
      </c>
      <c r="BE7" s="20">
        <f t="shared" si="3"/>
        <v>1429.19</v>
      </c>
      <c r="BG7" s="17">
        <v>14.5</v>
      </c>
      <c r="BH7" s="17">
        <v>35</v>
      </c>
      <c r="BI7" s="20">
        <f t="shared" si="4"/>
        <v>20.5</v>
      </c>
      <c r="BJ7" s="20"/>
      <c r="BK7" s="17">
        <v>9.5</v>
      </c>
      <c r="BL7" s="20"/>
      <c r="BM7" s="17">
        <v>8</v>
      </c>
      <c r="BN7" s="20"/>
      <c r="BO7" s="17">
        <v>53</v>
      </c>
      <c r="BP7" s="17">
        <v>52.5</v>
      </c>
      <c r="BQ7" s="17">
        <v>82</v>
      </c>
      <c r="BR7" s="17">
        <v>85</v>
      </c>
      <c r="BS7" s="17">
        <v>72</v>
      </c>
      <c r="BT7" s="17">
        <v>81</v>
      </c>
      <c r="BU7" s="17">
        <v>79</v>
      </c>
      <c r="BV7" s="17">
        <v>78</v>
      </c>
      <c r="BW7" s="91">
        <f t="shared" si="5"/>
        <v>101.22829309614568</v>
      </c>
      <c r="BX7" s="91" t="str">
        <f>_xlfn.XLOOKUP(BW7,'Normative data'!$V$2:$V$6,'Normative data'!$W$2:$W$6,"Not Found",-1)</f>
        <v>Low risk</v>
      </c>
      <c r="BY7" s="91">
        <f t="shared" si="6"/>
        <v>100.80474375264717</v>
      </c>
      <c r="BZ7" s="91" t="str">
        <f>_xlfn.XLOOKUP(BY7,'Normative data'!$V$3:$V$6,'Normative data'!$W$3:$W$6,"Not Found",-1)</f>
        <v>Low risk</v>
      </c>
      <c r="CA7" s="17">
        <v>30</v>
      </c>
      <c r="CC7" s="20"/>
      <c r="CE7" s="17">
        <v>20</v>
      </c>
      <c r="CG7" s="17">
        <v>19.68</v>
      </c>
      <c r="CH7" s="20" t="str">
        <f>_xlfn.XLOOKUP(CG7, 'Normative data'!$S$9:$S$15,'Normative data'!$T$9:$T$15, "Not Found", -1)</f>
        <v>Average</v>
      </c>
      <c r="CI7" s="17">
        <v>19.489999999999998</v>
      </c>
      <c r="CJ7" s="20" t="str">
        <f>_xlfn.XLOOKUP(CI7, 'Normative data'!$S$9:$S$15, 'Normative data'!$T$9:$T$15, "Not Found", -1)</f>
        <v>Average</v>
      </c>
      <c r="CK7" s="17">
        <v>2.2999999999999998</v>
      </c>
      <c r="CL7" s="17">
        <v>4.3499999999999996</v>
      </c>
      <c r="CN7" s="17">
        <v>7.21</v>
      </c>
      <c r="CO7" s="17">
        <v>6.93</v>
      </c>
      <c r="CQ7" s="17">
        <v>3.6</v>
      </c>
      <c r="CR7" s="20" t="str" cm="1">
        <f t="array" ref="CR7">IF(OR(ISBLANK(E7),ISBLANK(CQ7)),"Incomplete",_xlfn.XLOOKUP(CQ7,_xlfn.XLOOKUP(E7,'Normative data'!$Y$3:$Y$6,'Normative data'!$Z$3:$AG$6,,-1),'Normative data'!$Z$2:$AG$2,"Not Found",-1))</f>
        <v>Poor</v>
      </c>
      <c r="CS7" s="20">
        <v>3</v>
      </c>
      <c r="CT7" s="20">
        <v>6</v>
      </c>
      <c r="CU7" s="20" cm="1">
        <f t="array" ref="CU7">_xlfn.XLOOKUP(CS7&amp;CT7,(VLOOKUP!$A$3:$A$250)&amp;(VLOOKUP!$B$3:$B$250),VLOOKUP!$C$3:$C$250,"Incomplete",-1)</f>
        <v>420</v>
      </c>
      <c r="CV7" s="20" t="str" cm="1">
        <f t="array" ref="CV7">_xlfn.XLOOKUP(CU7, _xlfn.XLOOKUP(E7, 'Normative data'!$Y$11:$Y$14, 'Normative data'!$Z$11:$AG$14, ,-1), 'Normative data'!$Z$10:$AG$10, "Not Found", -1)</f>
        <v xml:space="preserve">Poor </v>
      </c>
      <c r="CW7" s="20" cm="1">
        <f t="array" ref="CW7">IF(OR(ISBLANK(CS7),ISBLANK(CT7)),"Incomplete",_xlfn.XLOOKUP(CS7&amp;CT7,VLOOKUP!$A$4:$A$250&amp;VLOOKUP!$B$4:$B$250,VLOOKUP!$D$4:$D$250,"0"))</f>
        <v>25</v>
      </c>
    </row>
    <row r="8" spans="1:101">
      <c r="A8" s="17" t="s">
        <v>106</v>
      </c>
      <c r="B8" s="17" t="s">
        <v>91</v>
      </c>
      <c r="C8" s="17" t="s">
        <v>86</v>
      </c>
      <c r="D8" s="20"/>
      <c r="F8" s="20" t="s">
        <v>107</v>
      </c>
      <c r="G8" s="17">
        <v>2026</v>
      </c>
      <c r="I8" s="20">
        <v>2</v>
      </c>
      <c r="J8" s="20" t="s">
        <v>88</v>
      </c>
      <c r="K8" s="20" t="s">
        <v>108</v>
      </c>
      <c r="L8" s="20"/>
      <c r="S8" s="20">
        <v>83.8</v>
      </c>
      <c r="T8" s="20">
        <v>163.4</v>
      </c>
      <c r="AY8" s="41" t="str">
        <f t="shared" si="0"/>
        <v>Incomplete</v>
      </c>
      <c r="BA8" s="20" t="str">
        <f t="shared" si="1"/>
        <v>Incomplete</v>
      </c>
      <c r="BC8" s="20" t="str">
        <f t="shared" si="2"/>
        <v>Incomplete</v>
      </c>
      <c r="BE8" s="20" t="str">
        <f t="shared" si="3"/>
        <v>Incomplete</v>
      </c>
      <c r="BH8" s="17">
        <v>13</v>
      </c>
      <c r="BI8" s="20" t="str">
        <f t="shared" si="4"/>
        <v>Incomplete</v>
      </c>
      <c r="BJ8" s="20"/>
      <c r="BK8" s="17">
        <v>13</v>
      </c>
      <c r="BL8" s="20"/>
      <c r="BM8" s="17">
        <v>11.5</v>
      </c>
      <c r="BN8" s="20"/>
      <c r="BW8" s="91">
        <f t="shared" si="5"/>
        <v>0</v>
      </c>
      <c r="BX8" s="91" t="str">
        <f>_xlfn.XLOOKUP(BW8,'Normative data'!$V$3:$V$6,'Normative data'!$W$3:$W$6,"Not Found",-1)</f>
        <v>Not completed</v>
      </c>
      <c r="BY8" s="91">
        <f t="shared" si="6"/>
        <v>0</v>
      </c>
      <c r="BZ8" s="91" t="str">
        <f>_xlfn.XLOOKUP(BY8,'Normative data'!$V$3:$V$6,'Normative data'!$W$3:$W$6,"Not Found",-1)</f>
        <v>Not completed</v>
      </c>
      <c r="CG8" s="17">
        <v>21</v>
      </c>
      <c r="CH8" s="20" t="str">
        <f>_xlfn.XLOOKUP(CG8, 'Normative data'!$S$9:$S$15,'Normative data'!$T$9:$T$15, "Not Found", -1)</f>
        <v>Average</v>
      </c>
      <c r="CI8" s="17">
        <v>22.81</v>
      </c>
      <c r="CJ8" s="20" t="str">
        <f>_xlfn.XLOOKUP(CI8, 'Normative data'!$S$9:$S$15, 'Normative data'!$T$9:$T$15, "Not Found", -1)</f>
        <v>Below Average</v>
      </c>
      <c r="CK8" s="17">
        <v>2.2999999999999998</v>
      </c>
      <c r="CL8" s="17">
        <v>4.3499999999999996</v>
      </c>
      <c r="CN8" s="17">
        <v>7.38</v>
      </c>
      <c r="CO8" s="17">
        <v>6.78</v>
      </c>
      <c r="CQ8" s="17">
        <v>5.3</v>
      </c>
      <c r="CR8" s="20" t="str" cm="1">
        <f t="array" ref="CR8">IF(OR(ISBLANK(E8),ISBLANK(CQ8)),"Incomplete",_xlfn.XLOOKUP(CQ8,_xlfn.XLOOKUP(E8,'Normative data'!$Y$3:$Y$6,'Normative data'!$Z$3:$AG$6,,-1),'Normative data'!$Z$2:$AG$2,"Not Found",-1))</f>
        <v>Incomplete</v>
      </c>
      <c r="CS8" s="20">
        <v>5</v>
      </c>
      <c r="CT8" s="20">
        <v>3</v>
      </c>
      <c r="CU8" s="20" cm="1">
        <f t="array" ref="CU8">_xlfn.XLOOKUP(CS8&amp;CT8,(VLOOKUP!$A$3:$A$250)&amp;(VLOOKUP!$B$3:$B$250),VLOOKUP!$C$3:$C$250,"Incomplete",-1)</f>
        <v>700</v>
      </c>
      <c r="CV8" s="20" t="str" cm="1">
        <f t="array" ref="CV8">_xlfn.XLOOKUP(CU8, _xlfn.XLOOKUP(E8, 'Normative data'!$Y$11:$Y$14, 'Normative data'!$Z$11:$AG$14, ,-1), 'Normative data'!$Z$10:$AG$10, "Not Found", -1)</f>
        <v xml:space="preserve">Poor </v>
      </c>
      <c r="CW8" s="20" cm="1">
        <f t="array" ref="CW8">IF(OR(ISBLANK(CS8),ISBLANK(CT8)),"Incomplete",_xlfn.XLOOKUP(CS8&amp;CT8,VLOOKUP!$A$4:$A$250&amp;VLOOKUP!$B$4:$B$250,VLOOKUP!$D$4:$D$250,"0"))</f>
        <v>31</v>
      </c>
    </row>
    <row r="9" spans="1:101">
      <c r="A9" s="17" t="s">
        <v>109</v>
      </c>
      <c r="B9" s="17" t="s">
        <v>91</v>
      </c>
      <c r="C9" s="17" t="s">
        <v>86</v>
      </c>
      <c r="D9" s="26">
        <v>40036</v>
      </c>
      <c r="E9" s="17">
        <v>16.600000000000001</v>
      </c>
      <c r="F9" s="20" t="s">
        <v>110</v>
      </c>
      <c r="G9" s="17">
        <v>2026</v>
      </c>
      <c r="I9" s="20">
        <v>2</v>
      </c>
      <c r="J9" s="20" t="s">
        <v>88</v>
      </c>
      <c r="K9" s="20" t="s">
        <v>111</v>
      </c>
      <c r="L9" s="20"/>
      <c r="S9" s="20">
        <v>89.4</v>
      </c>
      <c r="T9" s="20">
        <v>173.9</v>
      </c>
      <c r="U9" s="17">
        <v>56.5</v>
      </c>
      <c r="V9" s="17">
        <v>32.1</v>
      </c>
      <c r="W9" s="17">
        <v>12.6</v>
      </c>
      <c r="X9" s="17">
        <v>43.9</v>
      </c>
      <c r="Y9" s="17">
        <v>23.8</v>
      </c>
      <c r="Z9" s="17">
        <v>18.7</v>
      </c>
      <c r="AA9" s="17">
        <v>22.3</v>
      </c>
      <c r="AB9" s="17">
        <v>7.45</v>
      </c>
      <c r="AC9" s="17">
        <v>114.1</v>
      </c>
      <c r="AD9" s="17">
        <v>7.42</v>
      </c>
      <c r="AE9" s="17">
        <v>113.7</v>
      </c>
      <c r="AF9" s="17">
        <v>2.2000000000000002</v>
      </c>
      <c r="AG9" s="17">
        <v>78.3</v>
      </c>
      <c r="AH9" s="17">
        <v>2.2000000000000002</v>
      </c>
      <c r="AI9" s="17">
        <v>78.2</v>
      </c>
      <c r="AJ9" s="17">
        <v>308.2</v>
      </c>
      <c r="AK9" s="17">
        <v>310.3</v>
      </c>
      <c r="AL9" s="17">
        <v>279.60000000000002</v>
      </c>
      <c r="AM9" s="17">
        <v>281.7</v>
      </c>
      <c r="AN9" s="17">
        <v>103</v>
      </c>
      <c r="AO9" s="17">
        <v>0.81</v>
      </c>
      <c r="AP9" s="17">
        <v>6.2</v>
      </c>
      <c r="AQ9" s="17">
        <v>22.5</v>
      </c>
      <c r="AR9" s="17">
        <v>0.42799999999999999</v>
      </c>
      <c r="AS9" s="17">
        <v>24.9</v>
      </c>
      <c r="AT9" s="17">
        <v>0.45100000000000001</v>
      </c>
      <c r="AU9" s="17">
        <v>14.3</v>
      </c>
      <c r="AV9" s="17">
        <v>0.34200000000000003</v>
      </c>
      <c r="AW9" s="17">
        <v>16.399999999999999</v>
      </c>
      <c r="AX9" s="17">
        <v>0.36599999999999999</v>
      </c>
      <c r="AY9" s="41">
        <f t="shared" si="0"/>
        <v>1870.1999999999998</v>
      </c>
      <c r="BA9" s="20">
        <f t="shared" si="1"/>
        <v>2015.88</v>
      </c>
      <c r="BC9" s="20">
        <f t="shared" si="2"/>
        <v>1372.46</v>
      </c>
      <c r="BE9" s="20">
        <f t="shared" si="3"/>
        <v>1499.9299999999998</v>
      </c>
      <c r="BG9" s="17">
        <v>7.5</v>
      </c>
      <c r="BH9" s="17">
        <v>40.9</v>
      </c>
      <c r="BI9" s="20">
        <f t="shared" si="4"/>
        <v>33.4</v>
      </c>
      <c r="BJ9" s="20"/>
      <c r="BK9" s="17">
        <v>9.5</v>
      </c>
      <c r="BL9" s="20"/>
      <c r="BM9" s="17">
        <v>11.5</v>
      </c>
      <c r="BN9" s="20"/>
      <c r="BO9" s="17">
        <v>39.5</v>
      </c>
      <c r="BP9" s="17">
        <v>40.799999999999997</v>
      </c>
      <c r="BQ9" s="17">
        <v>87</v>
      </c>
      <c r="BR9" s="17">
        <v>78</v>
      </c>
      <c r="BS9" s="17">
        <v>67</v>
      </c>
      <c r="BT9" s="17">
        <v>86</v>
      </c>
      <c r="BU9" s="17">
        <v>76</v>
      </c>
      <c r="BV9" s="17">
        <v>74</v>
      </c>
      <c r="BW9" s="91">
        <f t="shared" si="5"/>
        <v>91.518737672583825</v>
      </c>
      <c r="BX9" s="91" t="str">
        <f>_xlfn.XLOOKUP(BW9,'Normative data'!$V$3:$V$6,'Normative data'!$W$3:$W$6,"Not Found",-1)</f>
        <v>High risk</v>
      </c>
      <c r="BY9" s="91">
        <f t="shared" si="6"/>
        <v>93.096646942800788</v>
      </c>
      <c r="BZ9" s="91" t="str">
        <f>_xlfn.XLOOKUP(BY9,'Normative data'!$V$3:$V$6,'Normative data'!$W$3:$W$6,"Not Found",-1)</f>
        <v>High risk</v>
      </c>
      <c r="CA9" s="17">
        <v>19</v>
      </c>
      <c r="CC9" s="20"/>
      <c r="CE9" s="17">
        <v>7</v>
      </c>
      <c r="CG9" s="17">
        <v>19.559999999999999</v>
      </c>
      <c r="CH9" s="20" t="str">
        <f>_xlfn.XLOOKUP(CG9, 'Normative data'!$S$9:$S$15,'Normative data'!$T$9:$T$15, "Not Found", -1)</f>
        <v>Average</v>
      </c>
      <c r="CI9" s="17">
        <v>19.68</v>
      </c>
      <c r="CJ9" s="20" t="str">
        <f>_xlfn.XLOOKUP(CI9, 'Normative data'!$S$9:$S$15, 'Normative data'!$T$9:$T$15, "Not Found", -1)</f>
        <v>Average</v>
      </c>
      <c r="CK9" s="21"/>
      <c r="CL9" s="21"/>
      <c r="CM9" s="21"/>
      <c r="CN9" s="21"/>
      <c r="CO9" s="21"/>
      <c r="CQ9" s="17">
        <v>4.4000000000000004</v>
      </c>
      <c r="CR9" s="20" t="str" cm="1">
        <f t="array" ref="CR9">IF(OR(ISBLANK(E9),ISBLANK(CQ9)),"Incomplete",_xlfn.XLOOKUP(CQ9,_xlfn.XLOOKUP(E9,'Normative data'!$Y$3:$Y$6,'Normative data'!$Z$3:$AG$6,,-1),'Normative data'!$Z$2:$AG$2,"Not Found",-1))</f>
        <v>Poor</v>
      </c>
      <c r="CS9" s="20">
        <v>4</v>
      </c>
      <c r="CT9" s="20">
        <v>4</v>
      </c>
      <c r="CU9" s="20" cm="1">
        <f t="array" ref="CU9">_xlfn.XLOOKUP(CS9&amp;CT9,(VLOOKUP!$A$3:$A$250)&amp;(VLOOKUP!$B$3:$B$250),VLOOKUP!$C$3:$C$250,"Incomplete",-1)</f>
        <v>540</v>
      </c>
      <c r="CV9" s="20" t="str" cm="1">
        <f t="array" ref="CV9">_xlfn.XLOOKUP(CU9, _xlfn.XLOOKUP(E9, 'Normative data'!$Y$11:$Y$14, 'Normative data'!$Z$11:$AG$14, ,-1), 'Normative data'!$Z$10:$AG$10, "Not Found", -1)</f>
        <v xml:space="preserve">Poor </v>
      </c>
      <c r="CW9" s="20" cm="1">
        <f t="array" ref="CW9">IF(OR(ISBLANK(CS9),ISBLANK(CT9)),"Incomplete",_xlfn.XLOOKUP(CS9&amp;CT9,VLOOKUP!$A$4:$A$250&amp;VLOOKUP!$B$4:$B$250,VLOOKUP!$D$4:$D$250,"0"))</f>
        <v>28</v>
      </c>
    </row>
    <row r="10" spans="1:101">
      <c r="A10" s="18" t="s">
        <v>112</v>
      </c>
      <c r="B10" s="18" t="s">
        <v>113</v>
      </c>
      <c r="C10" s="17" t="s">
        <v>86</v>
      </c>
      <c r="D10" s="19">
        <v>39725</v>
      </c>
      <c r="E10" s="17">
        <v>15</v>
      </c>
      <c r="F10" s="17">
        <v>11</v>
      </c>
      <c r="G10" s="17">
        <v>2025</v>
      </c>
      <c r="H10" s="20" t="s">
        <v>114</v>
      </c>
      <c r="I10" s="17">
        <v>1</v>
      </c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41" t="str">
        <f t="shared" si="0"/>
        <v>Incomplete</v>
      </c>
      <c r="AZ10" s="41"/>
      <c r="BA10" s="20" t="str">
        <f t="shared" si="1"/>
        <v>Incomplete</v>
      </c>
      <c r="BB10" s="20"/>
      <c r="BC10" s="20" t="str">
        <f t="shared" si="2"/>
        <v>Incomplete</v>
      </c>
      <c r="BD10" s="20"/>
      <c r="BE10" s="20" t="str">
        <f t="shared" si="3"/>
        <v>Incomplete</v>
      </c>
      <c r="BF10" s="20"/>
      <c r="BG10" s="20">
        <v>21.5</v>
      </c>
      <c r="BH10" s="20">
        <v>41</v>
      </c>
      <c r="BI10" s="20">
        <f t="shared" si="4"/>
        <v>19.5</v>
      </c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91" t="str">
        <f t="shared" si="5"/>
        <v>Incomplete</v>
      </c>
      <c r="BX10" s="91" t="str">
        <f>_xlfn.XLOOKUP(BW10,'Normative data'!$V$3:$V$6,'Normative data'!$W$3:$W$6,"Not Found",-1)</f>
        <v>Very low risk</v>
      </c>
      <c r="BY10" s="91" t="str">
        <f t="shared" si="6"/>
        <v>Incomplete</v>
      </c>
      <c r="BZ10" s="91" t="str">
        <f>_xlfn.XLOOKUP(BY10,'Normative data'!$V$3:$V$6,'Normative data'!$W$3:$W$6,"Not Found",-1)</f>
        <v>Very low risk</v>
      </c>
      <c r="CA10" s="20"/>
      <c r="CC10" s="20"/>
      <c r="CE10" s="20">
        <v>30</v>
      </c>
      <c r="CG10" s="91"/>
      <c r="CH10" s="20" t="str">
        <f>_xlfn.XLOOKUP(CG10, 'Normative data'!$S$9:$S$15,'Normative data'!$T$9:$T$15, "Not Found", -1)</f>
        <v>not completed</v>
      </c>
      <c r="CI10" s="20"/>
      <c r="CJ10" s="20" t="str">
        <f>_xlfn.XLOOKUP(CI10, 'Normative data'!$S$9:$S$15, 'Normative data'!$T$9:$T$15, "Not Found", -1)</f>
        <v>not completed</v>
      </c>
      <c r="CK10" s="21">
        <v>1.94</v>
      </c>
      <c r="CL10" s="21">
        <v>5.15</v>
      </c>
      <c r="CM10" s="21"/>
      <c r="CN10" s="21">
        <v>5.74</v>
      </c>
      <c r="CO10" s="21">
        <v>8.7100000000000009</v>
      </c>
      <c r="CP10" s="21"/>
      <c r="CQ10" s="20">
        <v>10.1</v>
      </c>
      <c r="CR10" s="20" t="str" cm="1">
        <f t="array" ref="CR10">IF(OR(ISBLANK(E10),ISBLANK(CQ10)),"Incomplete",_xlfn.XLOOKUP(CQ10,_xlfn.XLOOKUP(E10,'Normative data'!$Y$3:$Y$6,'Normative data'!$Z$3:$AG$6,,-1),'Normative data'!$Z$2:$AG$2,"Not Found",-1))</f>
        <v>Very good</v>
      </c>
      <c r="CS10" s="20">
        <v>10</v>
      </c>
      <c r="CT10" s="20">
        <v>1</v>
      </c>
      <c r="CU10" s="20" cm="1">
        <f t="array" ref="CU10">_xlfn.XLOOKUP(CS10&amp;CT10,(VLOOKUP!$A$3:$A$250)&amp;(VLOOKUP!$B$3:$B$250),VLOOKUP!$C$3:$C$250,"Incomplete",-1)</f>
        <v>1680</v>
      </c>
      <c r="CV10" s="20" t="str" cm="1">
        <f t="array" ref="CV10">_xlfn.XLOOKUP(CU10, _xlfn.XLOOKUP(E10, 'Normative data'!$Y$11:$Y$14, 'Normative data'!$Z$11:$AG$14, ,-1), 'Normative data'!$Z$10:$AG$10, "Not Found", -1)</f>
        <v xml:space="preserve">Good </v>
      </c>
      <c r="CW10" s="20" cm="1">
        <f t="array" ref="CW10">IF(OR(ISBLANK(CS10),ISBLANK(CT10)),"Incomplete",_xlfn.XLOOKUP(CS10&amp;CT10,VLOOKUP!$A$4:$A$250&amp;VLOOKUP!$B$4:$B$250,VLOOKUP!$D$4:$D$250,"0"))</f>
        <v>47</v>
      </c>
    </row>
    <row r="11" spans="1:101">
      <c r="A11" s="22" t="s">
        <v>115</v>
      </c>
      <c r="B11" s="22" t="s">
        <v>113</v>
      </c>
      <c r="C11" s="17" t="s">
        <v>86</v>
      </c>
      <c r="D11" s="23"/>
      <c r="F11" s="17">
        <v>10</v>
      </c>
      <c r="G11" s="17">
        <v>2025</v>
      </c>
      <c r="H11" s="20" t="s">
        <v>114</v>
      </c>
      <c r="I11" s="17">
        <v>1</v>
      </c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41" t="str">
        <f t="shared" si="0"/>
        <v>Incomplete</v>
      </c>
      <c r="AZ11" s="41"/>
      <c r="BA11" s="20" t="str">
        <f t="shared" si="1"/>
        <v>Incomplete</v>
      </c>
      <c r="BB11" s="20"/>
      <c r="BC11" s="20" t="str">
        <f t="shared" si="2"/>
        <v>Incomplete</v>
      </c>
      <c r="BD11" s="20"/>
      <c r="BE11" s="20" t="str">
        <f t="shared" si="3"/>
        <v>Incomplete</v>
      </c>
      <c r="BF11" s="20"/>
      <c r="BG11" s="20">
        <v>17</v>
      </c>
      <c r="BH11" s="20">
        <v>36.5</v>
      </c>
      <c r="BI11" s="20">
        <f t="shared" si="4"/>
        <v>19.5</v>
      </c>
      <c r="BJ11" s="20"/>
      <c r="BK11" s="20">
        <v>3</v>
      </c>
      <c r="BL11" s="20"/>
      <c r="BM11" s="20">
        <v>3</v>
      </c>
      <c r="BN11" s="20"/>
      <c r="BO11" s="20"/>
      <c r="BP11" s="20"/>
      <c r="BQ11" s="20"/>
      <c r="BR11" s="20"/>
      <c r="BS11" s="20"/>
      <c r="BT11" s="20"/>
      <c r="BU11" s="20"/>
      <c r="BV11" s="20"/>
      <c r="BW11" s="91" t="str">
        <f t="shared" si="5"/>
        <v>Incomplete</v>
      </c>
      <c r="BX11" s="91" t="str">
        <f>_xlfn.XLOOKUP(BW11,'Normative data'!$V$3:$V$6,'Normative data'!$W$3:$W$6,"Not Found",-1)</f>
        <v>Very low risk</v>
      </c>
      <c r="BY11" s="91" t="str">
        <f t="shared" si="6"/>
        <v>Incomplete</v>
      </c>
      <c r="BZ11" s="91" t="str">
        <f>_xlfn.XLOOKUP(BY11,'Normative data'!$V$3:$V$6,'Normative data'!$W$3:$W$6,"Not Found",-1)</f>
        <v>Very low risk</v>
      </c>
      <c r="CA11" s="20"/>
      <c r="CC11" s="20"/>
      <c r="CE11" s="20">
        <v>2</v>
      </c>
      <c r="CG11" s="91"/>
      <c r="CH11" s="20" t="str">
        <f>_xlfn.XLOOKUP(CG11, 'Normative data'!$S$9:$S$15,'Normative data'!$T$9:$T$15, "Not Found", -1)</f>
        <v>not completed</v>
      </c>
      <c r="CI11" s="20"/>
      <c r="CJ11" s="20" t="str">
        <f>_xlfn.XLOOKUP(CI11, 'Normative data'!$S$9:$S$15, 'Normative data'!$T$9:$T$15, "Not Found", -1)</f>
        <v>not completed</v>
      </c>
      <c r="CK11" s="20" t="s">
        <v>116</v>
      </c>
      <c r="CL11" s="20" t="s">
        <v>117</v>
      </c>
      <c r="CM11" s="21"/>
      <c r="CN11" s="20" t="s">
        <v>118</v>
      </c>
      <c r="CO11" s="20" t="s">
        <v>119</v>
      </c>
      <c r="CP11" s="24"/>
      <c r="CQ11" s="20"/>
      <c r="CR11" s="20" t="str" cm="1">
        <f t="array" ref="CR11">IF(OR(ISBLANK(E11),ISBLANK(CQ11)),"Incomplete",_xlfn.XLOOKUP(CQ11,_xlfn.XLOOKUP(E11,'Normative data'!$Y$3:$Y$6,'Normative data'!$Z$3:$AG$6,,-1),'Normative data'!$Z$2:$AG$2,"Not Found",-1))</f>
        <v>Incomplete</v>
      </c>
      <c r="CS11" s="20"/>
      <c r="CT11" s="20"/>
      <c r="CU11" s="20" t="str" cm="1">
        <f t="array" ref="CU11">_xlfn.XLOOKUP(CS11&amp;CT11,(VLOOKUP!$A$3:$A$250)&amp;(VLOOKUP!$B$3:$B$250),VLOOKUP!$C$3:$C$250,"Incomplete",-1)</f>
        <v>Incomplete</v>
      </c>
      <c r="CV11" s="20" t="str" cm="1">
        <f t="array" ref="CV11">_xlfn.XLOOKUP(CU11, _xlfn.XLOOKUP(E11, 'Normative data'!$Y$11:$Y$14, 'Normative data'!$Z$11:$AG$14, ,-1), 'Normative data'!$Z$10:$AG$10, "Not Found", -1)</f>
        <v>Excellent</v>
      </c>
      <c r="CW11" s="20" t="str" cm="1">
        <f t="array" ref="CW11">IF(OR(ISBLANK(CS11),ISBLANK(CT11)),"Incomplete",_xlfn.XLOOKUP(CS11&amp;CT11,VLOOKUP!$A$4:$A$250&amp;VLOOKUP!$B$4:$B$250,VLOOKUP!$D$4:$D$250,"0"))</f>
        <v>Incomplete</v>
      </c>
    </row>
    <row r="12" spans="1:101">
      <c r="A12" s="22" t="s">
        <v>120</v>
      </c>
      <c r="B12" s="22" t="s">
        <v>121</v>
      </c>
      <c r="C12" s="17" t="s">
        <v>86</v>
      </c>
      <c r="D12" s="23">
        <v>40424</v>
      </c>
      <c r="F12" s="17">
        <v>9</v>
      </c>
      <c r="G12" s="17">
        <v>2025</v>
      </c>
      <c r="H12" s="20" t="s">
        <v>114</v>
      </c>
      <c r="I12" s="17">
        <v>1</v>
      </c>
      <c r="J12" s="17" t="s">
        <v>122</v>
      </c>
      <c r="S12" s="20"/>
      <c r="T12" s="20">
        <v>157</v>
      </c>
      <c r="U12" s="20">
        <v>59.8</v>
      </c>
      <c r="V12" s="20"/>
      <c r="W12" s="20">
        <v>20.6</v>
      </c>
      <c r="X12" s="20">
        <f>SUM(T12-W12)</f>
        <v>136.4</v>
      </c>
      <c r="Y12" s="20">
        <v>21.4</v>
      </c>
      <c r="Z12" s="20">
        <v>24.3</v>
      </c>
      <c r="AA12" s="20">
        <v>34.4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41" t="str">
        <f t="shared" si="0"/>
        <v>Incomplete</v>
      </c>
      <c r="AZ12" s="41"/>
      <c r="BA12" s="20" t="str">
        <f t="shared" si="1"/>
        <v>Incomplete</v>
      </c>
      <c r="BB12" s="20"/>
      <c r="BC12" s="20" t="str">
        <f t="shared" si="2"/>
        <v>Incomplete</v>
      </c>
      <c r="BD12" s="20"/>
      <c r="BE12" s="20" t="str">
        <f t="shared" si="3"/>
        <v>Incomplete</v>
      </c>
      <c r="BF12" s="20"/>
      <c r="BG12" s="20"/>
      <c r="BH12" s="20"/>
      <c r="BI12" s="20" t="str">
        <f t="shared" si="4"/>
        <v>Incomplete</v>
      </c>
      <c r="BJ12" s="20"/>
      <c r="BK12" s="20">
        <v>8</v>
      </c>
      <c r="BL12" s="20"/>
      <c r="BM12" s="20">
        <v>7</v>
      </c>
      <c r="BN12" s="20"/>
      <c r="BO12" s="20"/>
      <c r="BP12" s="20"/>
      <c r="BQ12" s="20"/>
      <c r="BR12" s="20"/>
      <c r="BS12" s="20"/>
      <c r="BT12" s="20"/>
      <c r="BU12" s="20"/>
      <c r="BV12" s="20"/>
      <c r="BW12" s="91">
        <f t="shared" si="5"/>
        <v>0</v>
      </c>
      <c r="BX12" s="91" t="str">
        <f>_xlfn.XLOOKUP(BW12,'Normative data'!$V$3:$V$6,'Normative data'!$W$3:$W$6,"Not Found",-1)</f>
        <v>Not completed</v>
      </c>
      <c r="BY12" s="91">
        <f t="shared" si="6"/>
        <v>0</v>
      </c>
      <c r="BZ12" s="91" t="str">
        <f>_xlfn.XLOOKUP(BY12,'Normative data'!$V$3:$V$6,'Normative data'!$W$3:$W$6,"Not Found",-1)</f>
        <v>Not completed</v>
      </c>
      <c r="CA12" s="20"/>
      <c r="CC12" s="20"/>
      <c r="CE12" s="20"/>
      <c r="CG12" s="20">
        <v>17.23</v>
      </c>
      <c r="CH12" s="20" t="str">
        <f>_xlfn.XLOOKUP(CG12, 'Normative data'!$S$9:$S$15,'Normative data'!$T$9:$T$15, "Not Found", -1)</f>
        <v>Above Average</v>
      </c>
      <c r="CI12" s="20">
        <v>17.34</v>
      </c>
      <c r="CJ12" s="20" t="str">
        <f>_xlfn.XLOOKUP(CI12, 'Normative data'!$S$9:$S$15, 'Normative data'!$T$9:$T$15, "Not Found", -1)</f>
        <v>Above Average</v>
      </c>
      <c r="CK12" s="24">
        <v>2.19</v>
      </c>
      <c r="CL12" s="24">
        <v>4.57</v>
      </c>
      <c r="CM12" s="21"/>
      <c r="CN12" s="24">
        <v>6.47</v>
      </c>
      <c r="CO12" s="24">
        <v>7.73</v>
      </c>
      <c r="CP12" s="24"/>
      <c r="CQ12" s="20"/>
      <c r="CR12" s="20" t="str" cm="1">
        <f t="array" ref="CR12">IF(OR(ISBLANK(E12),ISBLANK(CQ12)),"Incomplete",_xlfn.XLOOKUP(CQ12,_xlfn.XLOOKUP(E12,'Normative data'!$Y$3:$Y$6,'Normative data'!$Z$3:$AG$6,,-1),'Normative data'!$Z$2:$AG$2,"Not Found",-1))</f>
        <v>Incomplete</v>
      </c>
      <c r="CS12" s="20"/>
      <c r="CT12" s="20"/>
      <c r="CU12" s="20" t="str" cm="1">
        <f t="array" ref="CU12">_xlfn.XLOOKUP(CS12&amp;CT12,(VLOOKUP!$A$3:$A$250)&amp;(VLOOKUP!$B$3:$B$250),VLOOKUP!$C$3:$C$250,"Incomplete",-1)</f>
        <v>Incomplete</v>
      </c>
      <c r="CV12" s="20" t="str" cm="1">
        <f t="array" ref="CV12">_xlfn.XLOOKUP(CU12, _xlfn.XLOOKUP(E12, 'Normative data'!$Y$11:$Y$14, 'Normative data'!$Z$11:$AG$14, ,-1), 'Normative data'!$Z$10:$AG$10, "Not Found", -1)</f>
        <v>Excellent</v>
      </c>
      <c r="CW12" s="20" t="str" cm="1">
        <f t="array" ref="CW12">IF(OR(ISBLANK(CS12),ISBLANK(CT12)),"Incomplete",_xlfn.XLOOKUP(CS12&amp;CT12,VLOOKUP!$A$4:$A$250&amp;VLOOKUP!$B$4:$B$250,VLOOKUP!$D$4:$D$250,"0"))</f>
        <v>Incomplete</v>
      </c>
    </row>
    <row r="13" spans="1:101">
      <c r="A13" s="22" t="s">
        <v>120</v>
      </c>
      <c r="B13" s="22" t="s">
        <v>121</v>
      </c>
      <c r="C13" s="17" t="s">
        <v>86</v>
      </c>
      <c r="D13" s="23">
        <v>40424</v>
      </c>
      <c r="F13" s="17">
        <v>9</v>
      </c>
      <c r="G13" s="17">
        <v>2025</v>
      </c>
      <c r="H13" s="20" t="s">
        <v>114</v>
      </c>
      <c r="I13" s="17">
        <v>1</v>
      </c>
      <c r="J13" s="17" t="s">
        <v>122</v>
      </c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41" t="str">
        <f t="shared" si="0"/>
        <v>Incomplete</v>
      </c>
      <c r="AZ13" s="41"/>
      <c r="BA13" s="20" t="str">
        <f t="shared" si="1"/>
        <v>Incomplete</v>
      </c>
      <c r="BB13" s="20"/>
      <c r="BC13" s="20" t="str">
        <f t="shared" si="2"/>
        <v>Incomplete</v>
      </c>
      <c r="BD13" s="20"/>
      <c r="BE13" s="20" t="str">
        <f t="shared" si="3"/>
        <v>Incomplete</v>
      </c>
      <c r="BF13" s="20"/>
      <c r="BG13" s="20">
        <v>14.5</v>
      </c>
      <c r="BH13" s="20">
        <v>27</v>
      </c>
      <c r="BI13" s="20">
        <f t="shared" si="4"/>
        <v>12.5</v>
      </c>
      <c r="BJ13" s="20"/>
      <c r="BK13" s="20">
        <v>7</v>
      </c>
      <c r="BL13" s="20"/>
      <c r="BM13" s="20">
        <v>7</v>
      </c>
      <c r="BN13" s="20"/>
      <c r="BO13" s="20"/>
      <c r="BP13" s="20"/>
      <c r="BQ13" s="20"/>
      <c r="BR13" s="20"/>
      <c r="BS13" s="20"/>
      <c r="BT13" s="20"/>
      <c r="BU13" s="20"/>
      <c r="BV13" s="20"/>
      <c r="BW13" s="91" t="str">
        <f t="shared" si="5"/>
        <v>Incomplete</v>
      </c>
      <c r="BX13" s="91" t="str">
        <f>_xlfn.XLOOKUP(BW13,'Normative data'!$V$3:$V$6,'Normative data'!$W$3:$W$6,"Not Found",-1)</f>
        <v>Very low risk</v>
      </c>
      <c r="BY13" s="91" t="str">
        <f t="shared" si="6"/>
        <v>Incomplete</v>
      </c>
      <c r="BZ13" s="91" t="str">
        <f>_xlfn.XLOOKUP(BY13,'Normative data'!$V$3:$V$6,'Normative data'!$W$3:$W$6,"Not Found",-1)</f>
        <v>Very low risk</v>
      </c>
      <c r="CA13" s="20"/>
      <c r="CC13" s="20"/>
      <c r="CE13" s="20">
        <v>10</v>
      </c>
      <c r="CG13" s="20">
        <v>17.45</v>
      </c>
      <c r="CH13" s="20" t="str">
        <f>_xlfn.XLOOKUP(CG13, 'Normative data'!$S$9:$S$15,'Normative data'!$T$9:$T$15, "Not Found", -1)</f>
        <v>Above Average</v>
      </c>
      <c r="CI13" s="20">
        <v>16.93</v>
      </c>
      <c r="CJ13" s="20" t="str">
        <f>_xlfn.XLOOKUP(CI13, 'Normative data'!$S$9:$S$15, 'Normative data'!$T$9:$T$15, "Not Found", -1)</f>
        <v>Above Average</v>
      </c>
      <c r="CK13" s="21"/>
      <c r="CL13" s="21"/>
      <c r="CM13" s="21"/>
      <c r="CN13" s="21"/>
      <c r="CO13" s="21"/>
      <c r="CP13" s="24"/>
      <c r="CQ13" s="20"/>
      <c r="CR13" s="20" t="str" cm="1">
        <f t="array" ref="CR13">IF(OR(ISBLANK(E13),ISBLANK(CQ13)),"Incomplete",_xlfn.XLOOKUP(CQ13,_xlfn.XLOOKUP(E13,'Normative data'!$Y$3:$Y$6,'Normative data'!$Z$3:$AG$6,,-1),'Normative data'!$Z$2:$AG$2,"Not Found",-1))</f>
        <v>Incomplete</v>
      </c>
      <c r="CS13" s="20"/>
      <c r="CT13" s="20"/>
      <c r="CU13" s="20" t="str" cm="1">
        <f t="array" ref="CU13">_xlfn.XLOOKUP(CS13&amp;CT13,(VLOOKUP!$A$3:$A$250)&amp;(VLOOKUP!$B$3:$B$250),VLOOKUP!$C$3:$C$250,"Incomplete",-1)</f>
        <v>Incomplete</v>
      </c>
      <c r="CV13" s="20" t="str" cm="1">
        <f t="array" ref="CV13">_xlfn.XLOOKUP(CU13, _xlfn.XLOOKUP(E13, 'Normative data'!$Y$11:$Y$14, 'Normative data'!$Z$11:$AG$14, ,-1), 'Normative data'!$Z$10:$AG$10, "Not Found", -1)</f>
        <v>Excellent</v>
      </c>
      <c r="CW13" s="20" t="str" cm="1">
        <f t="array" ref="CW13">IF(OR(ISBLANK(CS13),ISBLANK(CT13)),"Incomplete",_xlfn.XLOOKUP(CS13&amp;CT13,VLOOKUP!$A$4:$A$250&amp;VLOOKUP!$B$4:$B$250,VLOOKUP!$D$4:$D$250,"0"))</f>
        <v>Incomplete</v>
      </c>
    </row>
    <row r="14" spans="1:101">
      <c r="A14" s="17" t="s">
        <v>123</v>
      </c>
      <c r="B14" s="17" t="s">
        <v>121</v>
      </c>
      <c r="C14" s="17" t="s">
        <v>86</v>
      </c>
      <c r="D14" s="23">
        <v>40424</v>
      </c>
      <c r="F14" s="17">
        <v>9</v>
      </c>
      <c r="G14" s="17">
        <v>2025</v>
      </c>
      <c r="H14" s="20" t="s">
        <v>124</v>
      </c>
      <c r="I14" s="17">
        <v>3</v>
      </c>
      <c r="J14" s="17" t="s">
        <v>122</v>
      </c>
      <c r="S14" s="20"/>
      <c r="T14" s="20" t="s">
        <v>125</v>
      </c>
      <c r="U14" s="20" t="s">
        <v>126</v>
      </c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>
        <v>13.1</v>
      </c>
      <c r="AR14" s="20">
        <v>0.32700000000000001</v>
      </c>
      <c r="AS14" s="20">
        <v>18.2</v>
      </c>
      <c r="AT14" s="20">
        <v>0.38500000000000001</v>
      </c>
      <c r="AU14" s="20">
        <v>13.3</v>
      </c>
      <c r="AV14" s="20">
        <v>0.32900000000000001</v>
      </c>
      <c r="AW14" s="20">
        <v>8.8000000000000007</v>
      </c>
      <c r="AX14" s="20">
        <v>0.26800000000000002</v>
      </c>
      <c r="AY14" s="41" t="e">
        <f>IF(OR(ISBLANK(U14), ISBLANK(#REF!)), "Incomplete", (60.7*#REF!)+(45.3*U14)-2055)</f>
        <v>#REF!</v>
      </c>
      <c r="AZ14" s="41"/>
      <c r="BA14" s="20" t="e">
        <f>IF(OR(ISBLANK(U14), ISBLANK(#REF!)), "Incomplete", (60.7*#REF!)+(45.3*U14)-2055)</f>
        <v>#REF!</v>
      </c>
      <c r="BB14" s="20"/>
      <c r="BC14" s="20" t="e">
        <f>IF(OR(ISBLANK(U14), ISBLANK(#REF!)), "Incomplete", (60.7*#REF!)+(45.3*U14)-2055)</f>
        <v>#REF!</v>
      </c>
      <c r="BD14" s="20"/>
      <c r="BE14" s="20" t="e">
        <f>IF(OR(ISBLANK(U14), ISBLANK(#REF!)), "Incomplete", (60.7*#REF!)+(45.3*U14)-2055)</f>
        <v>#REF!</v>
      </c>
      <c r="BF14" s="20"/>
      <c r="BG14" s="20"/>
      <c r="BH14" s="20"/>
      <c r="BI14" s="20" t="str">
        <f t="shared" si="4"/>
        <v>Incomplete</v>
      </c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91" t="str">
        <f t="shared" si="5"/>
        <v>Incomplete</v>
      </c>
      <c r="BX14" s="91" t="str">
        <f>_xlfn.XLOOKUP(BW14,'Normative data'!$V$3:$V$6,'Normative data'!$W$3:$W$6,"Not Found",-1)</f>
        <v>Very low risk</v>
      </c>
      <c r="BY14" s="91" t="str">
        <f t="shared" si="6"/>
        <v>Incomplete</v>
      </c>
      <c r="BZ14" s="91" t="str">
        <f>_xlfn.XLOOKUP(BY14,'Normative data'!$V$3:$V$6,'Normative data'!$W$3:$W$6,"Not Found",-1)</f>
        <v>Very low risk</v>
      </c>
      <c r="CA14" s="20"/>
      <c r="CC14" s="20"/>
      <c r="CE14" s="20"/>
      <c r="CG14" s="20">
        <v>17.920000000000002</v>
      </c>
      <c r="CH14" s="20" t="str">
        <f>_xlfn.XLOOKUP(CG14, 'Normative data'!$S$9:$S$15,'Normative data'!$T$9:$T$15, "Not Found", -1)</f>
        <v>Above Average</v>
      </c>
      <c r="CI14" s="20">
        <v>18.16</v>
      </c>
      <c r="CJ14" s="20" t="str">
        <f>_xlfn.XLOOKUP(CI14, 'Normative data'!$S$9:$S$15, 'Normative data'!$T$9:$T$15, "Not Found", -1)</f>
        <v>Average</v>
      </c>
      <c r="CK14" s="20" t="s">
        <v>127</v>
      </c>
      <c r="CL14" s="20" t="s">
        <v>128</v>
      </c>
      <c r="CN14" s="20" t="s">
        <v>129</v>
      </c>
      <c r="CO14" s="20" t="s">
        <v>130</v>
      </c>
      <c r="CQ14" s="20"/>
      <c r="CR14" s="20" t="str" cm="1">
        <f t="array" ref="CR14">IF(OR(ISBLANK(E14),ISBLANK(CQ14)),"Incomplete",_xlfn.XLOOKUP(CQ14,_xlfn.XLOOKUP(E14,'Normative data'!$Y$3:$Y$6,'Normative data'!$Z$3:$AG$6,,-1),'Normative data'!$Z$2:$AG$2,"Not Found",-1))</f>
        <v>Incomplete</v>
      </c>
      <c r="CS14" s="20"/>
      <c r="CT14" s="20"/>
      <c r="CU14" s="20" t="str" cm="1">
        <f t="array" ref="CU14">_xlfn.XLOOKUP(CS14&amp;CT14,(VLOOKUP!$A$3:$A$250)&amp;(VLOOKUP!$B$3:$B$250),VLOOKUP!$C$3:$C$250,"Incomplete",-1)</f>
        <v>Incomplete</v>
      </c>
      <c r="CV14" s="20" t="str" cm="1">
        <f t="array" ref="CV14">_xlfn.XLOOKUP(CU14, _xlfn.XLOOKUP(E14, 'Normative data'!$Y$11:$Y$14, 'Normative data'!$Z$11:$AG$14, ,-1), 'Normative data'!$Z$10:$AG$10, "Not Found", -1)</f>
        <v>Excellent</v>
      </c>
      <c r="CW14" s="20" t="str" cm="1">
        <f t="array" ref="CW14">IF(OR(ISBLANK(CS14),ISBLANK(CT14)),"Incomplete",_xlfn.XLOOKUP(CS14&amp;CT14,VLOOKUP!$A$4:$A$250&amp;VLOOKUP!$B$4:$B$250,VLOOKUP!$D$4:$D$250,"0"))</f>
        <v>Incomplete</v>
      </c>
    </row>
    <row r="15" spans="1:101">
      <c r="A15" s="27" t="s">
        <v>123</v>
      </c>
      <c r="B15" s="27" t="s">
        <v>121</v>
      </c>
      <c r="C15" s="17" t="s">
        <v>86</v>
      </c>
      <c r="D15" s="23">
        <v>40424</v>
      </c>
      <c r="G15" s="17">
        <v>2026</v>
      </c>
      <c r="H15" s="20" t="s">
        <v>114</v>
      </c>
      <c r="I15" s="17">
        <v>1</v>
      </c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>
        <v>8.6999999999999993</v>
      </c>
      <c r="AR15" s="20">
        <v>0.26600000000000001</v>
      </c>
      <c r="AS15" s="20">
        <v>14.9</v>
      </c>
      <c r="AT15" s="20">
        <v>0.34899999999999998</v>
      </c>
      <c r="AU15" s="20">
        <v>10.8</v>
      </c>
      <c r="AV15" s="20">
        <v>0.29699999999999999</v>
      </c>
      <c r="AW15" s="20">
        <v>11.9</v>
      </c>
      <c r="AX15" s="20">
        <v>0.312</v>
      </c>
      <c r="AY15" s="41" t="str">
        <f t="shared" ref="AY15:AY46" si="7">IF(OR(ISBLANK(U15), ISBLANK(AQ15)), "Incomplete", (60.7*AQ15)+(45.3*U15)-2055)</f>
        <v>Incomplete</v>
      </c>
      <c r="AZ15" s="41"/>
      <c r="BA15" s="20" t="str">
        <f t="shared" ref="BA15:BA46" si="8">IF(OR(ISBLANK(U15), ISBLANK(AS15)), "Incomplete", (60.7*AS15)+(45.3*U15)-2055)</f>
        <v>Incomplete</v>
      </c>
      <c r="BB15" s="20"/>
      <c r="BC15" s="20" t="str">
        <f t="shared" ref="BC15:BC46" si="9">IF(OR(ISBLANK(U15), ISBLANK(AU15)), "Incomplete", (60.7*AU15)+(45.3*U15)-2055)</f>
        <v>Incomplete</v>
      </c>
      <c r="BD15" s="20"/>
      <c r="BE15" s="20" t="str">
        <f t="shared" ref="BE15:BE46" si="10">IF(OR(ISBLANK(U15), ISBLANK(AW15)), "Incomplete", (60.7*AW15)+(45.3*U15)-2055)</f>
        <v>Incomplete</v>
      </c>
      <c r="BF15" s="20"/>
      <c r="BG15" s="20">
        <v>18.5</v>
      </c>
      <c r="BH15" s="20">
        <v>38</v>
      </c>
      <c r="BI15" s="20">
        <f t="shared" si="4"/>
        <v>19.5</v>
      </c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91" t="str">
        <f t="shared" si="5"/>
        <v>Incomplete</v>
      </c>
      <c r="BX15" s="91" t="str">
        <f>_xlfn.XLOOKUP(BW15,'Normative data'!$V$3:$V$6,'Normative data'!$W$3:$W$6,"Not Found",-1)</f>
        <v>Very low risk</v>
      </c>
      <c r="BY15" s="91" t="str">
        <f t="shared" si="6"/>
        <v>Incomplete</v>
      </c>
      <c r="BZ15" s="91" t="str">
        <f>_xlfn.XLOOKUP(BY15,'Normative data'!$V$3:$V$6,'Normative data'!$W$3:$W$6,"Not Found",-1)</f>
        <v>Very low risk</v>
      </c>
      <c r="CA15" s="20"/>
      <c r="CC15" s="29"/>
      <c r="CD15" s="29"/>
      <c r="CE15" s="29"/>
      <c r="CF15" s="29"/>
      <c r="CG15" s="20">
        <v>18.739999999999998</v>
      </c>
      <c r="CH15" s="20" t="str">
        <f>_xlfn.XLOOKUP(CG15, 'Normative data'!$S$9:$S$15,'Normative data'!$T$9:$T$15, "Not Found", -1)</f>
        <v>Average</v>
      </c>
      <c r="CI15" s="20">
        <v>19</v>
      </c>
      <c r="CJ15" s="20" t="str">
        <f>_xlfn.XLOOKUP(CI15, 'Normative data'!$S$9:$S$15, 'Normative data'!$T$9:$T$15, "Not Found", -1)</f>
        <v>Average</v>
      </c>
      <c r="CK15" s="20">
        <v>2.08</v>
      </c>
      <c r="CL15" s="20">
        <v>4.8099999999999996</v>
      </c>
      <c r="CN15" s="20">
        <v>6.64</v>
      </c>
      <c r="CO15" s="20">
        <v>7.53</v>
      </c>
      <c r="CQ15" s="20">
        <v>9.1</v>
      </c>
      <c r="CR15" s="20" t="str" cm="1">
        <f t="array" ref="CR15">IF(OR(ISBLANK(E15),ISBLANK(CQ15)),"Incomplete",_xlfn.XLOOKUP(CQ15,_xlfn.XLOOKUP(E15,'Normative data'!$Y$3:$Y$6,'Normative data'!$Z$3:$AG$6,,-1),'Normative data'!$Z$2:$AG$2,"Not Found",-1))</f>
        <v>Incomplete</v>
      </c>
      <c r="CS15" s="20">
        <v>9</v>
      </c>
      <c r="CT15" s="20">
        <v>1</v>
      </c>
      <c r="CU15" s="20" cm="1">
        <f t="array" ref="CU15">_xlfn.XLOOKUP(CS15&amp;CT15,(VLOOKUP!$A$3:$A$250)&amp;(VLOOKUP!$B$3:$B$250),VLOOKUP!$C$3:$C$250,"Incomplete",-1)</f>
        <v>1460</v>
      </c>
      <c r="CV15" s="20" t="str" cm="1">
        <f t="array" ref="CV15">_xlfn.XLOOKUP(CU15, _xlfn.XLOOKUP(E15, 'Normative data'!$Y$11:$Y$14, 'Normative data'!$Z$11:$AG$14, ,-1), 'Normative data'!$Z$10:$AG$10, "Not Found", -1)</f>
        <v>Average</v>
      </c>
      <c r="CW15" s="20" cm="1">
        <f t="array" ref="CW15">IF(OR(ISBLANK(CS15),ISBLANK(CT15)),"Incomplete",_xlfn.XLOOKUP(CS15&amp;CT15,VLOOKUP!$A$4:$A$250&amp;VLOOKUP!$B$4:$B$250,VLOOKUP!$D$4:$D$250,"0"))</f>
        <v>44</v>
      </c>
    </row>
    <row r="16" spans="1:101">
      <c r="A16" s="17" t="s">
        <v>131</v>
      </c>
      <c r="B16" s="17" t="s">
        <v>132</v>
      </c>
      <c r="C16" s="17" t="s">
        <v>86</v>
      </c>
      <c r="D16" s="19">
        <v>39844</v>
      </c>
      <c r="F16" s="17">
        <v>10</v>
      </c>
      <c r="G16" s="17">
        <v>2025</v>
      </c>
      <c r="H16" s="20" t="s">
        <v>124</v>
      </c>
      <c r="I16" s="17">
        <v>3</v>
      </c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41" t="str">
        <f t="shared" si="7"/>
        <v>Incomplete</v>
      </c>
      <c r="AZ16" s="41"/>
      <c r="BA16" s="20" t="str">
        <f t="shared" si="8"/>
        <v>Incomplete</v>
      </c>
      <c r="BB16" s="20"/>
      <c r="BC16" s="20" t="str">
        <f t="shared" si="9"/>
        <v>Incomplete</v>
      </c>
      <c r="BD16" s="20"/>
      <c r="BE16" s="20" t="str">
        <f t="shared" si="10"/>
        <v>Incomplete</v>
      </c>
      <c r="BF16" s="20"/>
      <c r="BG16" s="20"/>
      <c r="BH16" s="20"/>
      <c r="BI16" s="20" t="str">
        <f t="shared" si="4"/>
        <v>Incomplete</v>
      </c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91" t="str">
        <f t="shared" si="5"/>
        <v>Incomplete</v>
      </c>
      <c r="BX16" s="91" t="str">
        <f>_xlfn.XLOOKUP(BW16,'Normative data'!$V$3:$V$6,'Normative data'!$W$3:$W$6,"Not Found",-1)</f>
        <v>Very low risk</v>
      </c>
      <c r="BY16" s="91" t="str">
        <f t="shared" si="6"/>
        <v>Incomplete</v>
      </c>
      <c r="BZ16" s="91" t="str">
        <f>_xlfn.XLOOKUP(BY16,'Normative data'!$V$3:$V$6,'Normative data'!$W$3:$W$6,"Not Found",-1)</f>
        <v>Very low risk</v>
      </c>
      <c r="CA16" s="20"/>
      <c r="CC16" s="20"/>
      <c r="CE16" s="20"/>
      <c r="CG16" s="20"/>
      <c r="CH16" s="20" t="str">
        <f>_xlfn.XLOOKUP(CG16, 'Normative data'!$S$9:$S$15,'Normative data'!$T$9:$T$15, "Not Found", -1)</f>
        <v>not completed</v>
      </c>
      <c r="CI16" s="20"/>
      <c r="CJ16" s="20" t="str">
        <f>_xlfn.XLOOKUP(CI16, 'Normative data'!$S$9:$S$15, 'Normative data'!$T$9:$T$15, "Not Found", -1)</f>
        <v>not completed</v>
      </c>
      <c r="CK16" s="20" t="s">
        <v>133</v>
      </c>
      <c r="CL16" s="20" t="s">
        <v>134</v>
      </c>
      <c r="CN16" s="20" t="s">
        <v>135</v>
      </c>
      <c r="CO16" s="20" t="s">
        <v>136</v>
      </c>
      <c r="CQ16" s="20"/>
      <c r="CR16" s="20" t="str" cm="1">
        <f t="array" ref="CR16">IF(OR(ISBLANK(E16),ISBLANK(CQ16)),"Incomplete",_xlfn.XLOOKUP(CQ16,_xlfn.XLOOKUP(E16,'Normative data'!$Y$3:$Y$6,'Normative data'!$Z$3:$AG$6,,-1),'Normative data'!$Z$2:$AG$2,"Not Found",-1))</f>
        <v>Incomplete</v>
      </c>
      <c r="CS16" s="20"/>
      <c r="CT16" s="20"/>
      <c r="CU16" s="20" t="str" cm="1">
        <f t="array" ref="CU16">_xlfn.XLOOKUP(CS16&amp;CT16,(VLOOKUP!$A$3:$A$250)&amp;(VLOOKUP!$B$3:$B$250),VLOOKUP!$C$3:$C$250,"Incomplete",-1)</f>
        <v>Incomplete</v>
      </c>
      <c r="CV16" s="20" t="str" cm="1">
        <f t="array" ref="CV16">_xlfn.XLOOKUP(CU16, _xlfn.XLOOKUP(E16, 'Normative data'!$Y$11:$Y$14, 'Normative data'!$Z$11:$AG$14, ,-1), 'Normative data'!$Z$10:$AG$10, "Not Found", -1)</f>
        <v>Excellent</v>
      </c>
      <c r="CW16" s="20" t="str" cm="1">
        <f t="array" ref="CW16">IF(OR(ISBLANK(CS16),ISBLANK(CT16)),"Incomplete",_xlfn.XLOOKUP(CS16&amp;CT16,VLOOKUP!$A$4:$A$250&amp;VLOOKUP!$B$4:$B$250,VLOOKUP!$D$4:$D$250,"0"))</f>
        <v>Incomplete</v>
      </c>
    </row>
    <row r="17" spans="1:101">
      <c r="A17" s="27" t="s">
        <v>131</v>
      </c>
      <c r="B17" s="27" t="s">
        <v>132</v>
      </c>
      <c r="C17" s="17" t="s">
        <v>86</v>
      </c>
      <c r="D17" s="19">
        <v>39844</v>
      </c>
      <c r="G17" s="17">
        <v>2026</v>
      </c>
      <c r="H17" s="20" t="s">
        <v>114</v>
      </c>
      <c r="I17" s="17">
        <v>1</v>
      </c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30">
        <v>18.5</v>
      </c>
      <c r="AR17" s="30">
        <v>0.38800000000000001</v>
      </c>
      <c r="AS17" s="30">
        <v>18.399999999999999</v>
      </c>
      <c r="AT17" s="30">
        <v>0.38700000000000001</v>
      </c>
      <c r="AU17" s="30">
        <v>10</v>
      </c>
      <c r="AV17" s="30">
        <v>0.28599999999999998</v>
      </c>
      <c r="AW17" s="30">
        <v>10.1</v>
      </c>
      <c r="AX17" s="30">
        <v>0.28699999999999998</v>
      </c>
      <c r="AY17" s="41" t="str">
        <f t="shared" si="7"/>
        <v>Incomplete</v>
      </c>
      <c r="AZ17" s="41"/>
      <c r="BA17" s="20" t="str">
        <f t="shared" si="8"/>
        <v>Incomplete</v>
      </c>
      <c r="BB17" s="20"/>
      <c r="BC17" s="20" t="str">
        <f t="shared" si="9"/>
        <v>Incomplete</v>
      </c>
      <c r="BD17" s="20"/>
      <c r="BE17" s="20" t="str">
        <f t="shared" si="10"/>
        <v>Incomplete</v>
      </c>
      <c r="BF17" s="20"/>
      <c r="BG17" s="30">
        <v>15</v>
      </c>
      <c r="BH17" s="30">
        <v>64</v>
      </c>
      <c r="BI17" s="20">
        <f t="shared" si="4"/>
        <v>49</v>
      </c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91" t="str">
        <f t="shared" si="5"/>
        <v>Incomplete</v>
      </c>
      <c r="BX17" s="91" t="str">
        <f>_xlfn.XLOOKUP(BW17,'Normative data'!$V$3:$V$6,'Normative data'!$W$3:$W$6,"Not Found",-1)</f>
        <v>Very low risk</v>
      </c>
      <c r="BY17" s="91" t="str">
        <f t="shared" si="6"/>
        <v>Incomplete</v>
      </c>
      <c r="BZ17" s="91" t="str">
        <f>_xlfn.XLOOKUP(BY17,'Normative data'!$V$3:$V$6,'Normative data'!$W$3:$W$6,"Not Found",-1)</f>
        <v>Very low risk</v>
      </c>
      <c r="CA17" s="20"/>
      <c r="CC17" s="31">
        <v>37</v>
      </c>
      <c r="CD17" s="31"/>
      <c r="CE17" s="31">
        <v>2</v>
      </c>
      <c r="CF17" s="31"/>
      <c r="CG17" s="20"/>
      <c r="CH17" s="20" t="str">
        <f>_xlfn.XLOOKUP(CG17, 'Normative data'!$S$9:$S$15,'Normative data'!$T$9:$T$15, "Not Found", -1)</f>
        <v>not completed</v>
      </c>
      <c r="CI17" s="20"/>
      <c r="CJ17" s="20" t="str">
        <f>_xlfn.XLOOKUP(CI17, 'Normative data'!$S$9:$S$15, 'Normative data'!$T$9:$T$15, "Not Found", -1)</f>
        <v>not completed</v>
      </c>
      <c r="CK17" s="30">
        <v>2.12</v>
      </c>
      <c r="CL17" s="30">
        <v>4.72</v>
      </c>
      <c r="CM17" s="30"/>
      <c r="CN17" s="30">
        <v>7.34</v>
      </c>
      <c r="CO17" s="30">
        <v>6.81</v>
      </c>
      <c r="CP17" s="30"/>
      <c r="CQ17" s="20">
        <v>3.6</v>
      </c>
      <c r="CR17" s="20" t="str" cm="1">
        <f t="array" ref="CR17">IF(OR(ISBLANK(E17),ISBLANK(CQ17)),"Incomplete",_xlfn.XLOOKUP(CQ17,_xlfn.XLOOKUP(E17,'Normative data'!$Y$3:$Y$6,'Normative data'!$Z$3:$AG$6,,-1),'Normative data'!$Z$2:$AG$2,"Not Found",-1))</f>
        <v>Incomplete</v>
      </c>
      <c r="CS17" s="20">
        <v>3</v>
      </c>
      <c r="CT17" s="20">
        <v>6</v>
      </c>
      <c r="CU17" s="20" cm="1">
        <f t="array" ref="CU17">_xlfn.XLOOKUP(CS17&amp;CT17,(VLOOKUP!$A$3:$A$250)&amp;(VLOOKUP!$B$3:$B$250),VLOOKUP!$C$3:$C$250,"Incomplete",-1)</f>
        <v>420</v>
      </c>
      <c r="CV17" s="20" t="str" cm="1">
        <f t="array" ref="CV17">_xlfn.XLOOKUP(CU17, _xlfn.XLOOKUP(E17, 'Normative data'!$Y$11:$Y$14, 'Normative data'!$Z$11:$AG$14, ,-1), 'Normative data'!$Z$10:$AG$10, "Not Found", -1)</f>
        <v xml:space="preserve">Very poor </v>
      </c>
      <c r="CW17" s="20" cm="1">
        <f t="array" ref="CW17">IF(OR(ISBLANK(CS17),ISBLANK(CT17)),"Incomplete",_xlfn.XLOOKUP(CS17&amp;CT17,VLOOKUP!$A$4:$A$250&amp;VLOOKUP!$B$4:$B$250,VLOOKUP!$D$4:$D$250,"0"))</f>
        <v>25</v>
      </c>
    </row>
    <row r="18" spans="1:101">
      <c r="A18" s="18" t="s">
        <v>137</v>
      </c>
      <c r="B18" s="18" t="s">
        <v>132</v>
      </c>
      <c r="C18" s="17" t="s">
        <v>86</v>
      </c>
      <c r="D18" s="19">
        <v>39844</v>
      </c>
      <c r="F18" s="17">
        <v>10</v>
      </c>
      <c r="G18" s="17">
        <v>2025</v>
      </c>
      <c r="H18" s="20" t="s">
        <v>124</v>
      </c>
      <c r="I18" s="17">
        <v>3</v>
      </c>
      <c r="J18" s="17" t="s">
        <v>88</v>
      </c>
      <c r="S18" s="20"/>
      <c r="T18" s="20">
        <v>166.4</v>
      </c>
      <c r="U18" s="20">
        <v>75.900000000000006</v>
      </c>
      <c r="V18" s="20"/>
      <c r="W18" s="20">
        <v>27</v>
      </c>
      <c r="X18" s="20">
        <f>SUM(T18-W18)</f>
        <v>139.4</v>
      </c>
      <c r="Y18" s="20">
        <v>27.3</v>
      </c>
      <c r="Z18" s="20">
        <v>27.4</v>
      </c>
      <c r="AA18" s="20">
        <v>35.9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>
        <v>25.6</v>
      </c>
      <c r="AR18" s="20">
        <v>0.41399999999999998</v>
      </c>
      <c r="AS18" s="20">
        <v>30.9</v>
      </c>
      <c r="AT18" s="20">
        <v>0.35099999999999998</v>
      </c>
      <c r="AU18" s="20">
        <v>13.3</v>
      </c>
      <c r="AV18" s="20">
        <v>0.32900000000000001</v>
      </c>
      <c r="AW18" s="20">
        <v>11.7</v>
      </c>
      <c r="AX18" s="20">
        <v>0.309</v>
      </c>
      <c r="AY18" s="41">
        <f t="shared" si="7"/>
        <v>2937.1900000000005</v>
      </c>
      <c r="AZ18" s="41"/>
      <c r="BA18" s="20">
        <f t="shared" si="8"/>
        <v>3258.8999999999996</v>
      </c>
      <c r="BB18" s="20"/>
      <c r="BC18" s="20">
        <f t="shared" si="9"/>
        <v>2190.58</v>
      </c>
      <c r="BD18" s="20"/>
      <c r="BE18" s="20">
        <f t="shared" si="10"/>
        <v>2093.46</v>
      </c>
      <c r="BF18" s="20"/>
      <c r="BG18" s="20">
        <v>17</v>
      </c>
      <c r="BH18" s="20">
        <v>50</v>
      </c>
      <c r="BI18" s="20" t="e">
        <f>IF(OR(ISBLANK(#REF!), ISBLANK(#REF!)),"Incomplete",(SUM(#REF!-#REF!)))</f>
        <v>#REF!</v>
      </c>
      <c r="BJ18" s="20"/>
      <c r="BK18" s="20">
        <v>5</v>
      </c>
      <c r="BL18" s="20"/>
      <c r="BM18" s="20">
        <v>5</v>
      </c>
      <c r="BN18" s="20"/>
      <c r="BO18" s="20"/>
      <c r="BP18" s="20"/>
      <c r="BQ18" s="20"/>
      <c r="BR18" s="20"/>
      <c r="BS18" s="20"/>
      <c r="BT18" s="20"/>
      <c r="BU18" s="20"/>
      <c r="BV18" s="20"/>
      <c r="BW18" s="91">
        <f t="shared" si="5"/>
        <v>0</v>
      </c>
      <c r="BX18" s="91" t="str">
        <f>_xlfn.XLOOKUP(BW18,'Normative data'!$V$3:$V$6,'Normative data'!$W$3:$W$6,"Not Found",-1)</f>
        <v>Not completed</v>
      </c>
      <c r="BY18" s="91">
        <f t="shared" si="6"/>
        <v>0</v>
      </c>
      <c r="BZ18" s="91" t="str">
        <f>_xlfn.XLOOKUP(BY18,'Normative data'!$V$3:$V$6,'Normative data'!$W$3:$W$6,"Not Found",-1)</f>
        <v>Not completed</v>
      </c>
      <c r="CA18" s="20"/>
      <c r="CC18" s="20"/>
      <c r="CE18" s="20">
        <v>1</v>
      </c>
      <c r="CG18" s="20"/>
      <c r="CH18" s="20" t="str">
        <f>_xlfn.XLOOKUP(CG18, 'Normative data'!$S$9:$S$15,'Normative data'!$T$9:$T$15, "Not Found", -1)</f>
        <v>not completed</v>
      </c>
      <c r="CI18" s="20"/>
      <c r="CJ18" s="20" t="str">
        <f>_xlfn.XLOOKUP(CI18, 'Normative data'!$S$9:$S$15, 'Normative data'!$T$9:$T$15, "Not Found", -1)</f>
        <v>not completed</v>
      </c>
      <c r="CK18" s="21">
        <v>2.29</v>
      </c>
      <c r="CL18" s="21">
        <v>4.37</v>
      </c>
      <c r="CM18" s="21"/>
      <c r="CN18" s="21">
        <v>7.46</v>
      </c>
      <c r="CO18" s="21">
        <v>7.7</v>
      </c>
      <c r="CQ18" s="20"/>
      <c r="CR18" s="20" t="str" cm="1">
        <f t="array" ref="CR18">IF(OR(ISBLANK(E18),ISBLANK(CQ18)),"Incomplete",_xlfn.XLOOKUP(CQ18,_xlfn.XLOOKUP(E18,'Normative data'!$Y$3:$Y$6,'Normative data'!$Z$3:$AG$6,,-1),'Normative data'!$Z$2:$AG$2,"Not Found",-1))</f>
        <v>Incomplete</v>
      </c>
      <c r="CS18" s="20"/>
      <c r="CT18" s="20"/>
      <c r="CU18" s="20" t="str" cm="1">
        <f t="array" ref="CU18">_xlfn.XLOOKUP(CS18&amp;CT18,(VLOOKUP!$A$3:$A$250)&amp;(VLOOKUP!$B$3:$B$250),VLOOKUP!$C$3:$C$250,"Incomplete",-1)</f>
        <v>Incomplete</v>
      </c>
      <c r="CV18" s="20" t="str" cm="1">
        <f t="array" ref="CV18">_xlfn.XLOOKUP(CU18, _xlfn.XLOOKUP(E18, 'Normative data'!$Y$11:$Y$14, 'Normative data'!$Z$11:$AG$14, ,-1), 'Normative data'!$Z$10:$AG$10, "Not Found", -1)</f>
        <v>Excellent</v>
      </c>
      <c r="CW18" s="20" t="str" cm="1">
        <f t="array" ref="CW18">IF(OR(ISBLANK(CS18),ISBLANK(CT18)),"Incomplete",_xlfn.XLOOKUP(CS18&amp;CT18,VLOOKUP!$A$4:$A$250&amp;VLOOKUP!$B$4:$B$250,VLOOKUP!$D$4:$D$250,"0"))</f>
        <v>Incomplete</v>
      </c>
    </row>
    <row r="19" spans="1:101">
      <c r="A19" s="18" t="s">
        <v>120</v>
      </c>
      <c r="B19" s="18" t="s">
        <v>138</v>
      </c>
      <c r="C19" s="17" t="s">
        <v>86</v>
      </c>
      <c r="D19" s="19">
        <v>40342</v>
      </c>
      <c r="F19" s="17">
        <v>9</v>
      </c>
      <c r="G19" s="17">
        <v>2025</v>
      </c>
      <c r="H19" s="20" t="s">
        <v>124</v>
      </c>
      <c r="I19" s="17">
        <v>3</v>
      </c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41" t="str">
        <f t="shared" si="7"/>
        <v>Incomplete</v>
      </c>
      <c r="AZ19" s="20"/>
      <c r="BA19" s="20" t="str">
        <f t="shared" si="8"/>
        <v>Incomplete</v>
      </c>
      <c r="BB19" s="20"/>
      <c r="BC19" s="20" t="str">
        <f t="shared" si="9"/>
        <v>Incomplete</v>
      </c>
      <c r="BD19" s="20"/>
      <c r="BE19" s="20" t="str">
        <f t="shared" si="10"/>
        <v>Incomplete</v>
      </c>
      <c r="BF19" s="20"/>
      <c r="BG19" s="20">
        <v>10.199999999999999</v>
      </c>
      <c r="BH19" s="20">
        <v>21</v>
      </c>
      <c r="BI19" s="20">
        <f t="shared" ref="BI19:BI50" si="11">IF(OR(ISBLANK(BG19), ISBLANK(BH19)),"Incomplete",(SUM(BH19-BG19)))</f>
        <v>10.8</v>
      </c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91" t="str">
        <f t="shared" si="5"/>
        <v>Incomplete</v>
      </c>
      <c r="BX19" s="91" t="str">
        <f>_xlfn.XLOOKUP(BW19,'Normative data'!$V$3:$V$6,'Normative data'!$W$3:$W$6,"Not Found",-1)</f>
        <v>Very low risk</v>
      </c>
      <c r="BY19" s="91" t="str">
        <f t="shared" si="6"/>
        <v>Incomplete</v>
      </c>
      <c r="BZ19" s="91" t="str">
        <f>_xlfn.XLOOKUP(BY19,'Normative data'!$V$3:$V$6,'Normative data'!$W$3:$W$6,"Not Found",-1)</f>
        <v>Very low risk</v>
      </c>
      <c r="CA19" s="20"/>
      <c r="CC19" s="20"/>
      <c r="CE19" s="20"/>
      <c r="CG19" s="20"/>
      <c r="CH19" s="20" t="str">
        <f>_xlfn.XLOOKUP(CG19, 'Normative data'!$S$9:$S$15,'Normative data'!$T$9:$T$15, "Not Found", -1)</f>
        <v>not completed</v>
      </c>
      <c r="CI19" s="20"/>
      <c r="CJ19" s="20" t="str">
        <f>_xlfn.XLOOKUP(CI19, 'Normative data'!$S$9:$S$15, 'Normative data'!$T$9:$T$15, "Not Found", -1)</f>
        <v>not completed</v>
      </c>
      <c r="CK19" s="21">
        <v>2.63</v>
      </c>
      <c r="CL19" s="21">
        <v>3.8</v>
      </c>
      <c r="CM19" s="21"/>
      <c r="CN19" s="21">
        <v>8.69</v>
      </c>
      <c r="CO19" s="21">
        <v>5.75</v>
      </c>
      <c r="CP19" s="21"/>
      <c r="CQ19" s="20"/>
      <c r="CR19" s="20" t="str" cm="1">
        <f t="array" ref="CR19">IF(OR(ISBLANK(E19),ISBLANK(CQ19)),"Incomplete",_xlfn.XLOOKUP(CQ19,_xlfn.XLOOKUP(E19,'Normative data'!$Y$3:$Y$6,'Normative data'!$Z$3:$AG$6,,-1),'Normative data'!$Z$2:$AG$2,"Not Found",-1))</f>
        <v>Incomplete</v>
      </c>
      <c r="CS19" s="20"/>
      <c r="CT19" s="20"/>
      <c r="CU19" s="20" t="str" cm="1">
        <f t="array" ref="CU19">_xlfn.XLOOKUP(CS19&amp;CT19,(VLOOKUP!$A$3:$A$250)&amp;(VLOOKUP!$B$3:$B$250),VLOOKUP!$C$3:$C$250,"Incomplete",-1)</f>
        <v>Incomplete</v>
      </c>
      <c r="CV19" s="20" t="str" cm="1">
        <f t="array" ref="CV19">_xlfn.XLOOKUP(CU19, _xlfn.XLOOKUP(E19, 'Normative data'!$Y$11:$Y$14, 'Normative data'!$Z$11:$AG$14, ,-1), 'Normative data'!$Z$10:$AG$10, "Not Found", -1)</f>
        <v>Excellent</v>
      </c>
      <c r="CW19" s="20" t="str" cm="1">
        <f t="array" ref="CW19">IF(OR(ISBLANK(CS19),ISBLANK(CT19)),"Incomplete",_xlfn.XLOOKUP(CS19&amp;CT19,VLOOKUP!$A$4:$A$250&amp;VLOOKUP!$B$4:$B$250,VLOOKUP!$D$4:$D$250,"0"))</f>
        <v>Incomplete</v>
      </c>
    </row>
    <row r="20" spans="1:101">
      <c r="A20" s="17" t="s">
        <v>139</v>
      </c>
      <c r="B20" s="17" t="s">
        <v>140</v>
      </c>
      <c r="C20" s="17" t="s">
        <v>86</v>
      </c>
      <c r="D20" s="26"/>
      <c r="F20" s="17">
        <v>11</v>
      </c>
      <c r="G20" s="17">
        <v>2025</v>
      </c>
      <c r="H20" s="20" t="s">
        <v>124</v>
      </c>
      <c r="I20" s="17">
        <v>3</v>
      </c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41" t="str">
        <f t="shared" si="7"/>
        <v>Incomplete</v>
      </c>
      <c r="AZ20" s="20"/>
      <c r="BA20" s="20" t="str">
        <f t="shared" si="8"/>
        <v>Incomplete</v>
      </c>
      <c r="BB20" s="20"/>
      <c r="BC20" s="20" t="str">
        <f t="shared" si="9"/>
        <v>Incomplete</v>
      </c>
      <c r="BD20" s="20"/>
      <c r="BE20" s="20" t="str">
        <f t="shared" si="10"/>
        <v>Incomplete</v>
      </c>
      <c r="BF20" s="20"/>
      <c r="BG20" s="20">
        <v>14</v>
      </c>
      <c r="BH20" s="20">
        <v>29</v>
      </c>
      <c r="BI20" s="20">
        <f t="shared" si="11"/>
        <v>15</v>
      </c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91" t="str">
        <f t="shared" si="5"/>
        <v>Incomplete</v>
      </c>
      <c r="BX20" s="91" t="str">
        <f>_xlfn.XLOOKUP(BW20,'Normative data'!$V$3:$V$6,'Normative data'!$W$3:$W$6,"Not Found",-1)</f>
        <v>Very low risk</v>
      </c>
      <c r="BY20" s="91" t="str">
        <f t="shared" si="6"/>
        <v>Incomplete</v>
      </c>
      <c r="BZ20" s="91" t="str">
        <f>_xlfn.XLOOKUP(BY20,'Normative data'!$V$3:$V$6,'Normative data'!$W$3:$W$6,"Not Found",-1)</f>
        <v>Very low risk</v>
      </c>
      <c r="CA20" s="20"/>
      <c r="CC20" s="20"/>
      <c r="CE20" s="20">
        <v>12</v>
      </c>
      <c r="CG20" s="20"/>
      <c r="CH20" s="20" t="str">
        <f>_xlfn.XLOOKUP(CG20, 'Normative data'!$S$9:$S$15,'Normative data'!$T$9:$T$15, "Not Found", -1)</f>
        <v>not completed</v>
      </c>
      <c r="CI20" s="20"/>
      <c r="CJ20" s="20" t="str">
        <f>_xlfn.XLOOKUP(CI20, 'Normative data'!$S$9:$S$15, 'Normative data'!$T$9:$T$15, "Not Found", -1)</f>
        <v>not completed</v>
      </c>
      <c r="CK20" s="21"/>
      <c r="CL20" s="21"/>
      <c r="CM20" s="21"/>
      <c r="CN20" s="21"/>
      <c r="CO20" s="21"/>
      <c r="CP20" s="21"/>
      <c r="CQ20" s="20"/>
      <c r="CR20" s="20" t="str" cm="1">
        <f t="array" ref="CR20">IF(OR(ISBLANK(E20),ISBLANK(CQ20)),"Incomplete",_xlfn.XLOOKUP(CQ20,_xlfn.XLOOKUP(E20,'Normative data'!$Y$3:$Y$6,'Normative data'!$Z$3:$AG$6,,-1),'Normative data'!$Z$2:$AG$2,"Not Found",-1))</f>
        <v>Incomplete</v>
      </c>
      <c r="CS20" s="20"/>
      <c r="CT20" s="20"/>
      <c r="CU20" s="20" t="str" cm="1">
        <f t="array" ref="CU20">_xlfn.XLOOKUP(CS20&amp;CT20,(VLOOKUP!$A$3:$A$250)&amp;(VLOOKUP!$B$3:$B$250),VLOOKUP!$C$3:$C$250,"Incomplete",-1)</f>
        <v>Incomplete</v>
      </c>
      <c r="CV20" s="20" t="str" cm="1">
        <f t="array" ref="CV20">_xlfn.XLOOKUP(CU20, _xlfn.XLOOKUP(E20, 'Normative data'!$Y$11:$Y$14, 'Normative data'!$Z$11:$AG$14, ,-1), 'Normative data'!$Z$10:$AG$10, "Not Found", -1)</f>
        <v>Excellent</v>
      </c>
      <c r="CW20" s="20" t="str" cm="1">
        <f t="array" ref="CW20">IF(OR(ISBLANK(CS20),ISBLANK(CT20)),"Incomplete",_xlfn.XLOOKUP(CS20&amp;CT20,VLOOKUP!$A$4:$A$250&amp;VLOOKUP!$B$4:$B$250,VLOOKUP!$D$4:$D$250,"0"))</f>
        <v>Incomplete</v>
      </c>
    </row>
    <row r="21" spans="1:101">
      <c r="A21" s="17" t="s">
        <v>141</v>
      </c>
      <c r="B21" s="17" t="s">
        <v>142</v>
      </c>
      <c r="C21" s="17" t="s">
        <v>86</v>
      </c>
      <c r="D21" s="26">
        <v>41258</v>
      </c>
      <c r="E21" s="17">
        <v>13.5</v>
      </c>
      <c r="F21" s="20" t="s">
        <v>97</v>
      </c>
      <c r="G21" s="17">
        <v>2026</v>
      </c>
      <c r="I21" s="20">
        <v>2</v>
      </c>
      <c r="J21" s="20" t="s">
        <v>100</v>
      </c>
      <c r="K21" s="20" t="s">
        <v>108</v>
      </c>
      <c r="L21" s="20"/>
      <c r="S21" s="20">
        <v>82.8</v>
      </c>
      <c r="T21" s="20">
        <v>164.8</v>
      </c>
      <c r="U21" s="17">
        <v>50.4</v>
      </c>
      <c r="V21" s="17">
        <v>27.9</v>
      </c>
      <c r="W21" s="17">
        <v>12.3</v>
      </c>
      <c r="X21" s="17">
        <v>38.1</v>
      </c>
      <c r="Y21" s="17">
        <v>20.5</v>
      </c>
      <c r="Z21" s="17">
        <v>18.600000000000001</v>
      </c>
      <c r="AA21" s="17">
        <v>24.4</v>
      </c>
      <c r="AB21" s="17">
        <v>6.07</v>
      </c>
      <c r="AC21" s="17">
        <v>104.3</v>
      </c>
      <c r="AD21" s="17">
        <v>6.07</v>
      </c>
      <c r="AE21" s="17">
        <v>104.2</v>
      </c>
      <c r="AF21" s="17">
        <v>2.1</v>
      </c>
      <c r="AG21" s="17">
        <v>85.7</v>
      </c>
      <c r="AH21" s="17">
        <v>2.1</v>
      </c>
      <c r="AI21" s="17">
        <v>85.6</v>
      </c>
      <c r="AJ21" s="17">
        <v>339.5</v>
      </c>
      <c r="AK21" s="17">
        <v>340</v>
      </c>
      <c r="AL21" s="17">
        <v>306</v>
      </c>
      <c r="AM21" s="17">
        <v>307.3</v>
      </c>
      <c r="AN21" s="17">
        <v>98</v>
      </c>
      <c r="AQ21" s="17">
        <v>19.3</v>
      </c>
      <c r="AR21" s="17">
        <v>0.39700000000000002</v>
      </c>
      <c r="AS21" s="17">
        <v>26.7</v>
      </c>
      <c r="AT21" s="17">
        <v>0.46700000000000003</v>
      </c>
      <c r="AU21" s="17">
        <v>11.3</v>
      </c>
      <c r="AV21" s="17">
        <v>0.30399999999999999</v>
      </c>
      <c r="AW21" s="17">
        <v>13.1</v>
      </c>
      <c r="AX21" s="17">
        <v>0.32700000000000001</v>
      </c>
      <c r="AY21" s="41">
        <f t="shared" si="7"/>
        <v>1399.63</v>
      </c>
      <c r="BA21" s="20">
        <f t="shared" si="8"/>
        <v>1848.81</v>
      </c>
      <c r="BC21" s="20">
        <f t="shared" si="9"/>
        <v>914.02999999999975</v>
      </c>
      <c r="BE21" s="20">
        <f t="shared" si="10"/>
        <v>1023.29</v>
      </c>
      <c r="BG21" s="17">
        <v>9.5</v>
      </c>
      <c r="BH21" s="17">
        <v>35.9</v>
      </c>
      <c r="BI21" s="20">
        <f t="shared" si="11"/>
        <v>26.4</v>
      </c>
      <c r="BJ21" s="20"/>
      <c r="BK21" s="17">
        <v>9</v>
      </c>
      <c r="BL21" s="20"/>
      <c r="BM21" s="17">
        <v>8</v>
      </c>
      <c r="BN21" s="20"/>
      <c r="BO21" s="17">
        <v>46.5</v>
      </c>
      <c r="BP21" s="17">
        <v>46.5</v>
      </c>
      <c r="BQ21" s="17">
        <v>94</v>
      </c>
      <c r="BR21" s="17">
        <v>82</v>
      </c>
      <c r="BS21" s="17">
        <v>76</v>
      </c>
      <c r="BT21" s="17">
        <v>84</v>
      </c>
      <c r="BU21" s="17">
        <v>78</v>
      </c>
      <c r="BV21" s="17">
        <v>70</v>
      </c>
      <c r="BW21" s="91">
        <f t="shared" si="5"/>
        <v>102.43902439024389</v>
      </c>
      <c r="BX21" s="91" t="str">
        <f>_xlfn.XLOOKUP(BW21,'Normative data'!$V$3:$V$6,'Normative data'!$W$3:$W$6,"Not Found",-1)</f>
        <v>Low risk</v>
      </c>
      <c r="BY21" s="91">
        <f t="shared" si="6"/>
        <v>94.308943089430869</v>
      </c>
      <c r="BZ21" s="91" t="str">
        <f>_xlfn.XLOOKUP(BY21,'Normative data'!$V$3:$V$6,'Normative data'!$W$3:$W$6,"Not Found",-1)</f>
        <v>High risk</v>
      </c>
      <c r="CA21" s="17">
        <v>31</v>
      </c>
      <c r="CC21" s="20"/>
      <c r="CE21" s="17">
        <v>19</v>
      </c>
      <c r="CH21" s="20" t="str">
        <f>_xlfn.XLOOKUP(CG21, 'Normative data'!$S$9:$S$15,'Normative data'!$T$9:$T$15, "Not Found", -1)</f>
        <v>not completed</v>
      </c>
      <c r="CJ21" s="20" t="str">
        <f>_xlfn.XLOOKUP(CI21, 'Normative data'!$S$9:$S$15, 'Normative data'!$T$9:$T$15, "Not Found", -1)</f>
        <v>not completed</v>
      </c>
      <c r="CK21" s="17">
        <v>2.25</v>
      </c>
      <c r="CL21" s="17">
        <v>4.4400000000000004</v>
      </c>
      <c r="CN21" s="17">
        <v>6.94</v>
      </c>
      <c r="CO21" s="17">
        <v>7.2</v>
      </c>
      <c r="CR21" s="20" t="str" cm="1">
        <f t="array" ref="CR21">IF(OR(ISBLANK(E21),ISBLANK(CQ21)),"Incomplete",_xlfn.XLOOKUP(CQ21,_xlfn.XLOOKUP(E21,'Normative data'!$Y$3:$Y$6,'Normative data'!$Z$3:$AG$6,,-1),'Normative data'!$Z$2:$AG$2,"Not Found",-1))</f>
        <v>Incomplete</v>
      </c>
      <c r="CS21" s="20"/>
      <c r="CT21" s="20"/>
      <c r="CU21" s="20" t="str" cm="1">
        <f t="array" ref="CU21">_xlfn.XLOOKUP(CS21&amp;CT21,(VLOOKUP!$A$3:$A$250)&amp;(VLOOKUP!$B$3:$B$250),VLOOKUP!$C$3:$C$250,"Incomplete",-1)</f>
        <v>Incomplete</v>
      </c>
      <c r="CV21" s="20" t="str" cm="1">
        <f t="array" ref="CV21">_xlfn.XLOOKUP(CU21, _xlfn.XLOOKUP(E21, 'Normative data'!$Y$11:$Y$14, 'Normative data'!$Z$11:$AG$14, ,-1), 'Normative data'!$Z$10:$AG$10, "Not Found", -1)</f>
        <v>Excellent</v>
      </c>
      <c r="CW21" s="20" t="str" cm="1">
        <f t="array" ref="CW21">IF(OR(ISBLANK(CS21),ISBLANK(CT21)),"Incomplete",_xlfn.XLOOKUP(CS21&amp;CT21,VLOOKUP!$A$4:$A$250&amp;VLOOKUP!$B$4:$B$250,VLOOKUP!$D$4:$D$250,"0"))</f>
        <v>Incomplete</v>
      </c>
    </row>
    <row r="22" spans="1:101">
      <c r="A22" s="22" t="s">
        <v>143</v>
      </c>
      <c r="B22" s="22" t="s">
        <v>144</v>
      </c>
      <c r="C22" s="17" t="s">
        <v>86</v>
      </c>
      <c r="D22" s="23">
        <v>40259</v>
      </c>
      <c r="F22" s="17">
        <v>9</v>
      </c>
      <c r="G22" s="17">
        <v>2025</v>
      </c>
      <c r="H22" s="20" t="s">
        <v>114</v>
      </c>
      <c r="I22" s="17">
        <v>1</v>
      </c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41" t="str">
        <f t="shared" si="7"/>
        <v>Incomplete</v>
      </c>
      <c r="AZ22" s="20"/>
      <c r="BA22" s="20" t="str">
        <f t="shared" si="8"/>
        <v>Incomplete</v>
      </c>
      <c r="BB22" s="20"/>
      <c r="BC22" s="20" t="str">
        <f t="shared" si="9"/>
        <v>Incomplete</v>
      </c>
      <c r="BD22" s="20"/>
      <c r="BE22" s="20" t="str">
        <f t="shared" si="10"/>
        <v>Incomplete</v>
      </c>
      <c r="BF22" s="20"/>
      <c r="BG22" s="20">
        <v>16</v>
      </c>
      <c r="BH22" s="20">
        <v>45.5</v>
      </c>
      <c r="BI22" s="20">
        <f t="shared" si="11"/>
        <v>29.5</v>
      </c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91" t="str">
        <f t="shared" si="5"/>
        <v>Incomplete</v>
      </c>
      <c r="BX22" s="91" t="str">
        <f>_xlfn.XLOOKUP(BW22,'Normative data'!$V$3:$V$6,'Normative data'!$W$3:$W$6,"Not Found",-1)</f>
        <v>Very low risk</v>
      </c>
      <c r="BY22" s="91" t="str">
        <f t="shared" si="6"/>
        <v>Incomplete</v>
      </c>
      <c r="BZ22" s="91" t="str">
        <f>_xlfn.XLOOKUP(BY22,'Normative data'!$V$3:$V$6,'Normative data'!$W$3:$W$6,"Not Found",-1)</f>
        <v>Very low risk</v>
      </c>
      <c r="CA22" s="20"/>
      <c r="CC22" s="20"/>
      <c r="CE22" s="20">
        <v>13</v>
      </c>
      <c r="CG22" s="20"/>
      <c r="CH22" s="20" t="str">
        <f>_xlfn.XLOOKUP(CG22, 'Normative data'!$S$9:$S$15,'Normative data'!$T$9:$T$15, "Not Found", -1)</f>
        <v>not completed</v>
      </c>
      <c r="CI22" s="20"/>
      <c r="CJ22" s="20" t="str">
        <f>_xlfn.XLOOKUP(CI22, 'Normative data'!$S$9:$S$15, 'Normative data'!$T$9:$T$15, "Not Found", -1)</f>
        <v>not completed</v>
      </c>
      <c r="CK22" s="24">
        <v>2.09</v>
      </c>
      <c r="CL22" s="24">
        <v>4.78</v>
      </c>
      <c r="CM22" s="21"/>
      <c r="CN22" s="24">
        <v>6.8</v>
      </c>
      <c r="CO22" s="24">
        <v>7.35</v>
      </c>
      <c r="CP22" s="24"/>
      <c r="CQ22" s="20"/>
      <c r="CR22" s="20" t="str" cm="1">
        <f t="array" ref="CR22">IF(OR(ISBLANK(E22),ISBLANK(CQ22)),"Incomplete",_xlfn.XLOOKUP(CQ22,_xlfn.XLOOKUP(E22,'Normative data'!$Y$3:$Y$6,'Normative data'!$Z$3:$AG$6,,-1),'Normative data'!$Z$2:$AG$2,"Not Found",-1))</f>
        <v>Incomplete</v>
      </c>
      <c r="CS22" s="20"/>
      <c r="CT22" s="20"/>
      <c r="CU22" s="20" t="str" cm="1">
        <f t="array" ref="CU22">_xlfn.XLOOKUP(CS22&amp;CT22,(VLOOKUP!$A$3:$A$250)&amp;(VLOOKUP!$B$3:$B$250),VLOOKUP!$C$3:$C$250,"Incomplete",-1)</f>
        <v>Incomplete</v>
      </c>
      <c r="CV22" s="20" t="str" cm="1">
        <f t="array" ref="CV22">_xlfn.XLOOKUP(CU22, _xlfn.XLOOKUP(E22, 'Normative data'!$Y$11:$Y$14, 'Normative data'!$Z$11:$AG$14, ,-1), 'Normative data'!$Z$10:$AG$10, "Not Found", -1)</f>
        <v>Excellent</v>
      </c>
      <c r="CW22" s="20" t="str" cm="1">
        <f t="array" ref="CW22">IF(OR(ISBLANK(CS22),ISBLANK(CT22)),"Incomplete",_xlfn.XLOOKUP(CS22&amp;CT22,VLOOKUP!$A$4:$A$250&amp;VLOOKUP!$B$4:$B$250,VLOOKUP!$D$4:$D$250,"0"))</f>
        <v>Incomplete</v>
      </c>
    </row>
    <row r="23" spans="1:101">
      <c r="A23" s="17" t="s">
        <v>143</v>
      </c>
      <c r="B23" s="17" t="s">
        <v>144</v>
      </c>
      <c r="C23" s="17" t="s">
        <v>86</v>
      </c>
      <c r="D23" s="26"/>
      <c r="F23" s="17">
        <v>9</v>
      </c>
      <c r="G23" s="17">
        <v>2025</v>
      </c>
      <c r="H23" s="20" t="s">
        <v>124</v>
      </c>
      <c r="I23" s="17">
        <v>3</v>
      </c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41" t="str">
        <f t="shared" si="7"/>
        <v>Incomplete</v>
      </c>
      <c r="AZ23" s="20"/>
      <c r="BA23" s="20" t="str">
        <f t="shared" si="8"/>
        <v>Incomplete</v>
      </c>
      <c r="BB23" s="20"/>
      <c r="BC23" s="20" t="str">
        <f t="shared" si="9"/>
        <v>Incomplete</v>
      </c>
      <c r="BD23" s="20"/>
      <c r="BE23" s="20" t="str">
        <f t="shared" si="10"/>
        <v>Incomplete</v>
      </c>
      <c r="BF23" s="20"/>
      <c r="BG23" s="20"/>
      <c r="BH23" s="20"/>
      <c r="BI23" s="20" t="str">
        <f t="shared" si="11"/>
        <v>Incomplete</v>
      </c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91" t="str">
        <f t="shared" si="5"/>
        <v>Incomplete</v>
      </c>
      <c r="BX23" s="91" t="str">
        <f>_xlfn.XLOOKUP(BW23,'Normative data'!$V$3:$V$6,'Normative data'!$W$3:$W$6,"Not Found",-1)</f>
        <v>Very low risk</v>
      </c>
      <c r="BY23" s="91" t="str">
        <f t="shared" si="6"/>
        <v>Incomplete</v>
      </c>
      <c r="BZ23" s="91" t="str">
        <f>_xlfn.XLOOKUP(BY23,'Normative data'!$V$3:$V$6,'Normative data'!$W$3:$W$6,"Not Found",-1)</f>
        <v>Very low risk</v>
      </c>
      <c r="CA23" s="20"/>
      <c r="CC23" s="20"/>
      <c r="CE23" s="20"/>
      <c r="CG23" s="20"/>
      <c r="CH23" s="20" t="str">
        <f>_xlfn.XLOOKUP(CG23, 'Normative data'!$S$9:$S$15,'Normative data'!$T$9:$T$15, "Not Found", -1)</f>
        <v>not completed</v>
      </c>
      <c r="CI23" s="20"/>
      <c r="CJ23" s="20" t="str">
        <f>_xlfn.XLOOKUP(CI23, 'Normative data'!$S$9:$S$15, 'Normative data'!$T$9:$T$15, "Not Found", -1)</f>
        <v>not completed</v>
      </c>
      <c r="CK23" s="20" t="s">
        <v>145</v>
      </c>
      <c r="CL23" s="20" t="s">
        <v>146</v>
      </c>
      <c r="CN23" s="20" t="s">
        <v>147</v>
      </c>
      <c r="CO23" s="20" t="s">
        <v>148</v>
      </c>
      <c r="CQ23" s="20"/>
      <c r="CR23" s="20" t="str" cm="1">
        <f t="array" ref="CR23">IF(OR(ISBLANK(E23),ISBLANK(CQ23)),"Incomplete",_xlfn.XLOOKUP(CQ23,_xlfn.XLOOKUP(E23,'Normative data'!$Y$3:$Y$6,'Normative data'!$Z$3:$AG$6,,-1),'Normative data'!$Z$2:$AG$2,"Not Found",-1))</f>
        <v>Incomplete</v>
      </c>
      <c r="CS23" s="20"/>
      <c r="CT23" s="20"/>
      <c r="CU23" s="20" t="str" cm="1">
        <f t="array" ref="CU23">_xlfn.XLOOKUP(CS23&amp;CT23,(VLOOKUP!$A$3:$A$250)&amp;(VLOOKUP!$B$3:$B$250),VLOOKUP!$C$3:$C$250,"Incomplete",-1)</f>
        <v>Incomplete</v>
      </c>
      <c r="CV23" s="20" t="str" cm="1">
        <f t="array" ref="CV23">_xlfn.XLOOKUP(CU23, _xlfn.XLOOKUP(E23, 'Normative data'!$Y$11:$Y$14, 'Normative data'!$Z$11:$AG$14, ,-1), 'Normative data'!$Z$10:$AG$10, "Not Found", -1)</f>
        <v>Excellent</v>
      </c>
      <c r="CW23" s="20" t="str" cm="1">
        <f t="array" ref="CW23">IF(OR(ISBLANK(CS23),ISBLANK(CT23)),"Incomplete",_xlfn.XLOOKUP(CS23&amp;CT23,VLOOKUP!$A$4:$A$250&amp;VLOOKUP!$B$4:$B$250,VLOOKUP!$D$4:$D$250,"0"))</f>
        <v>Incomplete</v>
      </c>
    </row>
    <row r="24" spans="1:101">
      <c r="A24" s="17" t="s">
        <v>149</v>
      </c>
      <c r="B24" s="17" t="s">
        <v>150</v>
      </c>
      <c r="C24" s="17" t="s">
        <v>86</v>
      </c>
      <c r="D24" s="26"/>
      <c r="F24" s="20" t="s">
        <v>151</v>
      </c>
      <c r="G24" s="17">
        <v>2026</v>
      </c>
      <c r="I24" s="20">
        <v>2</v>
      </c>
      <c r="J24" s="20" t="s">
        <v>122</v>
      </c>
      <c r="K24" s="20" t="s">
        <v>95</v>
      </c>
      <c r="L24" s="20"/>
      <c r="S24" s="20"/>
      <c r="T24" s="20"/>
      <c r="AQ24" s="20"/>
      <c r="AR24" s="20"/>
      <c r="AS24" s="20"/>
      <c r="AT24" s="20"/>
      <c r="AU24" s="20"/>
      <c r="AV24" s="20"/>
      <c r="AW24" s="20"/>
      <c r="AX24" s="20"/>
      <c r="AY24" s="41" t="str">
        <f t="shared" si="7"/>
        <v>Incomplete</v>
      </c>
      <c r="BA24" s="20" t="str">
        <f t="shared" si="8"/>
        <v>Incomplete</v>
      </c>
      <c r="BC24" s="20" t="str">
        <f t="shared" si="9"/>
        <v>Incomplete</v>
      </c>
      <c r="BE24" s="20" t="str">
        <f t="shared" si="10"/>
        <v>Incomplete</v>
      </c>
      <c r="BH24" s="20"/>
      <c r="BI24" s="20" t="str">
        <f t="shared" si="11"/>
        <v>Incomplete</v>
      </c>
      <c r="BJ24" s="20"/>
      <c r="BL24" s="20"/>
      <c r="BM24" s="20"/>
      <c r="BN24" s="20"/>
      <c r="BQ24" s="17">
        <v>75</v>
      </c>
      <c r="BR24" s="17">
        <v>77</v>
      </c>
      <c r="BS24" s="17">
        <v>73</v>
      </c>
      <c r="BT24" s="17">
        <v>75</v>
      </c>
      <c r="BU24" s="17">
        <v>74</v>
      </c>
      <c r="BV24" s="17">
        <v>71</v>
      </c>
      <c r="BW24" s="91" t="str">
        <f t="shared" si="5"/>
        <v>Incomplete</v>
      </c>
      <c r="BX24" s="91" t="str">
        <f>_xlfn.XLOOKUP(BW24,'Normative data'!$V$3:$V$6,'Normative data'!$W$3:$W$6,"Not Found",-1)</f>
        <v>Very low risk</v>
      </c>
      <c r="BY24" s="91" t="str">
        <f t="shared" si="6"/>
        <v>Incomplete</v>
      </c>
      <c r="BZ24" s="91" t="str">
        <f>_xlfn.XLOOKUP(BY24,'Normative data'!$V$3:$V$6,'Normative data'!$W$3:$W$6,"Not Found",-1)</f>
        <v>Very low risk</v>
      </c>
      <c r="CA24" s="17">
        <v>29</v>
      </c>
      <c r="CC24" s="20"/>
      <c r="CE24" s="17">
        <v>12</v>
      </c>
      <c r="CG24" s="17">
        <v>19.600000000000001</v>
      </c>
      <c r="CH24" s="20" t="str">
        <f>_xlfn.XLOOKUP(CG24, 'Normative data'!$S$9:$S$15,'Normative data'!$T$9:$T$15, "Not Found", -1)</f>
        <v>Average</v>
      </c>
      <c r="CI24" s="17">
        <v>19.8</v>
      </c>
      <c r="CJ24" s="20" t="str">
        <f>_xlfn.XLOOKUP(CI24, 'Normative data'!$S$9:$S$15, 'Normative data'!$T$9:$T$15, "Not Found", -1)</f>
        <v>Average</v>
      </c>
      <c r="CK24" s="17">
        <v>2.2400000000000002</v>
      </c>
      <c r="CL24" s="17">
        <v>4.46</v>
      </c>
      <c r="CN24" s="17">
        <v>6.92</v>
      </c>
      <c r="CO24" s="17">
        <v>7.23</v>
      </c>
      <c r="CR24" s="20" t="str" cm="1">
        <f t="array" ref="CR24">IF(OR(ISBLANK(E24),ISBLANK(CQ24)),"Incomplete",_xlfn.XLOOKUP(CQ24,_xlfn.XLOOKUP(E24,'Normative data'!$Y$3:$Y$6,'Normative data'!$Z$3:$AG$6,,-1),'Normative data'!$Z$2:$AG$2,"Not Found",-1))</f>
        <v>Incomplete</v>
      </c>
      <c r="CS24" s="20"/>
      <c r="CT24" s="20"/>
      <c r="CU24" s="20" t="str" cm="1">
        <f t="array" ref="CU24">_xlfn.XLOOKUP(CS24&amp;CT24,(VLOOKUP!$A$3:$A$250)&amp;(VLOOKUP!$B$3:$B$250),VLOOKUP!$C$3:$C$250,"Incomplete",-1)</f>
        <v>Incomplete</v>
      </c>
      <c r="CV24" s="20" t="str" cm="1">
        <f t="array" ref="CV24">_xlfn.XLOOKUP(CU24, _xlfn.XLOOKUP(E24, 'Normative data'!$Y$11:$Y$14, 'Normative data'!$Z$11:$AG$14, ,-1), 'Normative data'!$Z$10:$AG$10, "Not Found", -1)</f>
        <v>Excellent</v>
      </c>
      <c r="CW24" s="20" t="str" cm="1">
        <f t="array" ref="CW24">IF(OR(ISBLANK(CS24),ISBLANK(CT24)),"Incomplete",_xlfn.XLOOKUP(CS24&amp;CT24,VLOOKUP!$A$4:$A$250&amp;VLOOKUP!$B$4:$B$250,VLOOKUP!$D$4:$D$250,"0"))</f>
        <v>Incomplete</v>
      </c>
    </row>
    <row r="25" spans="1:101">
      <c r="A25" s="17" t="s">
        <v>152</v>
      </c>
      <c r="B25" s="17" t="s">
        <v>153</v>
      </c>
      <c r="C25" s="17" t="s">
        <v>86</v>
      </c>
      <c r="D25" s="26">
        <v>40536</v>
      </c>
      <c r="F25" s="20" t="s">
        <v>154</v>
      </c>
      <c r="G25" s="17">
        <v>2026</v>
      </c>
      <c r="I25" s="20">
        <v>2</v>
      </c>
      <c r="J25" s="20" t="s">
        <v>100</v>
      </c>
      <c r="K25" s="20" t="s">
        <v>105</v>
      </c>
      <c r="L25" s="20"/>
      <c r="S25" s="20">
        <v>80.3</v>
      </c>
      <c r="T25" s="20">
        <v>165.2</v>
      </c>
      <c r="U25" s="17">
        <v>53.3</v>
      </c>
      <c r="V25" s="17">
        <v>31</v>
      </c>
      <c r="W25" s="17">
        <v>10.9</v>
      </c>
      <c r="X25" s="17">
        <v>42.4</v>
      </c>
      <c r="Y25" s="17">
        <v>23.1</v>
      </c>
      <c r="Z25" s="17">
        <v>19.5</v>
      </c>
      <c r="AA25" s="17">
        <v>20.399999999999999</v>
      </c>
      <c r="AB25" s="17">
        <v>6.52</v>
      </c>
      <c r="AC25" s="17">
        <v>105.9</v>
      </c>
      <c r="AD25" s="17">
        <v>6.53</v>
      </c>
      <c r="AE25" s="17">
        <v>105.9</v>
      </c>
      <c r="AF25" s="17">
        <v>1.8</v>
      </c>
      <c r="AG25" s="17">
        <v>73.099999999999994</v>
      </c>
      <c r="AH25" s="17">
        <v>1.8</v>
      </c>
      <c r="AI25" s="17">
        <v>72.7</v>
      </c>
      <c r="AJ25" s="17">
        <v>306.7</v>
      </c>
      <c r="AK25" s="17">
        <v>304.60000000000002</v>
      </c>
      <c r="AL25" s="17">
        <v>272</v>
      </c>
      <c r="AM25" s="17">
        <v>272.60000000000002</v>
      </c>
      <c r="AN25" s="17">
        <v>99</v>
      </c>
      <c r="AO25" s="17">
        <v>0.81</v>
      </c>
      <c r="AP25" s="17">
        <v>6.2</v>
      </c>
      <c r="AY25" s="41" t="str">
        <f t="shared" si="7"/>
        <v>Incomplete</v>
      </c>
      <c r="BA25" s="20" t="str">
        <f t="shared" si="8"/>
        <v>Incomplete</v>
      </c>
      <c r="BC25" s="20" t="str">
        <f t="shared" si="9"/>
        <v>Incomplete</v>
      </c>
      <c r="BE25" s="20" t="str">
        <f t="shared" si="10"/>
        <v>Incomplete</v>
      </c>
      <c r="BG25" s="17">
        <v>16</v>
      </c>
      <c r="BH25" s="17">
        <v>42.5</v>
      </c>
      <c r="BI25" s="20">
        <f t="shared" si="11"/>
        <v>26.5</v>
      </c>
      <c r="BJ25" s="20"/>
      <c r="BL25" s="20"/>
      <c r="BN25" s="20"/>
      <c r="BO25" s="17">
        <v>43.2</v>
      </c>
      <c r="BP25" s="17">
        <v>43.2</v>
      </c>
      <c r="BQ25" s="17">
        <v>83</v>
      </c>
      <c r="BR25" s="17">
        <v>85</v>
      </c>
      <c r="BS25" s="17">
        <v>80</v>
      </c>
      <c r="BT25" s="17">
        <v>80</v>
      </c>
      <c r="BU25" s="17">
        <v>81</v>
      </c>
      <c r="BV25" s="17">
        <v>75</v>
      </c>
      <c r="BW25" s="91">
        <f t="shared" si="5"/>
        <v>97.369454259913624</v>
      </c>
      <c r="BX25" s="91" t="str">
        <f>_xlfn.XLOOKUP(BW25,'Normative data'!$V$3:$V$6,'Normative data'!$W$3:$W$6,"Not Found",-1)</f>
        <v>Low risk</v>
      </c>
      <c r="BY25" s="91">
        <f t="shared" si="6"/>
        <v>92.658029053788766</v>
      </c>
      <c r="BZ25" s="91" t="str">
        <f>_xlfn.XLOOKUP(BY25,'Normative data'!$V$3:$V$6,'Normative data'!$W$3:$W$6,"Not Found",-1)</f>
        <v>High risk</v>
      </c>
      <c r="CA25" s="17">
        <v>30</v>
      </c>
      <c r="CC25" s="20"/>
      <c r="CE25" s="17">
        <v>20</v>
      </c>
      <c r="CH25" s="20" t="str">
        <f>_xlfn.XLOOKUP(CG25, 'Normative data'!$S$9:$S$15,'Normative data'!$T$9:$T$15, "Not Found", -1)</f>
        <v>not completed</v>
      </c>
      <c r="CJ25" s="20" t="str">
        <f>_xlfn.XLOOKUP(CI25, 'Normative data'!$S$9:$S$15, 'Normative data'!$T$9:$T$15, "Not Found", -1)</f>
        <v>not completed</v>
      </c>
      <c r="CK25" s="17">
        <v>2.4</v>
      </c>
      <c r="CL25" s="17">
        <v>4.17</v>
      </c>
      <c r="CN25" s="17">
        <v>7.73</v>
      </c>
      <c r="CO25" s="17">
        <v>6.47</v>
      </c>
      <c r="CQ25" s="17">
        <v>3.1</v>
      </c>
      <c r="CR25" s="20" t="str" cm="1">
        <f t="array" ref="CR25">IF(OR(ISBLANK(E25),ISBLANK(CQ25)),"Incomplete",_xlfn.XLOOKUP(CQ25,_xlfn.XLOOKUP(E25,'Normative data'!$Y$3:$Y$6,'Normative data'!$Z$3:$AG$6,,-1),'Normative data'!$Z$2:$AG$2,"Not Found",-1))</f>
        <v>Incomplete</v>
      </c>
      <c r="CS25" s="20">
        <v>3</v>
      </c>
      <c r="CT25" s="20">
        <v>1</v>
      </c>
      <c r="CU25" s="20" cm="1">
        <f t="array" ref="CU25">_xlfn.XLOOKUP(CS25&amp;CT25,(VLOOKUP!$A$3:$A$250)&amp;(VLOOKUP!$B$3:$B$250),VLOOKUP!$C$3:$C$250,"Incomplete",-1)</f>
        <v>320</v>
      </c>
      <c r="CV25" s="20" t="str" cm="1">
        <f t="array" ref="CV25">_xlfn.XLOOKUP(CU25, _xlfn.XLOOKUP(E25, 'Normative data'!$Y$11:$Y$14, 'Normative data'!$Z$11:$AG$14, ,-1), 'Normative data'!$Z$10:$AG$10, "Not Found", -1)</f>
        <v xml:space="preserve">Very poor </v>
      </c>
      <c r="CW25" s="20" cm="1">
        <f t="array" ref="CW25">IF(OR(ISBLANK(CS25),ISBLANK(CT25)),"Incomplete",_xlfn.XLOOKUP(CS25&amp;CT25,VLOOKUP!$A$4:$A$250&amp;VLOOKUP!$B$4:$B$250,VLOOKUP!$D$4:$D$250,"0"))</f>
        <v>23</v>
      </c>
    </row>
    <row r="26" spans="1:101">
      <c r="A26" s="17" t="s">
        <v>155</v>
      </c>
      <c r="B26" s="17" t="s">
        <v>156</v>
      </c>
      <c r="C26" s="17" t="s">
        <v>86</v>
      </c>
      <c r="D26" s="26">
        <v>41217</v>
      </c>
      <c r="E26" s="17">
        <v>14.1</v>
      </c>
      <c r="F26" s="20" t="s">
        <v>157</v>
      </c>
      <c r="G26" s="17">
        <v>2026</v>
      </c>
      <c r="I26" s="20">
        <v>2</v>
      </c>
      <c r="J26" s="20" t="s">
        <v>100</v>
      </c>
      <c r="K26" s="20" t="s">
        <v>158</v>
      </c>
      <c r="L26" s="20"/>
      <c r="S26" s="20">
        <v>88.4</v>
      </c>
      <c r="T26" s="20">
        <v>170.1</v>
      </c>
      <c r="U26" s="17">
        <v>64.400000000000006</v>
      </c>
      <c r="V26" s="17">
        <v>34.1</v>
      </c>
      <c r="W26" s="17">
        <v>17.8</v>
      </c>
      <c r="X26" s="17">
        <v>46.6</v>
      </c>
      <c r="Y26" s="17">
        <v>25.5</v>
      </c>
      <c r="Z26" s="17">
        <v>22.3</v>
      </c>
      <c r="AA26" s="17">
        <v>27.6</v>
      </c>
      <c r="AB26" s="17">
        <v>7.52</v>
      </c>
      <c r="AC26" s="17">
        <v>103.5</v>
      </c>
      <c r="AD26" s="17">
        <v>7.59</v>
      </c>
      <c r="AE26" s="17">
        <v>104.5</v>
      </c>
      <c r="AF26" s="17">
        <v>2.9</v>
      </c>
      <c r="AG26" s="17">
        <v>110.3</v>
      </c>
      <c r="AH26" s="17">
        <v>2.9</v>
      </c>
      <c r="AI26" s="17">
        <v>110.6</v>
      </c>
      <c r="AJ26" s="17">
        <v>280.8</v>
      </c>
      <c r="AK26" s="17">
        <v>274.39999999999998</v>
      </c>
      <c r="AL26" s="17">
        <v>253.7</v>
      </c>
      <c r="AM26" s="17">
        <v>247.3</v>
      </c>
      <c r="AN26" s="17">
        <v>105</v>
      </c>
      <c r="AO26" s="17">
        <v>0.83</v>
      </c>
      <c r="AP26" s="17">
        <v>6.7</v>
      </c>
      <c r="AQ26" s="17">
        <v>15</v>
      </c>
      <c r="AR26" s="17">
        <v>0.35</v>
      </c>
      <c r="AS26" s="17">
        <v>18.3</v>
      </c>
      <c r="AT26" s="17">
        <v>0.38600000000000001</v>
      </c>
      <c r="AU26" s="17">
        <v>9.3000000000000007</v>
      </c>
      <c r="AV26" s="17">
        <v>0.27500000000000002</v>
      </c>
      <c r="AW26" s="17">
        <v>8.5</v>
      </c>
      <c r="AX26" s="17">
        <v>0.26500000000000001</v>
      </c>
      <c r="AY26" s="41">
        <f t="shared" si="7"/>
        <v>1772.8200000000002</v>
      </c>
      <c r="BA26" s="20">
        <f t="shared" si="8"/>
        <v>1973.13</v>
      </c>
      <c r="BC26" s="20">
        <f t="shared" si="9"/>
        <v>1426.8300000000004</v>
      </c>
      <c r="BE26" s="20">
        <f t="shared" si="10"/>
        <v>1378.2700000000004</v>
      </c>
      <c r="BG26" s="17">
        <v>10</v>
      </c>
      <c r="BH26" s="17">
        <v>42</v>
      </c>
      <c r="BI26" s="20">
        <f t="shared" si="11"/>
        <v>32</v>
      </c>
      <c r="BJ26" s="20"/>
      <c r="BK26" s="17">
        <v>8</v>
      </c>
      <c r="BL26" s="20"/>
      <c r="BM26" s="17">
        <v>7.5</v>
      </c>
      <c r="BN26" s="20"/>
      <c r="BO26" s="17">
        <v>52.5</v>
      </c>
      <c r="BP26" s="17">
        <v>52</v>
      </c>
      <c r="BQ26" s="17">
        <v>93</v>
      </c>
      <c r="BR26" s="17">
        <v>86</v>
      </c>
      <c r="BS26" s="17">
        <v>79</v>
      </c>
      <c r="BT26" s="17">
        <v>94</v>
      </c>
      <c r="BU26" s="17">
        <v>81</v>
      </c>
      <c r="BV26" s="17">
        <v>74</v>
      </c>
      <c r="BW26" s="91">
        <f t="shared" si="5"/>
        <v>105.26315789473686</v>
      </c>
      <c r="BX26" s="91" t="str">
        <f>_xlfn.XLOOKUP(BW26,'Normative data'!$V$3:$V$6,'Normative data'!$W$3:$W$6,"Not Found",-1)</f>
        <v>Low risk</v>
      </c>
      <c r="BY26" s="91">
        <f t="shared" si="6"/>
        <v>101.59118727050185</v>
      </c>
      <c r="BZ26" s="91" t="str">
        <f>_xlfn.XLOOKUP(BY26,'Normative data'!$V$3:$V$6,'Normative data'!$W$3:$W$6,"Not Found",-1)</f>
        <v>Low risk</v>
      </c>
      <c r="CA26" s="17">
        <v>36</v>
      </c>
      <c r="CC26" s="20"/>
      <c r="CE26" s="17">
        <v>13</v>
      </c>
      <c r="CG26" s="17">
        <v>18.260000000000002</v>
      </c>
      <c r="CH26" s="20" t="str">
        <f>_xlfn.XLOOKUP(CG26, 'Normative data'!$S$9:$S$15,'Normative data'!$T$9:$T$15, "Not Found", -1)</f>
        <v>Average</v>
      </c>
      <c r="CI26" s="17">
        <v>18.36</v>
      </c>
      <c r="CJ26" s="20" t="str">
        <f>_xlfn.XLOOKUP(CI26, 'Normative data'!$S$9:$S$15, 'Normative data'!$T$9:$T$15, "Not Found", -1)</f>
        <v>Average</v>
      </c>
      <c r="CK26" s="17">
        <v>3.26</v>
      </c>
      <c r="CL26" s="17">
        <v>3.07</v>
      </c>
      <c r="CN26" s="17">
        <v>7.81</v>
      </c>
      <c r="CO26" s="17">
        <v>6.4</v>
      </c>
      <c r="CQ26" s="17">
        <v>9.6999999999999993</v>
      </c>
      <c r="CR26" s="20" t="str" cm="1">
        <f t="array" ref="CR26">IF(OR(ISBLANK(E26),ISBLANK(CQ26)),"Incomplete",_xlfn.XLOOKUP(CQ26,_xlfn.XLOOKUP(E26,'Normative data'!$Y$3:$Y$6,'Normative data'!$Z$3:$AG$6,,-1),'Normative data'!$Z$2:$AG$2,"Not Found",-1))</f>
        <v>Very good</v>
      </c>
      <c r="CS26" s="20">
        <v>9</v>
      </c>
      <c r="CT26" s="20">
        <v>7</v>
      </c>
      <c r="CU26" s="20" cm="1">
        <f t="array" ref="CU26">_xlfn.XLOOKUP(CS26&amp;CT26,(VLOOKUP!$A$3:$A$250)&amp;(VLOOKUP!$B$3:$B$250),VLOOKUP!$C$3:$C$250,"Incomplete",-1)</f>
        <v>1580</v>
      </c>
      <c r="CV26" s="20" t="str" cm="1">
        <f t="array" ref="CV26">_xlfn.XLOOKUP(CU26, _xlfn.XLOOKUP(E26, 'Normative data'!$Y$11:$Y$14, 'Normative data'!$Z$11:$AG$14, ,-1), 'Normative data'!$Z$10:$AG$10, "Not Found", -1)</f>
        <v xml:space="preserve">Good </v>
      </c>
      <c r="CW26" s="20" cm="1">
        <f t="array" ref="CW26">IF(OR(ISBLANK(CS26),ISBLANK(CT26)),"Incomplete",_xlfn.XLOOKUP(CS26&amp;CT26,VLOOKUP!$A$4:$A$250&amp;VLOOKUP!$B$4:$B$250,VLOOKUP!$D$4:$D$250,"0"))</f>
        <v>46</v>
      </c>
    </row>
    <row r="27" spans="1:101">
      <c r="A27" s="17" t="s">
        <v>159</v>
      </c>
      <c r="B27" s="17" t="s">
        <v>160</v>
      </c>
      <c r="C27" s="17" t="s">
        <v>86</v>
      </c>
      <c r="D27" s="26"/>
      <c r="F27" s="20" t="s">
        <v>99</v>
      </c>
      <c r="G27" s="17">
        <v>2026</v>
      </c>
      <c r="I27" s="20">
        <v>2</v>
      </c>
      <c r="J27" s="20"/>
      <c r="K27" s="20"/>
      <c r="L27" s="20"/>
      <c r="S27" s="20">
        <v>87.1</v>
      </c>
      <c r="T27" s="20">
        <v>167.5</v>
      </c>
      <c r="AQ27" s="20"/>
      <c r="AR27" s="20"/>
      <c r="AS27" s="20"/>
      <c r="AT27" s="20"/>
      <c r="AU27" s="20"/>
      <c r="AV27" s="20"/>
      <c r="AW27" s="20"/>
      <c r="AX27" s="20"/>
      <c r="AY27" s="41" t="str">
        <f t="shared" si="7"/>
        <v>Incomplete</v>
      </c>
      <c r="BA27" s="20" t="str">
        <f t="shared" si="8"/>
        <v>Incomplete</v>
      </c>
      <c r="BC27" s="20" t="str">
        <f t="shared" si="9"/>
        <v>Incomplete</v>
      </c>
      <c r="BE27" s="20" t="str">
        <f t="shared" si="10"/>
        <v>Incomplete</v>
      </c>
      <c r="BG27" s="17">
        <v>13.9</v>
      </c>
      <c r="BH27" s="17">
        <v>34.299999999999997</v>
      </c>
      <c r="BI27" s="20">
        <f t="shared" si="11"/>
        <v>20.399999999999999</v>
      </c>
      <c r="BJ27" s="20"/>
      <c r="BL27" s="20"/>
      <c r="BM27" s="20"/>
      <c r="BN27" s="20"/>
      <c r="BW27" s="91">
        <f t="shared" si="5"/>
        <v>0</v>
      </c>
      <c r="BX27" s="91" t="str">
        <f>_xlfn.XLOOKUP(BW27,'Normative data'!$V$3:$V$6,'Normative data'!$W$3:$W$6,"Not Found",-1)</f>
        <v>Not completed</v>
      </c>
      <c r="BY27" s="91">
        <f t="shared" si="6"/>
        <v>0</v>
      </c>
      <c r="BZ27" s="91" t="str">
        <f>_xlfn.XLOOKUP(BY27,'Normative data'!$V$3:$V$6,'Normative data'!$W$3:$W$6,"Not Found",-1)</f>
        <v>Not completed</v>
      </c>
      <c r="CA27" s="17">
        <v>32</v>
      </c>
      <c r="CC27" s="20"/>
      <c r="CE27" s="17">
        <v>14</v>
      </c>
      <c r="CG27" s="17">
        <v>19.68</v>
      </c>
      <c r="CH27" s="20" t="str">
        <f>_xlfn.XLOOKUP(CG27, 'Normative data'!$S$9:$S$15,'Normative data'!$T$9:$T$15, "Not Found", -1)</f>
        <v>Average</v>
      </c>
      <c r="CI27" s="17">
        <v>19.989999999999998</v>
      </c>
      <c r="CJ27" s="20" t="str">
        <f>_xlfn.XLOOKUP(CI27, 'Normative data'!$S$9:$S$15, 'Normative data'!$T$9:$T$15, "Not Found", -1)</f>
        <v>Average</v>
      </c>
      <c r="CK27" s="17">
        <v>2.46</v>
      </c>
      <c r="CL27" s="17">
        <v>4.07</v>
      </c>
      <c r="CN27" s="17">
        <v>7.91</v>
      </c>
      <c r="CO27" s="17">
        <v>6.32</v>
      </c>
      <c r="CR27" s="20" t="str" cm="1">
        <f t="array" ref="CR27">IF(OR(ISBLANK(E27),ISBLANK(CQ27)),"Incomplete",_xlfn.XLOOKUP(CQ27,_xlfn.XLOOKUP(E27,'Normative data'!$Y$3:$Y$6,'Normative data'!$Z$3:$AG$6,,-1),'Normative data'!$Z$2:$AG$2,"Not Found",-1))</f>
        <v>Incomplete</v>
      </c>
      <c r="CS27" s="20"/>
      <c r="CT27" s="20"/>
      <c r="CU27" s="20" t="str" cm="1">
        <f t="array" ref="CU27">_xlfn.XLOOKUP(CS27&amp;CT27,(VLOOKUP!$A$3:$A$250)&amp;(VLOOKUP!$B$3:$B$250),VLOOKUP!$C$3:$C$250,"Incomplete",-1)</f>
        <v>Incomplete</v>
      </c>
      <c r="CV27" s="20" t="str" cm="1">
        <f t="array" ref="CV27">_xlfn.XLOOKUP(CU27, _xlfn.XLOOKUP(E27, 'Normative data'!$Y$11:$Y$14, 'Normative data'!$Z$11:$AG$14, ,-1), 'Normative data'!$Z$10:$AG$10, "Not Found", -1)</f>
        <v>Excellent</v>
      </c>
      <c r="CW27" s="20" t="str" cm="1">
        <f t="array" ref="CW27">IF(OR(ISBLANK(CS27),ISBLANK(CT27)),"Incomplete",_xlfn.XLOOKUP(CS27&amp;CT27,VLOOKUP!$A$4:$A$250&amp;VLOOKUP!$B$4:$B$250,VLOOKUP!$D$4:$D$250,"0"))</f>
        <v>Incomplete</v>
      </c>
    </row>
    <row r="28" spans="1:101">
      <c r="A28" s="17" t="s">
        <v>161</v>
      </c>
      <c r="B28" s="17" t="s">
        <v>160</v>
      </c>
      <c r="C28" s="17" t="s">
        <v>86</v>
      </c>
      <c r="D28" s="26">
        <v>40348</v>
      </c>
      <c r="E28" s="17">
        <v>15.8</v>
      </c>
      <c r="F28" s="20" t="s">
        <v>162</v>
      </c>
      <c r="G28" s="17">
        <v>2026</v>
      </c>
      <c r="I28" s="20">
        <v>2</v>
      </c>
      <c r="J28" s="20"/>
      <c r="K28" s="20"/>
      <c r="L28" s="20"/>
      <c r="S28" s="20">
        <v>91.2</v>
      </c>
      <c r="T28" s="20">
        <v>172</v>
      </c>
      <c r="U28" s="17">
        <v>62</v>
      </c>
      <c r="V28" s="17">
        <v>36.4</v>
      </c>
      <c r="W28" s="17">
        <v>12.1</v>
      </c>
      <c r="X28" s="17">
        <v>49.9</v>
      </c>
      <c r="Y28" s="17">
        <v>27.5</v>
      </c>
      <c r="Z28" s="17">
        <v>21</v>
      </c>
      <c r="AA28" s="17">
        <v>19.600000000000001</v>
      </c>
      <c r="AB28" s="17">
        <v>7.65</v>
      </c>
      <c r="AC28" s="17">
        <v>106.7</v>
      </c>
      <c r="AD28" s="17">
        <v>7.69</v>
      </c>
      <c r="AE28" s="17">
        <v>107.3</v>
      </c>
      <c r="AF28" s="17">
        <v>1.9</v>
      </c>
      <c r="AG28" s="17">
        <v>71</v>
      </c>
      <c r="AH28" s="17">
        <v>1.9</v>
      </c>
      <c r="AI28" s="17">
        <v>71.2</v>
      </c>
      <c r="AJ28" s="17">
        <v>301.10000000000002</v>
      </c>
      <c r="AK28" s="17">
        <v>296.8</v>
      </c>
      <c r="AL28" s="17">
        <v>267.7</v>
      </c>
      <c r="AM28" s="17">
        <v>263.2</v>
      </c>
      <c r="AN28" s="17">
        <v>116</v>
      </c>
      <c r="AO28" s="17">
        <v>0.83</v>
      </c>
      <c r="AP28" s="17">
        <v>6.8</v>
      </c>
      <c r="AY28" s="41" t="str">
        <f t="shared" si="7"/>
        <v>Incomplete</v>
      </c>
      <c r="BA28" s="20" t="str">
        <f t="shared" si="8"/>
        <v>Incomplete</v>
      </c>
      <c r="BC28" s="20" t="str">
        <f t="shared" si="9"/>
        <v>Incomplete</v>
      </c>
      <c r="BE28" s="20" t="str">
        <f t="shared" si="10"/>
        <v>Incomplete</v>
      </c>
      <c r="BH28" s="20"/>
      <c r="BI28" s="20" t="str">
        <f t="shared" si="11"/>
        <v>Incomplete</v>
      </c>
      <c r="BJ28" s="20"/>
      <c r="BK28" s="17">
        <v>15.9</v>
      </c>
      <c r="BL28" s="20"/>
      <c r="BM28" s="17">
        <v>14</v>
      </c>
      <c r="BN28" s="20"/>
      <c r="BW28" s="91">
        <f t="shared" si="5"/>
        <v>0</v>
      </c>
      <c r="BX28" s="91" t="str">
        <f>_xlfn.XLOOKUP(BW28,'Normative data'!$V$3:$V$6,'Normative data'!$W$3:$W$6,"Not Found",-1)</f>
        <v>Not completed</v>
      </c>
      <c r="BY28" s="91">
        <f t="shared" si="6"/>
        <v>0</v>
      </c>
      <c r="BZ28" s="91" t="str">
        <f>_xlfn.XLOOKUP(BY28,'Normative data'!$V$3:$V$6,'Normative data'!$W$3:$W$6,"Not Found",-1)</f>
        <v>Not completed</v>
      </c>
      <c r="CA28" s="20"/>
      <c r="CC28" s="20"/>
      <c r="CE28" s="17">
        <v>15</v>
      </c>
      <c r="CG28" s="20"/>
      <c r="CH28" s="20" t="str">
        <f>_xlfn.XLOOKUP(CG28, 'Normative data'!$S$9:$S$15,'Normative data'!$T$9:$T$15, "Not Found", -1)</f>
        <v>not completed</v>
      </c>
      <c r="CI28" s="20"/>
      <c r="CJ28" s="20" t="str">
        <f>_xlfn.XLOOKUP(CI28, 'Normative data'!$S$9:$S$15, 'Normative data'!$T$9:$T$15, "Not Found", -1)</f>
        <v>not completed</v>
      </c>
      <c r="CK28" s="17">
        <v>2.2599999999999998</v>
      </c>
      <c r="CL28" s="17">
        <v>4.42</v>
      </c>
      <c r="CN28" s="17">
        <v>7.08</v>
      </c>
      <c r="CO28" s="17">
        <v>7.06</v>
      </c>
      <c r="CQ28" s="17">
        <v>9.8000000000000007</v>
      </c>
      <c r="CR28" s="20" t="str" cm="1">
        <f t="array" ref="CR28">IF(OR(ISBLANK(E28),ISBLANK(CQ28)),"Incomplete",_xlfn.XLOOKUP(CQ28,_xlfn.XLOOKUP(E28,'Normative data'!$Y$3:$Y$6,'Normative data'!$Z$3:$AG$6,,-1),'Normative data'!$Z$2:$AG$2,"Not Found",-1))</f>
        <v>Very good</v>
      </c>
      <c r="CS28" s="20">
        <v>9</v>
      </c>
      <c r="CT28" s="20">
        <v>8</v>
      </c>
      <c r="CU28" s="20" cm="1">
        <f t="array" ref="CU28">_xlfn.XLOOKUP(CS28&amp;CT28,(VLOOKUP!$A$3:$A$250)&amp;(VLOOKUP!$B$3:$B$250),VLOOKUP!$C$3:$C$250,"Incomplete",-1)</f>
        <v>1600</v>
      </c>
      <c r="CV28" s="20" t="str" cm="1">
        <f t="array" ref="CV28">_xlfn.XLOOKUP(CU28, _xlfn.XLOOKUP(E28, 'Normative data'!$Y$11:$Y$14, 'Normative data'!$Z$11:$AG$14, ,-1), 'Normative data'!$Z$10:$AG$10, "Not Found", -1)</f>
        <v xml:space="preserve">Good </v>
      </c>
      <c r="CW28" s="20" cm="1">
        <f t="array" ref="CW28">IF(OR(ISBLANK(CS28),ISBLANK(CT28)),"Incomplete",_xlfn.XLOOKUP(CS28&amp;CT28,VLOOKUP!$A$4:$A$250&amp;VLOOKUP!$B$4:$B$250,VLOOKUP!$D$4:$D$250,"0"))</f>
        <v>46</v>
      </c>
    </row>
    <row r="29" spans="1:101">
      <c r="A29" s="17" t="s">
        <v>163</v>
      </c>
      <c r="B29" s="17" t="s">
        <v>164</v>
      </c>
      <c r="C29" s="17" t="s">
        <v>86</v>
      </c>
      <c r="D29" s="26">
        <v>40422</v>
      </c>
      <c r="F29" s="20" t="s">
        <v>99</v>
      </c>
      <c r="G29" s="17">
        <v>2026</v>
      </c>
      <c r="I29" s="20">
        <v>2</v>
      </c>
      <c r="J29" s="20"/>
      <c r="K29" s="20"/>
      <c r="L29" s="20"/>
      <c r="S29" s="20">
        <v>83</v>
      </c>
      <c r="T29" s="20">
        <v>166</v>
      </c>
      <c r="U29" s="17">
        <v>54.1</v>
      </c>
      <c r="V29" s="17">
        <v>29.1</v>
      </c>
      <c r="W29" s="17">
        <v>14.3</v>
      </c>
      <c r="X29" s="17">
        <v>39.799999999999997</v>
      </c>
      <c r="Y29" s="17">
        <v>21.5</v>
      </c>
      <c r="Z29" s="17">
        <v>19.600000000000001</v>
      </c>
      <c r="AA29" s="17">
        <v>26.5</v>
      </c>
      <c r="AB29" s="17">
        <v>6.28</v>
      </c>
      <c r="AC29" s="17">
        <v>100.5</v>
      </c>
      <c r="AD29" s="17">
        <v>6.19</v>
      </c>
      <c r="AE29" s="17">
        <v>99</v>
      </c>
      <c r="AF29" s="17">
        <v>2.2999999999999998</v>
      </c>
      <c r="AG29" s="17">
        <v>92</v>
      </c>
      <c r="AH29" s="17">
        <v>2.2999999999999998</v>
      </c>
      <c r="AI29" s="17">
        <v>91.5</v>
      </c>
      <c r="AJ29" s="17">
        <v>334.8</v>
      </c>
      <c r="AK29" s="17">
        <v>346.5</v>
      </c>
      <c r="AL29" s="17">
        <v>302.5</v>
      </c>
      <c r="AM29" s="17">
        <v>313.39999999999998</v>
      </c>
      <c r="AN29" s="17">
        <v>98</v>
      </c>
      <c r="AO29" s="17">
        <v>0.85</v>
      </c>
      <c r="AP29" s="17">
        <v>5.8</v>
      </c>
      <c r="AQ29" s="17">
        <v>13.9</v>
      </c>
      <c r="AR29" s="17">
        <v>0.33700000000000002</v>
      </c>
      <c r="AS29" s="17">
        <v>19.2</v>
      </c>
      <c r="AT29" s="17">
        <v>0.39600000000000002</v>
      </c>
      <c r="AU29" s="17">
        <v>6.9</v>
      </c>
      <c r="AV29" s="17">
        <v>0.23799999999999999</v>
      </c>
      <c r="AW29" s="17">
        <v>7.5</v>
      </c>
      <c r="AX29" s="17">
        <v>0.247</v>
      </c>
      <c r="AY29" s="41">
        <f t="shared" si="7"/>
        <v>1239.46</v>
      </c>
      <c r="BA29" s="20">
        <f t="shared" si="8"/>
        <v>1561.17</v>
      </c>
      <c r="BC29" s="20">
        <f t="shared" si="9"/>
        <v>814.56</v>
      </c>
      <c r="BE29" s="20">
        <f t="shared" si="10"/>
        <v>850.98</v>
      </c>
      <c r="BG29" s="17">
        <v>5.0999999999999996</v>
      </c>
      <c r="BH29" s="17">
        <v>17.7</v>
      </c>
      <c r="BI29" s="20">
        <f t="shared" si="11"/>
        <v>12.6</v>
      </c>
      <c r="BJ29" s="20"/>
      <c r="BK29" s="17">
        <v>7</v>
      </c>
      <c r="BL29" s="20"/>
      <c r="BM29" s="17">
        <v>9</v>
      </c>
      <c r="BN29" s="20"/>
      <c r="BO29" s="17">
        <v>49</v>
      </c>
      <c r="BP29" s="17">
        <v>48</v>
      </c>
      <c r="BQ29" s="17">
        <v>65</v>
      </c>
      <c r="BR29" s="17">
        <v>66</v>
      </c>
      <c r="BS29" s="17">
        <v>60</v>
      </c>
      <c r="BT29" s="17">
        <v>79</v>
      </c>
      <c r="BU29" s="17">
        <v>79</v>
      </c>
      <c r="BV29" s="17">
        <v>63</v>
      </c>
      <c r="BW29" s="91">
        <f t="shared" si="5"/>
        <v>76.706827309236942</v>
      </c>
      <c r="BX29" s="91" t="str">
        <f>_xlfn.XLOOKUP(BW29,'Normative data'!$V$3:$V$6,'Normative data'!$W$3:$W$6,"Not Found",-1)</f>
        <v>High risk</v>
      </c>
      <c r="BY29" s="91">
        <f t="shared" si="6"/>
        <v>88.755020080321287</v>
      </c>
      <c r="BZ29" s="91" t="str">
        <f>_xlfn.XLOOKUP(BY29,'Normative data'!$V$3:$V$6,'Normative data'!$W$3:$W$6,"Not Found",-1)</f>
        <v>High risk</v>
      </c>
      <c r="CA29" s="17">
        <v>8</v>
      </c>
      <c r="CC29" s="20"/>
      <c r="CE29" s="17">
        <v>5</v>
      </c>
      <c r="CG29" s="20"/>
      <c r="CH29" s="20" t="str">
        <f>_xlfn.XLOOKUP(CG29, 'Normative data'!$S$9:$S$15,'Normative data'!$T$9:$T$15, "Not Found", -1)</f>
        <v>not completed</v>
      </c>
      <c r="CI29" s="20"/>
      <c r="CJ29" s="20" t="str">
        <f>_xlfn.XLOOKUP(CI29, 'Normative data'!$S$9:$S$15, 'Normative data'!$T$9:$T$15, "Not Found", -1)</f>
        <v>not completed</v>
      </c>
      <c r="CK29" s="17">
        <v>2.48</v>
      </c>
      <c r="CL29" s="17">
        <v>4.03</v>
      </c>
      <c r="CN29" s="17">
        <v>7.7</v>
      </c>
      <c r="CO29" s="17">
        <v>6.49</v>
      </c>
      <c r="CR29" s="20" t="str" cm="1">
        <f t="array" ref="CR29">IF(OR(ISBLANK(E29),ISBLANK(CQ29)),"Incomplete",_xlfn.XLOOKUP(CQ29,_xlfn.XLOOKUP(E29,'Normative data'!$Y$3:$Y$6,'Normative data'!$Z$3:$AG$6,,-1),'Normative data'!$Z$2:$AG$2,"Not Found",-1))</f>
        <v>Incomplete</v>
      </c>
      <c r="CS29" s="20"/>
      <c r="CT29" s="20"/>
      <c r="CU29" s="20" t="str" cm="1">
        <f t="array" ref="CU29">_xlfn.XLOOKUP(CS29&amp;CT29,(VLOOKUP!$A$3:$A$250)&amp;(VLOOKUP!$B$3:$B$250),VLOOKUP!$C$3:$C$250,"Incomplete",-1)</f>
        <v>Incomplete</v>
      </c>
      <c r="CV29" s="20" t="str" cm="1">
        <f t="array" ref="CV29">_xlfn.XLOOKUP(CU29, _xlfn.XLOOKUP(E29, 'Normative data'!$Y$11:$Y$14, 'Normative data'!$Z$11:$AG$14, ,-1), 'Normative data'!$Z$10:$AG$10, "Not Found", -1)</f>
        <v>Excellent</v>
      </c>
      <c r="CW29" s="20" t="str" cm="1">
        <f t="array" ref="CW29">IF(OR(ISBLANK(CS29),ISBLANK(CT29)),"Incomplete",_xlfn.XLOOKUP(CS29&amp;CT29,VLOOKUP!$A$4:$A$250&amp;VLOOKUP!$B$4:$B$250,VLOOKUP!$D$4:$D$250,"0"))</f>
        <v>Incomplete</v>
      </c>
    </row>
    <row r="30" spans="1:101">
      <c r="A30" s="17" t="s">
        <v>152</v>
      </c>
      <c r="B30" s="17" t="s">
        <v>165</v>
      </c>
      <c r="C30" s="17" t="s">
        <v>86</v>
      </c>
      <c r="D30" s="26"/>
      <c r="F30" s="20" t="s">
        <v>110</v>
      </c>
      <c r="G30" s="17">
        <v>2026</v>
      </c>
      <c r="I30" s="20">
        <v>2</v>
      </c>
      <c r="J30" s="20"/>
      <c r="K30" s="20"/>
      <c r="L30" s="20"/>
      <c r="S30" s="20">
        <v>86.2</v>
      </c>
      <c r="T30" s="20">
        <v>172.1</v>
      </c>
      <c r="AY30" s="41" t="str">
        <f t="shared" si="7"/>
        <v>Incomplete</v>
      </c>
      <c r="BA30" s="20" t="str">
        <f t="shared" si="8"/>
        <v>Incomplete</v>
      </c>
      <c r="BC30" s="20" t="str">
        <f t="shared" si="9"/>
        <v>Incomplete</v>
      </c>
      <c r="BE30" s="20" t="str">
        <f t="shared" si="10"/>
        <v>Incomplete</v>
      </c>
      <c r="BG30" s="17">
        <v>11.5</v>
      </c>
      <c r="BH30" s="17">
        <v>32.4</v>
      </c>
      <c r="BI30" s="20">
        <f t="shared" si="11"/>
        <v>20.9</v>
      </c>
      <c r="BJ30" s="20"/>
      <c r="BL30" s="20"/>
      <c r="BN30" s="20"/>
      <c r="BW30" s="91">
        <f t="shared" si="5"/>
        <v>0</v>
      </c>
      <c r="BX30" s="91" t="str">
        <f>_xlfn.XLOOKUP(BW30,'Normative data'!$V$3:$V$6,'Normative data'!$W$3:$W$6,"Not Found",-1)</f>
        <v>Not completed</v>
      </c>
      <c r="BY30" s="91">
        <f t="shared" si="6"/>
        <v>0</v>
      </c>
      <c r="BZ30" s="91" t="str">
        <f>_xlfn.XLOOKUP(BY30,'Normative data'!$V$3:$V$6,'Normative data'!$W$3:$W$6,"Not Found",-1)</f>
        <v>Not completed</v>
      </c>
      <c r="CH30" s="20" t="str">
        <f>_xlfn.XLOOKUP(CG30, 'Normative data'!$S$9:$S$15,'Normative data'!$T$9:$T$15, "Not Found", -1)</f>
        <v>not completed</v>
      </c>
      <c r="CJ30" s="20" t="str">
        <f>_xlfn.XLOOKUP(CI30, 'Normative data'!$S$9:$S$15, 'Normative data'!$T$9:$T$15, "Not Found", -1)</f>
        <v>not completed</v>
      </c>
      <c r="CK30" s="21"/>
      <c r="CL30" s="21"/>
      <c r="CM30" s="21"/>
      <c r="CN30" s="21"/>
      <c r="CO30" s="21"/>
      <c r="CR30" s="20" t="str" cm="1">
        <f t="array" ref="CR30">IF(OR(ISBLANK(E30),ISBLANK(CQ30)),"Incomplete",_xlfn.XLOOKUP(CQ30,_xlfn.XLOOKUP(E30,'Normative data'!$Y$3:$Y$6,'Normative data'!$Z$3:$AG$6,,-1),'Normative data'!$Z$2:$AG$2,"Not Found",-1))</f>
        <v>Incomplete</v>
      </c>
      <c r="CS30" s="20"/>
      <c r="CT30" s="20"/>
      <c r="CU30" s="20" t="str" cm="1">
        <f t="array" ref="CU30">_xlfn.XLOOKUP(CS30&amp;CT30,(VLOOKUP!$A$3:$A$250)&amp;(VLOOKUP!$B$3:$B$250),VLOOKUP!$C$3:$C$250,"Incomplete",-1)</f>
        <v>Incomplete</v>
      </c>
      <c r="CV30" s="20" t="str" cm="1">
        <f t="array" ref="CV30">_xlfn.XLOOKUP(CU30, _xlfn.XLOOKUP(E30, 'Normative data'!$Y$11:$Y$14, 'Normative data'!$Z$11:$AG$14, ,-1), 'Normative data'!$Z$10:$AG$10, "Not Found", -1)</f>
        <v>Excellent</v>
      </c>
      <c r="CW30" s="20" t="str" cm="1">
        <f t="array" ref="CW30">IF(OR(ISBLANK(CS30),ISBLANK(CT30)),"Incomplete",_xlfn.XLOOKUP(CS30&amp;CT30,VLOOKUP!$A$4:$A$250&amp;VLOOKUP!$B$4:$B$250,VLOOKUP!$D$4:$D$250,"0"))</f>
        <v>Incomplete</v>
      </c>
    </row>
    <row r="31" spans="1:101">
      <c r="A31" s="17" t="s">
        <v>166</v>
      </c>
      <c r="B31" s="17" t="s">
        <v>167</v>
      </c>
      <c r="C31" s="17" t="s">
        <v>86</v>
      </c>
      <c r="D31" s="26">
        <v>39716</v>
      </c>
      <c r="E31" s="17">
        <v>17.8</v>
      </c>
      <c r="F31" s="20">
        <v>12</v>
      </c>
      <c r="G31" s="17">
        <v>2026</v>
      </c>
      <c r="I31" s="20">
        <v>2</v>
      </c>
      <c r="J31" s="20" t="s">
        <v>122</v>
      </c>
      <c r="K31" s="20" t="s">
        <v>95</v>
      </c>
      <c r="L31" s="20"/>
      <c r="S31" s="20">
        <v>86.3</v>
      </c>
      <c r="T31" s="20">
        <v>156.6</v>
      </c>
      <c r="U31" s="17">
        <v>59.3</v>
      </c>
      <c r="V31" s="17">
        <v>30.4</v>
      </c>
      <c r="W31" s="17">
        <v>17.600000000000001</v>
      </c>
      <c r="X31" s="17">
        <v>41.7</v>
      </c>
      <c r="Y31" s="17">
        <v>22.8</v>
      </c>
      <c r="Z31" s="17">
        <v>24.2</v>
      </c>
      <c r="AA31" s="17">
        <v>29.7</v>
      </c>
      <c r="AB31" s="17">
        <v>6.83</v>
      </c>
      <c r="AC31" s="17">
        <v>116</v>
      </c>
      <c r="AD31" s="17">
        <v>6.74</v>
      </c>
      <c r="AE31" s="17">
        <v>114.4</v>
      </c>
      <c r="AF31" s="17">
        <v>3.3</v>
      </c>
      <c r="AG31" s="17">
        <v>171.4</v>
      </c>
      <c r="AH31" s="17">
        <v>3.2</v>
      </c>
      <c r="AI31" s="17">
        <v>169.4</v>
      </c>
      <c r="AJ31" s="17">
        <v>226.1</v>
      </c>
      <c r="AK31" s="17">
        <v>228.1</v>
      </c>
      <c r="AL31" s="17">
        <v>197.2</v>
      </c>
      <c r="AM31" s="17">
        <v>200.6</v>
      </c>
      <c r="AN31" s="17">
        <v>77</v>
      </c>
      <c r="AQ31" s="17">
        <v>24.2</v>
      </c>
      <c r="AR31" s="17">
        <v>0.44400000000000001</v>
      </c>
      <c r="AS31" s="17">
        <v>25.3</v>
      </c>
      <c r="AT31" s="17">
        <v>0.45400000000000001</v>
      </c>
      <c r="AU31" s="17">
        <v>12</v>
      </c>
      <c r="AV31" s="17">
        <v>0.313</v>
      </c>
      <c r="AW31" s="17">
        <v>14.3</v>
      </c>
      <c r="AX31" s="17">
        <v>0.34200000000000003</v>
      </c>
      <c r="AY31" s="41">
        <f t="shared" si="7"/>
        <v>2100.2299999999996</v>
      </c>
      <c r="BA31" s="20">
        <f t="shared" si="8"/>
        <v>2167</v>
      </c>
      <c r="BC31" s="20">
        <f t="shared" si="9"/>
        <v>1359.6899999999996</v>
      </c>
      <c r="BE31" s="20">
        <f t="shared" si="10"/>
        <v>1499.2999999999997</v>
      </c>
      <c r="BG31" s="17">
        <v>17</v>
      </c>
      <c r="BH31" s="17">
        <v>55</v>
      </c>
      <c r="BI31" s="20">
        <f t="shared" si="11"/>
        <v>38</v>
      </c>
      <c r="BJ31" s="20"/>
      <c r="BK31" s="17">
        <v>9</v>
      </c>
      <c r="BL31" s="20"/>
      <c r="BM31" s="17">
        <v>10</v>
      </c>
      <c r="BN31" s="20"/>
      <c r="BO31" s="17">
        <v>54</v>
      </c>
      <c r="BP31" s="17">
        <v>54</v>
      </c>
      <c r="BQ31" s="17">
        <v>89</v>
      </c>
      <c r="BR31" s="17">
        <v>91</v>
      </c>
      <c r="BS31" s="17">
        <v>88</v>
      </c>
      <c r="BT31" s="17">
        <v>85</v>
      </c>
      <c r="BU31" s="17">
        <v>83</v>
      </c>
      <c r="BV31" s="17">
        <v>84</v>
      </c>
      <c r="BW31" s="91">
        <f t="shared" si="5"/>
        <v>127.07444286391656</v>
      </c>
      <c r="BX31" s="91" t="str">
        <f>_xlfn.XLOOKUP(BW31,'Normative data'!$V$3:$V$6,'Normative data'!$W$3:$W$6,"Not Found",-1)</f>
        <v>Very low risk</v>
      </c>
      <c r="BY31" s="91">
        <f t="shared" si="6"/>
        <v>119.48790896159318</v>
      </c>
      <c r="BZ31" s="91" t="str">
        <f>_xlfn.XLOOKUP(BY31,'Normative data'!$V$3:$V$6,'Normative data'!$W$3:$W$6,"Not Found",-1)</f>
        <v>Low risk</v>
      </c>
      <c r="CA31" s="17">
        <v>26</v>
      </c>
      <c r="CC31" s="20"/>
      <c r="CE31" s="17">
        <v>26</v>
      </c>
      <c r="CG31" s="17">
        <v>17.920000000000002</v>
      </c>
      <c r="CH31" s="20" t="str">
        <f>_xlfn.XLOOKUP(CG31, 'Normative data'!$S$9:$S$15,'Normative data'!$T$9:$T$15, "Not Found", -1)</f>
        <v>Above Average</v>
      </c>
      <c r="CI31" s="17">
        <v>17.55</v>
      </c>
      <c r="CJ31" s="20" t="str">
        <f>_xlfn.XLOOKUP(CI31, 'Normative data'!$S$9:$S$15, 'Normative data'!$T$9:$T$15, "Not Found", -1)</f>
        <v>Above Average</v>
      </c>
      <c r="CK31" s="21"/>
      <c r="CL31" s="21"/>
      <c r="CM31" s="21"/>
      <c r="CN31" s="21"/>
      <c r="CO31" s="21"/>
      <c r="CR31" s="20" t="str" cm="1">
        <f t="array" ref="CR31">IF(OR(ISBLANK(E31),ISBLANK(CQ31)),"Incomplete",_xlfn.XLOOKUP(CQ31,_xlfn.XLOOKUP(E31,'Normative data'!$Y$3:$Y$6,'Normative data'!$Z$3:$AG$6,,-1),'Normative data'!$Z$2:$AG$2,"Not Found",-1))</f>
        <v>Incomplete</v>
      </c>
      <c r="CS31" s="20"/>
      <c r="CT31" s="20"/>
      <c r="CU31" s="20" t="str" cm="1">
        <f t="array" ref="CU31">_xlfn.XLOOKUP(CS31&amp;CT31,(VLOOKUP!$A$3:$A$250)&amp;(VLOOKUP!$B$3:$B$250),VLOOKUP!$C$3:$C$250,"Incomplete",-1)</f>
        <v>Incomplete</v>
      </c>
      <c r="CV31" s="20" t="str" cm="1">
        <f t="array" ref="CV31">_xlfn.XLOOKUP(CU31, _xlfn.XLOOKUP(E31, 'Normative data'!$Y$11:$Y$14, 'Normative data'!$Z$11:$AG$14, ,-1), 'Normative data'!$Z$10:$AG$10, "Not Found", -1)</f>
        <v>Excellent</v>
      </c>
      <c r="CW31" s="20" t="str" cm="1">
        <f t="array" ref="CW31">IF(OR(ISBLANK(CS31),ISBLANK(CT31)),"Incomplete",_xlfn.XLOOKUP(CS31&amp;CT31,VLOOKUP!$A$4:$A$250&amp;VLOOKUP!$B$4:$B$250,VLOOKUP!$D$4:$D$250,"0"))</f>
        <v>Incomplete</v>
      </c>
    </row>
    <row r="32" spans="1:101">
      <c r="A32" s="17" t="s">
        <v>168</v>
      </c>
      <c r="B32" s="17" t="s">
        <v>169</v>
      </c>
      <c r="C32" s="17" t="s">
        <v>86</v>
      </c>
      <c r="D32" s="26">
        <v>41079</v>
      </c>
      <c r="E32" s="17">
        <v>13.8</v>
      </c>
      <c r="F32" s="20" t="s">
        <v>97</v>
      </c>
      <c r="G32" s="17">
        <v>2026</v>
      </c>
      <c r="I32" s="20">
        <v>2</v>
      </c>
      <c r="J32" s="20" t="s">
        <v>100</v>
      </c>
      <c r="K32" s="20" t="s">
        <v>170</v>
      </c>
      <c r="L32" s="20"/>
      <c r="S32" s="20">
        <v>82.4</v>
      </c>
      <c r="T32" s="20">
        <v>156.4</v>
      </c>
      <c r="U32" s="17">
        <v>55.2</v>
      </c>
      <c r="V32" s="17">
        <v>28.1</v>
      </c>
      <c r="W32" s="17">
        <v>16.899999999999999</v>
      </c>
      <c r="X32" s="17">
        <v>38.299999999999997</v>
      </c>
      <c r="Y32" s="17">
        <v>20.7</v>
      </c>
      <c r="Z32" s="17">
        <v>22.6</v>
      </c>
      <c r="AA32" s="17">
        <v>30.6</v>
      </c>
      <c r="AB32" s="17">
        <v>5.84</v>
      </c>
      <c r="AC32" s="17">
        <v>101.8</v>
      </c>
      <c r="AD32" s="17">
        <v>5.77</v>
      </c>
      <c r="AE32" s="17">
        <v>100.5</v>
      </c>
      <c r="AF32" s="17">
        <v>2.8</v>
      </c>
      <c r="AG32" s="17">
        <v>145.4</v>
      </c>
      <c r="AH32" s="17">
        <v>2.8</v>
      </c>
      <c r="AI32" s="17">
        <v>145.1</v>
      </c>
      <c r="AJ32" s="17">
        <v>271.7</v>
      </c>
      <c r="AK32" s="17">
        <v>277.60000000000002</v>
      </c>
      <c r="AL32" s="17">
        <v>242.7</v>
      </c>
      <c r="AM32" s="17">
        <v>246.6</v>
      </c>
      <c r="AN32" s="17">
        <v>84</v>
      </c>
      <c r="AO32" s="17">
        <v>0.83</v>
      </c>
      <c r="AP32" s="17">
        <v>6.2</v>
      </c>
      <c r="AQ32" s="17">
        <v>15.7</v>
      </c>
      <c r="AR32" s="17">
        <v>0.35799999999999998</v>
      </c>
      <c r="AS32" s="17">
        <v>21.8</v>
      </c>
      <c r="AT32" s="17">
        <v>0.42199999999999999</v>
      </c>
      <c r="AU32" s="17">
        <v>8.4</v>
      </c>
      <c r="AV32" s="17">
        <v>0.26200000000000001</v>
      </c>
      <c r="AW32" s="17">
        <v>12</v>
      </c>
      <c r="AX32" s="17">
        <v>0.313</v>
      </c>
      <c r="AY32" s="41">
        <f t="shared" si="7"/>
        <v>1398.5500000000002</v>
      </c>
      <c r="BA32" s="20">
        <f t="shared" si="8"/>
        <v>1768.8200000000002</v>
      </c>
      <c r="BC32" s="20">
        <f t="shared" si="9"/>
        <v>955.44</v>
      </c>
      <c r="BE32" s="20">
        <f t="shared" si="10"/>
        <v>1173.96</v>
      </c>
      <c r="BG32" s="17">
        <v>14</v>
      </c>
      <c r="BH32" s="17">
        <v>56</v>
      </c>
      <c r="BI32" s="20">
        <f t="shared" si="11"/>
        <v>42</v>
      </c>
      <c r="BJ32" s="20"/>
      <c r="BK32" s="17">
        <v>4</v>
      </c>
      <c r="BL32" s="20"/>
      <c r="BM32" s="17">
        <v>4</v>
      </c>
      <c r="BN32" s="20"/>
      <c r="BO32" s="17">
        <v>46.2</v>
      </c>
      <c r="BP32" s="17">
        <v>45</v>
      </c>
      <c r="BQ32" s="17">
        <v>87</v>
      </c>
      <c r="BR32" s="17">
        <v>90</v>
      </c>
      <c r="BS32" s="17">
        <v>80</v>
      </c>
      <c r="BT32" s="17">
        <v>85</v>
      </c>
      <c r="BU32" s="17">
        <v>89</v>
      </c>
      <c r="BV32" s="17">
        <v>64</v>
      </c>
      <c r="BW32" s="91">
        <f t="shared" si="5"/>
        <v>115.76576576576576</v>
      </c>
      <c r="BX32" s="91" t="str">
        <f>_xlfn.XLOOKUP(BW32,'Normative data'!$V$3:$V$6,'Normative data'!$W$3:$W$6,"Not Found",-1)</f>
        <v>Low risk</v>
      </c>
      <c r="BY32" s="91">
        <f t="shared" si="6"/>
        <v>107.2072072072072</v>
      </c>
      <c r="BZ32" s="91" t="str">
        <f>_xlfn.XLOOKUP(BY32,'Normative data'!$V$3:$V$6,'Normative data'!$W$3:$W$6,"Not Found",-1)</f>
        <v>Low risk</v>
      </c>
      <c r="CA32" s="17">
        <v>28</v>
      </c>
      <c r="CC32" s="20"/>
      <c r="CE32" s="17">
        <v>20</v>
      </c>
      <c r="CG32" s="17">
        <v>20.010000000000002</v>
      </c>
      <c r="CH32" s="20" t="str">
        <f>_xlfn.XLOOKUP(CG32, 'Normative data'!$S$9:$S$15,'Normative data'!$T$9:$T$15, "Not Found", -1)</f>
        <v>Average</v>
      </c>
      <c r="CI32" s="17">
        <v>21.15</v>
      </c>
      <c r="CJ32" s="20" t="str">
        <f>_xlfn.XLOOKUP(CI32, 'Normative data'!$S$9:$S$15, 'Normative data'!$T$9:$T$15, "Not Found", -1)</f>
        <v>Average</v>
      </c>
      <c r="CK32" s="17">
        <v>2.37</v>
      </c>
      <c r="CL32" s="17">
        <v>4.22</v>
      </c>
      <c r="CN32" s="17">
        <v>7.64</v>
      </c>
      <c r="CO32" s="17">
        <v>6.54</v>
      </c>
      <c r="CQ32" s="17">
        <v>5.3</v>
      </c>
      <c r="CR32" s="20" t="str" cm="1">
        <f t="array" ref="CR32">IF(OR(ISBLANK(E32),ISBLANK(CQ32)),"Incomplete",_xlfn.XLOOKUP(CQ32,_xlfn.XLOOKUP(E32,'Normative data'!$Y$3:$Y$6,'Normative data'!$Z$3:$AG$6,,-1),'Normative data'!$Z$2:$AG$2,"Not Found",-1))</f>
        <v>Average</v>
      </c>
      <c r="CS32" s="20">
        <v>5</v>
      </c>
      <c r="CT32" s="20">
        <v>3</v>
      </c>
      <c r="CU32" s="20" cm="1">
        <f t="array" ref="CU32">_xlfn.XLOOKUP(CS32&amp;CT32,(VLOOKUP!$A$3:$A$250)&amp;(VLOOKUP!$B$3:$B$250),VLOOKUP!$C$3:$C$250,"Incomplete",-1)</f>
        <v>700</v>
      </c>
      <c r="CV32" s="20" t="str" cm="1">
        <f t="array" ref="CV32">_xlfn.XLOOKUP(CU32, _xlfn.XLOOKUP(E32, 'Normative data'!$Y$11:$Y$14, 'Normative data'!$Z$11:$AG$14, ,-1), 'Normative data'!$Z$10:$AG$10, "Not Found", -1)</f>
        <v>Average</v>
      </c>
      <c r="CW32" s="20" cm="1">
        <f t="array" ref="CW32">IF(OR(ISBLANK(CS32),ISBLANK(CT32)),"Incomplete",_xlfn.XLOOKUP(CS32&amp;CT32,VLOOKUP!$A$4:$A$250&amp;VLOOKUP!$B$4:$B$250,VLOOKUP!$D$4:$D$250,"0"))</f>
        <v>31</v>
      </c>
    </row>
    <row r="33" spans="1:101">
      <c r="A33" s="17" t="s">
        <v>171</v>
      </c>
      <c r="B33" s="17" t="s">
        <v>172</v>
      </c>
      <c r="C33" s="17" t="s">
        <v>86</v>
      </c>
      <c r="D33" s="26">
        <v>40739</v>
      </c>
      <c r="F33" s="20" t="s">
        <v>87</v>
      </c>
      <c r="G33" s="17">
        <v>2026</v>
      </c>
      <c r="I33" s="20">
        <v>2</v>
      </c>
      <c r="J33" s="20" t="s">
        <v>100</v>
      </c>
      <c r="K33" s="20" t="s">
        <v>173</v>
      </c>
      <c r="L33" s="20"/>
      <c r="S33" s="20">
        <v>80</v>
      </c>
      <c r="T33" s="20">
        <v>153.80000000000001</v>
      </c>
      <c r="U33" s="17">
        <v>66.2</v>
      </c>
      <c r="V33" s="17">
        <v>28</v>
      </c>
      <c r="W33" s="17">
        <v>27.9</v>
      </c>
      <c r="X33" s="17">
        <v>38.299999999999997</v>
      </c>
      <c r="Y33" s="17">
        <v>20.8</v>
      </c>
      <c r="AA33" s="17">
        <v>42.1</v>
      </c>
      <c r="AB33" s="17">
        <v>5.39</v>
      </c>
      <c r="AC33" s="17">
        <v>90.3</v>
      </c>
      <c r="AD33" s="17">
        <v>5.29</v>
      </c>
      <c r="AE33" s="17">
        <v>88.7</v>
      </c>
      <c r="AF33" s="17">
        <v>4</v>
      </c>
      <c r="AG33" s="17">
        <v>230.3</v>
      </c>
      <c r="AH33" s="17">
        <v>3.9</v>
      </c>
      <c r="AI33" s="17">
        <v>229.1</v>
      </c>
      <c r="AJ33" s="17">
        <v>320.5</v>
      </c>
      <c r="AK33" s="17">
        <v>332.5</v>
      </c>
      <c r="AL33" s="17">
        <v>284.3</v>
      </c>
      <c r="AM33" s="17">
        <v>296</v>
      </c>
      <c r="AN33" s="17">
        <v>59</v>
      </c>
      <c r="AQ33" s="17">
        <v>16.100000000000001</v>
      </c>
      <c r="AR33" s="17">
        <v>0.36199999999999999</v>
      </c>
      <c r="AS33" s="17">
        <v>17.8</v>
      </c>
      <c r="AT33" s="17">
        <v>0.38100000000000001</v>
      </c>
      <c r="AU33" s="17">
        <v>2.9</v>
      </c>
      <c r="AV33" s="17">
        <v>0.154</v>
      </c>
      <c r="AW33" s="17">
        <v>6</v>
      </c>
      <c r="AX33" s="17">
        <v>0.221</v>
      </c>
      <c r="AY33" s="41">
        <f t="shared" si="7"/>
        <v>1921.13</v>
      </c>
      <c r="BA33" s="20">
        <f t="shared" si="8"/>
        <v>2024.3200000000002</v>
      </c>
      <c r="BC33" s="20">
        <f t="shared" si="9"/>
        <v>1119.8900000000003</v>
      </c>
      <c r="BE33" s="20">
        <f t="shared" si="10"/>
        <v>1308.0600000000004</v>
      </c>
      <c r="BG33" s="17">
        <v>11.5</v>
      </c>
      <c r="BH33" s="17">
        <v>49.4</v>
      </c>
      <c r="BI33" s="20">
        <f t="shared" si="11"/>
        <v>37.9</v>
      </c>
      <c r="BJ33" s="20"/>
      <c r="BK33" s="17">
        <v>11</v>
      </c>
      <c r="BL33" s="20"/>
      <c r="BM33" s="17">
        <v>13</v>
      </c>
      <c r="BN33" s="20"/>
      <c r="BO33" s="17">
        <v>55</v>
      </c>
      <c r="BP33" s="17">
        <v>55</v>
      </c>
      <c r="BQ33" s="17">
        <v>70</v>
      </c>
      <c r="BR33" s="17">
        <v>71</v>
      </c>
      <c r="BS33" s="17">
        <v>60</v>
      </c>
      <c r="BT33" s="17">
        <v>76</v>
      </c>
      <c r="BU33" s="17">
        <v>68</v>
      </c>
      <c r="BV33" s="17">
        <v>62</v>
      </c>
      <c r="BW33" s="91">
        <f t="shared" si="5"/>
        <v>90.785907859078577</v>
      </c>
      <c r="BX33" s="91" t="str">
        <f>_xlfn.XLOOKUP(BW33,'Normative data'!$V$3:$V$6,'Normative data'!$W$3:$W$6,"Not Found",-1)</f>
        <v>High risk</v>
      </c>
      <c r="BY33" s="91">
        <f t="shared" si="6"/>
        <v>93.044263775971075</v>
      </c>
      <c r="BZ33" s="91" t="str">
        <f>_xlfn.XLOOKUP(BY33,'Normative data'!$V$3:$V$6,'Normative data'!$W$3:$W$6,"Not Found",-1)</f>
        <v>High risk</v>
      </c>
      <c r="CA33" s="17">
        <v>19</v>
      </c>
      <c r="CC33" s="20"/>
      <c r="CE33" s="17">
        <v>5</v>
      </c>
      <c r="CG33" s="20"/>
      <c r="CH33" s="20" t="str">
        <f>_xlfn.XLOOKUP(CG33, 'Normative data'!$S$9:$S$15,'Normative data'!$T$9:$T$15, "Not Found", -1)</f>
        <v>not completed</v>
      </c>
      <c r="CI33" s="20"/>
      <c r="CJ33" s="20" t="str">
        <f>_xlfn.XLOOKUP(CI33, 'Normative data'!$S$9:$S$15, 'Normative data'!$T$9:$T$15, "Not Found", -1)</f>
        <v>not completed</v>
      </c>
      <c r="CK33" s="21"/>
      <c r="CL33" s="21"/>
      <c r="CM33" s="21"/>
      <c r="CN33" s="21"/>
      <c r="CO33" s="21"/>
      <c r="CR33" s="20" t="str" cm="1">
        <f t="array" ref="CR33">IF(OR(ISBLANK(E33),ISBLANK(CQ33)),"Incomplete",_xlfn.XLOOKUP(CQ33,_xlfn.XLOOKUP(E33,'Normative data'!$Y$3:$Y$6,'Normative data'!$Z$3:$AG$6,,-1),'Normative data'!$Z$2:$AG$2,"Not Found",-1))</f>
        <v>Incomplete</v>
      </c>
      <c r="CS33" s="20"/>
      <c r="CT33" s="20"/>
      <c r="CU33" s="20" t="str" cm="1">
        <f t="array" ref="CU33">_xlfn.XLOOKUP(CS33&amp;CT33,(VLOOKUP!$A$3:$A$250)&amp;(VLOOKUP!$B$3:$B$250),VLOOKUP!$C$3:$C$250,"Incomplete",-1)</f>
        <v>Incomplete</v>
      </c>
      <c r="CV33" s="20" t="str" cm="1">
        <f t="array" ref="CV33">_xlfn.XLOOKUP(CU33, _xlfn.XLOOKUP(E33, 'Normative data'!$Y$11:$Y$14, 'Normative data'!$Z$11:$AG$14, ,-1), 'Normative data'!$Z$10:$AG$10, "Not Found", -1)</f>
        <v>Excellent</v>
      </c>
      <c r="CW33" s="20" t="str" cm="1">
        <f t="array" ref="CW33">IF(OR(ISBLANK(CS33),ISBLANK(CT33)),"Incomplete",_xlfn.XLOOKUP(CS33&amp;CT33,VLOOKUP!$A$4:$A$250&amp;VLOOKUP!$B$4:$B$250,VLOOKUP!$D$4:$D$250,"0"))</f>
        <v>Incomplete</v>
      </c>
    </row>
    <row r="34" spans="1:101">
      <c r="A34" s="17" t="s">
        <v>174</v>
      </c>
      <c r="B34" s="17" t="s">
        <v>175</v>
      </c>
      <c r="C34" s="17" t="s">
        <v>86</v>
      </c>
      <c r="D34" s="26">
        <v>40708</v>
      </c>
      <c r="F34" s="20" t="s">
        <v>92</v>
      </c>
      <c r="G34" s="17">
        <v>2026</v>
      </c>
      <c r="I34" s="20">
        <v>2</v>
      </c>
      <c r="J34" s="20"/>
      <c r="K34" s="20"/>
      <c r="L34" s="20"/>
      <c r="S34" s="20"/>
      <c r="T34" s="20"/>
      <c r="AY34" s="41" t="str">
        <f t="shared" si="7"/>
        <v>Incomplete</v>
      </c>
      <c r="BA34" s="20" t="str">
        <f t="shared" si="8"/>
        <v>Incomplete</v>
      </c>
      <c r="BC34" s="20" t="str">
        <f t="shared" si="9"/>
        <v>Incomplete</v>
      </c>
      <c r="BE34" s="20" t="str">
        <f t="shared" si="10"/>
        <v>Incomplete</v>
      </c>
      <c r="BG34" s="17">
        <v>25</v>
      </c>
      <c r="BH34" s="17">
        <v>61</v>
      </c>
      <c r="BI34" s="20">
        <f t="shared" si="11"/>
        <v>36</v>
      </c>
      <c r="BJ34" s="20"/>
      <c r="BK34" s="17">
        <v>5</v>
      </c>
      <c r="BL34" s="20"/>
      <c r="BM34" s="17">
        <v>6.5</v>
      </c>
      <c r="BN34" s="20"/>
      <c r="BO34" s="17">
        <v>45.7</v>
      </c>
      <c r="BP34" s="17">
        <v>45.7</v>
      </c>
      <c r="BQ34" s="17">
        <v>70</v>
      </c>
      <c r="BR34" s="17">
        <v>63</v>
      </c>
      <c r="BS34" s="17">
        <v>66</v>
      </c>
      <c r="BT34" s="17">
        <v>73</v>
      </c>
      <c r="BU34" s="17">
        <v>73</v>
      </c>
      <c r="BV34" s="17">
        <v>75</v>
      </c>
      <c r="BW34" s="91" t="str">
        <f t="shared" ref="BW34:BW65" si="12">IFERROR(SUM(BQ34+BR34+BS34)/(3*(T34-S34))*100, "Incomplete")</f>
        <v>Incomplete</v>
      </c>
      <c r="BX34" s="91" t="str">
        <f>_xlfn.XLOOKUP(BW34,'Normative data'!$V$3:$V$6,'Normative data'!$W$3:$W$6,"Not Found",-1)</f>
        <v>Very low risk</v>
      </c>
      <c r="BY34" s="91" t="str">
        <f t="shared" ref="BY34:BY65" si="13">IFERROR(SUM(BT34+BU34+BV34)/(3*(T34-S34))*100, "Incomplete")</f>
        <v>Incomplete</v>
      </c>
      <c r="BZ34" s="91" t="str">
        <f>_xlfn.XLOOKUP(BY34,'Normative data'!$V$3:$V$6,'Normative data'!$W$3:$W$6,"Not Found",-1)</f>
        <v>Very low risk</v>
      </c>
      <c r="CG34" s="20"/>
      <c r="CH34" s="20" t="str">
        <f>_xlfn.XLOOKUP(CG34, 'Normative data'!$S$9:$S$15,'Normative data'!$T$9:$T$15, "Not Found", -1)</f>
        <v>not completed</v>
      </c>
      <c r="CI34" s="20"/>
      <c r="CJ34" s="20" t="str">
        <f>_xlfn.XLOOKUP(CI34, 'Normative data'!$S$9:$S$15, 'Normative data'!$T$9:$T$15, "Not Found", -1)</f>
        <v>not completed</v>
      </c>
      <c r="CK34" s="21"/>
      <c r="CL34" s="21"/>
      <c r="CM34" s="21"/>
      <c r="CN34" s="21"/>
      <c r="CO34" s="21"/>
      <c r="CR34" s="20" t="str" cm="1">
        <f t="array" ref="CR34">IF(OR(ISBLANK(E34),ISBLANK(CQ34)),"Incomplete",_xlfn.XLOOKUP(CQ34,_xlfn.XLOOKUP(E34,'Normative data'!$Y$3:$Y$6,'Normative data'!$Z$3:$AG$6,,-1),'Normative data'!$Z$2:$AG$2,"Not Found",-1))</f>
        <v>Incomplete</v>
      </c>
      <c r="CS34" s="20"/>
      <c r="CT34" s="20"/>
      <c r="CU34" s="20" t="str" cm="1">
        <f t="array" ref="CU34">_xlfn.XLOOKUP(CS34&amp;CT34,(VLOOKUP!$A$3:$A$250)&amp;(VLOOKUP!$B$3:$B$250),VLOOKUP!$C$3:$C$250,"Incomplete",-1)</f>
        <v>Incomplete</v>
      </c>
      <c r="CV34" s="20" t="str" cm="1">
        <f t="array" ref="CV34">_xlfn.XLOOKUP(CU34, _xlfn.XLOOKUP(E34, 'Normative data'!$Y$11:$Y$14, 'Normative data'!$Z$11:$AG$14, ,-1), 'Normative data'!$Z$10:$AG$10, "Not Found", -1)</f>
        <v>Excellent</v>
      </c>
      <c r="CW34" s="20" t="str" cm="1">
        <f t="array" ref="CW34">IF(OR(ISBLANK(CS34),ISBLANK(CT34)),"Incomplete",_xlfn.XLOOKUP(CS34&amp;CT34,VLOOKUP!$A$4:$A$250&amp;VLOOKUP!$B$4:$B$250,VLOOKUP!$D$4:$D$250,"0"))</f>
        <v>Incomplete</v>
      </c>
    </row>
    <row r="35" spans="1:101">
      <c r="A35" s="17" t="s">
        <v>176</v>
      </c>
      <c r="B35" s="17" t="s">
        <v>177</v>
      </c>
      <c r="C35" s="17" t="s">
        <v>86</v>
      </c>
      <c r="D35" s="26"/>
      <c r="F35" s="20" t="s">
        <v>178</v>
      </c>
      <c r="G35" s="17">
        <v>2026</v>
      </c>
      <c r="I35" s="20">
        <v>2</v>
      </c>
      <c r="J35" s="20"/>
      <c r="K35" s="20"/>
      <c r="L35" s="20"/>
      <c r="S35" s="20">
        <v>82.3</v>
      </c>
      <c r="T35" s="20">
        <v>161.1</v>
      </c>
      <c r="AQ35" s="20"/>
      <c r="AR35" s="20"/>
      <c r="AS35" s="20"/>
      <c r="AT35" s="20"/>
      <c r="AU35" s="20"/>
      <c r="AV35" s="20"/>
      <c r="AW35" s="20"/>
      <c r="AX35" s="20"/>
      <c r="AY35" s="41" t="str">
        <f t="shared" si="7"/>
        <v>Incomplete</v>
      </c>
      <c r="BA35" s="20" t="str">
        <f t="shared" si="8"/>
        <v>Incomplete</v>
      </c>
      <c r="BC35" s="20" t="str">
        <f t="shared" si="9"/>
        <v>Incomplete</v>
      </c>
      <c r="BE35" s="20" t="str">
        <f t="shared" si="10"/>
        <v>Incomplete</v>
      </c>
      <c r="BG35" s="17">
        <v>17</v>
      </c>
      <c r="BH35" s="17">
        <v>50</v>
      </c>
      <c r="BI35" s="20">
        <f t="shared" si="11"/>
        <v>33</v>
      </c>
      <c r="BJ35" s="20"/>
      <c r="BL35" s="20"/>
      <c r="BM35" s="20"/>
      <c r="BN35" s="20"/>
      <c r="BW35" s="91">
        <f t="shared" si="12"/>
        <v>0</v>
      </c>
      <c r="BX35" s="91" t="str">
        <f>_xlfn.XLOOKUP(BW35,'Normative data'!$V$3:$V$6,'Normative data'!$W$3:$W$6,"Not Found",-1)</f>
        <v>Not completed</v>
      </c>
      <c r="BY35" s="91">
        <f t="shared" si="13"/>
        <v>0</v>
      </c>
      <c r="BZ35" s="91" t="str">
        <f>_xlfn.XLOOKUP(BY35,'Normative data'!$V$3:$V$6,'Normative data'!$W$3:$W$6,"Not Found",-1)</f>
        <v>Not completed</v>
      </c>
      <c r="CG35" s="20"/>
      <c r="CH35" s="20" t="str">
        <f>_xlfn.XLOOKUP(CG35, 'Normative data'!$S$9:$S$15,'Normative data'!$T$9:$T$15, "Not Found", -1)</f>
        <v>not completed</v>
      </c>
      <c r="CI35" s="20"/>
      <c r="CJ35" s="20" t="str">
        <f>_xlfn.XLOOKUP(CI35, 'Normative data'!$S$9:$S$15, 'Normative data'!$T$9:$T$15, "Not Found", -1)</f>
        <v>not completed</v>
      </c>
      <c r="CK35" s="21"/>
      <c r="CL35" s="21"/>
      <c r="CM35" s="21"/>
      <c r="CN35" s="21"/>
      <c r="CO35" s="21"/>
      <c r="CQ35" s="17">
        <v>2.7</v>
      </c>
      <c r="CR35" s="20" t="str" cm="1">
        <f t="array" ref="CR35">IF(OR(ISBLANK(E35),ISBLANK(CQ35)),"Incomplete",_xlfn.XLOOKUP(CQ35,_xlfn.XLOOKUP(E35,'Normative data'!$Y$3:$Y$6,'Normative data'!$Z$3:$AG$6,,-1),'Normative data'!$Z$2:$AG$2,"Not Found",-1))</f>
        <v>Incomplete</v>
      </c>
      <c r="CS35" s="20">
        <v>2</v>
      </c>
      <c r="CT35" s="20">
        <v>7</v>
      </c>
      <c r="CU35" s="20" cm="1">
        <f t="array" ref="CU35">_xlfn.XLOOKUP(CS35&amp;CT35,(VLOOKUP!$A$3:$A$250)&amp;(VLOOKUP!$B$3:$B$250),VLOOKUP!$C$3:$C$250,"Incomplete",-1)</f>
        <v>280</v>
      </c>
      <c r="CV35" s="20" t="str" cm="1">
        <f t="array" ref="CV35">_xlfn.XLOOKUP(CU35, _xlfn.XLOOKUP(E35, 'Normative data'!$Y$11:$Y$14, 'Normative data'!$Z$11:$AG$14, ,-1), 'Normative data'!$Z$10:$AG$10, "Not Found", -1)</f>
        <v xml:space="preserve">Very poor </v>
      </c>
      <c r="CW35" s="20" cm="1">
        <f t="array" ref="CW35">IF(OR(ISBLANK(CS35),ISBLANK(CT35)),"Incomplete",_xlfn.XLOOKUP(CS35&amp;CT35,VLOOKUP!$A$4:$A$250&amp;VLOOKUP!$B$4:$B$250,VLOOKUP!$D$4:$D$250,"0"))</f>
        <v>22</v>
      </c>
    </row>
    <row r="36" spans="1:101" ht="13.15" customHeight="1">
      <c r="A36" s="17" t="s">
        <v>179</v>
      </c>
      <c r="B36" s="17" t="s">
        <v>180</v>
      </c>
      <c r="C36" s="17" t="s">
        <v>86</v>
      </c>
      <c r="D36" s="26"/>
      <c r="F36" s="20" t="s">
        <v>181</v>
      </c>
      <c r="G36" s="17">
        <v>2026</v>
      </c>
      <c r="I36" s="20">
        <v>2</v>
      </c>
      <c r="J36" s="20"/>
      <c r="K36" s="20"/>
      <c r="L36" s="20"/>
      <c r="S36" s="20"/>
      <c r="T36" s="20"/>
      <c r="AQ36" s="20"/>
      <c r="AR36" s="20"/>
      <c r="AS36" s="20"/>
      <c r="AT36" s="20"/>
      <c r="AU36" s="20"/>
      <c r="AV36" s="20"/>
      <c r="AW36" s="20"/>
      <c r="AX36" s="20"/>
      <c r="AY36" s="41" t="str">
        <f t="shared" si="7"/>
        <v>Incomplete</v>
      </c>
      <c r="BA36" s="20" t="str">
        <f t="shared" si="8"/>
        <v>Incomplete</v>
      </c>
      <c r="BC36" s="20" t="str">
        <f t="shared" si="9"/>
        <v>Incomplete</v>
      </c>
      <c r="BE36" s="20" t="str">
        <f t="shared" si="10"/>
        <v>Incomplete</v>
      </c>
      <c r="BH36" s="20"/>
      <c r="BI36" s="20" t="str">
        <f t="shared" si="11"/>
        <v>Incomplete</v>
      </c>
      <c r="BJ36" s="20"/>
      <c r="BL36" s="20"/>
      <c r="BM36" s="20"/>
      <c r="BN36" s="20"/>
      <c r="BW36" s="91" t="str">
        <f t="shared" si="12"/>
        <v>Incomplete</v>
      </c>
      <c r="BX36" s="91" t="str">
        <f>_xlfn.XLOOKUP(BW36,'Normative data'!$V$3:$V$6,'Normative data'!$W$3:$W$6,"Not Found",-1)</f>
        <v>Very low risk</v>
      </c>
      <c r="BY36" s="91" t="str">
        <f t="shared" si="13"/>
        <v>Incomplete</v>
      </c>
      <c r="BZ36" s="91" t="str">
        <f>_xlfn.XLOOKUP(BY36,'Normative data'!$V$3:$V$6,'Normative data'!$W$3:$W$6,"Not Found",-1)</f>
        <v>Very low risk</v>
      </c>
      <c r="CA36" s="17">
        <v>30</v>
      </c>
      <c r="CC36" s="20"/>
      <c r="CE36" s="17">
        <v>7</v>
      </c>
      <c r="CG36" s="20"/>
      <c r="CH36" s="20" t="str">
        <f>_xlfn.XLOOKUP(CG36, 'Normative data'!$S$9:$S$15,'Normative data'!$T$9:$T$15, "Not Found", -1)</f>
        <v>not completed</v>
      </c>
      <c r="CI36" s="20"/>
      <c r="CJ36" s="20" t="str">
        <f>_xlfn.XLOOKUP(CI36, 'Normative data'!$S$9:$S$15, 'Normative data'!$T$9:$T$15, "Not Found", -1)</f>
        <v>not completed</v>
      </c>
      <c r="CK36" s="17">
        <v>2.38</v>
      </c>
      <c r="CL36" s="17">
        <v>4.2</v>
      </c>
      <c r="CN36" s="17">
        <v>7.24</v>
      </c>
      <c r="CO36" s="17">
        <v>6.91</v>
      </c>
      <c r="CR36" s="20" t="str" cm="1">
        <f t="array" ref="CR36">IF(OR(ISBLANK(E36),ISBLANK(CQ36)),"Incomplete",_xlfn.XLOOKUP(CQ36,_xlfn.XLOOKUP(E36,'Normative data'!$Y$3:$Y$6,'Normative data'!$Z$3:$AG$6,,-1),'Normative data'!$Z$2:$AG$2,"Not Found",-1))</f>
        <v>Incomplete</v>
      </c>
      <c r="CS36" s="20"/>
      <c r="CT36" s="20"/>
      <c r="CU36" s="20" t="str" cm="1">
        <f t="array" ref="CU36">_xlfn.XLOOKUP(CS36&amp;CT36,(VLOOKUP!$A$3:$A$250)&amp;(VLOOKUP!$B$3:$B$250),VLOOKUP!$C$3:$C$250,"Incomplete",-1)</f>
        <v>Incomplete</v>
      </c>
      <c r="CV36" s="20" t="str" cm="1">
        <f t="array" ref="CV36">_xlfn.XLOOKUP(CU36, _xlfn.XLOOKUP(E36, 'Normative data'!$Y$11:$Y$14, 'Normative data'!$Z$11:$AG$14, ,-1), 'Normative data'!$Z$10:$AG$10, "Not Found", -1)</f>
        <v>Excellent</v>
      </c>
      <c r="CW36" s="20" t="str" cm="1">
        <f t="array" ref="CW36">IF(OR(ISBLANK(CS36),ISBLANK(CT36)),"Incomplete",_xlfn.XLOOKUP(CS36&amp;CT36,VLOOKUP!$A$4:$A$250&amp;VLOOKUP!$B$4:$B$250,VLOOKUP!$D$4:$D$250,"0"))</f>
        <v>Incomplete</v>
      </c>
    </row>
    <row r="37" spans="1:101">
      <c r="A37" s="17" t="s">
        <v>182</v>
      </c>
      <c r="B37" s="17" t="s">
        <v>183</v>
      </c>
      <c r="C37" s="17" t="s">
        <v>86</v>
      </c>
      <c r="D37" s="26">
        <v>41078</v>
      </c>
      <c r="E37" s="17">
        <v>13.8</v>
      </c>
      <c r="F37" s="20" t="s">
        <v>97</v>
      </c>
      <c r="G37" s="17">
        <v>2026</v>
      </c>
      <c r="I37" s="20">
        <v>2</v>
      </c>
      <c r="J37" s="20" t="s">
        <v>88</v>
      </c>
      <c r="K37" s="20" t="s">
        <v>184</v>
      </c>
      <c r="L37" s="20"/>
      <c r="S37" s="20">
        <v>85.8</v>
      </c>
      <c r="T37" s="20">
        <v>164.4</v>
      </c>
      <c r="U37" s="17">
        <v>47.5</v>
      </c>
      <c r="V37" s="17">
        <v>27.7</v>
      </c>
      <c r="W37" s="17">
        <v>9.6999999999999993</v>
      </c>
      <c r="X37" s="17">
        <v>37.799999999999997</v>
      </c>
      <c r="Y37" s="17">
        <v>20.399999999999999</v>
      </c>
      <c r="Z37" s="17">
        <v>17.7</v>
      </c>
      <c r="AA37" s="17">
        <v>20.399999999999999</v>
      </c>
      <c r="AB37" s="17">
        <v>5.74</v>
      </c>
      <c r="AC37" s="17">
        <v>104.6</v>
      </c>
      <c r="AD37" s="17">
        <v>5.77</v>
      </c>
      <c r="AE37" s="17">
        <v>105.2</v>
      </c>
      <c r="AF37" s="17">
        <v>1.6</v>
      </c>
      <c r="AG37" s="17">
        <v>65.3</v>
      </c>
      <c r="AH37" s="17">
        <v>1.6</v>
      </c>
      <c r="AI37" s="17">
        <v>65.5</v>
      </c>
      <c r="AJ37" s="17">
        <v>354.3</v>
      </c>
      <c r="AK37" s="17">
        <v>350.7</v>
      </c>
      <c r="AL37" s="17">
        <v>317.60000000000002</v>
      </c>
      <c r="AM37" s="17">
        <v>314.3</v>
      </c>
      <c r="AN37" s="17">
        <v>93</v>
      </c>
      <c r="AO37" s="17">
        <v>0.84</v>
      </c>
      <c r="AP37" s="17">
        <v>5.5</v>
      </c>
      <c r="AQ37" s="17">
        <v>23.1</v>
      </c>
      <c r="AR37" s="17">
        <v>0.434</v>
      </c>
      <c r="AS37" s="17">
        <v>18.7</v>
      </c>
      <c r="AT37" s="17">
        <v>0.39100000000000001</v>
      </c>
      <c r="AU37" s="17">
        <v>9.6999999999999993</v>
      </c>
      <c r="AV37" s="17">
        <v>0.28199999999999997</v>
      </c>
      <c r="AW37" s="17">
        <v>14.3</v>
      </c>
      <c r="AX37" s="17">
        <v>0.34200000000000003</v>
      </c>
      <c r="AY37" s="41">
        <f t="shared" si="7"/>
        <v>1498.92</v>
      </c>
      <c r="BA37" s="20">
        <f t="shared" si="8"/>
        <v>1231.8400000000001</v>
      </c>
      <c r="BC37" s="20">
        <f t="shared" si="9"/>
        <v>685.54</v>
      </c>
      <c r="BE37" s="20">
        <f t="shared" si="10"/>
        <v>964.76000000000022</v>
      </c>
      <c r="BG37" s="17">
        <v>14</v>
      </c>
      <c r="BH37" s="17">
        <v>42.8</v>
      </c>
      <c r="BI37" s="20">
        <f t="shared" si="11"/>
        <v>28.799999999999997</v>
      </c>
      <c r="BJ37" s="20"/>
      <c r="BK37" s="17">
        <v>5</v>
      </c>
      <c r="BL37" s="20"/>
      <c r="BM37" s="17">
        <v>6</v>
      </c>
      <c r="BN37" s="20"/>
      <c r="BO37" s="17">
        <v>41</v>
      </c>
      <c r="BP37" s="17">
        <v>45</v>
      </c>
      <c r="BQ37" s="17">
        <v>81</v>
      </c>
      <c r="BR37" s="17">
        <v>86</v>
      </c>
      <c r="BS37" s="17">
        <v>70</v>
      </c>
      <c r="BT37" s="17">
        <v>74</v>
      </c>
      <c r="BU37" s="17">
        <v>78</v>
      </c>
      <c r="BV37" s="17">
        <v>68</v>
      </c>
      <c r="BW37" s="91">
        <f t="shared" si="12"/>
        <v>100.5089058524173</v>
      </c>
      <c r="BX37" s="91" t="str">
        <f>_xlfn.XLOOKUP(BW37,'Normative data'!$V$3:$V$6,'Normative data'!$W$3:$W$6,"Not Found",-1)</f>
        <v>Low risk</v>
      </c>
      <c r="BY37" s="91">
        <f t="shared" si="13"/>
        <v>93.299406276505508</v>
      </c>
      <c r="BZ37" s="91" t="str">
        <f>_xlfn.XLOOKUP(BY37,'Normative data'!$V$3:$V$6,'Normative data'!$W$3:$W$6,"Not Found",-1)</f>
        <v>High risk</v>
      </c>
      <c r="CA37" s="17">
        <v>24</v>
      </c>
      <c r="CC37" s="20"/>
      <c r="CE37" s="17">
        <v>11</v>
      </c>
      <c r="CG37" s="17">
        <v>19.97</v>
      </c>
      <c r="CH37" s="20" t="str">
        <f>_xlfn.XLOOKUP(CG37, 'Normative data'!$S$9:$S$15,'Normative data'!$T$9:$T$15, "Not Found", -1)</f>
        <v>Average</v>
      </c>
      <c r="CI37" s="17">
        <v>19.09</v>
      </c>
      <c r="CJ37" s="20" t="str">
        <f>_xlfn.XLOOKUP(CI37, 'Normative data'!$S$9:$S$15, 'Normative data'!$T$9:$T$15, "Not Found", -1)</f>
        <v>Average</v>
      </c>
      <c r="CK37" s="17">
        <v>2.1800000000000002</v>
      </c>
      <c r="CL37" s="17">
        <v>4.59</v>
      </c>
      <c r="CN37" s="17">
        <v>7.08</v>
      </c>
      <c r="CO37" s="17">
        <v>7.06</v>
      </c>
      <c r="CR37" s="20" t="str" cm="1">
        <f t="array" ref="CR37">IF(OR(ISBLANK(E37),ISBLANK(CQ37)),"Incomplete",_xlfn.XLOOKUP(CQ37,_xlfn.XLOOKUP(E37,'Normative data'!$Y$3:$Y$6,'Normative data'!$Z$3:$AG$6,,-1),'Normative data'!$Z$2:$AG$2,"Not Found",-1))</f>
        <v>Incomplete</v>
      </c>
      <c r="CS37" s="20"/>
      <c r="CT37" s="20"/>
      <c r="CU37" s="20" t="str" cm="1">
        <f t="array" ref="CU37">_xlfn.XLOOKUP(CS37&amp;CT37,(VLOOKUP!$A$3:$A$250)&amp;(VLOOKUP!$B$3:$B$250),VLOOKUP!$C$3:$C$250,"Incomplete",-1)</f>
        <v>Incomplete</v>
      </c>
      <c r="CV37" s="20" t="str" cm="1">
        <f t="array" ref="CV37">_xlfn.XLOOKUP(CU37, _xlfn.XLOOKUP(E37, 'Normative data'!$Y$11:$Y$14, 'Normative data'!$Z$11:$AG$14, ,-1), 'Normative data'!$Z$10:$AG$10, "Not Found", -1)</f>
        <v>Excellent</v>
      </c>
      <c r="CW37" s="20" t="str" cm="1">
        <f t="array" ref="CW37">IF(OR(ISBLANK(CS37),ISBLANK(CT37)),"Incomplete",_xlfn.XLOOKUP(CS37&amp;CT37,VLOOKUP!$A$4:$A$250&amp;VLOOKUP!$B$4:$B$250,VLOOKUP!$D$4:$D$250,"0"))</f>
        <v>Incomplete</v>
      </c>
    </row>
    <row r="38" spans="1:101">
      <c r="A38" s="17" t="s">
        <v>185</v>
      </c>
      <c r="B38" s="17" t="s">
        <v>183</v>
      </c>
      <c r="C38" s="17" t="s">
        <v>86</v>
      </c>
      <c r="D38" s="26">
        <v>40287</v>
      </c>
      <c r="E38" s="17">
        <v>15.9</v>
      </c>
      <c r="F38" s="20" t="s">
        <v>186</v>
      </c>
      <c r="G38" s="17">
        <v>2026</v>
      </c>
      <c r="I38" s="20">
        <v>2</v>
      </c>
      <c r="J38" s="20"/>
      <c r="K38" s="20"/>
      <c r="L38" s="20"/>
      <c r="S38" s="20">
        <v>83.9</v>
      </c>
      <c r="T38" s="20">
        <v>163.6</v>
      </c>
      <c r="U38" s="17">
        <v>59.2</v>
      </c>
      <c r="V38" s="17">
        <v>29.8</v>
      </c>
      <c r="W38" s="17">
        <v>18.3</v>
      </c>
      <c r="X38" s="17">
        <v>40.9</v>
      </c>
      <c r="Y38" s="17">
        <v>22.2</v>
      </c>
      <c r="Z38" s="17">
        <v>22</v>
      </c>
      <c r="AA38" s="17">
        <v>30.9</v>
      </c>
      <c r="AB38" s="17">
        <v>6.25</v>
      </c>
      <c r="AC38" s="17">
        <v>92.8</v>
      </c>
      <c r="AD38" s="17">
        <v>6.24</v>
      </c>
      <c r="AE38" s="17">
        <v>92.6</v>
      </c>
      <c r="AF38" s="17">
        <v>2.9</v>
      </c>
      <c r="AG38" s="17">
        <v>116.3</v>
      </c>
      <c r="AH38" s="17">
        <v>2.9</v>
      </c>
      <c r="AI38" s="17">
        <v>115.7</v>
      </c>
      <c r="AJ38" s="17">
        <v>353.2</v>
      </c>
      <c r="AK38" s="17">
        <v>353.9</v>
      </c>
      <c r="AL38" s="17">
        <v>308.60000000000002</v>
      </c>
      <c r="AM38" s="17">
        <v>311.7</v>
      </c>
      <c r="AN38" s="17">
        <v>95</v>
      </c>
      <c r="AO38" s="17">
        <v>0.87</v>
      </c>
      <c r="AP38" s="17">
        <v>6.1</v>
      </c>
      <c r="AY38" s="41" t="str">
        <f t="shared" si="7"/>
        <v>Incomplete</v>
      </c>
      <c r="BA38" s="20" t="str">
        <f t="shared" si="8"/>
        <v>Incomplete</v>
      </c>
      <c r="BC38" s="20" t="str">
        <f t="shared" si="9"/>
        <v>Incomplete</v>
      </c>
      <c r="BE38" s="20" t="str">
        <f t="shared" si="10"/>
        <v>Incomplete</v>
      </c>
      <c r="BH38" s="20"/>
      <c r="BI38" s="20" t="str">
        <f t="shared" si="11"/>
        <v>Incomplete</v>
      </c>
      <c r="BJ38" s="20"/>
      <c r="BK38" s="17">
        <v>15.3</v>
      </c>
      <c r="BL38" s="20"/>
      <c r="BM38" s="17">
        <v>15</v>
      </c>
      <c r="BN38" s="20"/>
      <c r="BW38" s="91">
        <f t="shared" si="12"/>
        <v>0</v>
      </c>
      <c r="BX38" s="91" t="str">
        <f>_xlfn.XLOOKUP(BW38,'Normative data'!$V$3:$V$6,'Normative data'!$W$3:$W$6,"Not Found",-1)</f>
        <v>Not completed</v>
      </c>
      <c r="BY38" s="91">
        <f t="shared" si="13"/>
        <v>0</v>
      </c>
      <c r="BZ38" s="91" t="str">
        <f>_xlfn.XLOOKUP(BY38,'Normative data'!$V$3:$V$6,'Normative data'!$W$3:$W$6,"Not Found",-1)</f>
        <v>Not completed</v>
      </c>
      <c r="CA38" s="20"/>
      <c r="CC38" s="20"/>
      <c r="CE38" s="17">
        <v>10</v>
      </c>
      <c r="CG38" s="17">
        <v>19.7</v>
      </c>
      <c r="CH38" s="20" t="str">
        <f>_xlfn.XLOOKUP(CG38, 'Normative data'!$S$9:$S$15,'Normative data'!$T$9:$T$15, "Not Found", -1)</f>
        <v>Average</v>
      </c>
      <c r="CI38" s="17">
        <v>19.61</v>
      </c>
      <c r="CJ38" s="20" t="str">
        <f>_xlfn.XLOOKUP(CI38, 'Normative data'!$S$9:$S$15, 'Normative data'!$T$9:$T$15, "Not Found", -1)</f>
        <v>Average</v>
      </c>
      <c r="CK38" s="17">
        <v>2.1800000000000002</v>
      </c>
      <c r="CL38" s="17">
        <v>4.59</v>
      </c>
      <c r="CN38" s="17">
        <v>7.15</v>
      </c>
      <c r="CO38" s="17">
        <v>6.99</v>
      </c>
      <c r="CR38" s="20" t="str" cm="1">
        <f t="array" ref="CR38">IF(OR(ISBLANK(E38),ISBLANK(CQ38)),"Incomplete",_xlfn.XLOOKUP(CQ38,_xlfn.XLOOKUP(E38,'Normative data'!$Y$3:$Y$6,'Normative data'!$Z$3:$AG$6,,-1),'Normative data'!$Z$2:$AG$2,"Not Found",-1))</f>
        <v>Incomplete</v>
      </c>
      <c r="CS38" s="20"/>
      <c r="CT38" s="20"/>
      <c r="CU38" s="20" t="str" cm="1">
        <f t="array" ref="CU38">_xlfn.XLOOKUP(CS38&amp;CT38,(VLOOKUP!$A$3:$A$250)&amp;(VLOOKUP!$B$3:$B$250),VLOOKUP!$C$3:$C$250,"Incomplete",-1)</f>
        <v>Incomplete</v>
      </c>
      <c r="CV38" s="20" t="str" cm="1">
        <f t="array" ref="CV38">_xlfn.XLOOKUP(CU38, _xlfn.XLOOKUP(E38, 'Normative data'!$Y$11:$Y$14, 'Normative data'!$Z$11:$AG$14, ,-1), 'Normative data'!$Z$10:$AG$10, "Not Found", -1)</f>
        <v>Excellent</v>
      </c>
      <c r="CW38" s="20" t="str" cm="1">
        <f t="array" ref="CW38">IF(OR(ISBLANK(CS38),ISBLANK(CT38)),"Incomplete",_xlfn.XLOOKUP(CS38&amp;CT38,VLOOKUP!$A$4:$A$250&amp;VLOOKUP!$B$4:$B$250,VLOOKUP!$D$4:$D$250,"0"))</f>
        <v>Incomplete</v>
      </c>
    </row>
    <row r="39" spans="1:101">
      <c r="A39" s="17" t="s">
        <v>187</v>
      </c>
      <c r="B39" s="17" t="s">
        <v>188</v>
      </c>
      <c r="C39" s="17" t="s">
        <v>86</v>
      </c>
      <c r="D39" s="26">
        <v>41108</v>
      </c>
      <c r="E39" s="17">
        <v>13.8</v>
      </c>
      <c r="F39" s="20" t="s">
        <v>157</v>
      </c>
      <c r="G39" s="17">
        <v>2026</v>
      </c>
      <c r="I39" s="20">
        <v>2</v>
      </c>
      <c r="J39" s="20" t="s">
        <v>100</v>
      </c>
      <c r="K39" s="20" t="s">
        <v>170</v>
      </c>
      <c r="L39" s="20"/>
      <c r="S39" s="20">
        <v>83.1</v>
      </c>
      <c r="T39" s="20">
        <v>164.6</v>
      </c>
      <c r="U39" s="17">
        <v>65.599999999999994</v>
      </c>
      <c r="V39" s="17">
        <v>33</v>
      </c>
      <c r="W39" s="17">
        <v>20.3</v>
      </c>
      <c r="X39" s="17">
        <v>45.3</v>
      </c>
      <c r="Y39" s="17">
        <v>25.2</v>
      </c>
      <c r="Z39" s="17">
        <v>24.2</v>
      </c>
      <c r="AA39" s="17">
        <v>30.9</v>
      </c>
      <c r="AB39" s="17">
        <v>7.06</v>
      </c>
      <c r="AC39" s="17">
        <v>101</v>
      </c>
      <c r="AD39" s="17">
        <v>7.1</v>
      </c>
      <c r="AE39" s="17">
        <v>101.6</v>
      </c>
      <c r="AF39" s="17">
        <v>3.1</v>
      </c>
      <c r="AG39" s="17">
        <v>125.3</v>
      </c>
      <c r="AH39" s="17">
        <v>3.1</v>
      </c>
      <c r="AI39" s="17">
        <v>124.9</v>
      </c>
      <c r="AJ39" s="17">
        <v>331.3</v>
      </c>
      <c r="AK39" s="17">
        <v>325.2</v>
      </c>
      <c r="AL39" s="17">
        <v>284.8</v>
      </c>
      <c r="AM39" s="17">
        <v>281.39999999999998</v>
      </c>
      <c r="AN39" s="17">
        <v>90</v>
      </c>
      <c r="AP39" s="17">
        <v>6.9</v>
      </c>
      <c r="AY39" s="41" t="str">
        <f t="shared" si="7"/>
        <v>Incomplete</v>
      </c>
      <c r="BA39" s="20" t="str">
        <f t="shared" si="8"/>
        <v>Incomplete</v>
      </c>
      <c r="BC39" s="20" t="str">
        <f t="shared" si="9"/>
        <v>Incomplete</v>
      </c>
      <c r="BE39" s="20" t="str">
        <f t="shared" si="10"/>
        <v>Incomplete</v>
      </c>
      <c r="BH39" s="17">
        <v>22</v>
      </c>
      <c r="BI39" s="20" t="str">
        <f t="shared" si="11"/>
        <v>Incomplete</v>
      </c>
      <c r="BJ39" s="20"/>
      <c r="BK39" s="17">
        <v>4</v>
      </c>
      <c r="BL39" s="20"/>
      <c r="BM39" s="17">
        <v>3</v>
      </c>
      <c r="BN39" s="20"/>
      <c r="BO39" s="17">
        <v>48.8</v>
      </c>
      <c r="BP39" s="17">
        <v>51.5</v>
      </c>
      <c r="BQ39" s="17">
        <v>70</v>
      </c>
      <c r="BR39" s="17">
        <v>79</v>
      </c>
      <c r="BS39" s="17">
        <v>70</v>
      </c>
      <c r="BT39" s="17">
        <v>73</v>
      </c>
      <c r="BU39" s="17">
        <v>70</v>
      </c>
      <c r="BV39" s="17">
        <v>66</v>
      </c>
      <c r="BW39" s="91">
        <f t="shared" si="12"/>
        <v>89.570552147239269</v>
      </c>
      <c r="BX39" s="91" t="str">
        <f>_xlfn.XLOOKUP(BW39,'Normative data'!$V$3:$V$6,'Normative data'!$W$3:$W$6,"Not Found",-1)</f>
        <v>High risk</v>
      </c>
      <c r="BY39" s="91">
        <f t="shared" si="13"/>
        <v>85.480572597137012</v>
      </c>
      <c r="BZ39" s="91" t="str">
        <f>_xlfn.XLOOKUP(BY39,'Normative data'!$V$3:$V$6,'Normative data'!$W$3:$W$6,"Not Found",-1)</f>
        <v>High risk</v>
      </c>
      <c r="CA39" s="17">
        <v>35</v>
      </c>
      <c r="CC39" s="20"/>
      <c r="CE39" s="17">
        <v>18</v>
      </c>
      <c r="CG39" s="20"/>
      <c r="CH39" s="20" t="str">
        <f>_xlfn.XLOOKUP(CG39, 'Normative data'!$S$9:$S$15,'Normative data'!$T$9:$T$15, "Not Found", -1)</f>
        <v>not completed</v>
      </c>
      <c r="CI39" s="20"/>
      <c r="CJ39" s="20" t="str">
        <f>_xlfn.XLOOKUP(CI39, 'Normative data'!$S$9:$S$15, 'Normative data'!$T$9:$T$15, "Not Found", -1)</f>
        <v>not completed</v>
      </c>
      <c r="CK39" s="17">
        <v>2.14</v>
      </c>
      <c r="CL39" s="17">
        <v>4.67</v>
      </c>
      <c r="CN39" s="17">
        <v>6.71</v>
      </c>
      <c r="CO39" s="17">
        <v>7.41</v>
      </c>
      <c r="CR39" s="20" t="str" cm="1">
        <f t="array" ref="CR39">IF(OR(ISBLANK(E39),ISBLANK(CQ39)),"Incomplete",_xlfn.XLOOKUP(CQ39,_xlfn.XLOOKUP(E39,'Normative data'!$Y$3:$Y$6,'Normative data'!$Z$3:$AG$6,,-1),'Normative data'!$Z$2:$AG$2,"Not Found",-1))</f>
        <v>Incomplete</v>
      </c>
      <c r="CS39" s="20"/>
      <c r="CT39" s="20"/>
      <c r="CU39" s="20" t="str" cm="1">
        <f t="array" ref="CU39">_xlfn.XLOOKUP(CS39&amp;CT39,(VLOOKUP!$A$3:$A$250)&amp;(VLOOKUP!$B$3:$B$250),VLOOKUP!$C$3:$C$250,"Incomplete",-1)</f>
        <v>Incomplete</v>
      </c>
      <c r="CV39" s="20" t="str" cm="1">
        <f t="array" ref="CV39">_xlfn.XLOOKUP(CU39, _xlfn.XLOOKUP(E39, 'Normative data'!$Y$11:$Y$14, 'Normative data'!$Z$11:$AG$14, ,-1), 'Normative data'!$Z$10:$AG$10, "Not Found", -1)</f>
        <v>Excellent</v>
      </c>
      <c r="CW39" s="20" t="str" cm="1">
        <f t="array" ref="CW39">IF(OR(ISBLANK(CS39),ISBLANK(CT39)),"Incomplete",_xlfn.XLOOKUP(CS39&amp;CT39,VLOOKUP!$A$4:$A$250&amp;VLOOKUP!$B$4:$B$250,VLOOKUP!$D$4:$D$250,"0"))</f>
        <v>Incomplete</v>
      </c>
    </row>
    <row r="40" spans="1:101">
      <c r="A40" s="17" t="s">
        <v>189</v>
      </c>
      <c r="B40" s="17" t="s">
        <v>190</v>
      </c>
      <c r="C40" s="17" t="s">
        <v>86</v>
      </c>
      <c r="D40" s="26">
        <v>40731</v>
      </c>
      <c r="E40" s="17">
        <v>14.8</v>
      </c>
      <c r="F40" s="20" t="s">
        <v>92</v>
      </c>
      <c r="G40" s="17">
        <v>2026</v>
      </c>
      <c r="I40" s="20">
        <v>2</v>
      </c>
      <c r="J40" s="20" t="s">
        <v>100</v>
      </c>
      <c r="K40" s="20" t="s">
        <v>173</v>
      </c>
      <c r="L40" s="20"/>
      <c r="S40" s="20">
        <v>85.1</v>
      </c>
      <c r="T40" s="20">
        <v>169.2</v>
      </c>
      <c r="U40" s="17">
        <v>57.3</v>
      </c>
      <c r="V40" s="17">
        <v>35.4</v>
      </c>
      <c r="W40" s="17">
        <v>8.9</v>
      </c>
      <c r="X40" s="17">
        <v>48.4</v>
      </c>
      <c r="Y40" s="17">
        <v>26.5</v>
      </c>
      <c r="Z40" s="17">
        <v>20</v>
      </c>
      <c r="AA40" s="17">
        <v>15.6</v>
      </c>
      <c r="AB40" s="17">
        <v>7.36</v>
      </c>
      <c r="AC40" s="17">
        <v>111.1</v>
      </c>
      <c r="AD40" s="17">
        <v>7.46</v>
      </c>
      <c r="AE40" s="17">
        <v>112.7</v>
      </c>
      <c r="AF40" s="17">
        <v>1.5</v>
      </c>
      <c r="AG40" s="17">
        <v>56.4</v>
      </c>
      <c r="AH40" s="17">
        <v>1.5</v>
      </c>
      <c r="AI40" s="17">
        <v>56.9</v>
      </c>
      <c r="AJ40" s="17">
        <v>264.5</v>
      </c>
      <c r="AK40" s="17">
        <v>256.39999999999998</v>
      </c>
      <c r="AL40" s="17">
        <v>237.4</v>
      </c>
      <c r="AM40" s="17">
        <v>228.8</v>
      </c>
      <c r="AN40" s="17">
        <v>108</v>
      </c>
      <c r="AO40" s="17">
        <v>0.79</v>
      </c>
      <c r="AP40" s="17">
        <v>6.8</v>
      </c>
      <c r="AQ40" s="17">
        <v>21.1</v>
      </c>
      <c r="AR40" s="17">
        <v>0.41499999999999998</v>
      </c>
      <c r="AS40" s="17">
        <v>20.8</v>
      </c>
      <c r="AT40" s="17">
        <v>0.41199999999999998</v>
      </c>
      <c r="AU40" s="17">
        <v>10.9</v>
      </c>
      <c r="AV40" s="17">
        <v>0.29799999999999999</v>
      </c>
      <c r="AW40" s="17">
        <v>10.7</v>
      </c>
      <c r="AX40" s="17">
        <v>0.29499999999999998</v>
      </c>
      <c r="AY40" s="41">
        <f t="shared" si="7"/>
        <v>1821.46</v>
      </c>
      <c r="BA40" s="20">
        <f t="shared" si="8"/>
        <v>1803.25</v>
      </c>
      <c r="BC40" s="20">
        <f t="shared" si="9"/>
        <v>1202.3199999999997</v>
      </c>
      <c r="BE40" s="20">
        <f t="shared" si="10"/>
        <v>1190.1799999999994</v>
      </c>
      <c r="BG40" s="17">
        <v>12.9</v>
      </c>
      <c r="BH40" s="17">
        <v>39.1</v>
      </c>
      <c r="BI40" s="20">
        <f t="shared" si="11"/>
        <v>26.200000000000003</v>
      </c>
      <c r="BJ40" s="20"/>
      <c r="BK40" s="17">
        <v>11.5</v>
      </c>
      <c r="BL40" s="20"/>
      <c r="BM40" s="17">
        <v>9</v>
      </c>
      <c r="BN40" s="20"/>
      <c r="BO40" s="17">
        <v>47.6</v>
      </c>
      <c r="BP40" s="17">
        <v>44.5</v>
      </c>
      <c r="BQ40" s="17">
        <v>82</v>
      </c>
      <c r="BR40" s="17">
        <v>82</v>
      </c>
      <c r="BS40" s="17">
        <v>83</v>
      </c>
      <c r="BT40" s="17">
        <v>83</v>
      </c>
      <c r="BU40" s="17">
        <v>90</v>
      </c>
      <c r="BV40" s="17">
        <v>90</v>
      </c>
      <c r="BW40" s="91">
        <f t="shared" si="12"/>
        <v>97.899326198969476</v>
      </c>
      <c r="BX40" s="91" t="str">
        <f>_xlfn.XLOOKUP(BW40,'Normative data'!$V$3:$V$6,'Normative data'!$W$3:$W$6,"Not Found",-1)</f>
        <v>Low risk</v>
      </c>
      <c r="BY40" s="91">
        <f t="shared" si="13"/>
        <v>104.24098295679747</v>
      </c>
      <c r="BZ40" s="91" t="str">
        <f>_xlfn.XLOOKUP(BY40,'Normative data'!$V$3:$V$6,'Normative data'!$W$3:$W$6,"Not Found",-1)</f>
        <v>Low risk</v>
      </c>
      <c r="CA40" s="17">
        <v>30</v>
      </c>
      <c r="CC40" s="20"/>
      <c r="CE40" s="17">
        <v>12</v>
      </c>
      <c r="CG40" s="20"/>
      <c r="CH40" s="20" t="str">
        <f>_xlfn.XLOOKUP(CG40, 'Normative data'!$S$9:$S$15,'Normative data'!$T$9:$T$15, "Not Found", -1)</f>
        <v>not completed</v>
      </c>
      <c r="CI40" s="20"/>
      <c r="CJ40" s="20" t="str">
        <f>_xlfn.XLOOKUP(CI40, 'Normative data'!$S$9:$S$15, 'Normative data'!$T$9:$T$15, "Not Found", -1)</f>
        <v>not completed</v>
      </c>
      <c r="CK40" s="17">
        <v>2.36</v>
      </c>
      <c r="CL40" s="17">
        <v>4.24</v>
      </c>
      <c r="CN40" s="17">
        <v>7.26</v>
      </c>
      <c r="CO40" s="17">
        <v>6.89</v>
      </c>
      <c r="CR40" s="20" t="str" cm="1">
        <f t="array" ref="CR40">IF(OR(ISBLANK(E40),ISBLANK(CQ40)),"Incomplete",_xlfn.XLOOKUP(CQ40,_xlfn.XLOOKUP(E40,'Normative data'!$Y$3:$Y$6,'Normative data'!$Z$3:$AG$6,,-1),'Normative data'!$Z$2:$AG$2,"Not Found",-1))</f>
        <v>Incomplete</v>
      </c>
      <c r="CS40" s="20"/>
      <c r="CT40" s="20"/>
      <c r="CU40" s="20" t="str" cm="1">
        <f t="array" ref="CU40">_xlfn.XLOOKUP(CS40&amp;CT40,(VLOOKUP!$A$3:$A$250)&amp;(VLOOKUP!$B$3:$B$250),VLOOKUP!$C$3:$C$250,"Incomplete",-1)</f>
        <v>Incomplete</v>
      </c>
      <c r="CV40" s="20" t="str" cm="1">
        <f t="array" ref="CV40">_xlfn.XLOOKUP(CU40, _xlfn.XLOOKUP(E40, 'Normative data'!$Y$11:$Y$14, 'Normative data'!$Z$11:$AG$14, ,-1), 'Normative data'!$Z$10:$AG$10, "Not Found", -1)</f>
        <v>Excellent</v>
      </c>
      <c r="CW40" s="20" t="str" cm="1">
        <f t="array" ref="CW40">IF(OR(ISBLANK(CS40),ISBLANK(CT40)),"Incomplete",_xlfn.XLOOKUP(CS40&amp;CT40,VLOOKUP!$A$4:$A$250&amp;VLOOKUP!$B$4:$B$250,VLOOKUP!$D$4:$D$250,"0"))</f>
        <v>Incomplete</v>
      </c>
    </row>
    <row r="41" spans="1:101">
      <c r="A41" s="17" t="s">
        <v>121</v>
      </c>
      <c r="B41" s="17" t="s">
        <v>120</v>
      </c>
      <c r="C41" s="17" t="s">
        <v>86</v>
      </c>
      <c r="D41" s="26"/>
      <c r="F41" s="20" t="s">
        <v>178</v>
      </c>
      <c r="G41" s="17">
        <v>2026</v>
      </c>
      <c r="I41" s="20">
        <v>2</v>
      </c>
      <c r="J41" s="20"/>
      <c r="K41" s="20"/>
      <c r="L41" s="20"/>
      <c r="S41" s="20">
        <v>77.099999999999994</v>
      </c>
      <c r="T41" s="20">
        <v>158.19999999999999</v>
      </c>
      <c r="AQ41" s="20"/>
      <c r="AR41" s="20"/>
      <c r="AS41" s="20"/>
      <c r="AT41" s="20"/>
      <c r="AU41" s="20"/>
      <c r="AV41" s="20"/>
      <c r="AW41" s="20"/>
      <c r="AX41" s="20"/>
      <c r="AY41" s="41" t="str">
        <f t="shared" si="7"/>
        <v>Incomplete</v>
      </c>
      <c r="BA41" s="20" t="str">
        <f t="shared" si="8"/>
        <v>Incomplete</v>
      </c>
      <c r="BC41" s="20" t="str">
        <f t="shared" si="9"/>
        <v>Incomplete</v>
      </c>
      <c r="BE41" s="20" t="str">
        <f t="shared" si="10"/>
        <v>Incomplete</v>
      </c>
      <c r="BG41" s="17">
        <v>10.4</v>
      </c>
      <c r="BH41" s="17">
        <v>30.9</v>
      </c>
      <c r="BI41" s="20">
        <f t="shared" si="11"/>
        <v>20.5</v>
      </c>
      <c r="BJ41" s="20"/>
      <c r="BL41" s="20"/>
      <c r="BM41" s="20"/>
      <c r="BN41" s="20"/>
      <c r="BQ41" s="17">
        <v>72</v>
      </c>
      <c r="BR41" s="17">
        <v>82</v>
      </c>
      <c r="BS41" s="17">
        <v>68</v>
      </c>
      <c r="BT41" s="17">
        <v>72</v>
      </c>
      <c r="BU41" s="17">
        <v>76</v>
      </c>
      <c r="BV41" s="17">
        <v>68</v>
      </c>
      <c r="BW41" s="91">
        <f t="shared" si="12"/>
        <v>91.24537607891493</v>
      </c>
      <c r="BX41" s="91" t="str">
        <f>_xlfn.XLOOKUP(BW41,'Normative data'!$V$3:$V$6,'Normative data'!$W$3:$W$6,"Not Found",-1)</f>
        <v>High risk</v>
      </c>
      <c r="BY41" s="91">
        <f t="shared" si="13"/>
        <v>88.779284833538853</v>
      </c>
      <c r="BZ41" s="91" t="str">
        <f>_xlfn.XLOOKUP(BY41,'Normative data'!$V$3:$V$6,'Normative data'!$W$3:$W$6,"Not Found",-1)</f>
        <v>High risk</v>
      </c>
      <c r="CA41" s="17">
        <v>26</v>
      </c>
      <c r="CC41" s="20"/>
      <c r="CE41" s="17">
        <v>16</v>
      </c>
      <c r="CG41" s="17">
        <v>17.600000000000001</v>
      </c>
      <c r="CH41" s="20" t="str">
        <f>_xlfn.XLOOKUP(CG41, 'Normative data'!$S$9:$S$15,'Normative data'!$T$9:$T$15, "Not Found", -1)</f>
        <v>Above Average</v>
      </c>
      <c r="CI41" s="17">
        <v>17.64</v>
      </c>
      <c r="CJ41" s="20" t="str">
        <f>_xlfn.XLOOKUP(CI41, 'Normative data'!$S$9:$S$15, 'Normative data'!$T$9:$T$15, "Not Found", -1)</f>
        <v>Above Average</v>
      </c>
      <c r="CK41" s="17">
        <v>2.13</v>
      </c>
      <c r="CL41" s="17">
        <v>4.6900000000000004</v>
      </c>
      <c r="CN41" s="17">
        <v>6.46</v>
      </c>
      <c r="CO41" s="17">
        <v>7.74</v>
      </c>
      <c r="CQ41" s="17">
        <v>5.3</v>
      </c>
      <c r="CR41" s="20" t="str" cm="1">
        <f t="array" ref="CR41">IF(OR(ISBLANK(E41),ISBLANK(CQ41)),"Incomplete",_xlfn.XLOOKUP(CQ41,_xlfn.XLOOKUP(E41,'Normative data'!$Y$3:$Y$6,'Normative data'!$Z$3:$AG$6,,-1),'Normative data'!$Z$2:$AG$2,"Not Found",-1))</f>
        <v>Incomplete</v>
      </c>
      <c r="CS41" s="20">
        <v>5</v>
      </c>
      <c r="CT41" s="20">
        <v>3</v>
      </c>
      <c r="CU41" s="20" cm="1">
        <f t="array" ref="CU41">_xlfn.XLOOKUP(CS41&amp;CT41,(VLOOKUP!$A$3:$A$250)&amp;(VLOOKUP!$B$3:$B$250),VLOOKUP!$C$3:$C$250,"Incomplete",-1)</f>
        <v>700</v>
      </c>
      <c r="CV41" s="20" t="str" cm="1">
        <f t="array" ref="CV41">_xlfn.XLOOKUP(CU41, _xlfn.XLOOKUP(E41, 'Normative data'!$Y$11:$Y$14, 'Normative data'!$Z$11:$AG$14, ,-1), 'Normative data'!$Z$10:$AG$10, "Not Found", -1)</f>
        <v xml:space="preserve">Poor </v>
      </c>
      <c r="CW41" s="20" cm="1">
        <f t="array" ref="CW41">IF(OR(ISBLANK(CS41),ISBLANK(CT41)),"Incomplete",_xlfn.XLOOKUP(CS41&amp;CT41,VLOOKUP!$A$4:$A$250&amp;VLOOKUP!$B$4:$B$250,VLOOKUP!$D$4:$D$250,"0"))</f>
        <v>31</v>
      </c>
    </row>
    <row r="42" spans="1:101">
      <c r="A42" s="17" t="s">
        <v>191</v>
      </c>
      <c r="B42" s="17" t="s">
        <v>120</v>
      </c>
      <c r="C42" s="17" t="s">
        <v>86</v>
      </c>
      <c r="D42" s="26"/>
      <c r="F42" s="20" t="s">
        <v>192</v>
      </c>
      <c r="G42" s="17">
        <v>2026</v>
      </c>
      <c r="I42" s="20">
        <v>2</v>
      </c>
      <c r="J42" s="20"/>
      <c r="K42" s="20"/>
      <c r="L42" s="20"/>
      <c r="S42" s="20"/>
      <c r="T42" s="20"/>
      <c r="AQ42" s="20"/>
      <c r="AR42" s="20"/>
      <c r="AS42" s="20"/>
      <c r="AT42" s="20"/>
      <c r="AU42" s="20"/>
      <c r="AV42" s="20"/>
      <c r="AW42" s="20"/>
      <c r="AX42" s="20"/>
      <c r="AY42" s="41" t="str">
        <f t="shared" si="7"/>
        <v>Incomplete</v>
      </c>
      <c r="BA42" s="20" t="str">
        <f t="shared" si="8"/>
        <v>Incomplete</v>
      </c>
      <c r="BC42" s="20" t="str">
        <f t="shared" si="9"/>
        <v>Incomplete</v>
      </c>
      <c r="BE42" s="20" t="str">
        <f t="shared" si="10"/>
        <v>Incomplete</v>
      </c>
      <c r="BH42" s="20"/>
      <c r="BI42" s="20" t="str">
        <f t="shared" si="11"/>
        <v>Incomplete</v>
      </c>
      <c r="BJ42" s="20"/>
      <c r="BK42" s="17">
        <v>7</v>
      </c>
      <c r="BL42" s="20"/>
      <c r="BM42" s="17">
        <v>8</v>
      </c>
      <c r="BN42" s="20"/>
      <c r="BO42" s="17">
        <v>58</v>
      </c>
      <c r="BP42" s="17">
        <v>59</v>
      </c>
      <c r="BQ42" s="17">
        <v>71</v>
      </c>
      <c r="BR42" s="17">
        <v>86</v>
      </c>
      <c r="BS42" s="17">
        <v>85</v>
      </c>
      <c r="BT42" s="17">
        <v>70</v>
      </c>
      <c r="BU42" s="17">
        <v>80</v>
      </c>
      <c r="BV42" s="17">
        <v>83</v>
      </c>
      <c r="BW42" s="91" t="str">
        <f t="shared" si="12"/>
        <v>Incomplete</v>
      </c>
      <c r="BX42" s="91" t="str">
        <f>_xlfn.XLOOKUP(BW42,'Normative data'!$V$3:$V$6,'Normative data'!$W$3:$W$6,"Not Found",-1)</f>
        <v>Very low risk</v>
      </c>
      <c r="BY42" s="91" t="str">
        <f t="shared" si="13"/>
        <v>Incomplete</v>
      </c>
      <c r="BZ42" s="91" t="str">
        <f>_xlfn.XLOOKUP(BY42,'Normative data'!$V$3:$V$6,'Normative data'!$W$3:$W$6,"Not Found",-1)</f>
        <v>Very low risk</v>
      </c>
      <c r="CA42" s="17">
        <v>35</v>
      </c>
      <c r="CC42" s="20"/>
      <c r="CE42" s="17">
        <v>36</v>
      </c>
      <c r="CG42" s="20"/>
      <c r="CH42" s="20" t="str">
        <f>_xlfn.XLOOKUP(CG42, 'Normative data'!$S$9:$S$15,'Normative data'!$T$9:$T$15, "Not Found", -1)</f>
        <v>not completed</v>
      </c>
      <c r="CI42" s="20"/>
      <c r="CJ42" s="20" t="str">
        <f>_xlfn.XLOOKUP(CI42, 'Normative data'!$S$9:$S$15, 'Normative data'!$T$9:$T$15, "Not Found", -1)</f>
        <v>not completed</v>
      </c>
      <c r="CK42" s="21"/>
      <c r="CL42" s="21"/>
      <c r="CM42" s="21"/>
      <c r="CN42" s="21"/>
      <c r="CO42" s="21"/>
      <c r="CQ42" s="17">
        <v>2.7</v>
      </c>
      <c r="CR42" s="20" t="str" cm="1">
        <f t="array" ref="CR42">IF(OR(ISBLANK(E42),ISBLANK(CQ42)),"Incomplete",_xlfn.XLOOKUP(CQ42,_xlfn.XLOOKUP(E42,'Normative data'!$Y$3:$Y$6,'Normative data'!$Z$3:$AG$6,,-1),'Normative data'!$Z$2:$AG$2,"Not Found",-1))</f>
        <v>Incomplete</v>
      </c>
      <c r="CS42" s="20">
        <v>2</v>
      </c>
      <c r="CT42" s="20">
        <v>7</v>
      </c>
      <c r="CU42" s="20" cm="1">
        <f t="array" ref="CU42">_xlfn.XLOOKUP(CS42&amp;CT42,(VLOOKUP!$A$3:$A$250)&amp;(VLOOKUP!$B$3:$B$250),VLOOKUP!$C$3:$C$250,"Incomplete",-1)</f>
        <v>280</v>
      </c>
      <c r="CV42" s="20" t="str" cm="1">
        <f t="array" ref="CV42">_xlfn.XLOOKUP(CU42, _xlfn.XLOOKUP(E42, 'Normative data'!$Y$11:$Y$14, 'Normative data'!$Z$11:$AG$14, ,-1), 'Normative data'!$Z$10:$AG$10, "Not Found", -1)</f>
        <v xml:space="preserve">Very poor </v>
      </c>
      <c r="CW42" s="20" cm="1">
        <f t="array" ref="CW42">IF(OR(ISBLANK(CS42),ISBLANK(CT42)),"Incomplete",_xlfn.XLOOKUP(CS42&amp;CT42,VLOOKUP!$A$4:$A$250&amp;VLOOKUP!$B$4:$B$250,VLOOKUP!$D$4:$D$250,"0"))</f>
        <v>22</v>
      </c>
    </row>
    <row r="43" spans="1:101">
      <c r="A43" s="17" t="s">
        <v>193</v>
      </c>
      <c r="B43" s="17" t="s">
        <v>120</v>
      </c>
      <c r="C43" s="17" t="s">
        <v>86</v>
      </c>
      <c r="D43" s="26">
        <v>40784</v>
      </c>
      <c r="E43" s="17">
        <v>14.8</v>
      </c>
      <c r="F43" s="20" t="s">
        <v>154</v>
      </c>
      <c r="G43" s="17">
        <v>2026</v>
      </c>
      <c r="I43" s="20">
        <v>2</v>
      </c>
      <c r="J43" s="20" t="s">
        <v>88</v>
      </c>
      <c r="K43" s="20" t="s">
        <v>194</v>
      </c>
      <c r="L43" s="20"/>
      <c r="S43" s="20">
        <v>77.099999999999994</v>
      </c>
      <c r="T43" s="20">
        <v>151.30000000000001</v>
      </c>
      <c r="U43" s="17">
        <v>42.6</v>
      </c>
      <c r="V43" s="17">
        <v>26.5</v>
      </c>
      <c r="W43" s="17">
        <v>6.4</v>
      </c>
      <c r="X43" s="17">
        <v>36.200000000000003</v>
      </c>
      <c r="Y43" s="17">
        <v>19.5</v>
      </c>
      <c r="Z43" s="17">
        <v>18.600000000000001</v>
      </c>
      <c r="AA43" s="17">
        <v>15</v>
      </c>
      <c r="AB43" s="17">
        <v>5.14</v>
      </c>
      <c r="AC43" s="17">
        <v>103.3</v>
      </c>
      <c r="AD43" s="17">
        <v>5.13</v>
      </c>
      <c r="AE43" s="17">
        <v>103.1</v>
      </c>
      <c r="AF43" s="17">
        <v>1.2</v>
      </c>
      <c r="AG43" s="17">
        <v>74.400000000000006</v>
      </c>
      <c r="AH43" s="17">
        <v>1.2</v>
      </c>
      <c r="AI43" s="17">
        <v>74.099999999999994</v>
      </c>
      <c r="AJ43" s="17">
        <v>291.5</v>
      </c>
      <c r="AK43" s="17">
        <v>291.2</v>
      </c>
      <c r="AL43" s="17">
        <v>257.3</v>
      </c>
      <c r="AM43" s="17">
        <v>257.89999999999998</v>
      </c>
      <c r="AN43" s="17">
        <v>82</v>
      </c>
      <c r="AO43" s="17">
        <v>0.77</v>
      </c>
      <c r="AP43" s="17">
        <v>5.9</v>
      </c>
      <c r="AQ43" s="17">
        <v>25</v>
      </c>
      <c r="AR43" s="17">
        <v>0.45200000000000001</v>
      </c>
      <c r="AS43" s="17">
        <v>30.4</v>
      </c>
      <c r="AT43" s="17">
        <v>0.498</v>
      </c>
      <c r="AU43" s="17">
        <v>13.8</v>
      </c>
      <c r="AV43" s="17">
        <v>0.33500000000000002</v>
      </c>
      <c r="AW43" s="17">
        <v>17.3</v>
      </c>
      <c r="AX43" s="17">
        <v>0.376</v>
      </c>
      <c r="AY43" s="41">
        <f t="shared" si="7"/>
        <v>1392.2799999999997</v>
      </c>
      <c r="BA43" s="20">
        <f t="shared" si="8"/>
        <v>1720.06</v>
      </c>
      <c r="BC43" s="20">
        <f t="shared" si="9"/>
        <v>712.44</v>
      </c>
      <c r="BE43" s="20">
        <f t="shared" si="10"/>
        <v>924.89000000000033</v>
      </c>
      <c r="BG43" s="17">
        <v>17.5</v>
      </c>
      <c r="BH43" s="17">
        <v>46</v>
      </c>
      <c r="BI43" s="20">
        <f t="shared" si="11"/>
        <v>28.5</v>
      </c>
      <c r="BJ43" s="20"/>
      <c r="BK43" s="17">
        <v>10.8</v>
      </c>
      <c r="BL43" s="20"/>
      <c r="BM43" s="17">
        <v>10</v>
      </c>
      <c r="BN43" s="20"/>
      <c r="BQ43" s="17">
        <v>73</v>
      </c>
      <c r="BR43" s="17">
        <v>74</v>
      </c>
      <c r="BS43" s="17">
        <v>68</v>
      </c>
      <c r="BT43" s="17">
        <v>83</v>
      </c>
      <c r="BU43" s="17">
        <v>76</v>
      </c>
      <c r="BV43" s="17">
        <v>64</v>
      </c>
      <c r="BW43" s="91">
        <f t="shared" si="12"/>
        <v>96.585804132973919</v>
      </c>
      <c r="BX43" s="91" t="str">
        <f>_xlfn.XLOOKUP(BW43,'Normative data'!$V$3:$V$6,'Normative data'!$W$3:$W$6,"Not Found",-1)</f>
        <v>Low risk</v>
      </c>
      <c r="BY43" s="91">
        <f t="shared" si="13"/>
        <v>100.17969451931714</v>
      </c>
      <c r="BZ43" s="91" t="str">
        <f>_xlfn.XLOOKUP(BY43,'Normative data'!$V$3:$V$6,'Normative data'!$W$3:$W$6,"Not Found",-1)</f>
        <v>Low risk</v>
      </c>
      <c r="CA43" s="17">
        <v>37</v>
      </c>
      <c r="CC43" s="20"/>
      <c r="CE43" s="17">
        <v>25</v>
      </c>
      <c r="CG43" s="17">
        <v>18.37</v>
      </c>
      <c r="CH43" s="20" t="str">
        <f>_xlfn.XLOOKUP(CG43, 'Normative data'!$S$9:$S$15,'Normative data'!$T$9:$T$15, "Not Found", -1)</f>
        <v>Average</v>
      </c>
      <c r="CI43" s="17">
        <v>18.5</v>
      </c>
      <c r="CJ43" s="20" t="str">
        <f>_xlfn.XLOOKUP(CI43, 'Normative data'!$S$9:$S$15, 'Normative data'!$T$9:$T$15, "Not Found", -1)</f>
        <v>Average</v>
      </c>
      <c r="CK43" s="17">
        <v>2.12</v>
      </c>
      <c r="CL43" s="17">
        <v>4.72</v>
      </c>
      <c r="CN43" s="17">
        <v>6.46</v>
      </c>
      <c r="CO43" s="17">
        <v>7.74</v>
      </c>
      <c r="CQ43" s="17">
        <v>4.9000000000000004</v>
      </c>
      <c r="CR43" s="20" t="str" cm="1">
        <f t="array" ref="CR43">IF(OR(ISBLANK(E43),ISBLANK(CQ43)),"Incomplete",_xlfn.XLOOKUP(CQ43,_xlfn.XLOOKUP(E43,'Normative data'!$Y$3:$Y$6,'Normative data'!$Z$3:$AG$6,,-1),'Normative data'!$Z$2:$AG$2,"Not Found",-1))</f>
        <v>Poor</v>
      </c>
      <c r="CS43" s="20">
        <v>4</v>
      </c>
      <c r="CT43" s="20">
        <v>9</v>
      </c>
      <c r="CU43" s="20" cm="1">
        <f t="array" ref="CU43">_xlfn.XLOOKUP(CS43&amp;CT43,(VLOOKUP!$A$3:$A$250)&amp;(VLOOKUP!$B$3:$B$250),VLOOKUP!$C$3:$C$250,"Incomplete",-1)</f>
        <v>640</v>
      </c>
      <c r="CV43" s="20" t="str" cm="1">
        <f t="array" ref="CV43">_xlfn.XLOOKUP(CU43, _xlfn.XLOOKUP(E43, 'Normative data'!$Y$11:$Y$14, 'Normative data'!$Z$11:$AG$14, ,-1), 'Normative data'!$Z$10:$AG$10, "Not Found", -1)</f>
        <v xml:space="preserve">Poor </v>
      </c>
      <c r="CW43" s="20" cm="1">
        <f t="array" ref="CW43">IF(OR(ISBLANK(CS43),ISBLANK(CT43)),"Incomplete",_xlfn.XLOOKUP(CS43&amp;CT43,VLOOKUP!$A$4:$A$250&amp;VLOOKUP!$B$4:$B$250,VLOOKUP!$D$4:$D$250,"0"))</f>
        <v>30</v>
      </c>
    </row>
    <row r="44" spans="1:101">
      <c r="A44" s="17" t="s">
        <v>195</v>
      </c>
      <c r="B44" s="17" t="s">
        <v>120</v>
      </c>
      <c r="C44" s="17" t="s">
        <v>86</v>
      </c>
      <c r="D44" s="20"/>
      <c r="F44" s="20" t="s">
        <v>97</v>
      </c>
      <c r="G44" s="17">
        <v>2026</v>
      </c>
      <c r="I44" s="20">
        <v>2</v>
      </c>
      <c r="J44" s="20" t="s">
        <v>88</v>
      </c>
      <c r="K44" s="20" t="s">
        <v>196</v>
      </c>
      <c r="L44" s="20"/>
      <c r="S44" s="20">
        <v>77.7</v>
      </c>
      <c r="T44" s="20">
        <v>159.1</v>
      </c>
      <c r="AY44" s="41" t="str">
        <f t="shared" si="7"/>
        <v>Incomplete</v>
      </c>
      <c r="BA44" s="20" t="str">
        <f t="shared" si="8"/>
        <v>Incomplete</v>
      </c>
      <c r="BC44" s="20" t="str">
        <f t="shared" si="9"/>
        <v>Incomplete</v>
      </c>
      <c r="BE44" s="20" t="str">
        <f t="shared" si="10"/>
        <v>Incomplete</v>
      </c>
      <c r="BH44" s="17">
        <v>47.5</v>
      </c>
      <c r="BI44" s="20" t="str">
        <f t="shared" si="11"/>
        <v>Incomplete</v>
      </c>
      <c r="BJ44" s="20"/>
      <c r="BK44" s="17">
        <v>8</v>
      </c>
      <c r="BL44" s="20"/>
      <c r="BM44" s="17">
        <v>8</v>
      </c>
      <c r="BN44" s="20"/>
      <c r="BW44" s="91">
        <f t="shared" si="12"/>
        <v>0</v>
      </c>
      <c r="BX44" s="91" t="str">
        <f>_xlfn.XLOOKUP(BW44,'Normative data'!$V$3:$V$6,'Normative data'!$W$3:$W$6,"Not Found",-1)</f>
        <v>Not completed</v>
      </c>
      <c r="BY44" s="91">
        <f t="shared" si="13"/>
        <v>0</v>
      </c>
      <c r="BZ44" s="91" t="str">
        <f>_xlfn.XLOOKUP(BY44,'Normative data'!$V$3:$V$6,'Normative data'!$W$3:$W$6,"Not Found",-1)</f>
        <v>Not completed</v>
      </c>
      <c r="CA44" s="17">
        <v>32</v>
      </c>
      <c r="CC44" s="20"/>
      <c r="CE44" s="17">
        <v>25</v>
      </c>
      <c r="CG44" s="17">
        <v>19.36</v>
      </c>
      <c r="CH44" s="20" t="str">
        <f>_xlfn.XLOOKUP(CG44, 'Normative data'!$S$9:$S$15,'Normative data'!$T$9:$T$15, "Not Found", -1)</f>
        <v>Average</v>
      </c>
      <c r="CI44" s="17">
        <v>19.41</v>
      </c>
      <c r="CJ44" s="20" t="str">
        <f>_xlfn.XLOOKUP(CI44, 'Normative data'!$S$9:$S$15, 'Normative data'!$T$9:$T$15, "Not Found", -1)</f>
        <v>Average</v>
      </c>
      <c r="CK44" s="17">
        <v>2.5099999999999998</v>
      </c>
      <c r="CL44" s="17">
        <v>3.98</v>
      </c>
      <c r="CN44" s="17">
        <v>7.52</v>
      </c>
      <c r="CO44" s="17">
        <v>6.65</v>
      </c>
      <c r="CR44" s="20" t="str" cm="1">
        <f t="array" ref="CR44">IF(OR(ISBLANK(E44),ISBLANK(CQ44)),"Incomplete",_xlfn.XLOOKUP(CQ44,_xlfn.XLOOKUP(E44,'Normative data'!$Y$3:$Y$6,'Normative data'!$Z$3:$AG$6,,-1),'Normative data'!$Z$2:$AG$2,"Not Found",-1))</f>
        <v>Incomplete</v>
      </c>
      <c r="CS44" s="20"/>
      <c r="CT44" s="20"/>
      <c r="CU44" s="20" t="str" cm="1">
        <f t="array" ref="CU44">_xlfn.XLOOKUP(CS44&amp;CT44,(VLOOKUP!$A$3:$A$250)&amp;(VLOOKUP!$B$3:$B$250),VLOOKUP!$C$3:$C$250,"Incomplete",-1)</f>
        <v>Incomplete</v>
      </c>
      <c r="CV44" s="20" t="str" cm="1">
        <f t="array" ref="CV44">_xlfn.XLOOKUP(CU44, _xlfn.XLOOKUP(E44, 'Normative data'!$Y$11:$Y$14, 'Normative data'!$Z$11:$AG$14, ,-1), 'Normative data'!$Z$10:$AG$10, "Not Found", -1)</f>
        <v>Excellent</v>
      </c>
      <c r="CW44" s="20" t="str" cm="1">
        <f t="array" ref="CW44">IF(OR(ISBLANK(CS44),ISBLANK(CT44)),"Incomplete",_xlfn.XLOOKUP(CS44&amp;CT44,VLOOKUP!$A$4:$A$250&amp;VLOOKUP!$B$4:$B$250,VLOOKUP!$D$4:$D$250,"0"))</f>
        <v>Incomplete</v>
      </c>
    </row>
    <row r="45" spans="1:101">
      <c r="A45" s="17" t="s">
        <v>197</v>
      </c>
      <c r="B45" s="17" t="s">
        <v>198</v>
      </c>
      <c r="C45" s="17" t="s">
        <v>86</v>
      </c>
      <c r="D45" s="26">
        <v>39784</v>
      </c>
      <c r="E45" s="17">
        <v>18.3</v>
      </c>
      <c r="F45" s="20">
        <v>12</v>
      </c>
      <c r="G45" s="17">
        <v>2026</v>
      </c>
      <c r="I45" s="20">
        <v>2</v>
      </c>
      <c r="J45" s="20" t="s">
        <v>88</v>
      </c>
      <c r="K45" s="20" t="s">
        <v>95</v>
      </c>
      <c r="L45" s="20"/>
      <c r="S45" s="20">
        <v>85.3</v>
      </c>
      <c r="T45" s="20">
        <v>158</v>
      </c>
      <c r="U45" s="17">
        <v>52.8</v>
      </c>
      <c r="V45" s="17">
        <v>32.799999999999997</v>
      </c>
      <c r="W45" s="17">
        <v>7.8</v>
      </c>
      <c r="X45" s="17">
        <v>45</v>
      </c>
      <c r="Y45" s="17">
        <v>25.2</v>
      </c>
      <c r="Z45" s="17">
        <v>21.2</v>
      </c>
      <c r="AA45" s="17">
        <v>14.7</v>
      </c>
      <c r="AB45" s="17">
        <v>6.93</v>
      </c>
      <c r="AC45" s="17">
        <v>114.1</v>
      </c>
      <c r="AD45" s="17">
        <v>6.93</v>
      </c>
      <c r="AE45" s="17">
        <v>114.1</v>
      </c>
      <c r="AF45" s="17">
        <v>1.4</v>
      </c>
      <c r="AG45" s="17">
        <v>64.599999999999994</v>
      </c>
      <c r="AH45" s="17">
        <v>1.4</v>
      </c>
      <c r="AI45" s="17">
        <v>64.5</v>
      </c>
      <c r="AJ45" s="17">
        <v>276.89999999999998</v>
      </c>
      <c r="AK45" s="17">
        <v>275.89999999999998</v>
      </c>
      <c r="AL45" s="17">
        <v>235.5</v>
      </c>
      <c r="AM45" s="17">
        <v>233.7</v>
      </c>
      <c r="AN45" s="17">
        <v>85</v>
      </c>
      <c r="AO45" s="17">
        <v>0.75</v>
      </c>
      <c r="AP45" s="17">
        <v>7.3</v>
      </c>
      <c r="AQ45" s="17">
        <v>37.200000000000003</v>
      </c>
      <c r="AR45" s="17">
        <v>0.55100000000000005</v>
      </c>
      <c r="AS45" s="17">
        <v>43.4</v>
      </c>
      <c r="AT45" s="17">
        <v>0.59499999999999997</v>
      </c>
      <c r="AU45" s="17">
        <v>20.6</v>
      </c>
      <c r="AV45" s="17">
        <v>0.41</v>
      </c>
      <c r="AW45" s="17">
        <v>19.8</v>
      </c>
      <c r="AX45" s="17">
        <v>0.40200000000000002</v>
      </c>
      <c r="AY45" s="41">
        <f t="shared" si="7"/>
        <v>2594.88</v>
      </c>
      <c r="BA45" s="20">
        <f t="shared" si="8"/>
        <v>2971.2199999999993</v>
      </c>
      <c r="BC45" s="20">
        <f t="shared" si="9"/>
        <v>1587.2599999999998</v>
      </c>
      <c r="BE45" s="20">
        <f t="shared" si="10"/>
        <v>1538.6999999999998</v>
      </c>
      <c r="BG45" s="17">
        <v>23.5</v>
      </c>
      <c r="BH45" s="17">
        <v>68.5</v>
      </c>
      <c r="BI45" s="20">
        <f t="shared" si="11"/>
        <v>45</v>
      </c>
      <c r="BJ45" s="20"/>
      <c r="BK45" s="17">
        <v>12</v>
      </c>
      <c r="BL45" s="20"/>
      <c r="BM45" s="17">
        <v>10</v>
      </c>
      <c r="BN45" s="20"/>
      <c r="BO45" s="17">
        <v>49.5</v>
      </c>
      <c r="BP45" s="17">
        <v>48</v>
      </c>
      <c r="BQ45" s="17">
        <v>79</v>
      </c>
      <c r="BR45" s="17">
        <v>87</v>
      </c>
      <c r="BS45" s="17">
        <v>88</v>
      </c>
      <c r="BT45" s="17">
        <v>80</v>
      </c>
      <c r="BU45" s="17">
        <v>78</v>
      </c>
      <c r="BV45" s="17">
        <v>95</v>
      </c>
      <c r="BW45" s="91">
        <f t="shared" si="12"/>
        <v>116.46033929390187</v>
      </c>
      <c r="BX45" s="91" t="str">
        <f>_xlfn.XLOOKUP(BW45,'Normative data'!$V$3:$V$6,'Normative data'!$W$3:$W$6,"Not Found",-1)</f>
        <v>Low risk</v>
      </c>
      <c r="BY45" s="91">
        <f t="shared" si="13"/>
        <v>116.00183402109123</v>
      </c>
      <c r="BZ45" s="91" t="str">
        <f>_xlfn.XLOOKUP(BY45,'Normative data'!$V$3:$V$6,'Normative data'!$W$3:$W$6,"Not Found",-1)</f>
        <v>Low risk</v>
      </c>
      <c r="CA45" s="17">
        <v>37</v>
      </c>
      <c r="CC45" s="20"/>
      <c r="CE45" s="17">
        <v>24</v>
      </c>
      <c r="CG45" s="20"/>
      <c r="CH45" s="20" t="str">
        <f>_xlfn.XLOOKUP(CG45, 'Normative data'!$S$9:$S$15,'Normative data'!$T$9:$T$15, "Not Found", -1)</f>
        <v>not completed</v>
      </c>
      <c r="CI45" s="20"/>
      <c r="CJ45" s="20" t="str">
        <f>_xlfn.XLOOKUP(CI45, 'Normative data'!$S$9:$S$15, 'Normative data'!$T$9:$T$15, "Not Found", -1)</f>
        <v>not completed</v>
      </c>
      <c r="CK45" s="21"/>
      <c r="CL45" s="21"/>
      <c r="CM45" s="21"/>
      <c r="CN45" s="21"/>
      <c r="CO45" s="21"/>
      <c r="CQ45" s="17">
        <v>8.11</v>
      </c>
      <c r="CR45" s="20" t="str" cm="1">
        <f t="array" ref="CR45">IF(OR(ISBLANK(E45),ISBLANK(CQ45)),"Incomplete",_xlfn.XLOOKUP(CQ45,_xlfn.XLOOKUP(E45,'Normative data'!$Y$3:$Y$6,'Normative data'!$Z$3:$AG$6,,-1),'Normative data'!$Z$2:$AG$2,"Not Found",-1))</f>
        <v>Average</v>
      </c>
      <c r="CS45" s="20">
        <v>8</v>
      </c>
      <c r="CT45" s="20">
        <v>11</v>
      </c>
      <c r="CU45" s="20" cm="1">
        <f t="array" ref="CU45">_xlfn.XLOOKUP(CS45&amp;CT45,(VLOOKUP!$A$3:$A$250)&amp;(VLOOKUP!$B$3:$B$250),VLOOKUP!$C$3:$C$250,"Incomplete",-1)</f>
        <v>1440</v>
      </c>
      <c r="CV45" s="20" t="str" cm="1">
        <f t="array" ref="CV45">_xlfn.XLOOKUP(CU45, _xlfn.XLOOKUP(E45, 'Normative data'!$Y$11:$Y$14, 'Normative data'!$Z$11:$AG$14, ,-1), 'Normative data'!$Z$10:$AG$10, "Not Found", -1)</f>
        <v>Average</v>
      </c>
      <c r="CW45" s="20" cm="1">
        <f t="array" ref="CW45">IF(OR(ISBLANK(CS45),ISBLANK(CT45)),"Incomplete",_xlfn.XLOOKUP(CS45&amp;CT45,VLOOKUP!$A$4:$A$250&amp;VLOOKUP!$B$4:$B$250,VLOOKUP!$D$4:$D$250,"0"))</f>
        <v>44</v>
      </c>
    </row>
    <row r="46" spans="1:101">
      <c r="A46" s="22" t="s">
        <v>199</v>
      </c>
      <c r="B46" s="22" t="s">
        <v>200</v>
      </c>
      <c r="C46" s="17" t="s">
        <v>86</v>
      </c>
      <c r="D46" s="23">
        <v>39474</v>
      </c>
      <c r="F46" s="17">
        <v>11</v>
      </c>
      <c r="G46" s="17">
        <v>2025</v>
      </c>
      <c r="H46" s="20" t="s">
        <v>114</v>
      </c>
      <c r="I46" s="17">
        <v>1</v>
      </c>
      <c r="J46" s="17" t="s">
        <v>122</v>
      </c>
      <c r="P46" s="32" t="s">
        <v>201</v>
      </c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41" t="str">
        <f t="shared" si="7"/>
        <v>Incomplete</v>
      </c>
      <c r="AZ46" s="20"/>
      <c r="BA46" s="20" t="str">
        <f t="shared" si="8"/>
        <v>Incomplete</v>
      </c>
      <c r="BB46" s="20"/>
      <c r="BC46" s="20" t="str">
        <f t="shared" si="9"/>
        <v>Incomplete</v>
      </c>
      <c r="BD46" s="20"/>
      <c r="BE46" s="20" t="str">
        <f t="shared" si="10"/>
        <v>Incomplete</v>
      </c>
      <c r="BF46" s="20"/>
      <c r="BG46" s="20"/>
      <c r="BH46" s="20"/>
      <c r="BI46" s="20" t="str">
        <f t="shared" si="11"/>
        <v>Incomplete</v>
      </c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91" t="str">
        <f t="shared" si="12"/>
        <v>Incomplete</v>
      </c>
      <c r="BX46" s="91" t="str">
        <f>_xlfn.XLOOKUP(BW46,'Normative data'!$V$3:$V$6,'Normative data'!$W$3:$W$6,"Not Found",-1)</f>
        <v>Very low risk</v>
      </c>
      <c r="BY46" s="91" t="str">
        <f t="shared" si="13"/>
        <v>Incomplete</v>
      </c>
      <c r="BZ46" s="91" t="str">
        <f>_xlfn.XLOOKUP(BY46,'Normative data'!$V$3:$V$6,'Normative data'!$W$3:$W$6,"Not Found",-1)</f>
        <v>Very low risk</v>
      </c>
      <c r="CA46" s="20"/>
      <c r="CC46" s="20"/>
      <c r="CE46" s="20"/>
      <c r="CG46" s="20"/>
      <c r="CH46" s="20" t="str">
        <f>_xlfn.XLOOKUP(CG46, 'Normative data'!$S$9:$S$15,'Normative data'!$T$9:$T$15, "Not Found", -1)</f>
        <v>not completed</v>
      </c>
      <c r="CI46" s="20"/>
      <c r="CJ46" s="20" t="str">
        <f>_xlfn.XLOOKUP(CI46, 'Normative data'!$S$9:$S$15, 'Normative data'!$T$9:$T$15, "Not Found", -1)</f>
        <v>not completed</v>
      </c>
      <c r="CK46" s="24">
        <v>2.27</v>
      </c>
      <c r="CL46" s="24">
        <v>4.41</v>
      </c>
      <c r="CM46" s="24"/>
      <c r="CN46" s="24">
        <v>7.12</v>
      </c>
      <c r="CO46" s="24">
        <v>7.02</v>
      </c>
      <c r="CP46" s="24"/>
      <c r="CQ46" s="20"/>
      <c r="CR46" s="20" t="str" cm="1">
        <f t="array" ref="CR46">IF(OR(ISBLANK(E46),ISBLANK(CQ46)),"Incomplete",_xlfn.XLOOKUP(CQ46,_xlfn.XLOOKUP(E46,'Normative data'!$Y$3:$Y$6,'Normative data'!$Z$3:$AG$6,,-1),'Normative data'!$Z$2:$AG$2,"Not Found",-1))</f>
        <v>Incomplete</v>
      </c>
      <c r="CS46" s="20"/>
      <c r="CT46" s="20"/>
      <c r="CU46" s="20" t="str" cm="1">
        <f t="array" ref="CU46">_xlfn.XLOOKUP(CS46&amp;CT46,(VLOOKUP!$A$3:$A$250)&amp;(VLOOKUP!$B$3:$B$250),VLOOKUP!$C$3:$C$250,"Incomplete",-1)</f>
        <v>Incomplete</v>
      </c>
      <c r="CV46" s="20" t="str" cm="1">
        <f t="array" ref="CV46">_xlfn.XLOOKUP(CU46, _xlfn.XLOOKUP(E46, 'Normative data'!$Y$11:$Y$14, 'Normative data'!$Z$11:$AG$14, ,-1), 'Normative data'!$Z$10:$AG$10, "Not Found", -1)</f>
        <v>Excellent</v>
      </c>
      <c r="CW46" s="20" t="str" cm="1">
        <f t="array" ref="CW46">IF(OR(ISBLANK(CS46),ISBLANK(CT46)),"Incomplete",_xlfn.XLOOKUP(CS46&amp;CT46,VLOOKUP!$A$4:$A$250&amp;VLOOKUP!$B$4:$B$250,VLOOKUP!$D$4:$D$250,"0"))</f>
        <v>Incomplete</v>
      </c>
    </row>
    <row r="47" spans="1:101">
      <c r="A47" s="17" t="s">
        <v>199</v>
      </c>
      <c r="B47" s="17" t="s">
        <v>200</v>
      </c>
      <c r="C47" s="17" t="s">
        <v>86</v>
      </c>
      <c r="D47" s="26"/>
      <c r="F47" s="17">
        <v>11</v>
      </c>
      <c r="G47" s="17">
        <v>2025</v>
      </c>
      <c r="H47" s="20" t="s">
        <v>124</v>
      </c>
      <c r="I47" s="17">
        <v>3</v>
      </c>
      <c r="J47" s="17" t="s">
        <v>122</v>
      </c>
      <c r="S47" s="20"/>
      <c r="T47" s="20" t="s">
        <v>202</v>
      </c>
      <c r="U47" s="20" t="s">
        <v>203</v>
      </c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41" t="str">
        <f t="shared" ref="AY47:AY77" si="14">IF(OR(ISBLANK(U47), ISBLANK(AQ47)), "Incomplete", (60.7*AQ47)+(45.3*U47)-2055)</f>
        <v>Incomplete</v>
      </c>
      <c r="AZ47" s="20"/>
      <c r="BA47" s="20" t="str">
        <f t="shared" ref="BA47:BA77" si="15">IF(OR(ISBLANK(U47), ISBLANK(AS47)), "Incomplete", (60.7*AS47)+(45.3*U47)-2055)</f>
        <v>Incomplete</v>
      </c>
      <c r="BB47" s="20"/>
      <c r="BC47" s="20" t="str">
        <f t="shared" ref="BC47:BC77" si="16">IF(OR(ISBLANK(U47), ISBLANK(AU47)), "Incomplete", (60.7*AU47)+(45.3*U47)-2055)</f>
        <v>Incomplete</v>
      </c>
      <c r="BD47" s="20"/>
      <c r="BE47" s="20" t="str">
        <f t="shared" ref="BE47:BE77" si="17">IF(OR(ISBLANK(U47), ISBLANK(AW47)), "Incomplete", (60.7*AW47)+(45.3*U47)-2055)</f>
        <v>Incomplete</v>
      </c>
      <c r="BF47" s="20"/>
      <c r="BG47" s="20"/>
      <c r="BH47" s="20"/>
      <c r="BI47" s="20" t="str">
        <f t="shared" si="11"/>
        <v>Incomplete</v>
      </c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91" t="str">
        <f t="shared" si="12"/>
        <v>Incomplete</v>
      </c>
      <c r="BX47" s="91" t="str">
        <f>_xlfn.XLOOKUP(BW47,'Normative data'!$V$3:$V$6,'Normative data'!$W$3:$W$6,"Not Found",-1)</f>
        <v>Very low risk</v>
      </c>
      <c r="BY47" s="91" t="str">
        <f t="shared" si="13"/>
        <v>Incomplete</v>
      </c>
      <c r="BZ47" s="91" t="str">
        <f>_xlfn.XLOOKUP(BY47,'Normative data'!$V$3:$V$6,'Normative data'!$W$3:$W$6,"Not Found",-1)</f>
        <v>Very low risk</v>
      </c>
      <c r="CA47" s="20"/>
      <c r="CC47" s="20"/>
      <c r="CE47" s="20"/>
      <c r="CG47" s="20"/>
      <c r="CH47" s="20" t="str">
        <f>_xlfn.XLOOKUP(CG47, 'Normative data'!$S$9:$S$15,'Normative data'!$T$9:$T$15, "Not Found", -1)</f>
        <v>not completed</v>
      </c>
      <c r="CI47" s="20"/>
      <c r="CJ47" s="20" t="str">
        <f>_xlfn.XLOOKUP(CI47, 'Normative data'!$S$9:$S$15, 'Normative data'!$T$9:$T$15, "Not Found", -1)</f>
        <v>not completed</v>
      </c>
      <c r="CK47" s="20" t="s">
        <v>204</v>
      </c>
      <c r="CL47" s="20" t="s">
        <v>205</v>
      </c>
      <c r="CN47" s="20" t="s">
        <v>206</v>
      </c>
      <c r="CO47" s="20" t="s">
        <v>207</v>
      </c>
      <c r="CQ47" s="20"/>
      <c r="CR47" s="20" t="str" cm="1">
        <f t="array" ref="CR47">IF(OR(ISBLANK(E47),ISBLANK(CQ47)),"Incomplete",_xlfn.XLOOKUP(CQ47,_xlfn.XLOOKUP(E47,'Normative data'!$Y$3:$Y$6,'Normative data'!$Z$3:$AG$6,,-1),'Normative data'!$Z$2:$AG$2,"Not Found",-1))</f>
        <v>Incomplete</v>
      </c>
      <c r="CS47" s="20"/>
      <c r="CT47" s="20"/>
      <c r="CU47" s="20" t="str" cm="1">
        <f t="array" ref="CU47">_xlfn.XLOOKUP(CS47&amp;CT47,(VLOOKUP!$A$3:$A$250)&amp;(VLOOKUP!$B$3:$B$250),VLOOKUP!$C$3:$C$250,"Incomplete",-1)</f>
        <v>Incomplete</v>
      </c>
      <c r="CV47" s="20" t="str" cm="1">
        <f t="array" ref="CV47">_xlfn.XLOOKUP(CU47, _xlfn.XLOOKUP(E47, 'Normative data'!$Y$11:$Y$14, 'Normative data'!$Z$11:$AG$14, ,-1), 'Normative data'!$Z$10:$AG$10, "Not Found", -1)</f>
        <v>Excellent</v>
      </c>
      <c r="CW47" s="20" t="str" cm="1">
        <f t="array" ref="CW47">IF(OR(ISBLANK(CS47),ISBLANK(CT47)),"Incomplete",_xlfn.XLOOKUP(CS47&amp;CT47,VLOOKUP!$A$4:$A$250&amp;VLOOKUP!$B$4:$B$250,VLOOKUP!$D$4:$D$250,"0"))</f>
        <v>Incomplete</v>
      </c>
    </row>
    <row r="48" spans="1:101" ht="13.9" customHeight="1">
      <c r="A48" s="17" t="s">
        <v>208</v>
      </c>
      <c r="B48" s="17" t="s">
        <v>200</v>
      </c>
      <c r="C48" s="17" t="s">
        <v>86</v>
      </c>
      <c r="D48" s="33"/>
      <c r="G48" s="17">
        <v>2026</v>
      </c>
      <c r="H48" s="20" t="s">
        <v>114</v>
      </c>
      <c r="I48" s="17">
        <v>1</v>
      </c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30">
        <v>26.2</v>
      </c>
      <c r="AR48" s="30">
        <v>0.46200000000000002</v>
      </c>
      <c r="AS48" s="30">
        <v>25.2</v>
      </c>
      <c r="AT48" s="30">
        <v>0.45300000000000001</v>
      </c>
      <c r="AU48" s="30">
        <v>11.9</v>
      </c>
      <c r="AV48" s="30">
        <v>0.312</v>
      </c>
      <c r="AW48" s="30">
        <v>14.8</v>
      </c>
      <c r="AX48" s="30">
        <v>0.34699999999999998</v>
      </c>
      <c r="AY48" s="41" t="str">
        <f t="shared" si="14"/>
        <v>Incomplete</v>
      </c>
      <c r="AZ48" s="20"/>
      <c r="BA48" s="20" t="str">
        <f t="shared" si="15"/>
        <v>Incomplete</v>
      </c>
      <c r="BB48" s="20"/>
      <c r="BC48" s="20" t="str">
        <f t="shared" si="16"/>
        <v>Incomplete</v>
      </c>
      <c r="BD48" s="20"/>
      <c r="BE48" s="20" t="str">
        <f t="shared" si="17"/>
        <v>Incomplete</v>
      </c>
      <c r="BF48" s="20"/>
      <c r="BG48" s="30">
        <v>8</v>
      </c>
      <c r="BH48" s="30">
        <v>36</v>
      </c>
      <c r="BI48" s="20">
        <f t="shared" si="11"/>
        <v>28</v>
      </c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91" t="str">
        <f t="shared" si="12"/>
        <v>Incomplete</v>
      </c>
      <c r="BX48" s="91" t="str">
        <f>_xlfn.XLOOKUP(BW48,'Normative data'!$V$3:$V$6,'Normative data'!$W$3:$W$6,"Not Found",-1)</f>
        <v>Very low risk</v>
      </c>
      <c r="BY48" s="91" t="str">
        <f t="shared" si="13"/>
        <v>Incomplete</v>
      </c>
      <c r="BZ48" s="91" t="str">
        <f>_xlfn.XLOOKUP(BY48,'Normative data'!$V$3:$V$6,'Normative data'!$W$3:$W$6,"Not Found",-1)</f>
        <v>Very low risk</v>
      </c>
      <c r="CA48" s="20"/>
      <c r="CC48" s="30">
        <v>50</v>
      </c>
      <c r="CD48" s="30"/>
      <c r="CE48" s="30">
        <v>20</v>
      </c>
      <c r="CF48" s="30"/>
      <c r="CG48" s="30">
        <v>19</v>
      </c>
      <c r="CH48" s="20" t="str">
        <f>_xlfn.XLOOKUP(CG48, 'Normative data'!$S$9:$S$15,'Normative data'!$T$9:$T$15, "Not Found", -1)</f>
        <v>Average</v>
      </c>
      <c r="CI48" s="30">
        <v>18.45</v>
      </c>
      <c r="CJ48" s="20" t="str">
        <f>_xlfn.XLOOKUP(CI48, 'Normative data'!$S$9:$S$15, 'Normative data'!$T$9:$T$15, "Not Found", -1)</f>
        <v>Average</v>
      </c>
      <c r="CK48" s="30">
        <v>2.2000000000000002</v>
      </c>
      <c r="CL48" s="30">
        <v>4.55</v>
      </c>
      <c r="CM48" s="30"/>
      <c r="CN48" s="30">
        <v>6.91</v>
      </c>
      <c r="CO48" s="30">
        <v>7.24</v>
      </c>
      <c r="CP48" s="30"/>
      <c r="CQ48" s="30">
        <v>9.5</v>
      </c>
      <c r="CR48" s="20" t="str" cm="1">
        <f t="array" ref="CR48">IF(OR(ISBLANK(E48),ISBLANK(CQ48)),"Incomplete",_xlfn.XLOOKUP(CQ48,_xlfn.XLOOKUP(E48,'Normative data'!$Y$3:$Y$6,'Normative data'!$Z$3:$AG$6,,-1),'Normative data'!$Z$2:$AG$2,"Not Found",-1))</f>
        <v>Incomplete</v>
      </c>
      <c r="CS48" s="20">
        <v>9</v>
      </c>
      <c r="CT48" s="20">
        <v>5</v>
      </c>
      <c r="CU48" s="20" cm="1">
        <f t="array" ref="CU48">_xlfn.XLOOKUP(CS48&amp;CT48,(VLOOKUP!$A$3:$A$250)&amp;(VLOOKUP!$B$3:$B$250),VLOOKUP!$C$3:$C$250,"Incomplete",-1)</f>
        <v>1540</v>
      </c>
      <c r="CV48" s="20" t="str" cm="1">
        <f t="array" ref="CV48">_xlfn.XLOOKUP(CU48, _xlfn.XLOOKUP(E48, 'Normative data'!$Y$11:$Y$14, 'Normative data'!$Z$11:$AG$14, ,-1), 'Normative data'!$Z$10:$AG$10, "Not Found", -1)</f>
        <v>Average</v>
      </c>
      <c r="CW48" s="20" cm="1">
        <f t="array" ref="CW48">IF(OR(ISBLANK(CS48),ISBLANK(CT48)),"Incomplete",_xlfn.XLOOKUP(CS48&amp;CT48,VLOOKUP!$A$4:$A$250&amp;VLOOKUP!$B$4:$B$250,VLOOKUP!$D$4:$D$250,"0"))</f>
        <v>45</v>
      </c>
    </row>
    <row r="49" spans="1:101">
      <c r="A49" s="17" t="s">
        <v>208</v>
      </c>
      <c r="B49" s="17" t="s">
        <v>200</v>
      </c>
      <c r="C49" s="17" t="s">
        <v>86</v>
      </c>
      <c r="D49" s="33"/>
      <c r="G49" s="17">
        <v>2026</v>
      </c>
      <c r="H49" s="20" t="s">
        <v>114</v>
      </c>
      <c r="I49" s="17">
        <v>1</v>
      </c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30">
        <v>22.9</v>
      </c>
      <c r="AR49" s="30">
        <v>0.432</v>
      </c>
      <c r="AS49" s="30">
        <v>23.2</v>
      </c>
      <c r="AT49" s="30">
        <v>0.435</v>
      </c>
      <c r="AU49" s="30">
        <v>9.6999999999999993</v>
      </c>
      <c r="AV49" s="30">
        <v>0.28199999999999997</v>
      </c>
      <c r="AW49" s="30">
        <v>9.4</v>
      </c>
      <c r="AX49" s="30">
        <v>0.27700000000000002</v>
      </c>
      <c r="AY49" s="41" t="str">
        <f t="shared" si="14"/>
        <v>Incomplete</v>
      </c>
      <c r="AZ49" s="20"/>
      <c r="BA49" s="20" t="str">
        <f t="shared" si="15"/>
        <v>Incomplete</v>
      </c>
      <c r="BB49" s="20"/>
      <c r="BC49" s="20" t="str">
        <f t="shared" si="16"/>
        <v>Incomplete</v>
      </c>
      <c r="BD49" s="20"/>
      <c r="BE49" s="20" t="str">
        <f t="shared" si="17"/>
        <v>Incomplete</v>
      </c>
      <c r="BF49" s="20"/>
      <c r="BG49" s="30"/>
      <c r="BH49" s="20"/>
      <c r="BI49" s="20" t="str">
        <f t="shared" si="11"/>
        <v>Incomplete</v>
      </c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91" t="str">
        <f t="shared" si="12"/>
        <v>Incomplete</v>
      </c>
      <c r="BX49" s="91" t="str">
        <f>_xlfn.XLOOKUP(BW49,'Normative data'!$V$3:$V$6,'Normative data'!$W$3:$W$6,"Not Found",-1)</f>
        <v>Very low risk</v>
      </c>
      <c r="BY49" s="91" t="str">
        <f t="shared" si="13"/>
        <v>Incomplete</v>
      </c>
      <c r="BZ49" s="91" t="str">
        <f>_xlfn.XLOOKUP(BY49,'Normative data'!$V$3:$V$6,'Normative data'!$W$3:$W$6,"Not Found",-1)</f>
        <v>Very low risk</v>
      </c>
      <c r="CA49" s="20"/>
      <c r="CC49" s="20"/>
      <c r="CE49" s="20"/>
      <c r="CF49" s="30"/>
      <c r="CG49" s="20"/>
      <c r="CH49" s="20" t="str">
        <f>_xlfn.XLOOKUP(CG49, 'Normative data'!$S$9:$S$15,'Normative data'!$T$9:$T$15, "Not Found", -1)</f>
        <v>not completed</v>
      </c>
      <c r="CI49" s="20"/>
      <c r="CJ49" s="20" t="str">
        <f>_xlfn.XLOOKUP(CI49, 'Normative data'!$S$9:$S$15, 'Normative data'!$T$9:$T$15, "Not Found", -1)</f>
        <v>not completed</v>
      </c>
      <c r="CK49" s="30" t="s">
        <v>209</v>
      </c>
      <c r="CL49" s="30" t="s">
        <v>210</v>
      </c>
      <c r="CM49" s="30"/>
      <c r="CN49" s="30" t="s">
        <v>211</v>
      </c>
      <c r="CO49" s="30" t="s">
        <v>212</v>
      </c>
      <c r="CP49" s="30"/>
      <c r="CQ49" s="30"/>
      <c r="CR49" s="20" t="str" cm="1">
        <f t="array" ref="CR49">IF(OR(ISBLANK(E49),ISBLANK(CQ49)),"Incomplete",_xlfn.XLOOKUP(CQ49,_xlfn.XLOOKUP(E49,'Normative data'!$Y$3:$Y$6,'Normative data'!$Z$3:$AG$6,,-1),'Normative data'!$Z$2:$AG$2,"Not Found",-1))</f>
        <v>Incomplete</v>
      </c>
      <c r="CS49" s="20"/>
      <c r="CT49" s="20"/>
      <c r="CU49" s="20" t="str" cm="1">
        <f t="array" ref="CU49">_xlfn.XLOOKUP(CS49&amp;CT49,(VLOOKUP!$A$3:$A$250)&amp;(VLOOKUP!$B$3:$B$250),VLOOKUP!$C$3:$C$250,"Incomplete",-1)</f>
        <v>Incomplete</v>
      </c>
      <c r="CV49" s="20" t="str" cm="1">
        <f t="array" ref="CV49">_xlfn.XLOOKUP(CU49, _xlfn.XLOOKUP(E49, 'Normative data'!$Y$11:$Y$14, 'Normative data'!$Z$11:$AG$14, ,-1), 'Normative data'!$Z$10:$AG$10, "Not Found", -1)</f>
        <v>Excellent</v>
      </c>
      <c r="CW49" s="20" t="str" cm="1">
        <f t="array" ref="CW49">IF(OR(ISBLANK(CS49),ISBLANK(CT49)),"Incomplete",_xlfn.XLOOKUP(CS49&amp;CT49,VLOOKUP!$A$4:$A$250&amp;VLOOKUP!$B$4:$B$250,VLOOKUP!$D$4:$D$250,"0"))</f>
        <v>Incomplete</v>
      </c>
    </row>
    <row r="50" spans="1:101">
      <c r="A50" s="17" t="s">
        <v>213</v>
      </c>
      <c r="B50" s="17" t="s">
        <v>214</v>
      </c>
      <c r="C50" s="17" t="s">
        <v>86</v>
      </c>
      <c r="D50" s="26">
        <v>39819</v>
      </c>
      <c r="F50" s="20" t="s">
        <v>110</v>
      </c>
      <c r="G50" s="17">
        <v>2026</v>
      </c>
      <c r="I50" s="20">
        <v>2</v>
      </c>
      <c r="J50" s="20" t="s">
        <v>88</v>
      </c>
      <c r="K50" s="20" t="s">
        <v>101</v>
      </c>
      <c r="L50" s="20"/>
      <c r="S50" s="20">
        <v>85.4</v>
      </c>
      <c r="T50" s="20">
        <v>169.6</v>
      </c>
      <c r="U50" s="17">
        <v>65.099999999999994</v>
      </c>
      <c r="V50" s="17">
        <v>34.9</v>
      </c>
      <c r="W50" s="17">
        <v>17.3</v>
      </c>
      <c r="X50" s="17">
        <v>47.8</v>
      </c>
      <c r="Y50" s="17">
        <v>26.6</v>
      </c>
      <c r="Z50" s="17">
        <v>22.6</v>
      </c>
      <c r="AA50" s="17">
        <v>26.5</v>
      </c>
      <c r="AB50" s="17">
        <v>7.74</v>
      </c>
      <c r="AC50" s="17">
        <v>106.5</v>
      </c>
      <c r="AD50" s="17">
        <v>7.65</v>
      </c>
      <c r="AE50" s="17">
        <v>105.3</v>
      </c>
      <c r="AF50" s="17">
        <v>2.8</v>
      </c>
      <c r="AG50" s="17">
        <v>106</v>
      </c>
      <c r="AH50" s="17">
        <v>2.8</v>
      </c>
      <c r="AI50" s="17">
        <v>105.2</v>
      </c>
      <c r="AJ50" s="17">
        <v>298.3</v>
      </c>
      <c r="AK50" s="17">
        <v>305.3</v>
      </c>
      <c r="AL50" s="17">
        <v>259.7</v>
      </c>
      <c r="AM50" s="17">
        <v>266.60000000000002</v>
      </c>
      <c r="AN50" s="17">
        <v>109</v>
      </c>
      <c r="AO50" s="17">
        <v>0.85</v>
      </c>
      <c r="AP50" s="17">
        <v>6.9</v>
      </c>
      <c r="AQ50" s="17">
        <v>30.5</v>
      </c>
      <c r="AR50" s="17">
        <v>0.499</v>
      </c>
      <c r="AS50" s="17">
        <v>33.9</v>
      </c>
      <c r="AT50" s="17">
        <v>0.52600000000000002</v>
      </c>
      <c r="AU50" s="17">
        <v>19</v>
      </c>
      <c r="AV50" s="17">
        <v>0.39400000000000002</v>
      </c>
      <c r="AW50" s="17">
        <v>20.7</v>
      </c>
      <c r="AX50" s="17">
        <v>0.41099999999999998</v>
      </c>
      <c r="AY50" s="41">
        <f t="shared" si="14"/>
        <v>2745.38</v>
      </c>
      <c r="BA50" s="20">
        <f t="shared" si="15"/>
        <v>2951.76</v>
      </c>
      <c r="BC50" s="20">
        <f t="shared" si="16"/>
        <v>2047.33</v>
      </c>
      <c r="BE50" s="20">
        <f t="shared" si="17"/>
        <v>2150.5199999999995</v>
      </c>
      <c r="BG50" s="17">
        <v>14.3</v>
      </c>
      <c r="BH50" s="17">
        <v>54</v>
      </c>
      <c r="BI50" s="20">
        <f t="shared" si="11"/>
        <v>39.700000000000003</v>
      </c>
      <c r="BJ50" s="20"/>
      <c r="BK50" s="17">
        <v>10</v>
      </c>
      <c r="BL50" s="20"/>
      <c r="BM50" s="17">
        <v>11.5</v>
      </c>
      <c r="BN50" s="20"/>
      <c r="BO50" s="17">
        <v>49</v>
      </c>
      <c r="BP50" s="17">
        <v>47</v>
      </c>
      <c r="BQ50" s="17">
        <v>85</v>
      </c>
      <c r="BR50" s="17">
        <v>91</v>
      </c>
      <c r="BS50" s="17">
        <v>82</v>
      </c>
      <c r="BT50" s="17">
        <v>84</v>
      </c>
      <c r="BU50" s="17">
        <v>86</v>
      </c>
      <c r="BV50" s="17">
        <v>84</v>
      </c>
      <c r="BW50" s="91">
        <f t="shared" si="12"/>
        <v>102.13776722090262</v>
      </c>
      <c r="BX50" s="91" t="str">
        <f>_xlfn.XLOOKUP(BW50,'Normative data'!$V$3:$V$6,'Normative data'!$W$3:$W$6,"Not Found",-1)</f>
        <v>Low risk</v>
      </c>
      <c r="BY50" s="91">
        <f t="shared" si="13"/>
        <v>100.55423594615995</v>
      </c>
      <c r="BZ50" s="91" t="str">
        <f>_xlfn.XLOOKUP(BY50,'Normative data'!$V$3:$V$6,'Normative data'!$W$3:$W$6,"Not Found",-1)</f>
        <v>Low risk</v>
      </c>
      <c r="CG50" s="17">
        <v>18.920000000000002</v>
      </c>
      <c r="CH50" s="20" t="str">
        <f>_xlfn.XLOOKUP(CG50, 'Normative data'!$S$9:$S$15,'Normative data'!$T$9:$T$15, "Not Found", -1)</f>
        <v>Average</v>
      </c>
      <c r="CI50" s="17">
        <v>18.48</v>
      </c>
      <c r="CJ50" s="20" t="str">
        <f>_xlfn.XLOOKUP(CI50, 'Normative data'!$S$9:$S$15, 'Normative data'!$T$9:$T$15, "Not Found", -1)</f>
        <v>Average</v>
      </c>
      <c r="CK50" s="21"/>
      <c r="CL50" s="21"/>
      <c r="CM50" s="21"/>
      <c r="CN50" s="21"/>
      <c r="CO50" s="21"/>
      <c r="CQ50" s="17">
        <v>6.7</v>
      </c>
      <c r="CR50" s="20" t="str" cm="1">
        <f t="array" ref="CR50">IF(OR(ISBLANK(E50),ISBLANK(CQ50)),"Incomplete",_xlfn.XLOOKUP(CQ50,_xlfn.XLOOKUP(E50,'Normative data'!$Y$3:$Y$6,'Normative data'!$Z$3:$AG$6,,-1),'Normative data'!$Z$2:$AG$2,"Not Found",-1))</f>
        <v>Incomplete</v>
      </c>
      <c r="CS50" s="20">
        <v>6</v>
      </c>
      <c r="CT50" s="20">
        <v>7</v>
      </c>
      <c r="CU50" s="20" cm="1">
        <f t="array" ref="CU50">_xlfn.XLOOKUP(CS50&amp;CT50,(VLOOKUP!$A$3:$A$250)&amp;(VLOOKUP!$B$3:$B$250),VLOOKUP!$C$3:$C$250,"Incomplete",-1)</f>
        <v>960</v>
      </c>
      <c r="CV50" s="20" t="str" cm="1">
        <f t="array" ref="CV50">_xlfn.XLOOKUP(CU50, _xlfn.XLOOKUP(E50, 'Normative data'!$Y$11:$Y$14, 'Normative data'!$Z$11:$AG$14, ,-1), 'Normative data'!$Z$10:$AG$10, "Not Found", -1)</f>
        <v xml:space="preserve">Fair </v>
      </c>
      <c r="CW50" s="20" cm="1">
        <f t="array" ref="CW50">IF(OR(ISBLANK(CS50),ISBLANK(CT50)),"Incomplete",_xlfn.XLOOKUP(CS50&amp;CT50,VLOOKUP!$A$4:$A$250&amp;VLOOKUP!$B$4:$B$250,VLOOKUP!$D$4:$D$250,"0"))</f>
        <v>35</v>
      </c>
    </row>
    <row r="51" spans="1:101">
      <c r="A51" s="17" t="s">
        <v>215</v>
      </c>
      <c r="B51" s="17" t="s">
        <v>216</v>
      </c>
      <c r="C51" s="17" t="s">
        <v>86</v>
      </c>
      <c r="D51" s="26">
        <v>40714</v>
      </c>
      <c r="E51" s="17">
        <v>14.9</v>
      </c>
      <c r="F51" s="20" t="s">
        <v>217</v>
      </c>
      <c r="G51" s="17">
        <v>2026</v>
      </c>
      <c r="I51" s="20">
        <v>2</v>
      </c>
      <c r="J51" s="20" t="s">
        <v>88</v>
      </c>
      <c r="K51" s="20" t="s">
        <v>218</v>
      </c>
      <c r="L51" s="20"/>
      <c r="S51" s="20">
        <v>87.6</v>
      </c>
      <c r="T51" s="20">
        <v>166</v>
      </c>
      <c r="U51" s="17">
        <v>52.1</v>
      </c>
      <c r="V51" s="17">
        <v>29.6</v>
      </c>
      <c r="W51" s="17">
        <v>11.7</v>
      </c>
      <c r="X51" s="17">
        <v>40.4</v>
      </c>
      <c r="Y51" s="17">
        <v>21.8</v>
      </c>
      <c r="Z51" s="17">
        <v>18.899999999999999</v>
      </c>
      <c r="AA51" s="17">
        <v>22.4</v>
      </c>
      <c r="AB51" s="17">
        <v>6.01</v>
      </c>
      <c r="AC51" s="17">
        <v>99.8</v>
      </c>
      <c r="AD51" s="17">
        <v>6.03</v>
      </c>
      <c r="AE51" s="17">
        <v>100.1</v>
      </c>
      <c r="AF51" s="17">
        <v>1.8</v>
      </c>
      <c r="AG51" s="17">
        <v>72.099999999999994</v>
      </c>
      <c r="AH51" s="17">
        <v>1.8</v>
      </c>
      <c r="AI51" s="17">
        <v>72.099999999999994</v>
      </c>
      <c r="AJ51" s="17">
        <v>342.8</v>
      </c>
      <c r="AK51" s="17">
        <v>340.4</v>
      </c>
      <c r="AL51" s="17">
        <v>310.60000000000002</v>
      </c>
      <c r="AM51" s="17">
        <v>309.3</v>
      </c>
      <c r="AN51" s="17">
        <v>100</v>
      </c>
      <c r="AO51" s="17">
        <v>0.86</v>
      </c>
      <c r="AP51" s="17">
        <v>5.7</v>
      </c>
      <c r="AQ51" s="17">
        <v>19</v>
      </c>
      <c r="AR51" s="17">
        <v>0.39400000000000002</v>
      </c>
      <c r="AS51" s="17">
        <v>20.2</v>
      </c>
      <c r="AT51" s="17">
        <v>0.40600000000000003</v>
      </c>
      <c r="AU51" s="17">
        <v>9.8000000000000007</v>
      </c>
      <c r="AV51" s="17">
        <v>0.28299999999999997</v>
      </c>
      <c r="AW51" s="17">
        <v>9.6999999999999993</v>
      </c>
      <c r="AX51" s="17">
        <v>0.28100000000000003</v>
      </c>
      <c r="AY51" s="41">
        <f t="shared" si="14"/>
        <v>1458.4300000000003</v>
      </c>
      <c r="BA51" s="20">
        <f t="shared" si="15"/>
        <v>1531.2700000000004</v>
      </c>
      <c r="BC51" s="20">
        <f t="shared" si="16"/>
        <v>899.99000000000024</v>
      </c>
      <c r="BE51" s="20">
        <f t="shared" si="17"/>
        <v>893.92000000000007</v>
      </c>
      <c r="BG51" s="17">
        <v>15</v>
      </c>
      <c r="BH51" s="17">
        <v>51</v>
      </c>
      <c r="BI51" s="20">
        <f t="shared" ref="BI51:BI82" si="18">IF(OR(ISBLANK(BG51), ISBLANK(BH51)),"Incomplete",(SUM(BH51-BG51)))</f>
        <v>36</v>
      </c>
      <c r="BJ51" s="20"/>
      <c r="BK51" s="17">
        <v>7.9</v>
      </c>
      <c r="BL51" s="20"/>
      <c r="BM51" s="17">
        <v>5.6</v>
      </c>
      <c r="BN51" s="20"/>
      <c r="BO51" s="17">
        <v>45.5</v>
      </c>
      <c r="BP51" s="17">
        <v>45</v>
      </c>
      <c r="BQ51" s="17">
        <v>80</v>
      </c>
      <c r="BR51" s="17">
        <v>98</v>
      </c>
      <c r="BS51" s="17">
        <v>93</v>
      </c>
      <c r="BT51" s="17">
        <v>73</v>
      </c>
      <c r="BU51" s="17">
        <v>90</v>
      </c>
      <c r="BV51" s="17">
        <v>87</v>
      </c>
      <c r="BW51" s="91">
        <f t="shared" si="12"/>
        <v>115.22108843537413</v>
      </c>
      <c r="BX51" s="91" t="str">
        <f>_xlfn.XLOOKUP(BW51,'Normative data'!$V$3:$V$6,'Normative data'!$W$3:$W$6,"Not Found",-1)</f>
        <v>Low risk</v>
      </c>
      <c r="BY51" s="91">
        <f t="shared" si="13"/>
        <v>106.29251700680271</v>
      </c>
      <c r="BZ51" s="91" t="str">
        <f>_xlfn.XLOOKUP(BY51,'Normative data'!$V$3:$V$6,'Normative data'!$W$3:$W$6,"Not Found",-1)</f>
        <v>Low risk</v>
      </c>
      <c r="CA51" s="17">
        <v>21</v>
      </c>
      <c r="CC51" s="20"/>
      <c r="CE51" s="17">
        <v>5</v>
      </c>
      <c r="CG51" s="17">
        <v>19.32</v>
      </c>
      <c r="CH51" s="20" t="str">
        <f>_xlfn.XLOOKUP(CG51, 'Normative data'!$S$9:$S$15,'Normative data'!$T$9:$T$15, "Not Found", -1)</f>
        <v>Average</v>
      </c>
      <c r="CI51" s="17">
        <v>19.72</v>
      </c>
      <c r="CJ51" s="20" t="str">
        <f>_xlfn.XLOOKUP(CI51, 'Normative data'!$S$9:$S$15, 'Normative data'!$T$9:$T$15, "Not Found", -1)</f>
        <v>Average</v>
      </c>
      <c r="CK51" s="17">
        <v>2.13</v>
      </c>
      <c r="CL51" s="17">
        <v>4.6900000000000004</v>
      </c>
      <c r="CN51" s="17">
        <v>6.84</v>
      </c>
      <c r="CO51" s="17">
        <v>7.31</v>
      </c>
      <c r="CQ51" s="17">
        <v>5.0999999999999996</v>
      </c>
      <c r="CR51" s="20" t="str" cm="1">
        <f t="array" ref="CR51">IF(OR(ISBLANK(E51),ISBLANK(CQ51)),"Incomplete",_xlfn.XLOOKUP(CQ51,_xlfn.XLOOKUP(E51,'Normative data'!$Y$3:$Y$6,'Normative data'!$Z$3:$AG$6,,-1),'Normative data'!$Z$2:$AG$2,"Not Found",-1))</f>
        <v>Poor</v>
      </c>
      <c r="CS51" s="20">
        <v>5</v>
      </c>
      <c r="CT51" s="20">
        <v>1</v>
      </c>
      <c r="CU51" s="20" cm="1">
        <f t="array" ref="CU51">_xlfn.XLOOKUP(CS51&amp;CT51,(VLOOKUP!$A$3:$A$250)&amp;(VLOOKUP!$B$3:$B$250),VLOOKUP!$C$3:$C$250,"Incomplete",-1)</f>
        <v>660</v>
      </c>
      <c r="CV51" s="20" t="str" cm="1">
        <f t="array" ref="CV51">_xlfn.XLOOKUP(CU51, _xlfn.XLOOKUP(E51, 'Normative data'!$Y$11:$Y$14, 'Normative data'!$Z$11:$AG$14, ,-1), 'Normative data'!$Z$10:$AG$10, "Not Found", -1)</f>
        <v xml:space="preserve">Poor </v>
      </c>
      <c r="CW51" s="20" cm="1">
        <f t="array" ref="CW51">IF(OR(ISBLANK(CS51),ISBLANK(CT51)),"Incomplete",_xlfn.XLOOKUP(CS51&amp;CT51,VLOOKUP!$A$4:$A$250&amp;VLOOKUP!$B$4:$B$250,VLOOKUP!$D$4:$D$250,"0"))</f>
        <v>30</v>
      </c>
    </row>
    <row r="52" spans="1:101">
      <c r="A52" s="17" t="s">
        <v>219</v>
      </c>
      <c r="B52" s="17" t="s">
        <v>216</v>
      </c>
      <c r="C52" s="17" t="s">
        <v>86</v>
      </c>
      <c r="D52" s="26"/>
      <c r="F52" s="20" t="s">
        <v>192</v>
      </c>
      <c r="G52" s="17">
        <v>2026</v>
      </c>
      <c r="I52" s="20">
        <v>2</v>
      </c>
      <c r="J52" s="20"/>
      <c r="K52" s="20"/>
      <c r="L52" s="20"/>
      <c r="S52" s="20">
        <v>91.9</v>
      </c>
      <c r="T52" s="20">
        <v>178.6</v>
      </c>
      <c r="AQ52" s="20"/>
      <c r="AR52" s="20"/>
      <c r="AS52" s="20"/>
      <c r="AT52" s="20"/>
      <c r="AU52" s="20"/>
      <c r="AV52" s="20"/>
      <c r="AW52" s="20"/>
      <c r="AX52" s="20"/>
      <c r="AY52" s="41" t="str">
        <f t="shared" si="14"/>
        <v>Incomplete</v>
      </c>
      <c r="BA52" s="20" t="str">
        <f t="shared" si="15"/>
        <v>Incomplete</v>
      </c>
      <c r="BC52" s="20" t="str">
        <f t="shared" si="16"/>
        <v>Incomplete</v>
      </c>
      <c r="BE52" s="20" t="str">
        <f t="shared" si="17"/>
        <v>Incomplete</v>
      </c>
      <c r="BG52" s="17">
        <v>6.5</v>
      </c>
      <c r="BH52" s="17">
        <v>44.2</v>
      </c>
      <c r="BI52" s="20">
        <f t="shared" si="18"/>
        <v>37.700000000000003</v>
      </c>
      <c r="BJ52" s="20"/>
      <c r="BL52" s="20"/>
      <c r="BM52" s="20"/>
      <c r="BN52" s="20"/>
      <c r="BW52" s="91">
        <f t="shared" si="12"/>
        <v>0</v>
      </c>
      <c r="BX52" s="91" t="str">
        <f>_xlfn.XLOOKUP(BW52,'Normative data'!$V$3:$V$6,'Normative data'!$W$3:$W$6,"Not Found",-1)</f>
        <v>Not completed</v>
      </c>
      <c r="BY52" s="91">
        <f t="shared" si="13"/>
        <v>0</v>
      </c>
      <c r="BZ52" s="91" t="str">
        <f>_xlfn.XLOOKUP(BY52,'Normative data'!$V$3:$V$6,'Normative data'!$W$3:$W$6,"Not Found",-1)</f>
        <v>Not completed</v>
      </c>
      <c r="CG52" s="20"/>
      <c r="CH52" s="20" t="str">
        <f>_xlfn.XLOOKUP(CG52, 'Normative data'!$S$9:$S$15,'Normative data'!$T$9:$T$15, "Not Found", -1)</f>
        <v>not completed</v>
      </c>
      <c r="CI52" s="20"/>
      <c r="CJ52" s="20" t="str">
        <f>_xlfn.XLOOKUP(CI52, 'Normative data'!$S$9:$S$15, 'Normative data'!$T$9:$T$15, "Not Found", -1)</f>
        <v>not completed</v>
      </c>
      <c r="CK52" s="21"/>
      <c r="CL52" s="21"/>
      <c r="CM52" s="21"/>
      <c r="CN52" s="21"/>
      <c r="CO52" s="21"/>
      <c r="CR52" s="20" t="str" cm="1">
        <f t="array" ref="CR52">IF(OR(ISBLANK(E52),ISBLANK(CQ52)),"Incomplete",_xlfn.XLOOKUP(CQ52,_xlfn.XLOOKUP(E52,'Normative data'!$Y$3:$Y$6,'Normative data'!$Z$3:$AG$6,,-1),'Normative data'!$Z$2:$AG$2,"Not Found",-1))</f>
        <v>Incomplete</v>
      </c>
      <c r="CS52" s="20"/>
      <c r="CT52" s="20"/>
      <c r="CU52" s="20" t="str" cm="1">
        <f t="array" ref="CU52">_xlfn.XLOOKUP(CS52&amp;CT52,(VLOOKUP!$A$3:$A$250)&amp;(VLOOKUP!$B$3:$B$250),VLOOKUP!$C$3:$C$250,"Incomplete",-1)</f>
        <v>Incomplete</v>
      </c>
      <c r="CV52" s="20" t="str" cm="1">
        <f t="array" ref="CV52">_xlfn.XLOOKUP(CU52, _xlfn.XLOOKUP(E52, 'Normative data'!$Y$11:$Y$14, 'Normative data'!$Z$11:$AG$14, ,-1), 'Normative data'!$Z$10:$AG$10, "Not Found", -1)</f>
        <v>Excellent</v>
      </c>
      <c r="CW52" s="20" t="str" cm="1">
        <f t="array" ref="CW52">IF(OR(ISBLANK(CS52),ISBLANK(CT52)),"Incomplete",_xlfn.XLOOKUP(CS52&amp;CT52,VLOOKUP!$A$4:$A$250&amp;VLOOKUP!$B$4:$B$250,VLOOKUP!$D$4:$D$250,"0"))</f>
        <v>Incomplete</v>
      </c>
    </row>
    <row r="53" spans="1:101">
      <c r="A53" s="17" t="s">
        <v>220</v>
      </c>
      <c r="B53" s="17" t="s">
        <v>216</v>
      </c>
      <c r="C53" s="17" t="s">
        <v>86</v>
      </c>
      <c r="D53" s="26"/>
      <c r="F53" s="20" t="s">
        <v>104</v>
      </c>
      <c r="G53" s="17">
        <v>2026</v>
      </c>
      <c r="I53" s="20">
        <v>2</v>
      </c>
      <c r="J53" s="20"/>
      <c r="K53" s="20"/>
      <c r="L53" s="20"/>
      <c r="S53" s="20"/>
      <c r="T53" s="20"/>
      <c r="AQ53" s="20"/>
      <c r="AR53" s="20"/>
      <c r="AS53" s="20"/>
      <c r="AT53" s="20"/>
      <c r="AU53" s="20"/>
      <c r="AV53" s="20"/>
      <c r="AW53" s="20"/>
      <c r="AX53" s="20"/>
      <c r="AY53" s="41" t="str">
        <f t="shared" si="14"/>
        <v>Incomplete</v>
      </c>
      <c r="BA53" s="20" t="str">
        <f t="shared" si="15"/>
        <v>Incomplete</v>
      </c>
      <c r="BC53" s="20" t="str">
        <f t="shared" si="16"/>
        <v>Incomplete</v>
      </c>
      <c r="BE53" s="20" t="str">
        <f t="shared" si="17"/>
        <v>Incomplete</v>
      </c>
      <c r="BG53" s="17">
        <v>14</v>
      </c>
      <c r="BH53" s="17">
        <v>29</v>
      </c>
      <c r="BI53" s="20">
        <f t="shared" si="18"/>
        <v>15</v>
      </c>
      <c r="BJ53" s="20"/>
      <c r="BK53" s="17">
        <v>5</v>
      </c>
      <c r="BL53" s="20"/>
      <c r="BM53" s="17">
        <v>6</v>
      </c>
      <c r="BN53" s="20"/>
      <c r="BO53" s="17">
        <v>40.5</v>
      </c>
      <c r="BP53" s="17">
        <v>40.5</v>
      </c>
      <c r="BQ53" s="17">
        <v>74</v>
      </c>
      <c r="BR53" s="17">
        <v>83</v>
      </c>
      <c r="BS53" s="17">
        <v>68</v>
      </c>
      <c r="BT53" s="17">
        <v>80</v>
      </c>
      <c r="BU53" s="17">
        <v>87</v>
      </c>
      <c r="BV53" s="17">
        <v>77</v>
      </c>
      <c r="BW53" s="91" t="str">
        <f t="shared" si="12"/>
        <v>Incomplete</v>
      </c>
      <c r="BX53" s="91" t="str">
        <f>_xlfn.XLOOKUP(BW53,'Normative data'!$V$3:$V$6,'Normative data'!$W$3:$W$6,"Not Found",-1)</f>
        <v>Very low risk</v>
      </c>
      <c r="BY53" s="91" t="str">
        <f t="shared" si="13"/>
        <v>Incomplete</v>
      </c>
      <c r="BZ53" s="91" t="str">
        <f>_xlfn.XLOOKUP(BY53,'Normative data'!$V$3:$V$6,'Normative data'!$W$3:$W$6,"Not Found",-1)</f>
        <v>Very low risk</v>
      </c>
      <c r="CA53" s="17">
        <v>28</v>
      </c>
      <c r="CC53" s="20"/>
      <c r="CE53" s="17">
        <v>6</v>
      </c>
      <c r="CG53" s="20"/>
      <c r="CH53" s="20" t="str">
        <f>_xlfn.XLOOKUP(CG53, 'Normative data'!$S$9:$S$15,'Normative data'!$T$9:$T$15, "Not Found", -1)</f>
        <v>not completed</v>
      </c>
      <c r="CI53" s="20"/>
      <c r="CJ53" s="20" t="str">
        <f>_xlfn.XLOOKUP(CI53, 'Normative data'!$S$9:$S$15, 'Normative data'!$T$9:$T$15, "Not Found", -1)</f>
        <v>not completed</v>
      </c>
      <c r="CK53" s="17">
        <v>2.33</v>
      </c>
      <c r="CL53" s="17">
        <v>4.29</v>
      </c>
      <c r="CN53" s="17">
        <v>7.37</v>
      </c>
      <c r="CO53" s="17">
        <v>6.78</v>
      </c>
      <c r="CR53" s="20" t="str" cm="1">
        <f t="array" ref="CR53">IF(OR(ISBLANK(E53),ISBLANK(CQ53)),"Incomplete",_xlfn.XLOOKUP(CQ53,_xlfn.XLOOKUP(E53,'Normative data'!$Y$3:$Y$6,'Normative data'!$Z$3:$AG$6,,-1),'Normative data'!$Z$2:$AG$2,"Not Found",-1))</f>
        <v>Incomplete</v>
      </c>
      <c r="CS53" s="20"/>
      <c r="CT53" s="20"/>
      <c r="CU53" s="20" t="str" cm="1">
        <f t="array" ref="CU53">_xlfn.XLOOKUP(CS53&amp;CT53,(VLOOKUP!$A$3:$A$250)&amp;(VLOOKUP!$B$3:$B$250),VLOOKUP!$C$3:$C$250,"Incomplete",-1)</f>
        <v>Incomplete</v>
      </c>
      <c r="CV53" s="20" t="str" cm="1">
        <f t="array" ref="CV53">_xlfn.XLOOKUP(CU53, _xlfn.XLOOKUP(E53, 'Normative data'!$Y$11:$Y$14, 'Normative data'!$Z$11:$AG$14, ,-1), 'Normative data'!$Z$10:$AG$10, "Not Found", -1)</f>
        <v>Excellent</v>
      </c>
      <c r="CW53" s="20" t="str" cm="1">
        <f t="array" ref="CW53">IF(OR(ISBLANK(CS53),ISBLANK(CT53)),"Incomplete",_xlfn.XLOOKUP(CS53&amp;CT53,VLOOKUP!$A$4:$A$250&amp;VLOOKUP!$B$4:$B$250,VLOOKUP!$D$4:$D$250,"0"))</f>
        <v>Incomplete</v>
      </c>
    </row>
    <row r="54" spans="1:101">
      <c r="A54" s="17" t="s">
        <v>221</v>
      </c>
      <c r="B54" s="17" t="s">
        <v>216</v>
      </c>
      <c r="C54" s="17" t="s">
        <v>86</v>
      </c>
      <c r="D54" s="26">
        <v>40252</v>
      </c>
      <c r="E54" s="17">
        <v>16.100000000000001</v>
      </c>
      <c r="F54" s="20" t="s">
        <v>162</v>
      </c>
      <c r="G54" s="17">
        <v>2026</v>
      </c>
      <c r="I54" s="20">
        <v>2</v>
      </c>
      <c r="J54" s="20"/>
      <c r="K54" s="20"/>
      <c r="L54" s="20"/>
      <c r="S54" s="20">
        <v>85.2</v>
      </c>
      <c r="T54" s="20">
        <v>165.1</v>
      </c>
      <c r="U54" s="17">
        <v>51.8</v>
      </c>
      <c r="V54" s="17">
        <v>26.5</v>
      </c>
      <c r="W54" s="17">
        <v>15.6</v>
      </c>
      <c r="X54" s="17">
        <v>36.200000000000003</v>
      </c>
      <c r="Y54" s="17">
        <v>19.399999999999999</v>
      </c>
      <c r="Z54" s="17">
        <v>19</v>
      </c>
      <c r="AA54" s="17">
        <v>30.1</v>
      </c>
      <c r="AB54" s="17">
        <v>5.77</v>
      </c>
      <c r="AC54" s="17">
        <v>96.4</v>
      </c>
      <c r="AD54" s="17">
        <v>5.99</v>
      </c>
      <c r="AE54" s="17">
        <v>100</v>
      </c>
      <c r="AF54" s="17">
        <v>2.6</v>
      </c>
      <c r="AG54" s="17">
        <v>102.7</v>
      </c>
      <c r="AH54" s="17">
        <v>2.6</v>
      </c>
      <c r="AI54" s="17">
        <v>104</v>
      </c>
      <c r="AJ54" s="17">
        <v>460.1</v>
      </c>
      <c r="AK54" s="17">
        <v>371.7</v>
      </c>
      <c r="AL54" s="17">
        <v>365.3</v>
      </c>
      <c r="AM54" s="17">
        <v>333.9</v>
      </c>
      <c r="AN54" s="17">
        <v>83</v>
      </c>
      <c r="AO54" s="17">
        <v>0.86</v>
      </c>
      <c r="AP54" s="17">
        <v>5.5</v>
      </c>
      <c r="AQ54" s="20"/>
      <c r="AR54" s="20"/>
      <c r="AS54" s="20"/>
      <c r="AT54" s="20"/>
      <c r="AU54" s="20"/>
      <c r="AV54" s="20"/>
      <c r="AW54" s="20"/>
      <c r="AX54" s="20"/>
      <c r="AY54" s="41" t="str">
        <f t="shared" si="14"/>
        <v>Incomplete</v>
      </c>
      <c r="BA54" s="20" t="str">
        <f t="shared" si="15"/>
        <v>Incomplete</v>
      </c>
      <c r="BC54" s="20" t="str">
        <f t="shared" si="16"/>
        <v>Incomplete</v>
      </c>
      <c r="BE54" s="20" t="str">
        <f t="shared" si="17"/>
        <v>Incomplete</v>
      </c>
      <c r="BH54" s="20"/>
      <c r="BI54" s="20" t="str">
        <f t="shared" si="18"/>
        <v>Incomplete</v>
      </c>
      <c r="BJ54" s="20"/>
      <c r="BK54" s="17">
        <v>11</v>
      </c>
      <c r="BL54" s="20"/>
      <c r="BM54" s="17">
        <v>8.5</v>
      </c>
      <c r="BN54" s="20"/>
      <c r="BW54" s="91">
        <f t="shared" si="12"/>
        <v>0</v>
      </c>
      <c r="BX54" s="91" t="str">
        <f>_xlfn.XLOOKUP(BW54,'Normative data'!$V$3:$V$6,'Normative data'!$W$3:$W$6,"Not Found",-1)</f>
        <v>Not completed</v>
      </c>
      <c r="BY54" s="91">
        <f t="shared" si="13"/>
        <v>0</v>
      </c>
      <c r="BZ54" s="91" t="str">
        <f>_xlfn.XLOOKUP(BY54,'Normative data'!$V$3:$V$6,'Normative data'!$W$3:$W$6,"Not Found",-1)</f>
        <v>Not completed</v>
      </c>
      <c r="CG54" s="20"/>
      <c r="CH54" s="20" t="str">
        <f>_xlfn.XLOOKUP(CG54, 'Normative data'!$S$9:$S$15,'Normative data'!$T$9:$T$15, "Not Found", -1)</f>
        <v>not completed</v>
      </c>
      <c r="CI54" s="20"/>
      <c r="CJ54" s="20" t="str">
        <f>_xlfn.XLOOKUP(CI54, 'Normative data'!$S$9:$S$15, 'Normative data'!$T$9:$T$15, "Not Found", -1)</f>
        <v>not completed</v>
      </c>
      <c r="CK54" s="21"/>
      <c r="CL54" s="21"/>
      <c r="CM54" s="21"/>
      <c r="CN54" s="21"/>
      <c r="CO54" s="21"/>
      <c r="CR54" s="20" t="str" cm="1">
        <f t="array" ref="CR54">IF(OR(ISBLANK(E54),ISBLANK(CQ54)),"Incomplete",_xlfn.XLOOKUP(CQ54,_xlfn.XLOOKUP(E54,'Normative data'!$Y$3:$Y$6,'Normative data'!$Z$3:$AG$6,,-1),'Normative data'!$Z$2:$AG$2,"Not Found",-1))</f>
        <v>Incomplete</v>
      </c>
      <c r="CS54" s="20"/>
      <c r="CT54" s="20"/>
      <c r="CU54" s="20" t="str" cm="1">
        <f t="array" ref="CU54">_xlfn.XLOOKUP(CS54&amp;CT54,(VLOOKUP!$A$3:$A$250)&amp;(VLOOKUP!$B$3:$B$250),VLOOKUP!$C$3:$C$250,"Incomplete",-1)</f>
        <v>Incomplete</v>
      </c>
      <c r="CV54" s="20" t="str" cm="1">
        <f t="array" ref="CV54">_xlfn.XLOOKUP(CU54, _xlfn.XLOOKUP(E54, 'Normative data'!$Y$11:$Y$14, 'Normative data'!$Z$11:$AG$14, ,-1), 'Normative data'!$Z$10:$AG$10, "Not Found", -1)</f>
        <v>Excellent</v>
      </c>
      <c r="CW54" s="20" t="str" cm="1">
        <f t="array" ref="CW54">IF(OR(ISBLANK(CS54),ISBLANK(CT54)),"Incomplete",_xlfn.XLOOKUP(CS54&amp;CT54,VLOOKUP!$A$4:$A$250&amp;VLOOKUP!$B$4:$B$250,VLOOKUP!$D$4:$D$250,"0"))</f>
        <v>Incomplete</v>
      </c>
    </row>
    <row r="55" spans="1:101">
      <c r="A55" s="17" t="s">
        <v>222</v>
      </c>
      <c r="B55" s="17" t="s">
        <v>216</v>
      </c>
      <c r="C55" s="17" t="s">
        <v>86</v>
      </c>
      <c r="D55" s="26">
        <v>40970</v>
      </c>
      <c r="E55" s="17">
        <v>14.2</v>
      </c>
      <c r="F55" s="20" t="s">
        <v>107</v>
      </c>
      <c r="G55" s="17">
        <v>2026</v>
      </c>
      <c r="I55" s="20">
        <v>2</v>
      </c>
      <c r="J55" s="20" t="s">
        <v>88</v>
      </c>
      <c r="K55" s="20" t="s">
        <v>158</v>
      </c>
      <c r="L55" s="20"/>
      <c r="S55" s="20">
        <v>86.6</v>
      </c>
      <c r="T55" s="20">
        <v>166.4</v>
      </c>
      <c r="U55" s="17">
        <v>58.3</v>
      </c>
      <c r="V55" s="17">
        <v>33.299999999999997</v>
      </c>
      <c r="W55" s="17">
        <v>12.7</v>
      </c>
      <c r="X55" s="17">
        <v>45.6</v>
      </c>
      <c r="Y55" s="17">
        <v>25</v>
      </c>
      <c r="Z55" s="17">
        <v>21.1</v>
      </c>
      <c r="AA55" s="17">
        <v>21.9</v>
      </c>
      <c r="AB55" s="17">
        <v>6.91</v>
      </c>
      <c r="AC55" s="17">
        <v>102.5</v>
      </c>
      <c r="AD55" s="17">
        <v>6.87</v>
      </c>
      <c r="AE55" s="17">
        <v>101.9</v>
      </c>
      <c r="AF55" s="17">
        <v>2</v>
      </c>
      <c r="AG55" s="17">
        <v>80.099999999999994</v>
      </c>
      <c r="AH55" s="17">
        <v>2</v>
      </c>
      <c r="AI55" s="17">
        <v>79.599999999999994</v>
      </c>
      <c r="AJ55" s="17">
        <v>297.10000000000002</v>
      </c>
      <c r="AK55" s="17">
        <v>299.39999999999998</v>
      </c>
      <c r="AL55" s="17">
        <v>263.3</v>
      </c>
      <c r="AM55" s="17">
        <v>266.5</v>
      </c>
      <c r="AN55" s="17">
        <v>104</v>
      </c>
      <c r="AO55" s="17">
        <v>0.83</v>
      </c>
      <c r="AP55" s="17">
        <v>6.5</v>
      </c>
      <c r="AQ55" s="17">
        <v>27.2</v>
      </c>
      <c r="AR55" s="17">
        <v>0.47099999999999997</v>
      </c>
      <c r="AS55" s="17">
        <v>27.1</v>
      </c>
      <c r="AT55" s="17">
        <v>0.47</v>
      </c>
      <c r="AU55" s="17">
        <v>12.6</v>
      </c>
      <c r="AV55" s="17">
        <v>0.32</v>
      </c>
      <c r="AW55" s="17">
        <v>15.7</v>
      </c>
      <c r="AX55" s="17">
        <v>0.35799999999999998</v>
      </c>
      <c r="AY55" s="41">
        <f t="shared" si="14"/>
        <v>2237.0299999999997</v>
      </c>
      <c r="BA55" s="20">
        <f t="shared" si="15"/>
        <v>2230.96</v>
      </c>
      <c r="BC55" s="20">
        <f t="shared" si="16"/>
        <v>1350.81</v>
      </c>
      <c r="BE55" s="20">
        <f t="shared" si="17"/>
        <v>1538.9799999999996</v>
      </c>
      <c r="BG55" s="17">
        <v>16</v>
      </c>
      <c r="BH55" s="17">
        <v>45.8</v>
      </c>
      <c r="BI55" s="20">
        <f t="shared" si="18"/>
        <v>29.799999999999997</v>
      </c>
      <c r="BJ55" s="20"/>
      <c r="BK55" s="17">
        <v>7.5</v>
      </c>
      <c r="BL55" s="20"/>
      <c r="BM55" s="17">
        <v>6.7</v>
      </c>
      <c r="BN55" s="20"/>
      <c r="BQ55" s="17">
        <v>79</v>
      </c>
      <c r="BR55" s="17">
        <v>85</v>
      </c>
      <c r="BS55" s="17">
        <v>80</v>
      </c>
      <c r="BT55" s="17">
        <v>75</v>
      </c>
      <c r="BU55" s="17">
        <v>83</v>
      </c>
      <c r="BV55" s="17">
        <v>78</v>
      </c>
      <c r="BW55" s="91">
        <f t="shared" si="12"/>
        <v>101.92147034252297</v>
      </c>
      <c r="BX55" s="91" t="str">
        <f>_xlfn.XLOOKUP(BW55,'Normative data'!$V$3:$V$6,'Normative data'!$W$3:$W$6,"Not Found",-1)</f>
        <v>Low risk</v>
      </c>
      <c r="BY55" s="91">
        <f t="shared" si="13"/>
        <v>98.579782790309096</v>
      </c>
      <c r="BZ55" s="91" t="str">
        <f>_xlfn.XLOOKUP(BY55,'Normative data'!$V$3:$V$6,'Normative data'!$W$3:$W$6,"Not Found",-1)</f>
        <v>Low risk</v>
      </c>
      <c r="CA55" s="17">
        <v>41</v>
      </c>
      <c r="CC55" s="20"/>
      <c r="CE55" s="17">
        <v>26</v>
      </c>
      <c r="CG55" s="17">
        <v>18.28</v>
      </c>
      <c r="CH55" s="20" t="str">
        <f>_xlfn.XLOOKUP(CG55, 'Normative data'!$S$9:$S$15,'Normative data'!$T$9:$T$15, "Not Found", -1)</f>
        <v>Average</v>
      </c>
      <c r="CI55" s="17">
        <v>18.54</v>
      </c>
      <c r="CJ55" s="20" t="str">
        <f>_xlfn.XLOOKUP(CI55, 'Normative data'!$S$9:$S$15, 'Normative data'!$T$9:$T$15, "Not Found", -1)</f>
        <v>Average</v>
      </c>
      <c r="CK55" s="17">
        <v>2.42</v>
      </c>
      <c r="CL55" s="17">
        <v>4.13</v>
      </c>
      <c r="CN55" s="17">
        <v>7.19</v>
      </c>
      <c r="CO55" s="17">
        <v>6.95</v>
      </c>
      <c r="CQ55" s="17">
        <v>5.5</v>
      </c>
      <c r="CR55" s="20" t="str" cm="1">
        <f t="array" ref="CR55">IF(OR(ISBLANK(E55),ISBLANK(CQ55)),"Incomplete",_xlfn.XLOOKUP(CQ55,_xlfn.XLOOKUP(E55,'Normative data'!$Y$3:$Y$6,'Normative data'!$Z$3:$AG$6,,-1),'Normative data'!$Z$2:$AG$2,"Not Found",-1))</f>
        <v>Fair</v>
      </c>
      <c r="CS55" s="20">
        <v>5</v>
      </c>
      <c r="CT55" s="20">
        <v>5</v>
      </c>
      <c r="CU55" s="20" cm="1">
        <f t="array" ref="CU55">_xlfn.XLOOKUP(CS55&amp;CT55,(VLOOKUP!$A$3:$A$250)&amp;(VLOOKUP!$B$3:$B$250),VLOOKUP!$C$3:$C$250,"Incomplete",-1)</f>
        <v>740</v>
      </c>
      <c r="CV55" s="20" t="str" cm="1">
        <f t="array" ref="CV55">_xlfn.XLOOKUP(CU55, _xlfn.XLOOKUP(E55, 'Normative data'!$Y$11:$Y$14, 'Normative data'!$Z$11:$AG$14, ,-1), 'Normative data'!$Z$10:$AG$10, "Not Found", -1)</f>
        <v xml:space="preserve">Fair </v>
      </c>
      <c r="CW55" s="20" cm="1">
        <f t="array" ref="CW55">IF(OR(ISBLANK(CS55),ISBLANK(CT55)),"Incomplete",_xlfn.XLOOKUP(CS55&amp;CT55,VLOOKUP!$A$4:$A$250&amp;VLOOKUP!$B$4:$B$250,VLOOKUP!$D$4:$D$250,"0"))</f>
        <v>31</v>
      </c>
    </row>
    <row r="56" spans="1:101">
      <c r="A56" s="17" t="s">
        <v>223</v>
      </c>
      <c r="B56" s="17" t="s">
        <v>216</v>
      </c>
      <c r="C56" s="17" t="s">
        <v>86</v>
      </c>
      <c r="D56" s="26">
        <v>40141</v>
      </c>
      <c r="E56" s="17">
        <v>16.399999999999999</v>
      </c>
      <c r="F56" s="20" t="s">
        <v>110</v>
      </c>
      <c r="G56" s="17">
        <v>2026</v>
      </c>
      <c r="I56" s="20">
        <v>2</v>
      </c>
      <c r="J56" s="20" t="s">
        <v>122</v>
      </c>
      <c r="K56" s="20" t="s">
        <v>101</v>
      </c>
      <c r="L56" s="20" t="s">
        <v>224</v>
      </c>
      <c r="S56" s="20">
        <v>84.7</v>
      </c>
      <c r="T56" s="20">
        <v>164.2</v>
      </c>
      <c r="U56" s="17">
        <v>54.8</v>
      </c>
      <c r="V56" s="17">
        <v>32.1</v>
      </c>
      <c r="W56" s="17">
        <v>10.9</v>
      </c>
      <c r="X56" s="17">
        <v>43.9</v>
      </c>
      <c r="Y56" s="17">
        <v>24.3</v>
      </c>
      <c r="Z56" s="17">
        <v>20.3</v>
      </c>
      <c r="AA56" s="17">
        <v>19.8</v>
      </c>
      <c r="AB56" s="17">
        <v>6.37</v>
      </c>
      <c r="AC56" s="17">
        <v>100.6</v>
      </c>
      <c r="AD56" s="17">
        <v>6.35</v>
      </c>
      <c r="AE56" s="17">
        <v>100.2</v>
      </c>
      <c r="AF56" s="17">
        <v>1.7</v>
      </c>
      <c r="AG56" s="17">
        <v>67.400000000000006</v>
      </c>
      <c r="AH56" s="17">
        <v>1.7</v>
      </c>
      <c r="AI56" s="17">
        <v>67.3</v>
      </c>
      <c r="AJ56" s="17">
        <v>361</v>
      </c>
      <c r="AK56" s="17">
        <v>364.4</v>
      </c>
      <c r="AL56" s="17">
        <v>315</v>
      </c>
      <c r="AM56" s="17">
        <v>318.39999999999998</v>
      </c>
      <c r="AN56" s="17">
        <v>98</v>
      </c>
      <c r="AO56" s="17">
        <v>0.87</v>
      </c>
      <c r="AP56" s="17">
        <v>6.4</v>
      </c>
      <c r="AQ56" s="17">
        <v>22.2</v>
      </c>
      <c r="AR56" s="17">
        <v>0.42599999999999999</v>
      </c>
      <c r="AS56" s="17">
        <v>29.9</v>
      </c>
      <c r="AT56" s="17">
        <v>0.49399999999999999</v>
      </c>
      <c r="AU56" s="17">
        <v>13.6</v>
      </c>
      <c r="AV56" s="17">
        <v>0.33300000000000002</v>
      </c>
      <c r="AW56" s="17">
        <v>14.9</v>
      </c>
      <c r="AX56" s="17">
        <v>0.34899999999999998</v>
      </c>
      <c r="AY56" s="41">
        <f t="shared" si="14"/>
        <v>1774.9799999999996</v>
      </c>
      <c r="BA56" s="20">
        <f t="shared" si="15"/>
        <v>2242.37</v>
      </c>
      <c r="BC56" s="20">
        <f t="shared" si="16"/>
        <v>1252.9599999999996</v>
      </c>
      <c r="BE56" s="20">
        <f t="shared" si="17"/>
        <v>1331.87</v>
      </c>
      <c r="BG56" s="17">
        <v>8.9</v>
      </c>
      <c r="BH56" s="17">
        <v>35.299999999999997</v>
      </c>
      <c r="BI56" s="20">
        <f t="shared" si="18"/>
        <v>26.4</v>
      </c>
      <c r="BJ56" s="20"/>
      <c r="BK56" s="17">
        <v>3.9</v>
      </c>
      <c r="BL56" s="20"/>
      <c r="BM56" s="17">
        <v>7</v>
      </c>
      <c r="BN56" s="20"/>
      <c r="BO56" s="17">
        <v>43</v>
      </c>
      <c r="BP56" s="17">
        <v>45</v>
      </c>
      <c r="BQ56" s="17">
        <v>78</v>
      </c>
      <c r="BR56" s="17">
        <v>90</v>
      </c>
      <c r="BS56" s="17">
        <v>78</v>
      </c>
      <c r="BT56" s="17">
        <v>78</v>
      </c>
      <c r="BU56" s="17">
        <v>82</v>
      </c>
      <c r="BV56" s="17">
        <v>79</v>
      </c>
      <c r="BW56" s="91">
        <f t="shared" si="12"/>
        <v>103.14465408805033</v>
      </c>
      <c r="BX56" s="91" t="str">
        <f>_xlfn.XLOOKUP(BW56,'Normative data'!$V$3:$V$6,'Normative data'!$W$3:$W$6,"Not Found",-1)</f>
        <v>Low risk</v>
      </c>
      <c r="BY56" s="91">
        <f t="shared" si="13"/>
        <v>100.20964360587004</v>
      </c>
      <c r="BZ56" s="91" t="str">
        <f>_xlfn.XLOOKUP(BY56,'Normative data'!$V$3:$V$6,'Normative data'!$W$3:$W$6,"Not Found",-1)</f>
        <v>Low risk</v>
      </c>
      <c r="CA56" s="17">
        <v>32</v>
      </c>
      <c r="CC56" s="20"/>
      <c r="CE56" s="17">
        <v>15</v>
      </c>
      <c r="CG56" s="17">
        <v>18.54</v>
      </c>
      <c r="CH56" s="20" t="str">
        <f>_xlfn.XLOOKUP(CG56, 'Normative data'!$S$9:$S$15,'Normative data'!$T$9:$T$15, "Not Found", -1)</f>
        <v>Average</v>
      </c>
      <c r="CI56" s="17">
        <v>18.309999999999999</v>
      </c>
      <c r="CJ56" s="20" t="str">
        <f>_xlfn.XLOOKUP(CI56, 'Normative data'!$S$9:$S$15, 'Normative data'!$T$9:$T$15, "Not Found", -1)</f>
        <v>Average</v>
      </c>
      <c r="CK56" s="21"/>
      <c r="CL56" s="21"/>
      <c r="CM56" s="21"/>
      <c r="CN56" s="21"/>
      <c r="CO56" s="21"/>
      <c r="CQ56" s="17">
        <v>9.1999999999999993</v>
      </c>
      <c r="CR56" s="20" t="str" cm="1">
        <f t="array" ref="CR56">IF(OR(ISBLANK(E56),ISBLANK(CQ56)),"Incomplete",_xlfn.XLOOKUP(CQ56,_xlfn.XLOOKUP(E56,'Normative data'!$Y$3:$Y$6,'Normative data'!$Z$3:$AG$6,,-1),'Normative data'!$Z$2:$AG$2,"Not Found",-1))</f>
        <v>Good</v>
      </c>
      <c r="CS56" s="20">
        <v>9</v>
      </c>
      <c r="CT56" s="20">
        <v>2</v>
      </c>
      <c r="CU56" s="20" cm="1">
        <f t="array" ref="CU56">_xlfn.XLOOKUP(CS56&amp;CT56,(VLOOKUP!$A$3:$A$250)&amp;(VLOOKUP!$B$3:$B$250),VLOOKUP!$C$3:$C$250,"Incomplete",-1)</f>
        <v>1480</v>
      </c>
      <c r="CV56" s="20" t="str" cm="1">
        <f t="array" ref="CV56">_xlfn.XLOOKUP(CU56, _xlfn.XLOOKUP(E56, 'Normative data'!$Y$11:$Y$14, 'Normative data'!$Z$11:$AG$14, ,-1), 'Normative data'!$Z$10:$AG$10, "Not Found", -1)</f>
        <v>Average</v>
      </c>
      <c r="CW56" s="20" cm="1">
        <f t="array" ref="CW56">IF(OR(ISBLANK(CS56),ISBLANK(CT56)),"Incomplete",_xlfn.XLOOKUP(CS56&amp;CT56,VLOOKUP!$A$4:$A$250&amp;VLOOKUP!$B$4:$B$250,VLOOKUP!$D$4:$D$250,"0"))</f>
        <v>44</v>
      </c>
    </row>
    <row r="57" spans="1:101">
      <c r="A57" s="17" t="s">
        <v>225</v>
      </c>
      <c r="B57" s="17" t="s">
        <v>216</v>
      </c>
      <c r="C57" s="17" t="s">
        <v>86</v>
      </c>
      <c r="D57" s="26">
        <v>39490</v>
      </c>
      <c r="E57" s="17">
        <v>18.3</v>
      </c>
      <c r="F57" s="20">
        <v>12</v>
      </c>
      <c r="G57" s="17">
        <v>2026</v>
      </c>
      <c r="I57" s="20">
        <v>2</v>
      </c>
      <c r="J57" s="20" t="s">
        <v>100</v>
      </c>
      <c r="K57" s="20" t="s">
        <v>95</v>
      </c>
      <c r="L57" s="20"/>
      <c r="S57" s="20">
        <v>90</v>
      </c>
      <c r="T57" s="20">
        <v>172.8</v>
      </c>
      <c r="U57" s="17">
        <v>68</v>
      </c>
      <c r="V57" s="17">
        <v>38.299999999999997</v>
      </c>
      <c r="W57" s="17">
        <v>15.5</v>
      </c>
      <c r="X57" s="17">
        <v>52.5</v>
      </c>
      <c r="Y57" s="17">
        <v>29.3</v>
      </c>
      <c r="Z57" s="17">
        <v>22.8</v>
      </c>
      <c r="AA57" s="17">
        <v>22.8</v>
      </c>
      <c r="AB57" s="17">
        <v>8.2799999999999994</v>
      </c>
      <c r="AC57" s="17">
        <v>111.3</v>
      </c>
      <c r="AD57" s="17">
        <v>8.19</v>
      </c>
      <c r="AE57" s="17">
        <v>110.2</v>
      </c>
      <c r="AF57" s="17">
        <v>2.4</v>
      </c>
      <c r="AG57" s="17">
        <v>90.1</v>
      </c>
      <c r="AH57" s="17">
        <v>2.4</v>
      </c>
      <c r="AI57" s="17">
        <v>89.6</v>
      </c>
      <c r="AJ57" s="17">
        <v>291.8</v>
      </c>
      <c r="AK57" s="17">
        <v>297.8</v>
      </c>
      <c r="AL57" s="17">
        <v>255.5</v>
      </c>
      <c r="AM57" s="17">
        <v>260.89999999999998</v>
      </c>
      <c r="AN57" s="17">
        <v>84</v>
      </c>
      <c r="AQ57" s="17">
        <v>28.5</v>
      </c>
      <c r="AR57" s="17">
        <v>0.48199999999999998</v>
      </c>
      <c r="AS57" s="17">
        <v>26.8</v>
      </c>
      <c r="AT57" s="17">
        <v>0.46800000000000003</v>
      </c>
      <c r="AU57" s="17">
        <v>13</v>
      </c>
      <c r="AV57" s="17">
        <v>0.32600000000000001</v>
      </c>
      <c r="AW57" s="17">
        <v>17.2</v>
      </c>
      <c r="AX57" s="17">
        <v>0.375</v>
      </c>
      <c r="AY57" s="41">
        <f t="shared" si="14"/>
        <v>2755.3499999999995</v>
      </c>
      <c r="BA57" s="20">
        <f t="shared" si="15"/>
        <v>2652.16</v>
      </c>
      <c r="BC57" s="20">
        <f t="shared" si="16"/>
        <v>1814.4999999999995</v>
      </c>
      <c r="BE57" s="20">
        <f t="shared" si="17"/>
        <v>2069.4399999999996</v>
      </c>
      <c r="BG57" s="17">
        <v>12</v>
      </c>
      <c r="BH57" s="17">
        <v>45</v>
      </c>
      <c r="BI57" s="20">
        <f t="shared" si="18"/>
        <v>33</v>
      </c>
      <c r="BJ57" s="20"/>
      <c r="BK57" s="17">
        <v>8.5</v>
      </c>
      <c r="BL57" s="20"/>
      <c r="BM57" s="17">
        <v>9.5</v>
      </c>
      <c r="BN57" s="20"/>
      <c r="BO57" s="17">
        <v>53.5</v>
      </c>
      <c r="BP57" s="17">
        <v>54.5</v>
      </c>
      <c r="BQ57" s="17">
        <v>87</v>
      </c>
      <c r="BR57" s="17">
        <v>95</v>
      </c>
      <c r="BS57" s="17">
        <v>99</v>
      </c>
      <c r="BT57" s="17">
        <v>81</v>
      </c>
      <c r="BU57" s="17">
        <v>100</v>
      </c>
      <c r="BV57" s="17">
        <v>89</v>
      </c>
      <c r="BW57" s="91">
        <f t="shared" si="12"/>
        <v>113.12399355877616</v>
      </c>
      <c r="BX57" s="91" t="str">
        <f>_xlfn.XLOOKUP(BW57,'Normative data'!$V$3:$V$6,'Normative data'!$W$3:$W$6,"Not Found",-1)</f>
        <v>Low risk</v>
      </c>
      <c r="BY57" s="91">
        <f t="shared" si="13"/>
        <v>108.69565217391303</v>
      </c>
      <c r="BZ57" s="91" t="str">
        <f>_xlfn.XLOOKUP(BY57,'Normative data'!$V$3:$V$6,'Normative data'!$W$3:$W$6,"Not Found",-1)</f>
        <v>Low risk</v>
      </c>
      <c r="CA57" s="17">
        <v>33</v>
      </c>
      <c r="CC57" s="20"/>
      <c r="CE57" s="17">
        <v>21</v>
      </c>
      <c r="CG57" s="17">
        <v>18.25</v>
      </c>
      <c r="CH57" s="20" t="str">
        <f>_xlfn.XLOOKUP(CG57, 'Normative data'!$S$9:$S$15,'Normative data'!$T$9:$T$15, "Not Found", -1)</f>
        <v>Average</v>
      </c>
      <c r="CI57" s="17">
        <v>17.64</v>
      </c>
      <c r="CJ57" s="20" t="str">
        <f>_xlfn.XLOOKUP(CI57, 'Normative data'!$S$9:$S$15, 'Normative data'!$T$9:$T$15, "Not Found", -1)</f>
        <v>Above Average</v>
      </c>
      <c r="CK57" s="21"/>
      <c r="CL57" s="21"/>
      <c r="CM57" s="21"/>
      <c r="CN57" s="21"/>
      <c r="CO57" s="21"/>
      <c r="CR57" s="20" t="str" cm="1">
        <f t="array" ref="CR57">IF(OR(ISBLANK(E57),ISBLANK(CQ57)),"Incomplete",_xlfn.XLOOKUP(CQ57,_xlfn.XLOOKUP(E57,'Normative data'!$Y$3:$Y$6,'Normative data'!$Z$3:$AG$6,,-1),'Normative data'!$Z$2:$AG$2,"Not Found",-1))</f>
        <v>Incomplete</v>
      </c>
      <c r="CS57" s="20"/>
      <c r="CT57" s="20"/>
      <c r="CU57" s="20" t="str" cm="1">
        <f t="array" ref="CU57">_xlfn.XLOOKUP(CS57&amp;CT57,(VLOOKUP!$A$3:$A$250)&amp;(VLOOKUP!$B$3:$B$250),VLOOKUP!$C$3:$C$250,"Incomplete",-1)</f>
        <v>Incomplete</v>
      </c>
      <c r="CV57" s="20" t="str" cm="1">
        <f t="array" ref="CV57">_xlfn.XLOOKUP(CU57, _xlfn.XLOOKUP(E57, 'Normative data'!$Y$11:$Y$14, 'Normative data'!$Z$11:$AG$14, ,-1), 'Normative data'!$Z$10:$AG$10, "Not Found", -1)</f>
        <v>Excellent</v>
      </c>
      <c r="CW57" s="20" t="str" cm="1">
        <f t="array" ref="CW57">IF(OR(ISBLANK(CS57),ISBLANK(CT57)),"Incomplete",_xlfn.XLOOKUP(CS57&amp;CT57,VLOOKUP!$A$4:$A$250&amp;VLOOKUP!$B$4:$B$250,VLOOKUP!$D$4:$D$250,"0"))</f>
        <v>Incomplete</v>
      </c>
    </row>
    <row r="58" spans="1:101">
      <c r="A58" s="17" t="s">
        <v>226</v>
      </c>
      <c r="B58" s="17" t="s">
        <v>227</v>
      </c>
      <c r="C58" s="17" t="s">
        <v>86</v>
      </c>
      <c r="D58" s="26"/>
      <c r="F58" s="20" t="s">
        <v>192</v>
      </c>
      <c r="G58" s="17">
        <v>2026</v>
      </c>
      <c r="I58" s="20">
        <v>2</v>
      </c>
      <c r="J58" s="20" t="s">
        <v>122</v>
      </c>
      <c r="K58" s="20" t="s">
        <v>228</v>
      </c>
      <c r="L58" s="20"/>
      <c r="S58" s="20"/>
      <c r="T58" s="20"/>
      <c r="AQ58" s="20"/>
      <c r="AR58" s="20"/>
      <c r="AS58" s="20"/>
      <c r="AT58" s="20"/>
      <c r="AU58" s="20"/>
      <c r="AV58" s="20"/>
      <c r="AW58" s="20"/>
      <c r="AX58" s="20"/>
      <c r="AY58" s="41" t="str">
        <f t="shared" si="14"/>
        <v>Incomplete</v>
      </c>
      <c r="BA58" s="20" t="str">
        <f t="shared" si="15"/>
        <v>Incomplete</v>
      </c>
      <c r="BC58" s="20" t="str">
        <f t="shared" si="16"/>
        <v>Incomplete</v>
      </c>
      <c r="BE58" s="20" t="str">
        <f t="shared" si="17"/>
        <v>Incomplete</v>
      </c>
      <c r="BH58" s="20"/>
      <c r="BI58" s="20" t="str">
        <f t="shared" si="18"/>
        <v>Incomplete</v>
      </c>
      <c r="BJ58" s="20"/>
      <c r="BK58" s="17">
        <v>2.5</v>
      </c>
      <c r="BL58" s="20"/>
      <c r="BM58" s="17">
        <v>3.5</v>
      </c>
      <c r="BN58" s="20"/>
      <c r="BO58" s="17">
        <v>52</v>
      </c>
      <c r="BP58" s="17">
        <v>52</v>
      </c>
      <c r="BQ58" s="17">
        <v>55.5</v>
      </c>
      <c r="BR58" s="17">
        <v>76</v>
      </c>
      <c r="BS58" s="17">
        <v>71</v>
      </c>
      <c r="BT58" s="17">
        <v>60.5</v>
      </c>
      <c r="BU58" s="17">
        <v>63</v>
      </c>
      <c r="BV58" s="17">
        <v>72</v>
      </c>
      <c r="BW58" s="91" t="str">
        <f t="shared" si="12"/>
        <v>Incomplete</v>
      </c>
      <c r="BX58" s="91" t="str">
        <f>_xlfn.XLOOKUP(BW58,'Normative data'!$V$3:$V$6,'Normative data'!$W$3:$W$6,"Not Found",-1)</f>
        <v>Very low risk</v>
      </c>
      <c r="BY58" s="91" t="str">
        <f t="shared" si="13"/>
        <v>Incomplete</v>
      </c>
      <c r="BZ58" s="91" t="str">
        <f>_xlfn.XLOOKUP(BY58,'Normative data'!$V$3:$V$6,'Normative data'!$W$3:$W$6,"Not Found",-1)</f>
        <v>Very low risk</v>
      </c>
      <c r="CA58" s="17">
        <v>39</v>
      </c>
      <c r="CC58" s="20"/>
      <c r="CE58" s="17">
        <v>24</v>
      </c>
      <c r="CG58" s="20"/>
      <c r="CH58" s="20" t="str">
        <f>_xlfn.XLOOKUP(CG58, 'Normative data'!$S$9:$S$15,'Normative data'!$T$9:$T$15, "Not Found", -1)</f>
        <v>not completed</v>
      </c>
      <c r="CI58" s="20"/>
      <c r="CJ58" s="20" t="str">
        <f>_xlfn.XLOOKUP(CI58, 'Normative data'!$S$9:$S$15, 'Normative data'!$T$9:$T$15, "Not Found", -1)</f>
        <v>not completed</v>
      </c>
      <c r="CK58" s="21"/>
      <c r="CL58" s="21"/>
      <c r="CM58" s="21"/>
      <c r="CN58" s="21"/>
      <c r="CO58" s="21"/>
      <c r="CR58" s="20" t="str" cm="1">
        <f t="array" ref="CR58">IF(OR(ISBLANK(E58),ISBLANK(CQ58)),"Incomplete",_xlfn.XLOOKUP(CQ58,_xlfn.XLOOKUP(E58,'Normative data'!$Y$3:$Y$6,'Normative data'!$Z$3:$AG$6,,-1),'Normative data'!$Z$2:$AG$2,"Not Found",-1))</f>
        <v>Incomplete</v>
      </c>
      <c r="CS58" s="20"/>
      <c r="CT58" s="20"/>
      <c r="CU58" s="20" t="str" cm="1">
        <f t="array" ref="CU58">_xlfn.XLOOKUP(CS58&amp;CT58,(VLOOKUP!$A$3:$A$250)&amp;(VLOOKUP!$B$3:$B$250),VLOOKUP!$C$3:$C$250,"Incomplete",-1)</f>
        <v>Incomplete</v>
      </c>
      <c r="CV58" s="20" t="str" cm="1">
        <f t="array" ref="CV58">_xlfn.XLOOKUP(CU58, _xlfn.XLOOKUP(E58, 'Normative data'!$Y$11:$Y$14, 'Normative data'!$Z$11:$AG$14, ,-1), 'Normative data'!$Z$10:$AG$10, "Not Found", -1)</f>
        <v>Excellent</v>
      </c>
      <c r="CW58" s="20" t="str" cm="1">
        <f t="array" ref="CW58">IF(OR(ISBLANK(CS58),ISBLANK(CT58)),"Incomplete",_xlfn.XLOOKUP(CS58&amp;CT58,VLOOKUP!$A$4:$A$250&amp;VLOOKUP!$B$4:$B$250,VLOOKUP!$D$4:$D$250,"0"))</f>
        <v>Incomplete</v>
      </c>
    </row>
    <row r="59" spans="1:101">
      <c r="A59" s="17" t="s">
        <v>229</v>
      </c>
      <c r="B59" s="17" t="s">
        <v>227</v>
      </c>
      <c r="C59" s="17" t="s">
        <v>86</v>
      </c>
      <c r="D59" s="26">
        <v>40875</v>
      </c>
      <c r="F59" s="20" t="s">
        <v>87</v>
      </c>
      <c r="G59" s="17">
        <v>2026</v>
      </c>
      <c r="I59" s="20">
        <v>2</v>
      </c>
      <c r="J59" s="20"/>
      <c r="K59" s="20"/>
      <c r="L59" s="20"/>
      <c r="S59" s="20">
        <v>89.3</v>
      </c>
      <c r="T59" s="20">
        <v>171.1</v>
      </c>
      <c r="AQ59" s="17">
        <v>27.2</v>
      </c>
      <c r="AR59" s="17">
        <v>0.47099999999999997</v>
      </c>
      <c r="AS59" s="17">
        <v>29.2</v>
      </c>
      <c r="AT59" s="17">
        <v>0.48799999999999999</v>
      </c>
      <c r="AU59" s="17">
        <v>12.2</v>
      </c>
      <c r="AV59" s="17">
        <v>0.315</v>
      </c>
      <c r="AW59" s="17">
        <v>13.8</v>
      </c>
      <c r="AX59" s="17">
        <v>0.33500000000000002</v>
      </c>
      <c r="AY59" s="41" t="str">
        <f t="shared" si="14"/>
        <v>Incomplete</v>
      </c>
      <c r="BA59" s="20" t="str">
        <f t="shared" si="15"/>
        <v>Incomplete</v>
      </c>
      <c r="BC59" s="20" t="str">
        <f t="shared" si="16"/>
        <v>Incomplete</v>
      </c>
      <c r="BE59" s="20" t="str">
        <f t="shared" si="17"/>
        <v>Incomplete</v>
      </c>
      <c r="BG59" s="17">
        <v>10.5</v>
      </c>
      <c r="BH59" s="17">
        <v>45.5</v>
      </c>
      <c r="BI59" s="20">
        <f t="shared" si="18"/>
        <v>35</v>
      </c>
      <c r="BJ59" s="20"/>
      <c r="BK59" s="17">
        <v>6.5</v>
      </c>
      <c r="BL59" s="20"/>
      <c r="BM59" s="17">
        <v>8</v>
      </c>
      <c r="BN59" s="20"/>
      <c r="BW59" s="91">
        <f t="shared" si="12"/>
        <v>0</v>
      </c>
      <c r="BX59" s="91" t="str">
        <f>_xlfn.XLOOKUP(BW59,'Normative data'!$V$3:$V$6,'Normative data'!$W$3:$W$6,"Not Found",-1)</f>
        <v>Not completed</v>
      </c>
      <c r="BY59" s="91">
        <f t="shared" si="13"/>
        <v>0</v>
      </c>
      <c r="BZ59" s="91" t="str">
        <f>_xlfn.XLOOKUP(BY59,'Normative data'!$V$3:$V$6,'Normative data'!$W$3:$W$6,"Not Found",-1)</f>
        <v>Not completed</v>
      </c>
      <c r="CA59" s="17">
        <v>38</v>
      </c>
      <c r="CG59" s="17">
        <v>18.46</v>
      </c>
      <c r="CH59" s="20" t="str">
        <f>_xlfn.XLOOKUP(CG59, 'Normative data'!$S$9:$S$15,'Normative data'!$T$9:$T$15, "Not Found", -1)</f>
        <v>Average</v>
      </c>
      <c r="CI59" s="17">
        <v>17.989999999999998</v>
      </c>
      <c r="CJ59" s="20" t="str">
        <f>_xlfn.XLOOKUP(CI59, 'Normative data'!$S$9:$S$15, 'Normative data'!$T$9:$T$15, "Not Found", -1)</f>
        <v>Above Average</v>
      </c>
      <c r="CK59" s="17">
        <v>1.98</v>
      </c>
      <c r="CL59" s="17">
        <v>5.05</v>
      </c>
      <c r="CN59" s="17">
        <v>6.14</v>
      </c>
      <c r="CO59" s="17">
        <v>8.14</v>
      </c>
      <c r="CQ59" s="17">
        <v>9.1</v>
      </c>
      <c r="CR59" s="20" t="str" cm="1">
        <f t="array" ref="CR59">IF(OR(ISBLANK(E59),ISBLANK(CQ59)),"Incomplete",_xlfn.XLOOKUP(CQ59,_xlfn.XLOOKUP(E59,'Normative data'!$Y$3:$Y$6,'Normative data'!$Z$3:$AG$6,,-1),'Normative data'!$Z$2:$AG$2,"Not Found",-1))</f>
        <v>Incomplete</v>
      </c>
      <c r="CS59" s="20">
        <v>9</v>
      </c>
      <c r="CT59" s="20">
        <v>1</v>
      </c>
      <c r="CU59" s="20" cm="1">
        <f t="array" ref="CU59">_xlfn.XLOOKUP(CS59&amp;CT59,(VLOOKUP!$A$3:$A$250)&amp;(VLOOKUP!$B$3:$B$250),VLOOKUP!$C$3:$C$250,"Incomplete",-1)</f>
        <v>1460</v>
      </c>
      <c r="CV59" s="20" t="str" cm="1">
        <f t="array" ref="CV59">_xlfn.XLOOKUP(CU59, _xlfn.XLOOKUP(E59, 'Normative data'!$Y$11:$Y$14, 'Normative data'!$Z$11:$AG$14, ,-1), 'Normative data'!$Z$10:$AG$10, "Not Found", -1)</f>
        <v>Average</v>
      </c>
      <c r="CW59" s="20" cm="1">
        <f t="array" ref="CW59">IF(OR(ISBLANK(CS59),ISBLANK(CT59)),"Incomplete",_xlfn.XLOOKUP(CS59&amp;CT59,VLOOKUP!$A$4:$A$250&amp;VLOOKUP!$B$4:$B$250,VLOOKUP!$D$4:$D$250,"0"))</f>
        <v>44</v>
      </c>
    </row>
    <row r="60" spans="1:101">
      <c r="A60" s="17" t="s">
        <v>230</v>
      </c>
      <c r="B60" s="17" t="s">
        <v>231</v>
      </c>
      <c r="C60" s="17" t="s">
        <v>86</v>
      </c>
      <c r="D60" s="26"/>
      <c r="F60" s="20" t="s">
        <v>192</v>
      </c>
      <c r="G60" s="17">
        <v>2026</v>
      </c>
      <c r="I60" s="20">
        <v>2</v>
      </c>
      <c r="J60" s="20"/>
      <c r="K60" s="20"/>
      <c r="L60" s="20"/>
      <c r="S60" s="20">
        <v>88.5</v>
      </c>
      <c r="T60" s="20">
        <v>167</v>
      </c>
      <c r="AQ60" s="20"/>
      <c r="AR60" s="20"/>
      <c r="AS60" s="20"/>
      <c r="AT60" s="20"/>
      <c r="AU60" s="20"/>
      <c r="AV60" s="20"/>
      <c r="AW60" s="20"/>
      <c r="AX60" s="20"/>
      <c r="AY60" s="41" t="str">
        <f t="shared" si="14"/>
        <v>Incomplete</v>
      </c>
      <c r="BA60" s="20" t="str">
        <f t="shared" si="15"/>
        <v>Incomplete</v>
      </c>
      <c r="BC60" s="20" t="str">
        <f t="shared" si="16"/>
        <v>Incomplete</v>
      </c>
      <c r="BE60" s="20" t="str">
        <f t="shared" si="17"/>
        <v>Incomplete</v>
      </c>
      <c r="BG60" s="17">
        <v>8.5</v>
      </c>
      <c r="BH60" s="17">
        <v>30.9</v>
      </c>
      <c r="BI60" s="20">
        <f t="shared" si="18"/>
        <v>22.4</v>
      </c>
      <c r="BJ60" s="20"/>
      <c r="BK60" s="17">
        <v>10</v>
      </c>
      <c r="BL60" s="20"/>
      <c r="BM60" s="17">
        <v>12</v>
      </c>
      <c r="BN60" s="20"/>
      <c r="BO60" s="17">
        <v>46</v>
      </c>
      <c r="BP60" s="17">
        <v>46</v>
      </c>
      <c r="BQ60" s="17">
        <v>74</v>
      </c>
      <c r="BR60" s="17">
        <v>86</v>
      </c>
      <c r="BS60" s="17">
        <v>87</v>
      </c>
      <c r="BT60" s="17">
        <v>72</v>
      </c>
      <c r="BU60" s="17">
        <v>94</v>
      </c>
      <c r="BV60" s="17">
        <v>72</v>
      </c>
      <c r="BW60" s="91">
        <f t="shared" si="12"/>
        <v>104.8832271762208</v>
      </c>
      <c r="BX60" s="91" t="str">
        <f>_xlfn.XLOOKUP(BW60,'Normative data'!$V$3:$V$6,'Normative data'!$W$3:$W$6,"Not Found",-1)</f>
        <v>Low risk</v>
      </c>
      <c r="BY60" s="91">
        <f t="shared" si="13"/>
        <v>101.06157112526539</v>
      </c>
      <c r="BZ60" s="91" t="str">
        <f>_xlfn.XLOOKUP(BY60,'Normative data'!$V$3:$V$6,'Normative data'!$W$3:$W$6,"Not Found",-1)</f>
        <v>Low risk</v>
      </c>
      <c r="CA60" s="17">
        <v>32</v>
      </c>
      <c r="CC60" s="20"/>
      <c r="CE60" s="17">
        <v>20</v>
      </c>
      <c r="CG60" s="20"/>
      <c r="CH60" s="20" t="str">
        <f>_xlfn.XLOOKUP(CG60, 'Normative data'!$S$9:$S$15,'Normative data'!$T$9:$T$15, "Not Found", -1)</f>
        <v>not completed</v>
      </c>
      <c r="CI60" s="20"/>
      <c r="CJ60" s="20" t="str">
        <f>_xlfn.XLOOKUP(CI60, 'Normative data'!$S$9:$S$15, 'Normative data'!$T$9:$T$15, "Not Found", -1)</f>
        <v>not completed</v>
      </c>
      <c r="CK60" s="21"/>
      <c r="CL60" s="21"/>
      <c r="CM60" s="21"/>
      <c r="CN60" s="21"/>
      <c r="CO60" s="21"/>
      <c r="CR60" s="20" t="str" cm="1">
        <f t="array" ref="CR60">IF(OR(ISBLANK(E60),ISBLANK(CQ60)),"Incomplete",_xlfn.XLOOKUP(CQ60,_xlfn.XLOOKUP(E60,'Normative data'!$Y$3:$Y$6,'Normative data'!$Z$3:$AG$6,,-1),'Normative data'!$Z$2:$AG$2,"Not Found",-1))</f>
        <v>Incomplete</v>
      </c>
      <c r="CS60" s="20"/>
      <c r="CT60" s="20"/>
      <c r="CU60" s="20" t="str" cm="1">
        <f t="array" ref="CU60">_xlfn.XLOOKUP(CS60&amp;CT60,(VLOOKUP!$A$3:$A$250)&amp;(VLOOKUP!$B$3:$B$250),VLOOKUP!$C$3:$C$250,"Incomplete",-1)</f>
        <v>Incomplete</v>
      </c>
      <c r="CV60" s="20" t="str" cm="1">
        <f t="array" ref="CV60">_xlfn.XLOOKUP(CU60, _xlfn.XLOOKUP(E60, 'Normative data'!$Y$11:$Y$14, 'Normative data'!$Z$11:$AG$14, ,-1), 'Normative data'!$Z$10:$AG$10, "Not Found", -1)</f>
        <v>Excellent</v>
      </c>
      <c r="CW60" s="20" t="str" cm="1">
        <f t="array" ref="CW60">IF(OR(ISBLANK(CS60),ISBLANK(CT60)),"Incomplete",_xlfn.XLOOKUP(CS60&amp;CT60,VLOOKUP!$A$4:$A$250&amp;VLOOKUP!$B$4:$B$250,VLOOKUP!$D$4:$D$250,"0"))</f>
        <v>Incomplete</v>
      </c>
    </row>
    <row r="61" spans="1:101">
      <c r="A61" s="17" t="s">
        <v>232</v>
      </c>
      <c r="B61" s="17" t="s">
        <v>231</v>
      </c>
      <c r="C61" s="17" t="s">
        <v>86</v>
      </c>
      <c r="D61" s="26">
        <v>40516</v>
      </c>
      <c r="E61" s="17">
        <v>16</v>
      </c>
      <c r="F61" s="20" t="s">
        <v>99</v>
      </c>
      <c r="G61" s="17">
        <v>2026</v>
      </c>
      <c r="I61" s="20">
        <v>2</v>
      </c>
      <c r="J61" s="20"/>
      <c r="K61" s="20"/>
      <c r="L61" s="20"/>
      <c r="S61" s="20">
        <v>90.4</v>
      </c>
      <c r="T61" s="20">
        <v>173.5</v>
      </c>
      <c r="U61" s="17">
        <v>53.8</v>
      </c>
      <c r="V61" s="17">
        <v>33.799999999999997</v>
      </c>
      <c r="W61" s="17">
        <v>7.5</v>
      </c>
      <c r="X61" s="17">
        <v>46.3</v>
      </c>
      <c r="Y61" s="17">
        <v>25.6</v>
      </c>
      <c r="Z61" s="17">
        <v>18</v>
      </c>
      <c r="AA61" s="17">
        <v>14</v>
      </c>
      <c r="AB61" s="17">
        <v>7.43</v>
      </c>
      <c r="AC61" s="17">
        <v>119.5</v>
      </c>
      <c r="AD61" s="17">
        <v>7.55</v>
      </c>
      <c r="AE61" s="17">
        <v>121.4</v>
      </c>
      <c r="AF61" s="17">
        <v>1.4</v>
      </c>
      <c r="AG61" s="17">
        <v>49.2</v>
      </c>
      <c r="AH61" s="17">
        <v>1.4</v>
      </c>
      <c r="AI61" s="17">
        <v>49.7</v>
      </c>
      <c r="AJ61" s="17">
        <v>355</v>
      </c>
      <c r="AK61" s="17">
        <v>341.2</v>
      </c>
      <c r="AL61" s="17">
        <v>312.5</v>
      </c>
      <c r="AM61" s="17">
        <v>300.8</v>
      </c>
      <c r="AN61" s="17">
        <v>92</v>
      </c>
      <c r="AO61" s="17">
        <v>0.81</v>
      </c>
      <c r="AP61" s="17">
        <v>6.5</v>
      </c>
      <c r="AQ61" s="20"/>
      <c r="AR61" s="20"/>
      <c r="AS61" s="20"/>
      <c r="AT61" s="20"/>
      <c r="AU61" s="20"/>
      <c r="AV61" s="20"/>
      <c r="AW61" s="20"/>
      <c r="AX61" s="20"/>
      <c r="AY61" s="41" t="str">
        <f t="shared" si="14"/>
        <v>Incomplete</v>
      </c>
      <c r="BA61" s="20" t="str">
        <f t="shared" si="15"/>
        <v>Incomplete</v>
      </c>
      <c r="BC61" s="20" t="str">
        <f t="shared" si="16"/>
        <v>Incomplete</v>
      </c>
      <c r="BE61" s="20" t="str">
        <f t="shared" si="17"/>
        <v>Incomplete</v>
      </c>
      <c r="BH61" s="20"/>
      <c r="BI61" s="20" t="str">
        <f t="shared" si="18"/>
        <v>Incomplete</v>
      </c>
      <c r="BJ61" s="20"/>
      <c r="BL61" s="20"/>
      <c r="BM61" s="20"/>
      <c r="BN61" s="20"/>
      <c r="BW61" s="91">
        <f t="shared" si="12"/>
        <v>0</v>
      </c>
      <c r="BX61" s="91" t="str">
        <f>_xlfn.XLOOKUP(BW61,'Normative data'!$V$3:$V$6,'Normative data'!$W$3:$W$6,"Not Found",-1)</f>
        <v>Not completed</v>
      </c>
      <c r="BY61" s="91">
        <f t="shared" si="13"/>
        <v>0</v>
      </c>
      <c r="BZ61" s="91" t="str">
        <f>_xlfn.XLOOKUP(BY61,'Normative data'!$V$3:$V$6,'Normative data'!$W$3:$W$6,"Not Found",-1)</f>
        <v>Not completed</v>
      </c>
      <c r="CA61" s="20"/>
      <c r="CC61" s="20"/>
      <c r="CE61" s="17">
        <v>27</v>
      </c>
      <c r="CG61" s="17">
        <v>18.39</v>
      </c>
      <c r="CH61" s="20" t="str">
        <f>_xlfn.XLOOKUP(CG61, 'Normative data'!$S$9:$S$15,'Normative data'!$T$9:$T$15, "Not Found", -1)</f>
        <v>Average</v>
      </c>
      <c r="CI61" s="17">
        <v>17.93</v>
      </c>
      <c r="CJ61" s="20" t="str">
        <f>_xlfn.XLOOKUP(CI61, 'Normative data'!$S$9:$S$15, 'Normative data'!$T$9:$T$15, "Not Found", -1)</f>
        <v>Above Average</v>
      </c>
      <c r="CK61" s="17">
        <v>2.14</v>
      </c>
      <c r="CL61" s="17">
        <v>4.67</v>
      </c>
      <c r="CN61" s="17">
        <v>6.51</v>
      </c>
      <c r="CO61" s="17">
        <v>7.68</v>
      </c>
      <c r="CQ61" s="17">
        <v>8.1</v>
      </c>
      <c r="CR61" s="20" t="str" cm="1">
        <f t="array" ref="CR61">IF(OR(ISBLANK(E61),ISBLANK(CQ61)),"Incomplete",_xlfn.XLOOKUP(CQ61,_xlfn.XLOOKUP(E61,'Normative data'!$Y$3:$Y$6,'Normative data'!$Z$3:$AG$6,,-1),'Normative data'!$Z$2:$AG$2,"Not Found",-1))</f>
        <v>Average</v>
      </c>
      <c r="CS61" s="20">
        <v>8</v>
      </c>
      <c r="CT61" s="20">
        <v>1</v>
      </c>
      <c r="CU61" s="20" cm="1">
        <f t="array" ref="CU61">_xlfn.XLOOKUP(CS61&amp;CT61,(VLOOKUP!$A$3:$A$250)&amp;(VLOOKUP!$B$3:$B$250),VLOOKUP!$C$3:$C$250,"Incomplete",-1)</f>
        <v>1240</v>
      </c>
      <c r="CV61" s="20" t="str" cm="1">
        <f t="array" ref="CV61">_xlfn.XLOOKUP(CU61, _xlfn.XLOOKUP(E61, 'Normative data'!$Y$11:$Y$14, 'Normative data'!$Z$11:$AG$14, ,-1), 'Normative data'!$Z$10:$AG$10, "Not Found", -1)</f>
        <v>Average</v>
      </c>
      <c r="CW61" s="20" cm="1">
        <f t="array" ref="CW61">IF(OR(ISBLANK(CS61),ISBLANK(CT61)),"Incomplete",_xlfn.XLOOKUP(CS61&amp;CT61,VLOOKUP!$A$4:$A$250&amp;VLOOKUP!$B$4:$B$250,VLOOKUP!$D$4:$D$250,"0"))</f>
        <v>40</v>
      </c>
    </row>
    <row r="62" spans="1:101">
      <c r="A62" s="17" t="s">
        <v>233</v>
      </c>
      <c r="B62" s="17" t="s">
        <v>234</v>
      </c>
      <c r="C62" s="17" t="s">
        <v>86</v>
      </c>
      <c r="D62" s="26">
        <v>41209</v>
      </c>
      <c r="E62" s="17">
        <v>13.5</v>
      </c>
      <c r="F62" s="20" t="s">
        <v>235</v>
      </c>
      <c r="G62" s="17">
        <v>2026</v>
      </c>
      <c r="I62" s="20">
        <v>2</v>
      </c>
      <c r="J62" s="20" t="s">
        <v>122</v>
      </c>
      <c r="K62" s="20" t="s">
        <v>236</v>
      </c>
      <c r="L62" s="20"/>
      <c r="S62" s="20">
        <v>84.3</v>
      </c>
      <c r="T62" s="20">
        <v>162.80000000000001</v>
      </c>
      <c r="U62" s="17">
        <v>48.5</v>
      </c>
      <c r="V62" s="17">
        <v>28.4</v>
      </c>
      <c r="W62" s="17">
        <v>9.6999999999999993</v>
      </c>
      <c r="X62" s="17">
        <v>38.799999999999997</v>
      </c>
      <c r="Y62" s="17">
        <v>21</v>
      </c>
      <c r="Z62" s="17">
        <v>18.3</v>
      </c>
      <c r="AA62" s="17">
        <v>20.100000000000001</v>
      </c>
      <c r="AB62" s="17">
        <v>5.97</v>
      </c>
      <c r="AC62" s="17">
        <v>106.4</v>
      </c>
      <c r="AD62" s="17">
        <v>6</v>
      </c>
      <c r="AE62" s="17">
        <v>107.1</v>
      </c>
      <c r="AF62" s="17">
        <v>1.7</v>
      </c>
      <c r="AG62" s="17">
        <v>71.400000000000006</v>
      </c>
      <c r="AH62" s="17">
        <v>1.7</v>
      </c>
      <c r="AI62" s="17">
        <v>71.5</v>
      </c>
      <c r="AJ62" s="17">
        <v>322.3</v>
      </c>
      <c r="AK62" s="17">
        <v>317.5</v>
      </c>
      <c r="AL62" s="17">
        <v>287.39999999999998</v>
      </c>
      <c r="AM62" s="17">
        <v>283.60000000000002</v>
      </c>
      <c r="AN62" s="17">
        <v>101</v>
      </c>
      <c r="AO62" s="17">
        <v>0.8</v>
      </c>
      <c r="AP62" s="17">
        <v>5.7</v>
      </c>
      <c r="AQ62" s="17">
        <v>24.5</v>
      </c>
      <c r="AR62" s="17">
        <v>0.44700000000000001</v>
      </c>
      <c r="AS62" s="17">
        <v>26.6</v>
      </c>
      <c r="AT62" s="17">
        <v>0.46600000000000003</v>
      </c>
      <c r="AU62" s="17">
        <v>12.6</v>
      </c>
      <c r="AV62" s="17">
        <v>0.32</v>
      </c>
      <c r="AW62" s="17">
        <v>12.9</v>
      </c>
      <c r="AX62" s="17">
        <v>0.32400000000000001</v>
      </c>
      <c r="AY62" s="41">
        <f t="shared" si="14"/>
        <v>1629.1999999999998</v>
      </c>
      <c r="BA62" s="20">
        <f t="shared" si="15"/>
        <v>1756.67</v>
      </c>
      <c r="BC62" s="20">
        <f t="shared" si="16"/>
        <v>906.86999999999989</v>
      </c>
      <c r="BE62" s="20">
        <f t="shared" si="17"/>
        <v>925.07999999999993</v>
      </c>
      <c r="BG62" s="17">
        <v>19.5</v>
      </c>
      <c r="BH62" s="17">
        <v>51.5</v>
      </c>
      <c r="BI62" s="20">
        <f t="shared" si="18"/>
        <v>32</v>
      </c>
      <c r="BJ62" s="20"/>
      <c r="BK62" s="17">
        <v>10</v>
      </c>
      <c r="BL62" s="20"/>
      <c r="BM62" s="17">
        <v>10</v>
      </c>
      <c r="BN62" s="20"/>
      <c r="BO62" s="17">
        <v>45.5</v>
      </c>
      <c r="BP62" s="17">
        <v>46</v>
      </c>
      <c r="BQ62" s="17">
        <v>90</v>
      </c>
      <c r="BR62" s="17">
        <v>82</v>
      </c>
      <c r="BS62" s="17">
        <v>93</v>
      </c>
      <c r="BT62" s="17">
        <v>94</v>
      </c>
      <c r="BU62" s="17">
        <v>91</v>
      </c>
      <c r="BV62" s="17">
        <v>84</v>
      </c>
      <c r="BW62" s="91">
        <f t="shared" si="12"/>
        <v>112.52653927813161</v>
      </c>
      <c r="BX62" s="91" t="str">
        <f>_xlfn.XLOOKUP(BW62,'Normative data'!$V$3:$V$6,'Normative data'!$W$3:$W$6,"Not Found",-1)</f>
        <v>Low risk</v>
      </c>
      <c r="BY62" s="91">
        <f t="shared" si="13"/>
        <v>114.22505307855624</v>
      </c>
      <c r="BZ62" s="91" t="str">
        <f>_xlfn.XLOOKUP(BY62,'Normative data'!$V$3:$V$6,'Normative data'!$W$3:$W$6,"Not Found",-1)</f>
        <v>Low risk</v>
      </c>
      <c r="CA62" s="17">
        <v>27</v>
      </c>
      <c r="CC62" s="20"/>
      <c r="CE62" s="17">
        <v>8</v>
      </c>
      <c r="CG62" s="17">
        <v>18.079999999999998</v>
      </c>
      <c r="CH62" s="20" t="str">
        <f>_xlfn.XLOOKUP(CG62, 'Normative data'!$S$9:$S$15,'Normative data'!$T$9:$T$15, "Not Found", -1)</f>
        <v>Average</v>
      </c>
      <c r="CI62" s="17">
        <v>17.899999999999999</v>
      </c>
      <c r="CJ62" s="20" t="str">
        <f>_xlfn.XLOOKUP(CI62, 'Normative data'!$S$9:$S$15, 'Normative data'!$T$9:$T$15, "Not Found", -1)</f>
        <v>Above Average</v>
      </c>
      <c r="CK62" s="17">
        <v>2.14</v>
      </c>
      <c r="CL62" s="17">
        <v>4.67</v>
      </c>
      <c r="CN62" s="17">
        <v>6.46</v>
      </c>
      <c r="CO62" s="17">
        <v>7.74</v>
      </c>
      <c r="CQ62" s="17">
        <v>5.6</v>
      </c>
      <c r="CR62" s="20" t="str" cm="1">
        <f t="array" ref="CR62">IF(OR(ISBLANK(E62),ISBLANK(CQ62)),"Incomplete",_xlfn.XLOOKUP(CQ62,_xlfn.XLOOKUP(E62,'Normative data'!$Y$3:$Y$6,'Normative data'!$Z$3:$AG$6,,-1),'Normative data'!$Z$2:$AG$2,"Not Found",-1))</f>
        <v>Average</v>
      </c>
      <c r="CS62" s="20">
        <v>5</v>
      </c>
      <c r="CT62" s="20">
        <v>6</v>
      </c>
      <c r="CU62" s="20" cm="1">
        <f t="array" ref="CU62">_xlfn.XLOOKUP(CS62&amp;CT62,(VLOOKUP!$A$3:$A$250)&amp;(VLOOKUP!$B$3:$B$250),VLOOKUP!$C$3:$C$250,"Incomplete",-1)</f>
        <v>760</v>
      </c>
      <c r="CV62" s="20" t="str" cm="1">
        <f t="array" ref="CV62">_xlfn.XLOOKUP(CU62, _xlfn.XLOOKUP(E62, 'Normative data'!$Y$11:$Y$14, 'Normative data'!$Z$11:$AG$14, ,-1), 'Normative data'!$Z$10:$AG$10, "Not Found", -1)</f>
        <v>Average</v>
      </c>
      <c r="CW62" s="20" cm="1">
        <f t="array" ref="CW62">IF(OR(ISBLANK(CS62),ISBLANK(CT62)),"Incomplete",_xlfn.XLOOKUP(CS62&amp;CT62,VLOOKUP!$A$4:$A$250&amp;VLOOKUP!$B$4:$B$250,VLOOKUP!$D$4:$D$250,"0"))</f>
        <v>32</v>
      </c>
    </row>
    <row r="63" spans="1:101">
      <c r="A63" s="17" t="s">
        <v>237</v>
      </c>
      <c r="B63" s="17" t="s">
        <v>238</v>
      </c>
      <c r="C63" s="17" t="s">
        <v>86</v>
      </c>
      <c r="D63" s="26"/>
      <c r="F63" s="20" t="s">
        <v>92</v>
      </c>
      <c r="G63" s="17">
        <v>2026</v>
      </c>
      <c r="I63" s="20">
        <v>2</v>
      </c>
      <c r="J63" s="20" t="s">
        <v>88</v>
      </c>
      <c r="K63" s="20" t="s">
        <v>93</v>
      </c>
      <c r="L63" s="20"/>
      <c r="S63" s="20">
        <v>80.900000000000006</v>
      </c>
      <c r="T63" s="20">
        <v>160.80000000000001</v>
      </c>
      <c r="AQ63" s="20"/>
      <c r="AR63" s="20"/>
      <c r="AS63" s="20"/>
      <c r="AT63" s="20"/>
      <c r="AU63" s="20"/>
      <c r="AV63" s="20"/>
      <c r="AW63" s="20"/>
      <c r="AX63" s="20"/>
      <c r="AY63" s="41" t="str">
        <f t="shared" si="14"/>
        <v>Incomplete</v>
      </c>
      <c r="BA63" s="20" t="str">
        <f t="shared" si="15"/>
        <v>Incomplete</v>
      </c>
      <c r="BC63" s="20" t="str">
        <f t="shared" si="16"/>
        <v>Incomplete</v>
      </c>
      <c r="BE63" s="20" t="str">
        <f t="shared" si="17"/>
        <v>Incomplete</v>
      </c>
      <c r="BG63" s="17">
        <v>13</v>
      </c>
      <c r="BH63" s="17">
        <v>54</v>
      </c>
      <c r="BI63" s="20">
        <f t="shared" si="18"/>
        <v>41</v>
      </c>
      <c r="BJ63" s="20"/>
      <c r="BK63" s="17">
        <v>7</v>
      </c>
      <c r="BL63" s="20"/>
      <c r="BM63" s="17">
        <v>7</v>
      </c>
      <c r="BN63" s="20"/>
      <c r="BO63" s="17">
        <v>57</v>
      </c>
      <c r="BP63" s="17">
        <v>57</v>
      </c>
      <c r="BQ63" s="17">
        <v>76</v>
      </c>
      <c r="BR63" s="17">
        <v>83</v>
      </c>
      <c r="BS63" s="17">
        <v>73</v>
      </c>
      <c r="BT63" s="17">
        <v>74</v>
      </c>
      <c r="BU63" s="17">
        <v>65</v>
      </c>
      <c r="BV63" s="17">
        <v>70</v>
      </c>
      <c r="BW63" s="91">
        <f t="shared" si="12"/>
        <v>96.787651230705038</v>
      </c>
      <c r="BX63" s="91" t="str">
        <f>_xlfn.XLOOKUP(BW63,'Normative data'!$V$3:$V$6,'Normative data'!$W$3:$W$6,"Not Found",-1)</f>
        <v>Low risk</v>
      </c>
      <c r="BY63" s="91">
        <f t="shared" si="13"/>
        <v>87.19232373800584</v>
      </c>
      <c r="BZ63" s="91" t="str">
        <f>_xlfn.XLOOKUP(BY63,'Normative data'!$V$3:$V$6,'Normative data'!$W$3:$W$6,"Not Found",-1)</f>
        <v>High risk</v>
      </c>
      <c r="CA63" s="17">
        <v>25</v>
      </c>
      <c r="CC63" s="20"/>
      <c r="CE63" s="17">
        <v>3</v>
      </c>
      <c r="CG63" s="17">
        <v>19.62</v>
      </c>
      <c r="CH63" s="20" t="str">
        <f>_xlfn.XLOOKUP(CG63, 'Normative data'!$S$9:$S$15,'Normative data'!$T$9:$T$15, "Not Found", -1)</f>
        <v>Average</v>
      </c>
      <c r="CI63" s="17">
        <v>20.02</v>
      </c>
      <c r="CJ63" s="20" t="str">
        <f>_xlfn.XLOOKUP(CI63, 'Normative data'!$S$9:$S$15, 'Normative data'!$T$9:$T$15, "Not Found", -1)</f>
        <v>Average</v>
      </c>
      <c r="CK63" s="21"/>
      <c r="CL63" s="21"/>
      <c r="CM63" s="21"/>
      <c r="CN63" s="21"/>
      <c r="CO63" s="21"/>
      <c r="CQ63" s="17">
        <v>4.2</v>
      </c>
      <c r="CR63" s="20" t="str" cm="1">
        <f t="array" ref="CR63">IF(OR(ISBLANK(E63),ISBLANK(CQ63)),"Incomplete",_xlfn.XLOOKUP(CQ63,_xlfn.XLOOKUP(E63,'Normative data'!$Y$3:$Y$6,'Normative data'!$Z$3:$AG$6,,-1),'Normative data'!$Z$2:$AG$2,"Not Found",-1))</f>
        <v>Incomplete</v>
      </c>
      <c r="CS63" s="20">
        <v>4</v>
      </c>
      <c r="CT63" s="20">
        <v>2</v>
      </c>
      <c r="CU63" s="20" cm="1">
        <f t="array" ref="CU63">_xlfn.XLOOKUP(CS63&amp;CT63,(VLOOKUP!$A$3:$A$250)&amp;(VLOOKUP!$B$3:$B$250),VLOOKUP!$C$3:$C$250,"Incomplete",-1)</f>
        <v>500</v>
      </c>
      <c r="CV63" s="20" t="str" cm="1">
        <f t="array" ref="CV63">_xlfn.XLOOKUP(CU63, _xlfn.XLOOKUP(E63, 'Normative data'!$Y$11:$Y$14, 'Normative data'!$Z$11:$AG$14, ,-1), 'Normative data'!$Z$10:$AG$10, "Not Found", -1)</f>
        <v xml:space="preserve">Very poor </v>
      </c>
      <c r="CW63" s="20" cm="1">
        <f t="array" ref="CW63">IF(OR(ISBLANK(CS63),ISBLANK(CT63)),"Incomplete",_xlfn.XLOOKUP(CS63&amp;CT63,VLOOKUP!$A$4:$A$250&amp;VLOOKUP!$B$4:$B$250,VLOOKUP!$D$4:$D$250,"0"))</f>
        <v>27</v>
      </c>
    </row>
    <row r="64" spans="1:101">
      <c r="A64" s="17" t="s">
        <v>239</v>
      </c>
      <c r="B64" s="17" t="s">
        <v>240</v>
      </c>
      <c r="C64" s="17" t="s">
        <v>86</v>
      </c>
      <c r="D64" s="26">
        <v>40863</v>
      </c>
      <c r="E64" s="17">
        <v>14.4</v>
      </c>
      <c r="F64" s="20" t="s">
        <v>157</v>
      </c>
      <c r="G64" s="17">
        <v>2026</v>
      </c>
      <c r="I64" s="20">
        <v>2</v>
      </c>
      <c r="J64" s="20" t="s">
        <v>100</v>
      </c>
      <c r="K64" s="20" t="s">
        <v>108</v>
      </c>
      <c r="L64" s="20"/>
      <c r="S64" s="20">
        <v>85.6</v>
      </c>
      <c r="T64" s="20">
        <v>166</v>
      </c>
      <c r="U64" s="17">
        <v>55.3</v>
      </c>
      <c r="V64" s="17">
        <v>33.299999999999997</v>
      </c>
      <c r="W64" s="17">
        <v>9.9</v>
      </c>
      <c r="X64" s="17">
        <v>54.4</v>
      </c>
      <c r="Y64" s="17">
        <v>24.9</v>
      </c>
      <c r="Z64" s="17">
        <v>20.100000000000001</v>
      </c>
      <c r="AA64" s="17">
        <v>17.899999999999999</v>
      </c>
      <c r="AB64" s="17">
        <v>6.96</v>
      </c>
      <c r="AC64" s="17">
        <v>108.8</v>
      </c>
      <c r="AD64" s="17">
        <v>6.97</v>
      </c>
      <c r="AE64" s="17">
        <v>109</v>
      </c>
      <c r="AF64" s="17">
        <v>1.7</v>
      </c>
      <c r="AG64" s="17">
        <v>65.7</v>
      </c>
      <c r="AH64" s="17">
        <v>1.7</v>
      </c>
      <c r="AI64" s="17">
        <v>65.599999999999994</v>
      </c>
      <c r="AJ64" s="17">
        <v>276.5</v>
      </c>
      <c r="AK64" s="17">
        <v>274.39999999999998</v>
      </c>
      <c r="AL64" s="17">
        <v>248</v>
      </c>
      <c r="AM64" s="17">
        <v>246.4</v>
      </c>
      <c r="AN64" s="17">
        <v>98</v>
      </c>
      <c r="AO64" s="17">
        <v>0.8</v>
      </c>
      <c r="AP64" s="17">
        <v>6.6</v>
      </c>
      <c r="AQ64" s="20"/>
      <c r="AR64" s="20"/>
      <c r="AS64" s="20"/>
      <c r="AT64" s="20"/>
      <c r="AU64" s="20"/>
      <c r="AV64" s="20"/>
      <c r="AW64" s="20"/>
      <c r="AX64" s="20"/>
      <c r="AY64" s="41" t="str">
        <f t="shared" si="14"/>
        <v>Incomplete</v>
      </c>
      <c r="BA64" s="20" t="str">
        <f t="shared" si="15"/>
        <v>Incomplete</v>
      </c>
      <c r="BC64" s="20" t="str">
        <f t="shared" si="16"/>
        <v>Incomplete</v>
      </c>
      <c r="BE64" s="20" t="str">
        <f t="shared" si="17"/>
        <v>Incomplete</v>
      </c>
      <c r="BH64" s="17">
        <v>59.5</v>
      </c>
      <c r="BI64" s="20" t="str">
        <f t="shared" si="18"/>
        <v>Incomplete</v>
      </c>
      <c r="BJ64" s="20"/>
      <c r="BK64" s="17">
        <v>10.5</v>
      </c>
      <c r="BL64" s="20"/>
      <c r="BM64" s="17">
        <v>10</v>
      </c>
      <c r="BN64" s="20"/>
      <c r="BQ64" s="17">
        <v>82</v>
      </c>
      <c r="BR64" s="17">
        <v>90</v>
      </c>
      <c r="BS64" s="17">
        <v>78</v>
      </c>
      <c r="BT64" s="17">
        <v>84</v>
      </c>
      <c r="BU64" s="17">
        <v>74</v>
      </c>
      <c r="BV64" s="17">
        <v>73</v>
      </c>
      <c r="BW64" s="91">
        <f t="shared" si="12"/>
        <v>103.64842454394692</v>
      </c>
      <c r="BX64" s="91" t="str">
        <f>_xlfn.XLOOKUP(BW64,'Normative data'!$V$3:$V$6,'Normative data'!$W$3:$W$6,"Not Found",-1)</f>
        <v>Low risk</v>
      </c>
      <c r="BY64" s="91">
        <f t="shared" si="13"/>
        <v>95.771144278606954</v>
      </c>
      <c r="BZ64" s="91" t="str">
        <f>_xlfn.XLOOKUP(BY64,'Normative data'!$V$3:$V$6,'Normative data'!$W$3:$W$6,"Not Found",-1)</f>
        <v>Low risk</v>
      </c>
      <c r="CG64" s="20"/>
      <c r="CH64" s="20" t="str">
        <f>_xlfn.XLOOKUP(CG64, 'Normative data'!$S$9:$S$15,'Normative data'!$T$9:$T$15, "Not Found", -1)</f>
        <v>not completed</v>
      </c>
      <c r="CI64" s="20"/>
      <c r="CJ64" s="20" t="str">
        <f>_xlfn.XLOOKUP(CI64, 'Normative data'!$S$9:$S$15, 'Normative data'!$T$9:$T$15, "Not Found", -1)</f>
        <v>not completed</v>
      </c>
      <c r="CK64" s="21"/>
      <c r="CL64" s="21"/>
      <c r="CM64" s="21"/>
      <c r="CN64" s="21"/>
      <c r="CO64" s="21"/>
      <c r="CQ64" s="17">
        <v>8.1</v>
      </c>
      <c r="CR64" s="20" t="str" cm="1">
        <f t="array" ref="CR64">IF(OR(ISBLANK(E64),ISBLANK(CQ64)),"Incomplete",_xlfn.XLOOKUP(CQ64,_xlfn.XLOOKUP(E64,'Normative data'!$Y$3:$Y$6,'Normative data'!$Z$3:$AG$6,,-1),'Normative data'!$Z$2:$AG$2,"Not Found",-1))</f>
        <v>Good</v>
      </c>
      <c r="CS64" s="20">
        <v>8</v>
      </c>
      <c r="CT64" s="20">
        <v>1</v>
      </c>
      <c r="CU64" s="20" cm="1">
        <f t="array" ref="CU64">_xlfn.XLOOKUP(CS64&amp;CT64,(VLOOKUP!$A$3:$A$250)&amp;(VLOOKUP!$B$3:$B$250),VLOOKUP!$C$3:$C$250,"Incomplete",-1)</f>
        <v>1240</v>
      </c>
      <c r="CV64" s="20" t="str" cm="1">
        <f t="array" ref="CV64">_xlfn.XLOOKUP(CU64, _xlfn.XLOOKUP(E64, 'Normative data'!$Y$11:$Y$14, 'Normative data'!$Z$11:$AG$14, ,-1), 'Normative data'!$Z$10:$AG$10, "Not Found", -1)</f>
        <v>Average</v>
      </c>
      <c r="CW64" s="20" cm="1">
        <f t="array" ref="CW64">IF(OR(ISBLANK(CS64),ISBLANK(CT64)),"Incomplete",_xlfn.XLOOKUP(CS64&amp;CT64,VLOOKUP!$A$4:$A$250&amp;VLOOKUP!$B$4:$B$250,VLOOKUP!$D$4:$D$250,"0"))</f>
        <v>40</v>
      </c>
    </row>
    <row r="65" spans="1:101">
      <c r="A65" s="17" t="s">
        <v>241</v>
      </c>
      <c r="B65" s="17" t="s">
        <v>242</v>
      </c>
      <c r="C65" s="17" t="s">
        <v>86</v>
      </c>
      <c r="D65" s="26">
        <v>40564</v>
      </c>
      <c r="F65" s="20" t="s">
        <v>154</v>
      </c>
      <c r="G65" s="17">
        <v>2026</v>
      </c>
      <c r="I65" s="20">
        <v>2</v>
      </c>
      <c r="J65" s="20"/>
      <c r="K65" s="20"/>
      <c r="L65" s="20"/>
      <c r="S65" s="20">
        <v>87</v>
      </c>
      <c r="T65" s="20">
        <v>169.6</v>
      </c>
      <c r="U65" s="17">
        <v>60.3</v>
      </c>
      <c r="V65" s="17">
        <v>34.4</v>
      </c>
      <c r="W65" s="17">
        <v>13.2</v>
      </c>
      <c r="X65" s="17">
        <v>47.1</v>
      </c>
      <c r="Y65" s="17">
        <v>26.1</v>
      </c>
      <c r="Z65" s="17">
        <v>21</v>
      </c>
      <c r="AA65" s="17">
        <v>21.9</v>
      </c>
      <c r="AB65" s="17">
        <v>7.36</v>
      </c>
      <c r="AC65" s="17">
        <v>105.6</v>
      </c>
      <c r="AD65" s="17">
        <v>7.31</v>
      </c>
      <c r="AE65" s="17">
        <v>104.8</v>
      </c>
      <c r="AF65" s="17">
        <v>2.1</v>
      </c>
      <c r="AG65" s="17">
        <v>79.099999999999994</v>
      </c>
      <c r="AH65" s="17">
        <v>2.1</v>
      </c>
      <c r="AI65" s="17">
        <v>78.900000000000006</v>
      </c>
      <c r="AJ65" s="17">
        <v>325.3</v>
      </c>
      <c r="AK65" s="17">
        <v>331.1</v>
      </c>
      <c r="AL65" s="17">
        <v>287.3</v>
      </c>
      <c r="AM65" s="17">
        <v>292.60000000000002</v>
      </c>
      <c r="AN65" s="17">
        <v>105</v>
      </c>
      <c r="AO65" s="17">
        <v>0.86</v>
      </c>
      <c r="AP65" s="17">
        <v>6.7</v>
      </c>
      <c r="AQ65" s="20"/>
      <c r="AR65" s="20"/>
      <c r="AS65" s="20"/>
      <c r="AT65" s="20"/>
      <c r="AU65" s="20"/>
      <c r="AV65" s="20"/>
      <c r="AW65" s="20"/>
      <c r="AX65" s="20"/>
      <c r="AY65" s="41" t="str">
        <f t="shared" si="14"/>
        <v>Incomplete</v>
      </c>
      <c r="BA65" s="20" t="str">
        <f t="shared" si="15"/>
        <v>Incomplete</v>
      </c>
      <c r="BC65" s="20" t="str">
        <f t="shared" si="16"/>
        <v>Incomplete</v>
      </c>
      <c r="BE65" s="20" t="str">
        <f t="shared" si="17"/>
        <v>Incomplete</v>
      </c>
      <c r="BH65" s="20"/>
      <c r="BI65" s="20" t="str">
        <f t="shared" si="18"/>
        <v>Incomplete</v>
      </c>
      <c r="BJ65" s="20"/>
      <c r="BL65" s="20"/>
      <c r="BM65" s="20"/>
      <c r="BN65" s="20"/>
      <c r="BO65" s="17">
        <v>47</v>
      </c>
      <c r="BP65" s="17">
        <v>48.3</v>
      </c>
      <c r="BW65" s="91">
        <f t="shared" si="12"/>
        <v>0</v>
      </c>
      <c r="BX65" s="91" t="str">
        <f>_xlfn.XLOOKUP(BW65,'Normative data'!$V$3:$V$6,'Normative data'!$W$3:$W$6,"Not Found",-1)</f>
        <v>Not completed</v>
      </c>
      <c r="BY65" s="91">
        <f t="shared" si="13"/>
        <v>0</v>
      </c>
      <c r="BZ65" s="91" t="str">
        <f>_xlfn.XLOOKUP(BY65,'Normative data'!$V$3:$V$6,'Normative data'!$W$3:$W$6,"Not Found",-1)</f>
        <v>Not completed</v>
      </c>
      <c r="CA65" s="17">
        <v>48</v>
      </c>
      <c r="CC65" s="20"/>
      <c r="CE65" s="17">
        <v>43</v>
      </c>
      <c r="CG65" s="20"/>
      <c r="CH65" s="20" t="str">
        <f>_xlfn.XLOOKUP(CG65, 'Normative data'!$S$9:$S$15,'Normative data'!$T$9:$T$15, "Not Found", -1)</f>
        <v>not completed</v>
      </c>
      <c r="CI65" s="20"/>
      <c r="CJ65" s="20" t="str">
        <f>_xlfn.XLOOKUP(CI65, 'Normative data'!$S$9:$S$15, 'Normative data'!$T$9:$T$15, "Not Found", -1)</f>
        <v>not completed</v>
      </c>
      <c r="CK65" s="21"/>
      <c r="CL65" s="21"/>
      <c r="CM65" s="21"/>
      <c r="CN65" s="21"/>
      <c r="CO65" s="21"/>
      <c r="CQ65" s="17">
        <v>8.1</v>
      </c>
      <c r="CR65" s="20" t="str" cm="1">
        <f t="array" ref="CR65">IF(OR(ISBLANK(E65),ISBLANK(CQ65)),"Incomplete",_xlfn.XLOOKUP(CQ65,_xlfn.XLOOKUP(E65,'Normative data'!$Y$3:$Y$6,'Normative data'!$Z$3:$AG$6,,-1),'Normative data'!$Z$2:$AG$2,"Not Found",-1))</f>
        <v>Incomplete</v>
      </c>
      <c r="CS65" s="20">
        <v>8</v>
      </c>
      <c r="CT65" s="20">
        <v>1</v>
      </c>
      <c r="CU65" s="20" cm="1">
        <f t="array" ref="CU65">_xlfn.XLOOKUP(CS65&amp;CT65,(VLOOKUP!$A$3:$A$250)&amp;(VLOOKUP!$B$3:$B$250),VLOOKUP!$C$3:$C$250,"Incomplete",-1)</f>
        <v>1240</v>
      </c>
      <c r="CV65" s="20" t="str" cm="1">
        <f t="array" ref="CV65">_xlfn.XLOOKUP(CU65, _xlfn.XLOOKUP(E65, 'Normative data'!$Y$11:$Y$14, 'Normative data'!$Z$11:$AG$14, ,-1), 'Normative data'!$Z$10:$AG$10, "Not Found", -1)</f>
        <v>Average</v>
      </c>
      <c r="CW65" s="20" cm="1">
        <f t="array" ref="CW65">IF(OR(ISBLANK(CS65),ISBLANK(CT65)),"Incomplete",_xlfn.XLOOKUP(CS65&amp;CT65,VLOOKUP!$A$4:$A$250&amp;VLOOKUP!$B$4:$B$250,VLOOKUP!$D$4:$D$250,"0"))</f>
        <v>40</v>
      </c>
    </row>
    <row r="66" spans="1:101">
      <c r="A66" s="18" t="s">
        <v>243</v>
      </c>
      <c r="B66" s="18" t="s">
        <v>244</v>
      </c>
      <c r="C66" s="17" t="s">
        <v>86</v>
      </c>
      <c r="D66" s="19">
        <v>40325</v>
      </c>
      <c r="F66" s="17">
        <v>9</v>
      </c>
      <c r="G66" s="17">
        <v>2025</v>
      </c>
      <c r="H66" s="20" t="s">
        <v>124</v>
      </c>
      <c r="I66" s="17">
        <v>3</v>
      </c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41" t="str">
        <f t="shared" si="14"/>
        <v>Incomplete</v>
      </c>
      <c r="AZ66" s="20"/>
      <c r="BA66" s="20" t="str">
        <f t="shared" si="15"/>
        <v>Incomplete</v>
      </c>
      <c r="BB66" s="20"/>
      <c r="BC66" s="20" t="str">
        <f t="shared" si="16"/>
        <v>Incomplete</v>
      </c>
      <c r="BD66" s="20"/>
      <c r="BE66" s="20" t="str">
        <f t="shared" si="17"/>
        <v>Incomplete</v>
      </c>
      <c r="BF66" s="20"/>
      <c r="BG66" s="20">
        <v>27</v>
      </c>
      <c r="BH66" s="20">
        <v>47.4</v>
      </c>
      <c r="BI66" s="20">
        <f t="shared" si="18"/>
        <v>20.399999999999999</v>
      </c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91" t="str">
        <f t="shared" ref="BW66:BW77" si="19">IFERROR(SUM(BQ66+BR66+BS66)/(3*(T66-S66))*100, "Incomplete")</f>
        <v>Incomplete</v>
      </c>
      <c r="BX66" s="91" t="str">
        <f>_xlfn.XLOOKUP(BW66,'Normative data'!$V$3:$V$6,'Normative data'!$W$3:$W$6,"Not Found",-1)</f>
        <v>Very low risk</v>
      </c>
      <c r="BY66" s="91" t="str">
        <f t="shared" ref="BY66:BY77" si="20">IFERROR(SUM(BT66+BU66+BV66)/(3*(T66-S66))*100, "Incomplete")</f>
        <v>Incomplete</v>
      </c>
      <c r="BZ66" s="91" t="str">
        <f>_xlfn.XLOOKUP(BY66,'Normative data'!$V$3:$V$6,'Normative data'!$W$3:$W$6,"Not Found",-1)</f>
        <v>Very low risk</v>
      </c>
      <c r="CA66" s="20"/>
      <c r="CC66" s="20"/>
      <c r="CE66" s="20">
        <v>12</v>
      </c>
      <c r="CG66" s="20"/>
      <c r="CH66" s="20" t="str">
        <f>_xlfn.XLOOKUP(CG66, 'Normative data'!$S$9:$S$15,'Normative data'!$T$9:$T$15, "Not Found", -1)</f>
        <v>not completed</v>
      </c>
      <c r="CI66" s="20"/>
      <c r="CJ66" s="20" t="str">
        <f>_xlfn.XLOOKUP(CI66, 'Normative data'!$S$9:$S$15, 'Normative data'!$T$9:$T$15, "Not Found", -1)</f>
        <v>not completed</v>
      </c>
      <c r="CK66" s="20" t="s">
        <v>245</v>
      </c>
      <c r="CL66" s="20" t="s">
        <v>246</v>
      </c>
      <c r="CM66" s="21"/>
      <c r="CN66" s="20" t="s">
        <v>247</v>
      </c>
      <c r="CO66" s="20" t="s">
        <v>248</v>
      </c>
      <c r="CP66" s="21"/>
      <c r="CQ66" s="30"/>
      <c r="CR66" s="20" t="str" cm="1">
        <f t="array" ref="CR66">IF(OR(ISBLANK(E66),ISBLANK(CQ66)),"Incomplete",_xlfn.XLOOKUP(CQ66,_xlfn.XLOOKUP(E66,'Normative data'!$Y$3:$Y$6,'Normative data'!$Z$3:$AG$6,,-1),'Normative data'!$Z$2:$AG$2,"Not Found",-1))</f>
        <v>Incomplete</v>
      </c>
      <c r="CS66" s="20"/>
      <c r="CT66" s="20"/>
      <c r="CU66" s="20" t="str" cm="1">
        <f t="array" ref="CU66">_xlfn.XLOOKUP(CS66&amp;CT66,(VLOOKUP!$A$3:$A$250)&amp;(VLOOKUP!$B$3:$B$250),VLOOKUP!$C$3:$C$250,"Incomplete",-1)</f>
        <v>Incomplete</v>
      </c>
      <c r="CV66" s="20" t="str" cm="1">
        <f t="array" ref="CV66">_xlfn.XLOOKUP(CU66, _xlfn.XLOOKUP(E66, 'Normative data'!$Y$11:$Y$14, 'Normative data'!$Z$11:$AG$14, ,-1), 'Normative data'!$Z$10:$AG$10, "Not Found", -1)</f>
        <v>Excellent</v>
      </c>
      <c r="CW66" s="20" t="str" cm="1">
        <f t="array" ref="CW66">IF(OR(ISBLANK(CS66),ISBLANK(CT66)),"Incomplete",_xlfn.XLOOKUP(CS66&amp;CT66,VLOOKUP!$A$4:$A$250&amp;VLOOKUP!$B$4:$B$250,VLOOKUP!$D$4:$D$250,"0"))</f>
        <v>Incomplete</v>
      </c>
    </row>
    <row r="67" spans="1:101">
      <c r="A67" s="17" t="s">
        <v>249</v>
      </c>
      <c r="B67" s="17" t="s">
        <v>250</v>
      </c>
      <c r="C67" s="17" t="s">
        <v>86</v>
      </c>
      <c r="D67" s="26"/>
      <c r="F67" s="20" t="s">
        <v>251</v>
      </c>
      <c r="G67" s="17">
        <v>2026</v>
      </c>
      <c r="I67" s="20">
        <v>2</v>
      </c>
      <c r="J67" s="20"/>
      <c r="K67" s="20"/>
      <c r="L67" s="20"/>
      <c r="S67" s="20"/>
      <c r="T67" s="20"/>
      <c r="AQ67" s="20"/>
      <c r="AR67" s="20"/>
      <c r="AS67" s="20"/>
      <c r="AT67" s="20"/>
      <c r="AU67" s="20"/>
      <c r="AV67" s="20"/>
      <c r="AW67" s="20"/>
      <c r="AX67" s="20"/>
      <c r="AY67" s="41" t="str">
        <f t="shared" si="14"/>
        <v>Incomplete</v>
      </c>
      <c r="BA67" s="20" t="str">
        <f t="shared" si="15"/>
        <v>Incomplete</v>
      </c>
      <c r="BC67" s="20" t="str">
        <f t="shared" si="16"/>
        <v>Incomplete</v>
      </c>
      <c r="BE67" s="20" t="str">
        <f t="shared" si="17"/>
        <v>Incomplete</v>
      </c>
      <c r="BH67" s="17">
        <v>46.1</v>
      </c>
      <c r="BI67" s="20" t="str">
        <f t="shared" si="18"/>
        <v>Incomplete</v>
      </c>
      <c r="BJ67" s="20"/>
      <c r="BK67" s="17">
        <v>4.5</v>
      </c>
      <c r="BL67" s="20"/>
      <c r="BM67" s="17">
        <v>6.5</v>
      </c>
      <c r="BN67" s="20"/>
      <c r="BW67" s="91" t="str">
        <f t="shared" si="19"/>
        <v>Incomplete</v>
      </c>
      <c r="BX67" s="91" t="str">
        <f>_xlfn.XLOOKUP(BW67,'Normative data'!$V$3:$V$6,'Normative data'!$W$3:$W$6,"Not Found",-1)</f>
        <v>Very low risk</v>
      </c>
      <c r="BY67" s="91" t="str">
        <f t="shared" si="20"/>
        <v>Incomplete</v>
      </c>
      <c r="BZ67" s="91" t="str">
        <f>_xlfn.XLOOKUP(BY67,'Normative data'!$V$3:$V$6,'Normative data'!$W$3:$W$6,"Not Found",-1)</f>
        <v>Very low risk</v>
      </c>
      <c r="CA67" s="20"/>
      <c r="CC67" s="20"/>
      <c r="CE67" s="20"/>
      <c r="CG67" s="17">
        <v>19.48</v>
      </c>
      <c r="CH67" s="20" t="str">
        <f>_xlfn.XLOOKUP(CG67, 'Normative data'!$S$9:$S$15,'Normative data'!$T$9:$T$15, "Not Found", -1)</f>
        <v>Average</v>
      </c>
      <c r="CI67" s="17">
        <v>19.37</v>
      </c>
      <c r="CJ67" s="20" t="str">
        <f>_xlfn.XLOOKUP(CI67, 'Normative data'!$S$9:$S$15, 'Normative data'!$T$9:$T$15, "Not Found", -1)</f>
        <v>Average</v>
      </c>
      <c r="CK67" s="17">
        <v>2.09</v>
      </c>
      <c r="CL67" s="17">
        <v>4.78</v>
      </c>
      <c r="CN67" s="17">
        <v>6.91</v>
      </c>
      <c r="CO67" s="17">
        <v>7.24</v>
      </c>
      <c r="CQ67" s="17">
        <v>4.4000000000000004</v>
      </c>
      <c r="CR67" s="20" t="str" cm="1">
        <f t="array" ref="CR67">IF(OR(ISBLANK(E67),ISBLANK(CQ67)),"Incomplete",_xlfn.XLOOKUP(CQ67,_xlfn.XLOOKUP(E67,'Normative data'!$Y$3:$Y$6,'Normative data'!$Z$3:$AG$6,,-1),'Normative data'!$Z$2:$AG$2,"Not Found",-1))</f>
        <v>Incomplete</v>
      </c>
      <c r="CS67" s="20">
        <v>4</v>
      </c>
      <c r="CT67" s="20">
        <v>4</v>
      </c>
      <c r="CU67" s="20" cm="1">
        <f t="array" ref="CU67">_xlfn.XLOOKUP(CS67&amp;CT67,(VLOOKUP!$A$3:$A$250)&amp;(VLOOKUP!$B$3:$B$250),VLOOKUP!$C$3:$C$250,"Incomplete",-1)</f>
        <v>540</v>
      </c>
      <c r="CV67" s="20" t="str" cm="1">
        <f t="array" ref="CV67">_xlfn.XLOOKUP(CU67, _xlfn.XLOOKUP(E67, 'Normative data'!$Y$11:$Y$14, 'Normative data'!$Z$11:$AG$14, ,-1), 'Normative data'!$Z$10:$AG$10, "Not Found", -1)</f>
        <v xml:space="preserve">Very poor </v>
      </c>
      <c r="CW67" s="20" cm="1">
        <f t="array" ref="CW67">IF(OR(ISBLANK(CS67),ISBLANK(CT67)),"Incomplete",_xlfn.XLOOKUP(CS67&amp;CT67,VLOOKUP!$A$4:$A$250&amp;VLOOKUP!$B$4:$B$250,VLOOKUP!$D$4:$D$250,"0"))</f>
        <v>28</v>
      </c>
    </row>
    <row r="68" spans="1:101">
      <c r="A68" s="17" t="s">
        <v>252</v>
      </c>
      <c r="B68" s="17" t="s">
        <v>250</v>
      </c>
      <c r="C68" s="17" t="s">
        <v>86</v>
      </c>
      <c r="D68" s="26">
        <v>40679</v>
      </c>
      <c r="E68" s="17">
        <v>14.9</v>
      </c>
      <c r="F68" s="20" t="s">
        <v>92</v>
      </c>
      <c r="G68" s="17">
        <v>2026</v>
      </c>
      <c r="I68" s="20">
        <v>2</v>
      </c>
      <c r="J68" s="20" t="s">
        <v>88</v>
      </c>
      <c r="K68" s="20" t="s">
        <v>218</v>
      </c>
      <c r="L68" s="20"/>
      <c r="S68" s="20">
        <v>79.900000000000006</v>
      </c>
      <c r="T68" s="20">
        <v>157</v>
      </c>
      <c r="U68" s="17">
        <v>43.9</v>
      </c>
      <c r="V68" s="17">
        <v>25.5</v>
      </c>
      <c r="W68" s="17">
        <v>9.1999999999999993</v>
      </c>
      <c r="X68" s="17">
        <v>34.700000000000003</v>
      </c>
      <c r="Y68" s="17">
        <v>18.600000000000001</v>
      </c>
      <c r="Z68" s="17">
        <v>17.8</v>
      </c>
      <c r="AA68" s="17">
        <v>20.9</v>
      </c>
      <c r="AB68" s="17">
        <v>5.07</v>
      </c>
      <c r="AC68" s="17">
        <v>98.6</v>
      </c>
      <c r="AD68" s="17">
        <v>5.0999999999999996</v>
      </c>
      <c r="AE68" s="17">
        <v>99.2</v>
      </c>
      <c r="AF68" s="17">
        <v>1.6</v>
      </c>
      <c r="AG68" s="17">
        <v>80.900000000000006</v>
      </c>
      <c r="AH68" s="17">
        <v>1.6</v>
      </c>
      <c r="AI68" s="17">
        <v>80.900000000000006</v>
      </c>
      <c r="AJ68" s="17">
        <v>342.7</v>
      </c>
      <c r="AK68" s="17">
        <v>337.4</v>
      </c>
      <c r="AL68" s="17">
        <v>307.2</v>
      </c>
      <c r="AM68" s="17">
        <v>304.2</v>
      </c>
      <c r="AN68" s="17">
        <v>96</v>
      </c>
      <c r="AO68" s="17">
        <v>0.83</v>
      </c>
      <c r="AP68" s="17">
        <v>5.3</v>
      </c>
      <c r="AQ68" s="17">
        <v>26.6</v>
      </c>
      <c r="AR68" s="17">
        <v>0.46600000000000003</v>
      </c>
      <c r="AS68" s="17">
        <v>32</v>
      </c>
      <c r="AT68" s="17">
        <v>0.51100000000000001</v>
      </c>
      <c r="AU68" s="17">
        <v>14.8</v>
      </c>
      <c r="AV68" s="17">
        <v>0.34699999999999998</v>
      </c>
      <c r="AW68" s="17">
        <v>19.7</v>
      </c>
      <c r="AX68" s="17">
        <v>0.40100000000000002</v>
      </c>
      <c r="AY68" s="41">
        <f t="shared" si="14"/>
        <v>1548.29</v>
      </c>
      <c r="BA68" s="20">
        <f t="shared" si="15"/>
        <v>1876.0699999999997</v>
      </c>
      <c r="BC68" s="20">
        <f t="shared" si="16"/>
        <v>832.02999999999975</v>
      </c>
      <c r="BE68" s="20">
        <f t="shared" si="17"/>
        <v>1129.46</v>
      </c>
      <c r="BG68" s="17">
        <v>16.5</v>
      </c>
      <c r="BH68" s="17">
        <v>46</v>
      </c>
      <c r="BI68" s="20">
        <f t="shared" si="18"/>
        <v>29.5</v>
      </c>
      <c r="BJ68" s="20"/>
      <c r="BK68" s="17">
        <v>14.7</v>
      </c>
      <c r="BL68" s="20"/>
      <c r="BM68" s="17">
        <v>15.6</v>
      </c>
      <c r="BN68" s="20"/>
      <c r="BO68" s="17">
        <v>38</v>
      </c>
      <c r="BP68" s="17">
        <v>40.6</v>
      </c>
      <c r="BQ68" s="17">
        <v>80</v>
      </c>
      <c r="BR68" s="17">
        <v>91</v>
      </c>
      <c r="BS68" s="17">
        <v>86</v>
      </c>
      <c r="BT68" s="17">
        <v>80</v>
      </c>
      <c r="BU68" s="17">
        <v>93</v>
      </c>
      <c r="BV68" s="17">
        <v>93</v>
      </c>
      <c r="BW68" s="91">
        <f t="shared" si="19"/>
        <v>111.11111111111111</v>
      </c>
      <c r="BX68" s="91" t="str">
        <f>_xlfn.XLOOKUP(BW68,'Normative data'!$V$3:$V$6,'Normative data'!$W$3:$W$6,"Not Found",-1)</f>
        <v>Low risk</v>
      </c>
      <c r="BY68" s="91">
        <f t="shared" si="20"/>
        <v>115.00216169476872</v>
      </c>
      <c r="BZ68" s="91" t="str">
        <f>_xlfn.XLOOKUP(BY68,'Normative data'!$V$3:$V$6,'Normative data'!$W$3:$W$6,"Not Found",-1)</f>
        <v>Low risk</v>
      </c>
      <c r="CA68" s="17">
        <v>31</v>
      </c>
      <c r="CC68" s="20"/>
      <c r="CE68" s="17">
        <v>3</v>
      </c>
      <c r="CG68" s="17">
        <v>19.239999999999998</v>
      </c>
      <c r="CH68" s="20" t="str">
        <f>_xlfn.XLOOKUP(CG68, 'Normative data'!$S$9:$S$15,'Normative data'!$T$9:$T$15, "Not Found", -1)</f>
        <v>Average</v>
      </c>
      <c r="CI68" s="17">
        <v>19.22</v>
      </c>
      <c r="CJ68" s="20" t="str">
        <f>_xlfn.XLOOKUP(CI68, 'Normative data'!$S$9:$S$15, 'Normative data'!$T$9:$T$15, "Not Found", -1)</f>
        <v>Average</v>
      </c>
      <c r="CK68" s="17">
        <v>2.0499999999999998</v>
      </c>
      <c r="CL68" s="17">
        <v>4.88</v>
      </c>
      <c r="CN68" s="17">
        <v>6.32</v>
      </c>
      <c r="CO68" s="17">
        <v>7.91</v>
      </c>
      <c r="CQ68" s="17">
        <v>7.5</v>
      </c>
      <c r="CR68" s="20" t="str" cm="1">
        <f t="array" ref="CR68">IF(OR(ISBLANK(E68),ISBLANK(CQ68)),"Incomplete",_xlfn.XLOOKUP(CQ68,_xlfn.XLOOKUP(E68,'Normative data'!$Y$3:$Y$6,'Normative data'!$Z$3:$AG$6,,-1),'Normative data'!$Z$2:$AG$2,"Not Found",-1))</f>
        <v>Average</v>
      </c>
      <c r="CS68" s="20">
        <v>7</v>
      </c>
      <c r="CT68" s="20">
        <v>5</v>
      </c>
      <c r="CU68" s="20" cm="1">
        <f t="array" ref="CU68">_xlfn.XLOOKUP(CS68&amp;CT68,(VLOOKUP!$A$3:$A$250)&amp;(VLOOKUP!$B$3:$B$250),VLOOKUP!$C$3:$C$250,"Incomplete",-1)</f>
        <v>1120</v>
      </c>
      <c r="CV68" s="20" t="str" cm="1">
        <f t="array" ref="CV68">_xlfn.XLOOKUP(CU68, _xlfn.XLOOKUP(E68, 'Normative data'!$Y$11:$Y$14, 'Normative data'!$Z$11:$AG$14, ,-1), 'Normative data'!$Z$10:$AG$10, "Not Found", -1)</f>
        <v>Average</v>
      </c>
      <c r="CW68" s="20" cm="1">
        <f t="array" ref="CW68">IF(OR(ISBLANK(CS68),ISBLANK(CT68)),"Incomplete",_xlfn.XLOOKUP(CS68&amp;CT68,VLOOKUP!$A$4:$A$250&amp;VLOOKUP!$B$4:$B$250,VLOOKUP!$D$4:$D$250,"0"))</f>
        <v>38</v>
      </c>
    </row>
    <row r="69" spans="1:101">
      <c r="A69" s="17" t="s">
        <v>253</v>
      </c>
      <c r="B69" s="17" t="s">
        <v>250</v>
      </c>
      <c r="C69" s="17" t="s">
        <v>86</v>
      </c>
      <c r="D69" s="20"/>
      <c r="F69" s="20" t="s">
        <v>107</v>
      </c>
      <c r="G69" s="17">
        <v>2026</v>
      </c>
      <c r="I69" s="20">
        <v>2</v>
      </c>
      <c r="J69" s="20"/>
      <c r="K69" s="20"/>
      <c r="L69" s="20"/>
      <c r="S69" s="20">
        <v>73.2</v>
      </c>
      <c r="T69" s="20">
        <v>142.9</v>
      </c>
      <c r="AY69" s="41" t="str">
        <f t="shared" si="14"/>
        <v>Incomplete</v>
      </c>
      <c r="BA69" s="20" t="str">
        <f t="shared" si="15"/>
        <v>Incomplete</v>
      </c>
      <c r="BC69" s="20" t="str">
        <f t="shared" si="16"/>
        <v>Incomplete</v>
      </c>
      <c r="BE69" s="20" t="str">
        <f t="shared" si="17"/>
        <v>Incomplete</v>
      </c>
      <c r="BH69" s="17">
        <v>41</v>
      </c>
      <c r="BI69" s="20" t="str">
        <f t="shared" si="18"/>
        <v>Incomplete</v>
      </c>
      <c r="BJ69" s="20"/>
      <c r="BK69" s="17">
        <v>13.2</v>
      </c>
      <c r="BL69" s="20"/>
      <c r="BM69" s="17">
        <v>13.4</v>
      </c>
      <c r="BN69" s="20"/>
      <c r="BW69" s="91">
        <f t="shared" si="19"/>
        <v>0</v>
      </c>
      <c r="BX69" s="91" t="str">
        <f>_xlfn.XLOOKUP(BW69,'Normative data'!$V$3:$V$6,'Normative data'!$W$3:$W$6,"Not Found",-1)</f>
        <v>Not completed</v>
      </c>
      <c r="BY69" s="91">
        <f t="shared" si="20"/>
        <v>0</v>
      </c>
      <c r="BZ69" s="91" t="str">
        <f>_xlfn.XLOOKUP(BY69,'Normative data'!$V$3:$V$6,'Normative data'!$W$3:$W$6,"Not Found",-1)</f>
        <v>Not completed</v>
      </c>
      <c r="CA69" s="20"/>
      <c r="CC69" s="20"/>
      <c r="CE69" s="17">
        <v>7</v>
      </c>
      <c r="CG69" s="20"/>
      <c r="CH69" s="20" t="str">
        <f>_xlfn.XLOOKUP(CG69, 'Normative data'!$S$9:$S$15,'Normative data'!$T$9:$T$15, "Not Found", -1)</f>
        <v>not completed</v>
      </c>
      <c r="CI69" s="20"/>
      <c r="CJ69" s="20" t="str">
        <f>_xlfn.XLOOKUP(CI69, 'Normative data'!$S$9:$S$15, 'Normative data'!$T$9:$T$15, "Not Found", -1)</f>
        <v>not completed</v>
      </c>
      <c r="CK69" s="17">
        <v>2.41</v>
      </c>
      <c r="CL69" s="17">
        <v>4.1500000000000004</v>
      </c>
      <c r="CN69" s="17">
        <v>8</v>
      </c>
      <c r="CO69" s="17">
        <v>6.25</v>
      </c>
      <c r="CQ69" s="17">
        <v>3.3</v>
      </c>
      <c r="CR69" s="20" t="str" cm="1">
        <f t="array" ref="CR69">IF(OR(ISBLANK(E69),ISBLANK(CQ69)),"Incomplete",_xlfn.XLOOKUP(CQ69,_xlfn.XLOOKUP(E69,'Normative data'!$Y$3:$Y$6,'Normative data'!$Z$3:$AG$6,,-1),'Normative data'!$Z$2:$AG$2,"Not Found",-1))</f>
        <v>Incomplete</v>
      </c>
      <c r="CS69" s="20">
        <v>3</v>
      </c>
      <c r="CT69" s="20">
        <v>3</v>
      </c>
      <c r="CU69" s="20" cm="1">
        <f t="array" ref="CU69">_xlfn.XLOOKUP(CS69&amp;CT69,(VLOOKUP!$A$3:$A$250)&amp;(VLOOKUP!$B$3:$B$250),VLOOKUP!$C$3:$C$250,"Incomplete",-1)</f>
        <v>360</v>
      </c>
      <c r="CV69" s="20" t="str" cm="1">
        <f t="array" ref="CV69">_xlfn.XLOOKUP(CU69, _xlfn.XLOOKUP(E69, 'Normative data'!$Y$11:$Y$14, 'Normative data'!$Z$11:$AG$14, ,-1), 'Normative data'!$Z$10:$AG$10, "Not Found", -1)</f>
        <v xml:space="preserve">Very poor </v>
      </c>
      <c r="CW69" s="20" cm="1">
        <f t="array" ref="CW69">IF(OR(ISBLANK(CS69),ISBLANK(CT69)),"Incomplete",_xlfn.XLOOKUP(CS69&amp;CT69,VLOOKUP!$A$4:$A$250&amp;VLOOKUP!$B$4:$B$250,VLOOKUP!$D$4:$D$250,"0"))</f>
        <v>24</v>
      </c>
    </row>
    <row r="70" spans="1:101">
      <c r="A70" s="17" t="s">
        <v>254</v>
      </c>
      <c r="B70" s="17" t="s">
        <v>255</v>
      </c>
      <c r="C70" s="17" t="s">
        <v>86</v>
      </c>
      <c r="D70" s="26">
        <v>40734</v>
      </c>
      <c r="E70" s="17">
        <v>14.5</v>
      </c>
      <c r="F70" s="20" t="s">
        <v>104</v>
      </c>
      <c r="G70" s="17">
        <v>2026</v>
      </c>
      <c r="I70" s="20">
        <v>2</v>
      </c>
      <c r="J70" s="20" t="s">
        <v>88</v>
      </c>
      <c r="K70" s="20" t="s">
        <v>89</v>
      </c>
      <c r="L70" s="20"/>
      <c r="S70" s="20">
        <v>80.8</v>
      </c>
      <c r="T70" s="20">
        <v>158.19999999999999</v>
      </c>
      <c r="U70" s="17">
        <v>55.4</v>
      </c>
      <c r="V70" s="17">
        <v>30.9</v>
      </c>
      <c r="W70" s="17">
        <v>13.2</v>
      </c>
      <c r="X70" s="17">
        <v>42.2</v>
      </c>
      <c r="Y70" s="17">
        <v>23.2</v>
      </c>
      <c r="Z70" s="17">
        <v>22.1</v>
      </c>
      <c r="AA70" s="17">
        <v>23.8</v>
      </c>
      <c r="AB70" s="17">
        <v>6.3</v>
      </c>
      <c r="AC70" s="17">
        <v>107.8</v>
      </c>
      <c r="AD70" s="17">
        <v>6.28</v>
      </c>
      <c r="AE70" s="17">
        <v>107.4</v>
      </c>
      <c r="AF70" s="17">
        <v>2.2000000000000002</v>
      </c>
      <c r="AG70" s="17">
        <v>104.8</v>
      </c>
      <c r="AH70" s="17">
        <v>2.2000000000000002</v>
      </c>
      <c r="AI70" s="17">
        <v>104.7</v>
      </c>
      <c r="AJ70" s="17">
        <v>289.2</v>
      </c>
      <c r="AK70" s="17">
        <v>290.5</v>
      </c>
      <c r="AL70" s="17">
        <v>255</v>
      </c>
      <c r="AM70" s="17">
        <v>255.6</v>
      </c>
      <c r="AN70" s="17">
        <v>94</v>
      </c>
      <c r="AO70" s="17">
        <v>0.81</v>
      </c>
      <c r="AP70" s="17">
        <v>6.6</v>
      </c>
      <c r="AQ70" s="20"/>
      <c r="AR70" s="20"/>
      <c r="AS70" s="20"/>
      <c r="AT70" s="20"/>
      <c r="AU70" s="20"/>
      <c r="AV70" s="20"/>
      <c r="AW70" s="20"/>
      <c r="AX70" s="20"/>
      <c r="AY70" s="41" t="str">
        <f t="shared" si="14"/>
        <v>Incomplete</v>
      </c>
      <c r="BA70" s="20" t="str">
        <f t="shared" si="15"/>
        <v>Incomplete</v>
      </c>
      <c r="BC70" s="20" t="str">
        <f t="shared" si="16"/>
        <v>Incomplete</v>
      </c>
      <c r="BE70" s="20" t="str">
        <f t="shared" si="17"/>
        <v>Incomplete</v>
      </c>
      <c r="BG70" s="17">
        <v>11.5</v>
      </c>
      <c r="BH70" s="17">
        <v>48.3</v>
      </c>
      <c r="BI70" s="20">
        <f t="shared" si="18"/>
        <v>36.799999999999997</v>
      </c>
      <c r="BJ70" s="20"/>
      <c r="BL70" s="20"/>
      <c r="BM70" s="20"/>
      <c r="BN70" s="20"/>
      <c r="BW70" s="91">
        <f t="shared" si="19"/>
        <v>0</v>
      </c>
      <c r="BX70" s="91" t="str">
        <f>_xlfn.XLOOKUP(BW70,'Normative data'!$V$3:$V$6,'Normative data'!$W$3:$W$6,"Not Found",-1)</f>
        <v>Not completed</v>
      </c>
      <c r="BY70" s="91">
        <f t="shared" si="20"/>
        <v>0</v>
      </c>
      <c r="BZ70" s="91" t="str">
        <f>_xlfn.XLOOKUP(BY70,'Normative data'!$V$3:$V$6,'Normative data'!$W$3:$W$6,"Not Found",-1)</f>
        <v>Not completed</v>
      </c>
      <c r="CA70" s="17">
        <v>30</v>
      </c>
      <c r="CC70" s="20"/>
      <c r="CE70" s="17">
        <v>10</v>
      </c>
      <c r="CG70" s="20"/>
      <c r="CH70" s="20" t="str">
        <f>_xlfn.XLOOKUP(CG70, 'Normative data'!$S$9:$S$15,'Normative data'!$T$9:$T$15, "Not Found", -1)</f>
        <v>not completed</v>
      </c>
      <c r="CI70" s="20"/>
      <c r="CJ70" s="20" t="str">
        <f>_xlfn.XLOOKUP(CI70, 'Normative data'!$S$9:$S$15, 'Normative data'!$T$9:$T$15, "Not Found", -1)</f>
        <v>not completed</v>
      </c>
      <c r="CK70" s="17">
        <v>2.0699999999999998</v>
      </c>
      <c r="CL70" s="17">
        <v>4.83</v>
      </c>
      <c r="CN70" s="17">
        <v>6.49</v>
      </c>
      <c r="CO70" s="17">
        <v>7.7</v>
      </c>
      <c r="CR70" s="20" t="str" cm="1">
        <f t="array" ref="CR70">IF(OR(ISBLANK(E70),ISBLANK(CQ70)),"Incomplete",_xlfn.XLOOKUP(CQ70,_xlfn.XLOOKUP(E70,'Normative data'!$Y$3:$Y$6,'Normative data'!$Z$3:$AG$6,,-1),'Normative data'!$Z$2:$AG$2,"Not Found",-1))</f>
        <v>Incomplete</v>
      </c>
      <c r="CS70" s="20"/>
      <c r="CT70" s="20"/>
      <c r="CU70" s="20" t="str" cm="1">
        <f t="array" ref="CU70">_xlfn.XLOOKUP(CS70&amp;CT70,(VLOOKUP!$A$3:$A$250)&amp;(VLOOKUP!$B$3:$B$250),VLOOKUP!$C$3:$C$250,"Incomplete",-1)</f>
        <v>Incomplete</v>
      </c>
      <c r="CV70" s="20" t="str" cm="1">
        <f t="array" ref="CV70">_xlfn.XLOOKUP(CU70, _xlfn.XLOOKUP(E70, 'Normative data'!$Y$11:$Y$14, 'Normative data'!$Z$11:$AG$14, ,-1), 'Normative data'!$Z$10:$AG$10, "Not Found", -1)</f>
        <v>Excellent</v>
      </c>
      <c r="CW70" s="20" t="str" cm="1">
        <f t="array" ref="CW70">IF(OR(ISBLANK(CS70),ISBLANK(CT70)),"Incomplete",_xlfn.XLOOKUP(CS70&amp;CT70,VLOOKUP!$A$4:$A$250&amp;VLOOKUP!$B$4:$B$250,VLOOKUP!$D$4:$D$250,"0"))</f>
        <v>Incomplete</v>
      </c>
    </row>
    <row r="71" spans="1:101">
      <c r="A71" s="22" t="s">
        <v>256</v>
      </c>
      <c r="B71" s="22" t="s">
        <v>257</v>
      </c>
      <c r="C71" s="17" t="s">
        <v>86</v>
      </c>
      <c r="D71" s="23">
        <v>40305</v>
      </c>
      <c r="F71" s="17">
        <v>9</v>
      </c>
      <c r="G71" s="17">
        <v>2025</v>
      </c>
      <c r="H71" s="20" t="s">
        <v>114</v>
      </c>
      <c r="I71" s="17">
        <v>1</v>
      </c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41" t="str">
        <f t="shared" si="14"/>
        <v>Incomplete</v>
      </c>
      <c r="AZ71" s="20"/>
      <c r="BA71" s="20" t="str">
        <f t="shared" si="15"/>
        <v>Incomplete</v>
      </c>
      <c r="BB71" s="20"/>
      <c r="BC71" s="20" t="str">
        <f t="shared" si="16"/>
        <v>Incomplete</v>
      </c>
      <c r="BD71" s="20"/>
      <c r="BE71" s="20" t="str">
        <f t="shared" si="17"/>
        <v>Incomplete</v>
      </c>
      <c r="BF71" s="20"/>
      <c r="BG71" s="20">
        <v>7</v>
      </c>
      <c r="BH71" s="20">
        <v>25</v>
      </c>
      <c r="BI71" s="20">
        <f t="shared" si="18"/>
        <v>18</v>
      </c>
      <c r="BJ71" s="20"/>
      <c r="BK71" s="20">
        <v>6.5</v>
      </c>
      <c r="BL71" s="20"/>
      <c r="BM71" s="20">
        <v>6.4</v>
      </c>
      <c r="BN71" s="20"/>
      <c r="BO71" s="20"/>
      <c r="BP71" s="20"/>
      <c r="BQ71" s="20"/>
      <c r="BR71" s="20"/>
      <c r="BS71" s="20"/>
      <c r="BT71" s="20"/>
      <c r="BU71" s="20"/>
      <c r="BV71" s="20"/>
      <c r="BW71" s="91" t="str">
        <f t="shared" si="19"/>
        <v>Incomplete</v>
      </c>
      <c r="BX71" s="91" t="str">
        <f>_xlfn.XLOOKUP(BW71,'Normative data'!$V$3:$V$6,'Normative data'!$W$3:$W$6,"Not Found",-1)</f>
        <v>Very low risk</v>
      </c>
      <c r="BY71" s="91" t="str">
        <f t="shared" si="20"/>
        <v>Incomplete</v>
      </c>
      <c r="BZ71" s="91" t="str">
        <f>_xlfn.XLOOKUP(BY71,'Normative data'!$V$3:$V$6,'Normative data'!$W$3:$W$6,"Not Found",-1)</f>
        <v>Very low risk</v>
      </c>
      <c r="CA71" s="20"/>
      <c r="CC71" s="20"/>
      <c r="CE71" s="20">
        <v>1</v>
      </c>
      <c r="CG71" s="20"/>
      <c r="CH71" s="20" t="str">
        <f>_xlfn.XLOOKUP(CG71, 'Normative data'!$S$9:$S$15,'Normative data'!$T$9:$T$15, "Not Found", -1)</f>
        <v>not completed</v>
      </c>
      <c r="CI71" s="20"/>
      <c r="CJ71" s="20" t="str">
        <f>_xlfn.XLOOKUP(CI71, 'Normative data'!$S$9:$S$15, 'Normative data'!$T$9:$T$15, "Not Found", -1)</f>
        <v>not completed</v>
      </c>
      <c r="CK71" s="24">
        <v>2.16</v>
      </c>
      <c r="CL71" s="24">
        <v>4.63</v>
      </c>
      <c r="CM71" s="21"/>
      <c r="CN71" s="25">
        <v>7.52</v>
      </c>
      <c r="CO71" s="25">
        <v>6.65</v>
      </c>
      <c r="CP71" s="24"/>
      <c r="CQ71" s="30"/>
      <c r="CR71" s="20" t="str" cm="1">
        <f t="array" ref="CR71">IF(OR(ISBLANK(E71),ISBLANK(CQ71)),"Incomplete",_xlfn.XLOOKUP(CQ71,_xlfn.XLOOKUP(E71,'Normative data'!$Y$3:$Y$6,'Normative data'!$Z$3:$AG$6,,-1),'Normative data'!$Z$2:$AG$2,"Not Found",-1))</f>
        <v>Incomplete</v>
      </c>
      <c r="CS71" s="20"/>
      <c r="CT71" s="20"/>
      <c r="CU71" s="20" t="str" cm="1">
        <f t="array" ref="CU71">_xlfn.XLOOKUP(CS71&amp;CT71,(VLOOKUP!$A$3:$A$250)&amp;(VLOOKUP!$B$3:$B$250),VLOOKUP!$C$3:$C$250,"Incomplete",-1)</f>
        <v>Incomplete</v>
      </c>
      <c r="CV71" s="20" t="str" cm="1">
        <f t="array" ref="CV71">_xlfn.XLOOKUP(CU71, _xlfn.XLOOKUP(E71, 'Normative data'!$Y$11:$Y$14, 'Normative data'!$Z$11:$AG$14, ,-1), 'Normative data'!$Z$10:$AG$10, "Not Found", -1)</f>
        <v>Excellent</v>
      </c>
      <c r="CW71" s="20" t="str" cm="1">
        <f t="array" ref="CW71">IF(OR(ISBLANK(CS71),ISBLANK(CT71)),"Incomplete",_xlfn.XLOOKUP(CS71&amp;CT71,VLOOKUP!$A$4:$A$250&amp;VLOOKUP!$B$4:$B$250,VLOOKUP!$D$4:$D$250,"0"))</f>
        <v>Incomplete</v>
      </c>
    </row>
    <row r="72" spans="1:101">
      <c r="A72" s="17" t="s">
        <v>258</v>
      </c>
      <c r="B72" s="17" t="s">
        <v>257</v>
      </c>
      <c r="C72" s="17" t="s">
        <v>86</v>
      </c>
      <c r="D72" s="23">
        <v>40305</v>
      </c>
      <c r="F72" s="17">
        <v>9</v>
      </c>
      <c r="G72" s="17">
        <v>2025</v>
      </c>
      <c r="H72" s="20" t="s">
        <v>124</v>
      </c>
      <c r="I72" s="17">
        <v>3</v>
      </c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41" t="str">
        <f t="shared" si="14"/>
        <v>Incomplete</v>
      </c>
      <c r="AZ72" s="20"/>
      <c r="BA72" s="20" t="str">
        <f t="shared" si="15"/>
        <v>Incomplete</v>
      </c>
      <c r="BB72" s="20"/>
      <c r="BC72" s="20" t="str">
        <f t="shared" si="16"/>
        <v>Incomplete</v>
      </c>
      <c r="BD72" s="20"/>
      <c r="BE72" s="20" t="str">
        <f t="shared" si="17"/>
        <v>Incomplete</v>
      </c>
      <c r="BF72" s="20"/>
      <c r="BG72" s="20"/>
      <c r="BH72" s="20"/>
      <c r="BI72" s="20" t="str">
        <f t="shared" si="18"/>
        <v>Incomplete</v>
      </c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91" t="str">
        <f t="shared" si="19"/>
        <v>Incomplete</v>
      </c>
      <c r="BX72" s="91" t="str">
        <f>_xlfn.XLOOKUP(BW72,'Normative data'!$V$3:$V$6,'Normative data'!$W$3:$W$6,"Not Found",-1)</f>
        <v>Very low risk</v>
      </c>
      <c r="BY72" s="91" t="str">
        <f t="shared" si="20"/>
        <v>Incomplete</v>
      </c>
      <c r="BZ72" s="91" t="str">
        <f>_xlfn.XLOOKUP(BY72,'Normative data'!$V$3:$V$6,'Normative data'!$W$3:$W$6,"Not Found",-1)</f>
        <v>Very low risk</v>
      </c>
      <c r="CA72" s="20"/>
      <c r="CC72" s="20"/>
      <c r="CE72" s="20"/>
      <c r="CG72" s="20"/>
      <c r="CH72" s="20" t="str">
        <f>_xlfn.XLOOKUP(CG72, 'Normative data'!$S$9:$S$15,'Normative data'!$T$9:$T$15, "Not Found", -1)</f>
        <v>not completed</v>
      </c>
      <c r="CI72" s="20"/>
      <c r="CJ72" s="20" t="str">
        <f>_xlfn.XLOOKUP(CI72, 'Normative data'!$S$9:$S$15, 'Normative data'!$T$9:$T$15, "Not Found", -1)</f>
        <v>not completed</v>
      </c>
      <c r="CK72" s="20" t="s">
        <v>259</v>
      </c>
      <c r="CL72" s="20" t="s">
        <v>260</v>
      </c>
      <c r="CN72" s="20" t="s">
        <v>261</v>
      </c>
      <c r="CO72" s="20" t="s">
        <v>262</v>
      </c>
      <c r="CQ72" s="30"/>
      <c r="CR72" s="20" t="str" cm="1">
        <f t="array" ref="CR72">IF(OR(ISBLANK(E72),ISBLANK(CQ72)),"Incomplete",_xlfn.XLOOKUP(CQ72,_xlfn.XLOOKUP(E72,'Normative data'!$Y$3:$Y$6,'Normative data'!$Z$3:$AG$6,,-1),'Normative data'!$Z$2:$AG$2,"Not Found",-1))</f>
        <v>Incomplete</v>
      </c>
      <c r="CS72" s="20"/>
      <c r="CT72" s="20"/>
      <c r="CU72" s="20" t="str" cm="1">
        <f t="array" ref="CU72">_xlfn.XLOOKUP(CS72&amp;CT72,(VLOOKUP!$A$3:$A$250)&amp;(VLOOKUP!$B$3:$B$250),VLOOKUP!$C$3:$C$250,"Incomplete",-1)</f>
        <v>Incomplete</v>
      </c>
      <c r="CV72" s="20" t="str" cm="1">
        <f t="array" ref="CV72">_xlfn.XLOOKUP(CU72, _xlfn.XLOOKUP(E72, 'Normative data'!$Y$11:$Y$14, 'Normative data'!$Z$11:$AG$14, ,-1), 'Normative data'!$Z$10:$AG$10, "Not Found", -1)</f>
        <v>Excellent</v>
      </c>
      <c r="CW72" s="20" t="str" cm="1">
        <f t="array" ref="CW72">IF(OR(ISBLANK(CS72),ISBLANK(CT72)),"Incomplete",_xlfn.XLOOKUP(CS72&amp;CT72,VLOOKUP!$A$4:$A$250&amp;VLOOKUP!$B$4:$B$250,VLOOKUP!$D$4:$D$250,"0"))</f>
        <v>Incomplete</v>
      </c>
    </row>
    <row r="73" spans="1:101">
      <c r="A73" s="17" t="s">
        <v>263</v>
      </c>
      <c r="B73" s="17" t="s">
        <v>264</v>
      </c>
      <c r="C73" s="17" t="s">
        <v>86</v>
      </c>
      <c r="D73" s="26">
        <v>40478</v>
      </c>
      <c r="E73" s="17">
        <v>15.5</v>
      </c>
      <c r="F73" s="20" t="s">
        <v>217</v>
      </c>
      <c r="G73" s="17">
        <v>2026</v>
      </c>
      <c r="I73" s="20">
        <v>2</v>
      </c>
      <c r="J73" s="20" t="s">
        <v>88</v>
      </c>
      <c r="K73" s="20" t="s">
        <v>93</v>
      </c>
      <c r="L73" s="20"/>
      <c r="S73" s="20">
        <v>77.7</v>
      </c>
      <c r="T73" s="20">
        <v>154.69999999999999</v>
      </c>
      <c r="U73" s="17">
        <v>39.299999999999997</v>
      </c>
      <c r="V73" s="17">
        <v>22.5</v>
      </c>
      <c r="W73" s="17">
        <v>8.5</v>
      </c>
      <c r="X73" s="17">
        <v>30.8</v>
      </c>
      <c r="Y73" s="17">
        <v>16</v>
      </c>
      <c r="Z73" s="17">
        <v>16.399999999999999</v>
      </c>
      <c r="AA73" s="17">
        <v>21.6</v>
      </c>
      <c r="AB73" s="17">
        <v>4.1399999999999997</v>
      </c>
      <c r="AC73" s="17">
        <v>88.8</v>
      </c>
      <c r="AD73" s="17">
        <v>4.1399999999999997</v>
      </c>
      <c r="AE73" s="17">
        <v>88.9</v>
      </c>
      <c r="AF73" s="17">
        <v>1.4</v>
      </c>
      <c r="AG73" s="17">
        <v>82.4</v>
      </c>
      <c r="AH73" s="17">
        <v>1.4</v>
      </c>
      <c r="AI73" s="17">
        <v>82.5</v>
      </c>
      <c r="AJ73" s="17">
        <v>426.1</v>
      </c>
      <c r="AK73" s="17">
        <v>427.4</v>
      </c>
      <c r="AL73" s="17">
        <v>386</v>
      </c>
      <c r="AM73" s="17">
        <v>388.4</v>
      </c>
      <c r="AN73" s="17">
        <v>81</v>
      </c>
      <c r="AO73" s="17">
        <v>0.83</v>
      </c>
      <c r="AP73" s="17">
        <v>4.4000000000000004</v>
      </c>
      <c r="AQ73" s="17">
        <v>20.2</v>
      </c>
      <c r="AR73" s="17">
        <v>0.40600000000000003</v>
      </c>
      <c r="AS73" s="17">
        <v>20.7</v>
      </c>
      <c r="AT73" s="17">
        <v>0.41099999999999998</v>
      </c>
      <c r="AU73" s="17">
        <v>7.4</v>
      </c>
      <c r="AV73" s="17">
        <v>0.245</v>
      </c>
      <c r="AW73" s="17">
        <v>7.8</v>
      </c>
      <c r="AX73" s="17">
        <v>0.253</v>
      </c>
      <c r="AY73" s="41">
        <f t="shared" si="14"/>
        <v>951.42999999999984</v>
      </c>
      <c r="BA73" s="20">
        <f t="shared" si="15"/>
        <v>981.77999999999975</v>
      </c>
      <c r="BC73" s="20">
        <f t="shared" si="16"/>
        <v>174.4699999999998</v>
      </c>
      <c r="BE73" s="20">
        <f t="shared" si="17"/>
        <v>198.75</v>
      </c>
      <c r="BG73" s="17">
        <v>11</v>
      </c>
      <c r="BH73" s="17">
        <v>10</v>
      </c>
      <c r="BI73" s="20">
        <f t="shared" si="18"/>
        <v>-1</v>
      </c>
      <c r="BJ73" s="20"/>
      <c r="BK73" s="17">
        <v>10</v>
      </c>
      <c r="BL73" s="20"/>
      <c r="BM73" s="17">
        <v>8</v>
      </c>
      <c r="BN73" s="20"/>
      <c r="BO73" s="17">
        <v>38</v>
      </c>
      <c r="BP73" s="17">
        <v>38.5</v>
      </c>
      <c r="BQ73" s="17">
        <v>74</v>
      </c>
      <c r="BR73" s="17">
        <v>72</v>
      </c>
      <c r="BS73" s="17">
        <v>67</v>
      </c>
      <c r="BT73" s="17">
        <v>72</v>
      </c>
      <c r="BU73" s="17">
        <v>70</v>
      </c>
      <c r="BV73" s="17">
        <v>72</v>
      </c>
      <c r="BW73" s="91">
        <f t="shared" si="19"/>
        <v>92.207792207792224</v>
      </c>
      <c r="BX73" s="91" t="str">
        <f>_xlfn.XLOOKUP(BW73,'Normative data'!$V$3:$V$6,'Normative data'!$W$3:$W$6,"Not Found",-1)</f>
        <v>High risk</v>
      </c>
      <c r="BY73" s="91">
        <f t="shared" si="20"/>
        <v>92.640692640692663</v>
      </c>
      <c r="BZ73" s="91" t="str">
        <f>_xlfn.XLOOKUP(BY73,'Normative data'!$V$3:$V$6,'Normative data'!$W$3:$W$6,"Not Found",-1)</f>
        <v>High risk</v>
      </c>
      <c r="CA73" s="17">
        <v>26</v>
      </c>
      <c r="CC73" s="20"/>
      <c r="CE73" s="17">
        <v>6</v>
      </c>
      <c r="CG73" s="20"/>
      <c r="CH73" s="20" t="str">
        <f>_xlfn.XLOOKUP(CG73, 'Normative data'!$S$9:$S$15,'Normative data'!$T$9:$T$15, "Not Found", -1)</f>
        <v>not completed</v>
      </c>
      <c r="CI73" s="20"/>
      <c r="CJ73" s="20" t="str">
        <f>_xlfn.XLOOKUP(CI73, 'Normative data'!$S$9:$S$15, 'Normative data'!$T$9:$T$15, "Not Found", -1)</f>
        <v>not completed</v>
      </c>
      <c r="CK73" s="17">
        <v>2.41</v>
      </c>
      <c r="CL73" s="17">
        <v>4.1500000000000004</v>
      </c>
      <c r="CN73" s="17">
        <v>8.18</v>
      </c>
      <c r="CO73" s="17">
        <v>6.11</v>
      </c>
      <c r="CQ73" s="17">
        <v>4.4000000000000004</v>
      </c>
      <c r="CR73" s="20" t="str" cm="1">
        <f t="array" ref="CR73">IF(OR(ISBLANK(E73),ISBLANK(CQ73)),"Incomplete",_xlfn.XLOOKUP(CQ73,_xlfn.XLOOKUP(E73,'Normative data'!$Y$3:$Y$6,'Normative data'!$Z$3:$AG$6,,-1),'Normative data'!$Z$2:$AG$2,"Not Found",-1))</f>
        <v>Poor</v>
      </c>
      <c r="CS73" s="20">
        <v>4</v>
      </c>
      <c r="CT73" s="20">
        <v>4</v>
      </c>
      <c r="CU73" s="20" cm="1">
        <f t="array" ref="CU73">_xlfn.XLOOKUP(CS73&amp;CT73,(VLOOKUP!$A$3:$A$250)&amp;(VLOOKUP!$B$3:$B$250),VLOOKUP!$C$3:$C$250,"Incomplete",-1)</f>
        <v>540</v>
      </c>
      <c r="CV73" s="20" t="str" cm="1">
        <f t="array" ref="CV73">_xlfn.XLOOKUP(CU73, _xlfn.XLOOKUP(E73, 'Normative data'!$Y$11:$Y$14, 'Normative data'!$Z$11:$AG$14, ,-1), 'Normative data'!$Z$10:$AG$10, "Not Found", -1)</f>
        <v xml:space="preserve">Poor </v>
      </c>
      <c r="CW73" s="20" cm="1">
        <f t="array" ref="CW73">IF(OR(ISBLANK(CS73),ISBLANK(CT73)),"Incomplete",_xlfn.XLOOKUP(CS73&amp;CT73,VLOOKUP!$A$4:$A$250&amp;VLOOKUP!$B$4:$B$250,VLOOKUP!$D$4:$D$250,"0"))</f>
        <v>28</v>
      </c>
    </row>
    <row r="74" spans="1:101">
      <c r="A74" s="17" t="s">
        <v>265</v>
      </c>
      <c r="B74" s="17" t="s">
        <v>266</v>
      </c>
      <c r="C74" s="17" t="s">
        <v>86</v>
      </c>
      <c r="D74" s="26"/>
      <c r="F74" s="20" t="s">
        <v>178</v>
      </c>
      <c r="G74" s="17">
        <v>2026</v>
      </c>
      <c r="I74" s="20">
        <v>2</v>
      </c>
      <c r="J74" s="20"/>
      <c r="K74" s="20"/>
      <c r="L74" s="20"/>
      <c r="S74" s="20">
        <v>93.2</v>
      </c>
      <c r="T74" s="20">
        <v>179.8</v>
      </c>
      <c r="AQ74" s="20"/>
      <c r="AR74" s="20"/>
      <c r="AS74" s="20"/>
      <c r="AT74" s="20"/>
      <c r="AU74" s="20"/>
      <c r="AV74" s="20"/>
      <c r="AW74" s="20"/>
      <c r="AX74" s="20"/>
      <c r="AY74" s="41" t="str">
        <f t="shared" si="14"/>
        <v>Incomplete</v>
      </c>
      <c r="BA74" s="20" t="str">
        <f t="shared" si="15"/>
        <v>Incomplete</v>
      </c>
      <c r="BC74" s="20" t="str">
        <f t="shared" si="16"/>
        <v>Incomplete</v>
      </c>
      <c r="BE74" s="20" t="str">
        <f t="shared" si="17"/>
        <v>Incomplete</v>
      </c>
      <c r="BG74" s="17">
        <v>7.4</v>
      </c>
      <c r="BH74" s="17">
        <v>32.799999999999997</v>
      </c>
      <c r="BI74" s="20">
        <f t="shared" si="18"/>
        <v>25.4</v>
      </c>
      <c r="BJ74" s="20"/>
      <c r="BL74" s="20"/>
      <c r="BM74" s="20"/>
      <c r="BN74" s="20"/>
      <c r="BQ74" s="17">
        <v>88</v>
      </c>
      <c r="BR74" s="17">
        <v>94</v>
      </c>
      <c r="BS74" s="17">
        <v>83</v>
      </c>
      <c r="BT74" s="17">
        <v>87</v>
      </c>
      <c r="BU74" s="17">
        <v>88</v>
      </c>
      <c r="BV74" s="17">
        <v>86</v>
      </c>
      <c r="BW74" s="91">
        <f t="shared" si="19"/>
        <v>102.00153964588144</v>
      </c>
      <c r="BX74" s="91" t="str">
        <f>_xlfn.XLOOKUP(BW74,'Normative data'!$V$3:$V$6,'Normative data'!$W$3:$W$6,"Not Found",-1)</f>
        <v>Low risk</v>
      </c>
      <c r="BY74" s="91">
        <f t="shared" si="20"/>
        <v>100.46189376443418</v>
      </c>
      <c r="BZ74" s="91" t="str">
        <f>_xlfn.XLOOKUP(BY74,'Normative data'!$V$3:$V$6,'Normative data'!$W$3:$W$6,"Not Found",-1)</f>
        <v>Low risk</v>
      </c>
      <c r="CA74" s="20"/>
      <c r="CC74" s="20"/>
      <c r="CE74" s="17">
        <v>27</v>
      </c>
      <c r="CG74" s="17">
        <v>18.89</v>
      </c>
      <c r="CH74" s="20" t="str">
        <f>_xlfn.XLOOKUP(CG74, 'Normative data'!$S$9:$S$15,'Normative data'!$T$9:$T$15, "Not Found", -1)</f>
        <v>Average</v>
      </c>
      <c r="CI74" s="17">
        <v>19.149999999999999</v>
      </c>
      <c r="CJ74" s="20" t="str">
        <f>_xlfn.XLOOKUP(CI74, 'Normative data'!$S$9:$S$15, 'Normative data'!$T$9:$T$15, "Not Found", -1)</f>
        <v>Average</v>
      </c>
      <c r="CK74" s="17">
        <v>2.2799999999999998</v>
      </c>
      <c r="CL74" s="17">
        <v>4.3899999999999997</v>
      </c>
      <c r="CN74" s="17">
        <v>7.31</v>
      </c>
      <c r="CO74" s="17">
        <v>6.84</v>
      </c>
      <c r="CR74" s="20" t="str" cm="1">
        <f t="array" ref="CR74">IF(OR(ISBLANK(E74),ISBLANK(CQ74)),"Incomplete",_xlfn.XLOOKUP(CQ74,_xlfn.XLOOKUP(E74,'Normative data'!$Y$3:$Y$6,'Normative data'!$Z$3:$AG$6,,-1),'Normative data'!$Z$2:$AG$2,"Not Found",-1))</f>
        <v>Incomplete</v>
      </c>
      <c r="CS74" s="20"/>
      <c r="CT74" s="20"/>
      <c r="CU74" s="20" t="str" cm="1">
        <f t="array" ref="CU74">_xlfn.XLOOKUP(CS74&amp;CT74,(VLOOKUP!$A$3:$A$250)&amp;(VLOOKUP!$B$3:$B$250),VLOOKUP!$C$3:$C$250,"Incomplete",-1)</f>
        <v>Incomplete</v>
      </c>
      <c r="CV74" s="20" t="str" cm="1">
        <f t="array" ref="CV74">_xlfn.XLOOKUP(CU74, _xlfn.XLOOKUP(E74, 'Normative data'!$Y$11:$Y$14, 'Normative data'!$Z$11:$AG$14, ,-1), 'Normative data'!$Z$10:$AG$10, "Not Found", -1)</f>
        <v>Excellent</v>
      </c>
      <c r="CW74" s="20" t="str" cm="1">
        <f t="array" ref="CW74">IF(OR(ISBLANK(CS74),ISBLANK(CT74)),"Incomplete",_xlfn.XLOOKUP(CS74&amp;CT74,VLOOKUP!$A$4:$A$250&amp;VLOOKUP!$B$4:$B$250,VLOOKUP!$D$4:$D$250,"0"))</f>
        <v>Incomplete</v>
      </c>
    </row>
    <row r="75" spans="1:101">
      <c r="A75" s="22" t="s">
        <v>267</v>
      </c>
      <c r="B75" s="22" t="s">
        <v>268</v>
      </c>
      <c r="C75" s="17" t="s">
        <v>86</v>
      </c>
      <c r="D75" s="23"/>
      <c r="F75" s="17">
        <v>10</v>
      </c>
      <c r="G75" s="17">
        <v>2025</v>
      </c>
      <c r="H75" s="20" t="s">
        <v>114</v>
      </c>
      <c r="I75" s="17">
        <v>1</v>
      </c>
      <c r="J75" s="17" t="s">
        <v>269</v>
      </c>
      <c r="P75" s="17" t="s">
        <v>269</v>
      </c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41" t="str">
        <f t="shared" si="14"/>
        <v>Incomplete</v>
      </c>
      <c r="AZ75" s="20"/>
      <c r="BA75" s="20" t="str">
        <f t="shared" si="15"/>
        <v>Incomplete</v>
      </c>
      <c r="BB75" s="20"/>
      <c r="BC75" s="20" t="str">
        <f t="shared" si="16"/>
        <v>Incomplete</v>
      </c>
      <c r="BD75" s="20"/>
      <c r="BE75" s="20" t="str">
        <f t="shared" si="17"/>
        <v>Incomplete</v>
      </c>
      <c r="BF75" s="20"/>
      <c r="BG75" s="20">
        <v>10</v>
      </c>
      <c r="BH75" s="20">
        <v>29.2</v>
      </c>
      <c r="BI75" s="20">
        <f t="shared" si="18"/>
        <v>19.2</v>
      </c>
      <c r="BJ75" s="20"/>
      <c r="BK75" s="20">
        <v>7</v>
      </c>
      <c r="BL75" s="20"/>
      <c r="BM75" s="20">
        <v>8</v>
      </c>
      <c r="BN75" s="20"/>
      <c r="BO75" s="20"/>
      <c r="BP75" s="20"/>
      <c r="BQ75" s="20"/>
      <c r="BR75" s="20"/>
      <c r="BS75" s="20"/>
      <c r="BT75" s="20"/>
      <c r="BU75" s="20"/>
      <c r="BV75" s="20"/>
      <c r="BW75" s="91" t="str">
        <f t="shared" si="19"/>
        <v>Incomplete</v>
      </c>
      <c r="BX75" s="91" t="str">
        <f>_xlfn.XLOOKUP(BW75,'Normative data'!$V$3:$V$6,'Normative data'!$W$3:$W$6,"Not Found",-1)</f>
        <v>Very low risk</v>
      </c>
      <c r="BY75" s="91" t="str">
        <f t="shared" si="20"/>
        <v>Incomplete</v>
      </c>
      <c r="BZ75" s="91" t="str">
        <f>_xlfn.XLOOKUP(BY75,'Normative data'!$V$3:$V$6,'Normative data'!$W$3:$W$6,"Not Found",-1)</f>
        <v>Very low risk</v>
      </c>
      <c r="CA75" s="20"/>
      <c r="CC75" s="20"/>
      <c r="CE75" s="20"/>
      <c r="CG75" s="20"/>
      <c r="CH75" s="20" t="str">
        <f>_xlfn.XLOOKUP(CG75, 'Normative data'!$S$9:$S$15,'Normative data'!$T$9:$T$15, "Not Found", -1)</f>
        <v>not completed</v>
      </c>
      <c r="CI75" s="20"/>
      <c r="CJ75" s="20" t="str">
        <f>_xlfn.XLOOKUP(CI75, 'Normative data'!$S$9:$S$15, 'Normative data'!$T$9:$T$15, "Not Found", -1)</f>
        <v>not completed</v>
      </c>
      <c r="CK75" s="24">
        <v>2.59</v>
      </c>
      <c r="CL75" s="24">
        <v>3.86</v>
      </c>
      <c r="CM75" s="21"/>
      <c r="CN75" s="24">
        <v>8.8800000000000008</v>
      </c>
      <c r="CO75" s="24">
        <v>5.63</v>
      </c>
      <c r="CP75" s="24"/>
      <c r="CQ75" s="30"/>
      <c r="CR75" s="20" t="str" cm="1">
        <f t="array" ref="CR75">IF(OR(ISBLANK(E75),ISBLANK(CQ75)),"Incomplete",_xlfn.XLOOKUP(CQ75,_xlfn.XLOOKUP(E75,'Normative data'!$Y$3:$Y$6,'Normative data'!$Z$3:$AG$6,,-1),'Normative data'!$Z$2:$AG$2,"Not Found",-1))</f>
        <v>Incomplete</v>
      </c>
      <c r="CS75" s="20"/>
      <c r="CT75" s="20"/>
      <c r="CU75" s="20" t="str" cm="1">
        <f t="array" ref="CU75">_xlfn.XLOOKUP(CS75&amp;CT75,(VLOOKUP!$A$3:$A$250)&amp;(VLOOKUP!$B$3:$B$250),VLOOKUP!$C$3:$C$250,"Incomplete",-1)</f>
        <v>Incomplete</v>
      </c>
      <c r="CV75" s="20" t="str" cm="1">
        <f t="array" ref="CV75">_xlfn.XLOOKUP(CU75, _xlfn.XLOOKUP(E75, 'Normative data'!$Y$11:$Y$14, 'Normative data'!$Z$11:$AG$14, ,-1), 'Normative data'!$Z$10:$AG$10, "Not Found", -1)</f>
        <v>Excellent</v>
      </c>
      <c r="CW75" s="20" t="str" cm="1">
        <f t="array" ref="CW75">IF(OR(ISBLANK(CS75),ISBLANK(CT75)),"Incomplete",_xlfn.XLOOKUP(CS75&amp;CT75,VLOOKUP!$A$4:$A$250&amp;VLOOKUP!$B$4:$B$250,VLOOKUP!$D$4:$D$250,"0"))</f>
        <v>Incomplete</v>
      </c>
    </row>
    <row r="76" spans="1:101">
      <c r="A76" s="17" t="s">
        <v>267</v>
      </c>
      <c r="B76" s="17" t="s">
        <v>268</v>
      </c>
      <c r="C76" s="17" t="s">
        <v>86</v>
      </c>
      <c r="D76" s="26"/>
      <c r="F76" s="17">
        <v>10</v>
      </c>
      <c r="G76" s="17">
        <v>2025</v>
      </c>
      <c r="H76" s="20" t="s">
        <v>124</v>
      </c>
      <c r="I76" s="17">
        <v>3</v>
      </c>
      <c r="J76" s="17" t="s">
        <v>269</v>
      </c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41" t="str">
        <f t="shared" si="14"/>
        <v>Incomplete</v>
      </c>
      <c r="AZ76" s="20"/>
      <c r="BA76" s="20" t="str">
        <f t="shared" si="15"/>
        <v>Incomplete</v>
      </c>
      <c r="BB76" s="20"/>
      <c r="BC76" s="20" t="str">
        <f t="shared" si="16"/>
        <v>Incomplete</v>
      </c>
      <c r="BD76" s="20"/>
      <c r="BE76" s="20" t="str">
        <f t="shared" si="17"/>
        <v>Incomplete</v>
      </c>
      <c r="BF76" s="20"/>
      <c r="BG76" s="20"/>
      <c r="BH76" s="20"/>
      <c r="BI76" s="20" t="str">
        <f t="shared" si="18"/>
        <v>Incomplete</v>
      </c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91" t="str">
        <f t="shared" si="19"/>
        <v>Incomplete</v>
      </c>
      <c r="BX76" s="91" t="str">
        <f>_xlfn.XLOOKUP(BW76,'Normative data'!$V$3:$V$6,'Normative data'!$W$3:$W$6,"Not Found",-1)</f>
        <v>Very low risk</v>
      </c>
      <c r="BY76" s="91" t="str">
        <f t="shared" si="20"/>
        <v>Incomplete</v>
      </c>
      <c r="BZ76" s="91" t="str">
        <f>_xlfn.XLOOKUP(BY76,'Normative data'!$V$3:$V$6,'Normative data'!$W$3:$W$6,"Not Found",-1)</f>
        <v>Very low risk</v>
      </c>
      <c r="CA76" s="20"/>
      <c r="CC76" s="20"/>
      <c r="CE76" s="20"/>
      <c r="CG76" s="20"/>
      <c r="CH76" s="20" t="str">
        <f>_xlfn.XLOOKUP(CG76, 'Normative data'!$S$9:$S$15,'Normative data'!$T$9:$T$15, "Not Found", -1)</f>
        <v>not completed</v>
      </c>
      <c r="CI76" s="20"/>
      <c r="CJ76" s="20" t="str">
        <f>_xlfn.XLOOKUP(CI76, 'Normative data'!$S$9:$S$15, 'Normative data'!$T$9:$T$15, "Not Found", -1)</f>
        <v>not completed</v>
      </c>
      <c r="CK76" s="20" t="s">
        <v>270</v>
      </c>
      <c r="CL76" s="20" t="s">
        <v>271</v>
      </c>
      <c r="CN76" s="20" t="s">
        <v>272</v>
      </c>
      <c r="CO76" s="20" t="s">
        <v>273</v>
      </c>
      <c r="CQ76" s="30"/>
      <c r="CR76" s="20" t="str" cm="1">
        <f t="array" ref="CR76">IF(OR(ISBLANK(E76),ISBLANK(CQ76)),"Incomplete",_xlfn.XLOOKUP(CQ76,_xlfn.XLOOKUP(E76,'Normative data'!$Y$3:$Y$6,'Normative data'!$Z$3:$AG$6,,-1),'Normative data'!$Z$2:$AG$2,"Not Found",-1))</f>
        <v>Incomplete</v>
      </c>
      <c r="CS76" s="20"/>
      <c r="CT76" s="20"/>
      <c r="CU76" s="20" t="str" cm="1">
        <f t="array" ref="CU76">_xlfn.XLOOKUP(CS76&amp;CT76,(VLOOKUP!$A$3:$A$250)&amp;(VLOOKUP!$B$3:$B$250),VLOOKUP!$C$3:$C$250,"Incomplete",-1)</f>
        <v>Incomplete</v>
      </c>
      <c r="CV76" s="20" t="str" cm="1">
        <f t="array" ref="CV76">_xlfn.XLOOKUP(CU76, _xlfn.XLOOKUP(E76, 'Normative data'!$Y$11:$Y$14, 'Normative data'!$Z$11:$AG$14, ,-1), 'Normative data'!$Z$10:$AG$10, "Not Found", -1)</f>
        <v>Excellent</v>
      </c>
      <c r="CW76" s="20" t="str" cm="1">
        <f t="array" ref="CW76">IF(OR(ISBLANK(CS76),ISBLANK(CT76)),"Incomplete",_xlfn.XLOOKUP(CS76&amp;CT76,VLOOKUP!$A$4:$A$250&amp;VLOOKUP!$B$4:$B$250,VLOOKUP!$D$4:$D$250,"0"))</f>
        <v>Incomplete</v>
      </c>
    </row>
    <row r="77" spans="1:101">
      <c r="A77" s="22" t="s">
        <v>274</v>
      </c>
      <c r="B77" s="22" t="s">
        <v>275</v>
      </c>
      <c r="C77" s="17" t="s">
        <v>86</v>
      </c>
      <c r="D77" s="23">
        <v>39589</v>
      </c>
      <c r="F77" s="17">
        <v>11</v>
      </c>
      <c r="G77" s="17">
        <v>2025</v>
      </c>
      <c r="H77" s="20" t="s">
        <v>114</v>
      </c>
      <c r="I77" s="17">
        <v>1</v>
      </c>
      <c r="J77" s="17" t="s">
        <v>122</v>
      </c>
      <c r="P77" s="17" t="s">
        <v>122</v>
      </c>
      <c r="S77" s="20"/>
      <c r="T77" s="20">
        <v>163.69999999999999</v>
      </c>
      <c r="U77" s="20">
        <v>53.1</v>
      </c>
      <c r="V77" s="20"/>
      <c r="W77" s="20">
        <v>9.6999999999999993</v>
      </c>
      <c r="X77" s="20">
        <f>SUM(T77-W77)</f>
        <v>154</v>
      </c>
      <c r="Y77" s="20">
        <v>23.9</v>
      </c>
      <c r="Z77" s="20">
        <v>19.8</v>
      </c>
      <c r="AA77" s="20">
        <v>18.2</v>
      </c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>
        <v>37.200000000000003</v>
      </c>
      <c r="AR77" s="20">
        <v>0.55100000000000005</v>
      </c>
      <c r="AS77" s="20">
        <v>40.200000000000003</v>
      </c>
      <c r="AT77" s="20">
        <v>0.57299999999999995</v>
      </c>
      <c r="AU77" s="20">
        <v>21.4</v>
      </c>
      <c r="AV77" s="20">
        <v>0.41799999999999998</v>
      </c>
      <c r="AW77" s="20">
        <v>22.9</v>
      </c>
      <c r="AX77" s="20">
        <v>0.432</v>
      </c>
      <c r="AY77" s="41">
        <f t="shared" si="14"/>
        <v>2608.4700000000003</v>
      </c>
      <c r="AZ77" s="20"/>
      <c r="BA77" s="20">
        <f t="shared" si="15"/>
        <v>2790.5699999999997</v>
      </c>
      <c r="BB77" s="20"/>
      <c r="BC77" s="20">
        <f t="shared" si="16"/>
        <v>1649.4099999999999</v>
      </c>
      <c r="BD77" s="20"/>
      <c r="BE77" s="20">
        <f t="shared" si="17"/>
        <v>1740.46</v>
      </c>
      <c r="BF77" s="20"/>
      <c r="BG77" s="20">
        <v>15</v>
      </c>
      <c r="BH77" s="20">
        <v>38</v>
      </c>
      <c r="BI77" s="20" t="e">
        <f>IF(OR(ISBLANK(#REF!), ISBLANK(#REF!)),"Incomplete",(SUM(#REF!-#REF!)))</f>
        <v>#REF!</v>
      </c>
      <c r="BJ77" s="20"/>
      <c r="BK77" s="20">
        <v>6</v>
      </c>
      <c r="BL77" s="20"/>
      <c r="BM77" s="20">
        <v>9</v>
      </c>
      <c r="BN77" s="20"/>
      <c r="BO77" s="20"/>
      <c r="BP77" s="20"/>
      <c r="BQ77" s="20"/>
      <c r="BR77" s="20"/>
      <c r="BS77" s="20"/>
      <c r="BT77" s="20"/>
      <c r="BU77" s="20"/>
      <c r="BV77" s="20"/>
      <c r="BW77" s="91">
        <f t="shared" si="19"/>
        <v>0</v>
      </c>
      <c r="BX77" s="91" t="str">
        <f>_xlfn.XLOOKUP(BW77,'Normative data'!$V$3:$V$6,'Normative data'!$W$3:$W$6,"Not Found",-1)</f>
        <v>Not completed</v>
      </c>
      <c r="BY77" s="91">
        <f t="shared" si="20"/>
        <v>0</v>
      </c>
      <c r="BZ77" s="91" t="str">
        <f>_xlfn.XLOOKUP(BY77,'Normative data'!$V$3:$V$6,'Normative data'!$W$3:$W$6,"Not Found",-1)</f>
        <v>Not completed</v>
      </c>
      <c r="CA77" s="20"/>
      <c r="CC77" s="20"/>
      <c r="CE77" s="20">
        <v>3</v>
      </c>
      <c r="CG77" s="20"/>
      <c r="CH77" s="20" t="str">
        <f>_xlfn.XLOOKUP(CG77, 'Normative data'!$S$9:$S$15,'Normative data'!$T$9:$T$15, "Not Found", -1)</f>
        <v>not completed</v>
      </c>
      <c r="CI77" s="20"/>
      <c r="CJ77" s="20" t="str">
        <f>_xlfn.XLOOKUP(CI77, 'Normative data'!$S$9:$S$15, 'Normative data'!$T$9:$T$15, "Not Found", -1)</f>
        <v>not completed</v>
      </c>
      <c r="CK77" s="24">
        <v>1.95</v>
      </c>
      <c r="CL77" s="24">
        <v>5.13</v>
      </c>
      <c r="CM77" s="21"/>
      <c r="CN77" s="24">
        <v>5.93</v>
      </c>
      <c r="CO77" s="24">
        <v>8.43</v>
      </c>
      <c r="CQ77" s="30"/>
      <c r="CR77" s="20" t="str" cm="1">
        <f t="array" ref="CR77">IF(OR(ISBLANK(E77),ISBLANK(CQ77)),"Incomplete",_xlfn.XLOOKUP(CQ77,_xlfn.XLOOKUP(E77,'Normative data'!$Y$3:$Y$6,'Normative data'!$Z$3:$AG$6,,-1),'Normative data'!$Z$2:$AG$2,"Not Found",-1))</f>
        <v>Incomplete</v>
      </c>
      <c r="CS77" s="20"/>
      <c r="CT77" s="20"/>
      <c r="CU77" s="20" t="str" cm="1">
        <f t="array" ref="CU77">_xlfn.XLOOKUP(CS77&amp;CT77,(VLOOKUP!$A$3:$A$250)&amp;(VLOOKUP!$B$3:$B$250),VLOOKUP!$C$3:$C$250,"Incomplete",-1)</f>
        <v>Incomplete</v>
      </c>
      <c r="CV77" s="20" t="str" cm="1">
        <f t="array" ref="CV77">_xlfn.XLOOKUP(CU77, _xlfn.XLOOKUP(E77, 'Normative data'!$Y$11:$Y$14, 'Normative data'!$Z$11:$AG$14, ,-1), 'Normative data'!$Z$10:$AG$10, "Not Found", -1)</f>
        <v>Excellent</v>
      </c>
      <c r="CW77" s="20" t="str" cm="1">
        <f t="array" ref="CW77">IF(OR(ISBLANK(CS77),ISBLANK(CT77)),"Incomplete",_xlfn.XLOOKUP(CS77&amp;CT77,VLOOKUP!$A$4:$A$250&amp;VLOOKUP!$B$4:$B$250,VLOOKUP!$D$4:$D$250,"0"))</f>
        <v>Incomplete</v>
      </c>
    </row>
    <row r="78" spans="1:101">
      <c r="A78" s="17" t="s">
        <v>276</v>
      </c>
      <c r="B78" s="17" t="s">
        <v>275</v>
      </c>
      <c r="C78" s="17" t="s">
        <v>86</v>
      </c>
      <c r="D78" s="23">
        <v>39589</v>
      </c>
      <c r="F78" s="17">
        <v>11</v>
      </c>
      <c r="G78" s="17">
        <v>2025</v>
      </c>
      <c r="H78" s="20" t="s">
        <v>124</v>
      </c>
      <c r="I78" s="17">
        <v>3</v>
      </c>
      <c r="S78" s="20"/>
      <c r="T78" s="20" t="s">
        <v>277</v>
      </c>
      <c r="U78" s="20" t="s">
        <v>278</v>
      </c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>
        <v>31.1</v>
      </c>
      <c r="AR78" s="20">
        <v>0.52</v>
      </c>
      <c r="AS78" s="20">
        <v>39.4</v>
      </c>
      <c r="AT78" s="20">
        <v>0.56699999999999995</v>
      </c>
      <c r="AU78" s="20">
        <v>21.8</v>
      </c>
      <c r="AV78" s="20">
        <v>0.42099999999999999</v>
      </c>
      <c r="AW78" s="20">
        <v>21.7</v>
      </c>
      <c r="AX78" s="20">
        <v>0.42099999999999999</v>
      </c>
      <c r="AY78" s="41" t="e">
        <f>IF(OR(ISBLANK(#REF!), ISBLANK(AQ78)), "Incomplete", (60.7*AQ78)+(45.3*#REF!)-2055)</f>
        <v>#REF!</v>
      </c>
      <c r="AZ78" s="20"/>
      <c r="BA78" s="20" t="e">
        <f>IF(OR(ISBLANK(#REF!), ISBLANK(AS78)), "Incomplete", (60.7*AS78)+(45.3*#REF!)-2055)</f>
        <v>#REF!</v>
      </c>
      <c r="BB78" s="20"/>
      <c r="BC78" s="20" t="e">
        <f>IF(OR(ISBLANK(#REF!), ISBLANK(AU78)), "Incomplete", (60.7*AU78)+(45.3*#REF!)-2055)</f>
        <v>#REF!</v>
      </c>
      <c r="BD78" s="20"/>
      <c r="BE78" s="20" t="e">
        <f>IF(OR(ISBLANK(#REF!), ISBLANK(AW78)), "Incomplete", (60.7*AW78)+(45.3*#REF!)-2055)</f>
        <v>#REF!</v>
      </c>
      <c r="BF78" s="20"/>
      <c r="BG78" s="20"/>
      <c r="BH78" s="20"/>
      <c r="BI78" s="20" t="str">
        <f t="shared" ref="BI78:BI96" si="21">IF(OR(ISBLANK(BG78), ISBLANK(BH78)),"Incomplete",(SUM(BH78-BG78)))</f>
        <v>Incomplete</v>
      </c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91" t="str">
        <f>IFERROR(SUM(BQ78+BR78+BS78)/(3*(#REF!-S78))*100, "Incomplete")</f>
        <v>Incomplete</v>
      </c>
      <c r="BX78" s="91" t="str">
        <f>_xlfn.XLOOKUP(BW78,'Normative data'!$V$3:$V$6,'Normative data'!$W$3:$W$6,"Not Found",-1)</f>
        <v>Very low risk</v>
      </c>
      <c r="BY78" s="91" t="str">
        <f>IFERROR(SUM(BT78+BU78+BV78)/(3*(#REF!-S78))*100, "Incomplete")</f>
        <v>Incomplete</v>
      </c>
      <c r="BZ78" s="91" t="str">
        <f>_xlfn.XLOOKUP(BY78,'Normative data'!$V$3:$V$6,'Normative data'!$W$3:$W$6,"Not Found",-1)</f>
        <v>Very low risk</v>
      </c>
      <c r="CA78" s="20"/>
      <c r="CC78" s="20"/>
      <c r="CE78" s="20"/>
      <c r="CG78" s="20"/>
      <c r="CH78" s="20" t="str">
        <f>_xlfn.XLOOKUP(CG78, 'Normative data'!$S$9:$S$15,'Normative data'!$T$9:$T$15, "Not Found", -1)</f>
        <v>not completed</v>
      </c>
      <c r="CI78" s="20"/>
      <c r="CJ78" s="20" t="str">
        <f>_xlfn.XLOOKUP(CI78, 'Normative data'!$S$9:$S$15, 'Normative data'!$T$9:$T$15, "Not Found", -1)</f>
        <v>not completed</v>
      </c>
      <c r="CK78" s="21"/>
      <c r="CL78" s="21"/>
      <c r="CM78" s="21"/>
      <c r="CN78" s="21"/>
      <c r="CO78" s="21"/>
      <c r="CQ78" s="30"/>
      <c r="CR78" s="20" t="str" cm="1">
        <f t="array" ref="CR78">IF(OR(ISBLANK(E78),ISBLANK(CQ78)),"Incomplete",_xlfn.XLOOKUP(CQ78,_xlfn.XLOOKUP(E78,'Normative data'!$Y$3:$Y$6,'Normative data'!$Z$3:$AG$6,,-1),'Normative data'!$Z$2:$AG$2,"Not Found",-1))</f>
        <v>Incomplete</v>
      </c>
      <c r="CS78" s="20"/>
      <c r="CT78" s="20"/>
      <c r="CU78" s="20" t="str" cm="1">
        <f t="array" ref="CU78">_xlfn.XLOOKUP(CS78&amp;CT78,(VLOOKUP!$A$3:$A$250)&amp;(VLOOKUP!$B$3:$B$250),VLOOKUP!$C$3:$C$250,"Incomplete",-1)</f>
        <v>Incomplete</v>
      </c>
      <c r="CV78" s="20" t="str" cm="1">
        <f t="array" ref="CV78">_xlfn.XLOOKUP(CU78, _xlfn.XLOOKUP(E78, 'Normative data'!$Y$11:$Y$14, 'Normative data'!$Z$11:$AG$14, ,-1), 'Normative data'!$Z$10:$AG$10, "Not Found", -1)</f>
        <v>Excellent</v>
      </c>
      <c r="CW78" s="20" t="str" cm="1">
        <f t="array" ref="CW78">IF(OR(ISBLANK(CS78),ISBLANK(CT78)),"Incomplete",_xlfn.XLOOKUP(CS78&amp;CT78,VLOOKUP!$A$4:$A$250&amp;VLOOKUP!$B$4:$B$250,VLOOKUP!$D$4:$D$250,"0"))</f>
        <v>Incomplete</v>
      </c>
    </row>
    <row r="79" spans="1:101">
      <c r="A79" s="17" t="s">
        <v>276</v>
      </c>
      <c r="B79" s="17" t="s">
        <v>275</v>
      </c>
      <c r="C79" s="17" t="s">
        <v>86</v>
      </c>
      <c r="D79" s="33"/>
      <c r="G79" s="17">
        <v>2026</v>
      </c>
      <c r="H79" s="20" t="s">
        <v>114</v>
      </c>
      <c r="I79" s="17">
        <v>1</v>
      </c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30" t="s">
        <v>279</v>
      </c>
      <c r="AR79" s="30" t="s">
        <v>280</v>
      </c>
      <c r="AS79" s="30" t="s">
        <v>281</v>
      </c>
      <c r="AT79" s="30" t="s">
        <v>282</v>
      </c>
      <c r="AU79" s="30" t="s">
        <v>283</v>
      </c>
      <c r="AV79" s="30" t="s">
        <v>284</v>
      </c>
      <c r="AW79" s="30" t="s">
        <v>285</v>
      </c>
      <c r="AX79" s="30" t="s">
        <v>286</v>
      </c>
      <c r="AY79" s="41" t="str">
        <f>IF(OR(ISBLANK(U79), ISBLANK(AQ79)), "Incomplete", (60.7*AQ79)+(45.3*U79)-2055)</f>
        <v>Incomplete</v>
      </c>
      <c r="AZ79" s="20"/>
      <c r="BA79" s="20" t="str">
        <f>IF(OR(ISBLANK(U79), ISBLANK(AS79)), "Incomplete", (60.7*AS79)+(45.3*U79)-2055)</f>
        <v>Incomplete</v>
      </c>
      <c r="BB79" s="20"/>
      <c r="BC79" s="20" t="str">
        <f>IF(OR(ISBLANK(U79), ISBLANK(AU79)), "Incomplete", (60.7*AU79)+(45.3*U79)-2055)</f>
        <v>Incomplete</v>
      </c>
      <c r="BD79" s="20"/>
      <c r="BE79" s="20" t="str">
        <f>IF(OR(ISBLANK(U79), ISBLANK(AW79)), "Incomplete", (60.7*AW79)+(45.3*U79)-2055)</f>
        <v>Incomplete</v>
      </c>
      <c r="BF79" s="20"/>
      <c r="BG79" s="30">
        <v>13</v>
      </c>
      <c r="BH79" s="30">
        <v>42</v>
      </c>
      <c r="BI79" s="20">
        <f t="shared" si="21"/>
        <v>29</v>
      </c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91" t="str">
        <f>IFERROR(SUM(BQ79+BR79+BS79)/(3*(T79-S79))*100, "Incomplete")</f>
        <v>Incomplete</v>
      </c>
      <c r="BX79" s="91" t="str">
        <f>_xlfn.XLOOKUP(BW79,'Normative data'!$V$3:$V$6,'Normative data'!$W$3:$W$6,"Not Found",-1)</f>
        <v>Very low risk</v>
      </c>
      <c r="BY79" s="91" t="str">
        <f>IFERROR(SUM(BT79+BU79+BV79)/(3*(T79-S79))*100, "Incomplete")</f>
        <v>Incomplete</v>
      </c>
      <c r="BZ79" s="91" t="str">
        <f>_xlfn.XLOOKUP(BY79,'Normative data'!$V$3:$V$6,'Normative data'!$W$3:$W$6,"Not Found",-1)</f>
        <v>Very low risk</v>
      </c>
      <c r="CA79" s="20"/>
      <c r="CC79" s="30">
        <v>51</v>
      </c>
      <c r="CD79" s="30"/>
      <c r="CE79" s="30">
        <v>10</v>
      </c>
      <c r="CF79" s="30"/>
      <c r="CG79" s="30" t="s">
        <v>287</v>
      </c>
      <c r="CH79" s="20" t="str">
        <f>_xlfn.XLOOKUP(CG79, 'Normative data'!$S$9:$S$15,'Normative data'!$T$9:$T$15, "Not Found", -1)</f>
        <v>Poor</v>
      </c>
      <c r="CI79" s="30" t="s">
        <v>288</v>
      </c>
      <c r="CJ79" s="20" t="str">
        <f>_xlfn.XLOOKUP(CI79, 'Normative data'!$S$9:$S$15, 'Normative data'!$T$9:$T$15, "Not Found", -1)</f>
        <v>Poor</v>
      </c>
      <c r="CK79" s="30" t="s">
        <v>289</v>
      </c>
      <c r="CL79" s="30" t="s">
        <v>290</v>
      </c>
      <c r="CM79" s="30"/>
      <c r="CN79" s="30" t="s">
        <v>291</v>
      </c>
      <c r="CO79" s="30" t="s">
        <v>292</v>
      </c>
      <c r="CP79" s="30"/>
      <c r="CQ79" s="30" t="s">
        <v>293</v>
      </c>
      <c r="CR79" s="20" t="str" cm="1">
        <f t="array" ref="CR79">IF(OR(ISBLANK(E79),ISBLANK(CQ79)),"Incomplete",_xlfn.XLOOKUP(CQ79,_xlfn.XLOOKUP(E79,'Normative data'!$Y$3:$Y$6,'Normative data'!$Z$3:$AG$6,,-1),'Normative data'!$Z$2:$AG$2,"Not Found",-1))</f>
        <v>Incomplete</v>
      </c>
      <c r="CS79" s="20">
        <v>7</v>
      </c>
      <c r="CT79" s="20">
        <v>1</v>
      </c>
      <c r="CU79" s="20" cm="1">
        <f t="array" ref="CU79">_xlfn.XLOOKUP(CS79&amp;CT79,(VLOOKUP!$A$3:$A$250)&amp;(VLOOKUP!$B$3:$B$250),VLOOKUP!$C$3:$C$250,"Incomplete",-1)</f>
        <v>1040</v>
      </c>
      <c r="CV79" s="20" t="str" cm="1">
        <f t="array" ref="CV79">_xlfn.XLOOKUP(CU79, _xlfn.XLOOKUP(E79, 'Normative data'!$Y$11:$Y$14, 'Normative data'!$Z$11:$AG$14, ,-1), 'Normative data'!$Z$10:$AG$10, "Not Found", -1)</f>
        <v xml:space="preserve">Fair </v>
      </c>
      <c r="CW79" s="20" cm="1">
        <f t="array" ref="CW79">IF(OR(ISBLANK(CS79),ISBLANK(CT79)),"Incomplete",_xlfn.XLOOKUP(CS79&amp;CT79,VLOOKUP!$A$4:$A$250&amp;VLOOKUP!$B$4:$B$250,VLOOKUP!$D$4:$D$250,"0"))</f>
        <v>37</v>
      </c>
    </row>
    <row r="80" spans="1:101">
      <c r="A80" s="17" t="s">
        <v>276</v>
      </c>
      <c r="B80" s="17" t="s">
        <v>275</v>
      </c>
      <c r="C80" s="17" t="s">
        <v>86</v>
      </c>
      <c r="D80" s="33"/>
      <c r="G80" s="17">
        <v>2026</v>
      </c>
      <c r="H80" s="20" t="s">
        <v>114</v>
      </c>
      <c r="I80" s="17">
        <v>1</v>
      </c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30">
        <v>33.1</v>
      </c>
      <c r="AR80" s="30">
        <v>0.52</v>
      </c>
      <c r="AS80" s="30">
        <v>39.4</v>
      </c>
      <c r="AT80" s="30">
        <v>0.56699999999999995</v>
      </c>
      <c r="AU80" s="30" t="s">
        <v>294</v>
      </c>
      <c r="AV80" s="30">
        <v>0.42199999999999999</v>
      </c>
      <c r="AW80" s="30">
        <v>21.7</v>
      </c>
      <c r="AX80" s="30">
        <v>0.42099999999999999</v>
      </c>
      <c r="AY80" s="41" t="str">
        <f>IF(OR(ISBLANK(U80), ISBLANK(AQ80)), "Incomplete", (60.7*AQ80)+(45.3*U80)-2055)</f>
        <v>Incomplete</v>
      </c>
      <c r="AZ80" s="20"/>
      <c r="BA80" s="20" t="str">
        <f>IF(OR(ISBLANK(U80), ISBLANK(AS80)), "Incomplete", (60.7*AS80)+(45.3*U80)-2055)</f>
        <v>Incomplete</v>
      </c>
      <c r="BB80" s="20"/>
      <c r="BC80" s="20" t="str">
        <f>IF(OR(ISBLANK(U80), ISBLANK(AU80)), "Incomplete", (60.7*AU80)+(45.3*U80)-2055)</f>
        <v>Incomplete</v>
      </c>
      <c r="BD80" s="20"/>
      <c r="BE80" s="20" t="str">
        <f>IF(OR(ISBLANK(U80), ISBLANK(AW80)), "Incomplete", (60.7*AW80)+(45.3*U80)-2055)</f>
        <v>Incomplete</v>
      </c>
      <c r="BF80" s="20"/>
      <c r="BG80" s="30"/>
      <c r="BH80" s="20"/>
      <c r="BI80" s="20" t="str">
        <f t="shared" si="21"/>
        <v>Incomplete</v>
      </c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91" t="str">
        <f>IFERROR(SUM(BQ80+BR80+BS80)/(3*(T80-S80))*100, "Incomplete")</f>
        <v>Incomplete</v>
      </c>
      <c r="BX80" s="91" t="str">
        <f>_xlfn.XLOOKUP(BW80,'Normative data'!$V$3:$V$6,'Normative data'!$W$3:$W$6,"Not Found",-1)</f>
        <v>Very low risk</v>
      </c>
      <c r="BY80" s="91" t="str">
        <f>IFERROR(SUM(BT80+BU80+BV80)/(3*(T80-S80))*100, "Incomplete")</f>
        <v>Incomplete</v>
      </c>
      <c r="BZ80" s="91" t="str">
        <f>_xlfn.XLOOKUP(BY80,'Normative data'!$V$3:$V$6,'Normative data'!$W$3:$W$6,"Not Found",-1)</f>
        <v>Very low risk</v>
      </c>
      <c r="CA80" s="20"/>
      <c r="CC80" s="20"/>
      <c r="CE80" s="20"/>
      <c r="CF80" s="30"/>
      <c r="CG80" s="20"/>
      <c r="CH80" s="20" t="str">
        <f>_xlfn.XLOOKUP(CG80, 'Normative data'!$S$9:$S$15,'Normative data'!$T$9:$T$15, "Not Found", -1)</f>
        <v>not completed</v>
      </c>
      <c r="CI80" s="20"/>
      <c r="CJ80" s="20" t="str">
        <f>_xlfn.XLOOKUP(CI80, 'Normative data'!$S$9:$S$15, 'Normative data'!$T$9:$T$15, "Not Found", -1)</f>
        <v>not completed</v>
      </c>
      <c r="CK80" s="21"/>
      <c r="CL80" s="21"/>
      <c r="CM80" s="21"/>
      <c r="CN80" s="21"/>
      <c r="CO80" s="21"/>
      <c r="CP80" s="30"/>
      <c r="CQ80" s="30"/>
      <c r="CR80" s="20" t="str" cm="1">
        <f t="array" ref="CR80">IF(OR(ISBLANK(E80),ISBLANK(CQ80)),"Incomplete",_xlfn.XLOOKUP(CQ80,_xlfn.XLOOKUP(E80,'Normative data'!$Y$3:$Y$6,'Normative data'!$Z$3:$AG$6,,-1),'Normative data'!$Z$2:$AG$2,"Not Found",-1))</f>
        <v>Incomplete</v>
      </c>
      <c r="CS80" s="20"/>
      <c r="CT80" s="20"/>
      <c r="CU80" s="20" t="str" cm="1">
        <f t="array" ref="CU80">_xlfn.XLOOKUP(CS80&amp;CT80,(VLOOKUP!$A$3:$A$250)&amp;(VLOOKUP!$B$3:$B$250),VLOOKUP!$C$3:$C$250,"Incomplete",-1)</f>
        <v>Incomplete</v>
      </c>
      <c r="CV80" s="20" t="str" cm="1">
        <f t="array" ref="CV80">_xlfn.XLOOKUP(CU80, _xlfn.XLOOKUP(E80, 'Normative data'!$Y$11:$Y$14, 'Normative data'!$Z$11:$AG$14, ,-1), 'Normative data'!$Z$10:$AG$10, "Not Found", -1)</f>
        <v>Excellent</v>
      </c>
      <c r="CW80" s="20" t="str" cm="1">
        <f t="array" ref="CW80">IF(OR(ISBLANK(CS80),ISBLANK(CT80)),"Incomplete",_xlfn.XLOOKUP(CS80&amp;CT80,VLOOKUP!$A$4:$A$250&amp;VLOOKUP!$B$4:$B$250,VLOOKUP!$D$4:$D$250,"0"))</f>
        <v>Incomplete</v>
      </c>
    </row>
    <row r="81" spans="1:101">
      <c r="A81" s="17" t="s">
        <v>295</v>
      </c>
      <c r="B81" s="17" t="s">
        <v>296</v>
      </c>
      <c r="C81" s="17" t="s">
        <v>86</v>
      </c>
      <c r="D81" s="26">
        <v>40334</v>
      </c>
      <c r="E81" s="17">
        <v>15.9</v>
      </c>
      <c r="F81" s="20" t="s">
        <v>99</v>
      </c>
      <c r="G81" s="17">
        <v>2026</v>
      </c>
      <c r="I81" s="20">
        <v>2</v>
      </c>
      <c r="J81" s="20" t="s">
        <v>100</v>
      </c>
      <c r="K81" s="20" t="s">
        <v>297</v>
      </c>
      <c r="L81" s="20" t="s">
        <v>298</v>
      </c>
      <c r="S81" s="20">
        <v>87.4</v>
      </c>
      <c r="T81" s="20">
        <v>168.6</v>
      </c>
      <c r="U81" s="17">
        <v>51.7</v>
      </c>
      <c r="V81" s="17">
        <v>31.8</v>
      </c>
      <c r="W81" s="17">
        <v>8.3000000000000007</v>
      </c>
      <c r="X81" s="17">
        <v>43.4</v>
      </c>
      <c r="Y81" s="17">
        <v>23.8</v>
      </c>
      <c r="Z81" s="17">
        <v>18.2</v>
      </c>
      <c r="AA81" s="17">
        <v>16</v>
      </c>
      <c r="AB81" s="17">
        <v>6.74</v>
      </c>
      <c r="AC81" s="17">
        <v>112.8</v>
      </c>
      <c r="AD81" s="17">
        <v>6.71</v>
      </c>
      <c r="AE81" s="17">
        <v>112.2</v>
      </c>
      <c r="AF81" s="17">
        <v>1.4</v>
      </c>
      <c r="AG81" s="17">
        <v>54.3</v>
      </c>
      <c r="AH81" s="17">
        <v>1.4</v>
      </c>
      <c r="AI81" s="17">
        <v>54</v>
      </c>
      <c r="AJ81" s="17">
        <v>335.4</v>
      </c>
      <c r="AK81" s="17">
        <v>339</v>
      </c>
      <c r="AL81" s="17">
        <v>296.3</v>
      </c>
      <c r="AM81" s="17">
        <v>301.60000000000002</v>
      </c>
      <c r="AN81" s="17">
        <v>92</v>
      </c>
      <c r="AO81" s="17">
        <v>0.83</v>
      </c>
      <c r="AP81" s="17">
        <v>6.2</v>
      </c>
      <c r="AQ81" s="17">
        <v>27.9</v>
      </c>
      <c r="AR81" s="17">
        <v>0.47699999999999998</v>
      </c>
      <c r="AS81" s="17">
        <v>28.1</v>
      </c>
      <c r="AT81" s="17">
        <v>0.47899999999999998</v>
      </c>
      <c r="AU81" s="17">
        <v>17.600000000000001</v>
      </c>
      <c r="AV81" s="17">
        <v>0.379</v>
      </c>
      <c r="AW81" s="17">
        <v>15.6</v>
      </c>
      <c r="AX81" s="17">
        <v>0.35699999999999998</v>
      </c>
      <c r="AY81" s="41">
        <f>IF(OR(ISBLANK(U81), ISBLANK(AQ81)), "Incomplete", (60.7*AQ81)+(45.3*U81)-2055)</f>
        <v>1980.54</v>
      </c>
      <c r="BA81" s="20">
        <f>IF(OR(ISBLANK(U81), ISBLANK(AS81)), "Incomplete", (60.7*AS81)+(45.3*U81)-2055)</f>
        <v>1992.6799999999998</v>
      </c>
      <c r="BC81" s="20">
        <f>IF(OR(ISBLANK(U81), ISBLANK(AU81)), "Incomplete", (60.7*AU81)+(45.3*U81)-2055)</f>
        <v>1355.33</v>
      </c>
      <c r="BE81" s="20">
        <f>IF(OR(ISBLANK(U81), ISBLANK(AW81)), "Incomplete", (60.7*AW81)+(45.3*U81)-2055)</f>
        <v>1233.9299999999998</v>
      </c>
      <c r="BG81" s="17">
        <v>14</v>
      </c>
      <c r="BH81" s="17">
        <v>45</v>
      </c>
      <c r="BI81" s="20">
        <f t="shared" si="21"/>
        <v>31</v>
      </c>
      <c r="BJ81" s="20"/>
      <c r="BK81" s="17">
        <v>11</v>
      </c>
      <c r="BL81" s="20"/>
      <c r="BM81" s="17">
        <v>9</v>
      </c>
      <c r="BN81" s="20"/>
      <c r="BO81" s="17">
        <v>44</v>
      </c>
      <c r="BP81" s="17">
        <v>43.5</v>
      </c>
      <c r="BQ81" s="17">
        <v>85</v>
      </c>
      <c r="BR81" s="17">
        <v>75</v>
      </c>
      <c r="BS81" s="17">
        <v>73</v>
      </c>
      <c r="BT81" s="17">
        <v>85</v>
      </c>
      <c r="BU81" s="17">
        <v>80</v>
      </c>
      <c r="BV81" s="17">
        <v>76</v>
      </c>
      <c r="BW81" s="91">
        <f>IFERROR(SUM(BQ81+BR81+BS81)/(3*(T81-S81))*100, "Incomplete")</f>
        <v>95.648604269293941</v>
      </c>
      <c r="BX81" s="91" t="str">
        <f>_xlfn.XLOOKUP(BW81,'Normative data'!$V$3:$V$6,'Normative data'!$W$3:$W$6,"Not Found",-1)</f>
        <v>Low risk</v>
      </c>
      <c r="BY81" s="91">
        <f>IFERROR(SUM(BT81+BU81+BV81)/(3*(T81-S81))*100, "Incomplete")</f>
        <v>98.93267651888344</v>
      </c>
      <c r="BZ81" s="91" t="str">
        <f>_xlfn.XLOOKUP(BY81,'Normative data'!$V$3:$V$6,'Normative data'!$W$3:$W$6,"Not Found",-1)</f>
        <v>Low risk</v>
      </c>
      <c r="CA81" s="17">
        <v>20</v>
      </c>
      <c r="CC81" s="20"/>
      <c r="CE81" s="17">
        <v>35</v>
      </c>
      <c r="CG81" s="17">
        <v>18.72</v>
      </c>
      <c r="CH81" s="20" t="str">
        <f>_xlfn.XLOOKUP(CG81, 'Normative data'!$S$9:$S$15,'Normative data'!$T$9:$T$15, "Not Found", -1)</f>
        <v>Average</v>
      </c>
      <c r="CI81" s="17">
        <v>18.36</v>
      </c>
      <c r="CJ81" s="20" t="str">
        <f>_xlfn.XLOOKUP(CI81, 'Normative data'!$S$9:$S$15, 'Normative data'!$T$9:$T$15, "Not Found", -1)</f>
        <v>Average</v>
      </c>
      <c r="CK81" s="21"/>
      <c r="CL81" s="21"/>
      <c r="CM81" s="21"/>
      <c r="CN81" s="21"/>
      <c r="CO81" s="21"/>
      <c r="CQ81" s="17">
        <v>6.7</v>
      </c>
      <c r="CR81" s="20" t="str" cm="1">
        <f t="array" ref="CR81">IF(OR(ISBLANK(E81),ISBLANK(CQ81)),"Incomplete",_xlfn.XLOOKUP(CQ81,_xlfn.XLOOKUP(E81,'Normative data'!$Y$3:$Y$6,'Normative data'!$Z$3:$AG$6,,-1),'Normative data'!$Z$2:$AG$2,"Not Found",-1))</f>
        <v>Average</v>
      </c>
      <c r="CS81" s="20">
        <v>6</v>
      </c>
      <c r="CT81" s="20">
        <v>7</v>
      </c>
      <c r="CU81" s="20" cm="1">
        <f t="array" ref="CU81">_xlfn.XLOOKUP(CS81&amp;CT81,(VLOOKUP!$A$3:$A$250)&amp;(VLOOKUP!$B$3:$B$250),VLOOKUP!$C$3:$C$250,"Incomplete",-1)</f>
        <v>960</v>
      </c>
      <c r="CV81" s="20" t="str" cm="1">
        <f t="array" ref="CV81">_xlfn.XLOOKUP(CU81, _xlfn.XLOOKUP(E81, 'Normative data'!$Y$11:$Y$14, 'Normative data'!$Z$11:$AG$14, ,-1), 'Normative data'!$Z$10:$AG$10, "Not Found", -1)</f>
        <v>Average</v>
      </c>
      <c r="CW81" s="20" cm="1">
        <f t="array" ref="CW81">IF(OR(ISBLANK(CS81),ISBLANK(CT81)),"Incomplete",_xlfn.XLOOKUP(CS81&amp;CT81,VLOOKUP!$A$4:$A$250&amp;VLOOKUP!$B$4:$B$250,VLOOKUP!$D$4:$D$250,"0"))</f>
        <v>35</v>
      </c>
    </row>
    <row r="82" spans="1:101">
      <c r="A82" s="17" t="s">
        <v>299</v>
      </c>
      <c r="B82" s="17" t="s">
        <v>300</v>
      </c>
      <c r="C82" s="17" t="s">
        <v>86</v>
      </c>
      <c r="D82" s="26"/>
      <c r="F82" s="20" t="s">
        <v>192</v>
      </c>
      <c r="G82" s="17">
        <v>2026</v>
      </c>
      <c r="I82" s="20">
        <v>2</v>
      </c>
      <c r="J82" s="20"/>
      <c r="K82" s="20"/>
      <c r="L82" s="20"/>
      <c r="S82" s="20">
        <v>89</v>
      </c>
      <c r="T82" s="20">
        <v>172.2</v>
      </c>
      <c r="AQ82" s="20"/>
      <c r="AR82" s="20"/>
      <c r="AS82" s="20"/>
      <c r="AT82" s="20"/>
      <c r="AU82" s="20"/>
      <c r="AV82" s="20"/>
      <c r="AW82" s="20"/>
      <c r="AX82" s="20"/>
      <c r="AY82" s="41" t="str">
        <f>IF(OR(ISBLANK(U82), ISBLANK(AQ82)), "Incomplete", (60.7*AQ82)+(45.3*U82)-2055)</f>
        <v>Incomplete</v>
      </c>
      <c r="BA82" s="20" t="str">
        <f>IF(OR(ISBLANK(U82), ISBLANK(AS82)), "Incomplete", (60.7*AS82)+(45.3*U82)-2055)</f>
        <v>Incomplete</v>
      </c>
      <c r="BC82" s="20" t="str">
        <f>IF(OR(ISBLANK(U82), ISBLANK(AU82)), "Incomplete", (60.7*AU82)+(45.3*U82)-2055)</f>
        <v>Incomplete</v>
      </c>
      <c r="BE82" s="20" t="str">
        <f>IF(OR(ISBLANK(U82), ISBLANK(AW82)), "Incomplete", (60.7*AW82)+(45.3*U82)-2055)</f>
        <v>Incomplete</v>
      </c>
      <c r="BG82" s="17">
        <v>6.1</v>
      </c>
      <c r="BH82" s="17">
        <v>43.4</v>
      </c>
      <c r="BI82" s="20">
        <f t="shared" si="21"/>
        <v>37.299999999999997</v>
      </c>
      <c r="BJ82" s="20"/>
      <c r="BK82" s="17">
        <v>6.5</v>
      </c>
      <c r="BL82" s="20"/>
      <c r="BM82" s="17">
        <v>10</v>
      </c>
      <c r="BN82" s="20"/>
      <c r="BO82" s="17">
        <v>51.5</v>
      </c>
      <c r="BP82" s="17">
        <v>53</v>
      </c>
      <c r="BQ82" s="17">
        <v>70</v>
      </c>
      <c r="BR82" s="17">
        <v>91</v>
      </c>
      <c r="BS82" s="17">
        <v>84</v>
      </c>
      <c r="BT82" s="17">
        <v>84</v>
      </c>
      <c r="BU82" s="17">
        <v>100</v>
      </c>
      <c r="BV82" s="17">
        <v>110</v>
      </c>
      <c r="BW82" s="91">
        <f>IFERROR(SUM(BQ82+BR82+BS82)/(3*(T82-S82))*100, "Incomplete")</f>
        <v>98.157051282051299</v>
      </c>
      <c r="BX82" s="91" t="str">
        <f>_xlfn.XLOOKUP(BW82,'Normative data'!$V$3:$V$6,'Normative data'!$W$3:$W$6,"Not Found",-1)</f>
        <v>Low risk</v>
      </c>
      <c r="BY82" s="91">
        <f>IFERROR(SUM(BT82+BU82+BV82)/(3*(T82-S82))*100, "Incomplete")</f>
        <v>117.78846153846156</v>
      </c>
      <c r="BZ82" s="91" t="str">
        <f>_xlfn.XLOOKUP(BY82,'Normative data'!$V$3:$V$6,'Normative data'!$W$3:$W$6,"Not Found",-1)</f>
        <v>Low risk</v>
      </c>
      <c r="CA82" s="17">
        <v>48</v>
      </c>
      <c r="CC82" s="20"/>
      <c r="CE82" s="17">
        <v>48</v>
      </c>
      <c r="CG82" s="20"/>
      <c r="CH82" s="20" t="str">
        <f>_xlfn.XLOOKUP(CG82, 'Normative data'!$S$9:$S$15,'Normative data'!$T$9:$T$15, "Not Found", -1)</f>
        <v>not completed</v>
      </c>
      <c r="CI82" s="20"/>
      <c r="CJ82" s="20" t="str">
        <f>_xlfn.XLOOKUP(CI82, 'Normative data'!$S$9:$S$15, 'Normative data'!$T$9:$T$15, "Not Found", -1)</f>
        <v>not completed</v>
      </c>
      <c r="CK82" s="21"/>
      <c r="CL82" s="21"/>
      <c r="CM82" s="21"/>
      <c r="CN82" s="21"/>
      <c r="CO82" s="21"/>
      <c r="CR82" s="20" t="str" cm="1">
        <f t="array" ref="CR82">IF(OR(ISBLANK(E82),ISBLANK(CQ82)),"Incomplete",_xlfn.XLOOKUP(CQ82,_xlfn.XLOOKUP(E82,'Normative data'!$Y$3:$Y$6,'Normative data'!$Z$3:$AG$6,,-1),'Normative data'!$Z$2:$AG$2,"Not Found",-1))</f>
        <v>Incomplete</v>
      </c>
      <c r="CS82" s="20"/>
      <c r="CT82" s="20"/>
      <c r="CU82" s="20" t="str" cm="1">
        <f t="array" ref="CU82">_xlfn.XLOOKUP(CS82&amp;CT82,(VLOOKUP!$A$3:$A$250)&amp;(VLOOKUP!$B$3:$B$250),VLOOKUP!$C$3:$C$250,"Incomplete",-1)</f>
        <v>Incomplete</v>
      </c>
      <c r="CV82" s="20" t="str" cm="1">
        <f t="array" ref="CV82">_xlfn.XLOOKUP(CU82, _xlfn.XLOOKUP(E82, 'Normative data'!$Y$11:$Y$14, 'Normative data'!$Z$11:$AG$14, ,-1), 'Normative data'!$Z$10:$AG$10, "Not Found", -1)</f>
        <v>Excellent</v>
      </c>
      <c r="CW82" s="20" t="str" cm="1">
        <f t="array" ref="CW82">IF(OR(ISBLANK(CS82),ISBLANK(CT82)),"Incomplete",_xlfn.XLOOKUP(CS82&amp;CT82,VLOOKUP!$A$4:$A$250&amp;VLOOKUP!$B$4:$B$250,VLOOKUP!$D$4:$D$250,"0"))</f>
        <v>Incomplete</v>
      </c>
    </row>
    <row r="83" spans="1:101">
      <c r="A83" s="17" t="s">
        <v>301</v>
      </c>
      <c r="B83" s="17" t="s">
        <v>300</v>
      </c>
      <c r="C83" s="17" t="s">
        <v>86</v>
      </c>
      <c r="D83" s="26">
        <v>40037</v>
      </c>
      <c r="E83" s="17">
        <v>16.8</v>
      </c>
      <c r="F83" s="20" t="s">
        <v>151</v>
      </c>
      <c r="G83" s="17">
        <v>2026</v>
      </c>
      <c r="I83" s="20">
        <v>2</v>
      </c>
      <c r="J83" s="20" t="s">
        <v>88</v>
      </c>
      <c r="K83" s="20" t="s">
        <v>101</v>
      </c>
      <c r="L83" s="20"/>
      <c r="S83" s="20">
        <v>86.4</v>
      </c>
      <c r="T83" s="20">
        <v>168.2</v>
      </c>
      <c r="U83" s="17">
        <v>67.8</v>
      </c>
      <c r="V83" s="17">
        <v>37.299999999999997</v>
      </c>
      <c r="W83" s="17">
        <v>16.600000000000001</v>
      </c>
      <c r="X83" s="17">
        <v>51.2</v>
      </c>
      <c r="Y83" s="17">
        <v>28.7</v>
      </c>
      <c r="Z83" s="17">
        <v>24</v>
      </c>
      <c r="AA83" s="17">
        <v>24.6</v>
      </c>
      <c r="AB83" s="17">
        <v>7.71</v>
      </c>
      <c r="AC83" s="17">
        <v>105.9</v>
      </c>
      <c r="AD83" s="17">
        <v>7.73</v>
      </c>
      <c r="AE83" s="17">
        <v>106.2</v>
      </c>
      <c r="AF83" s="17">
        <v>2.4</v>
      </c>
      <c r="AG83" s="17">
        <v>94.1</v>
      </c>
      <c r="AH83" s="17">
        <v>2.4</v>
      </c>
      <c r="AI83" s="17">
        <v>93.5</v>
      </c>
      <c r="AJ83" s="17">
        <v>306</v>
      </c>
      <c r="AK83" s="17">
        <v>301.60000000000002</v>
      </c>
      <c r="AL83" s="17">
        <v>262.5</v>
      </c>
      <c r="AM83" s="17">
        <v>261.2</v>
      </c>
      <c r="AN83" s="17">
        <v>107</v>
      </c>
      <c r="AO83" s="17">
        <v>0.89</v>
      </c>
      <c r="AP83" s="17">
        <v>7.4</v>
      </c>
      <c r="AQ83" s="17">
        <v>28.4</v>
      </c>
      <c r="AR83" s="17">
        <v>0.48099999999999998</v>
      </c>
      <c r="AS83" s="17">
        <v>33.700000000000003</v>
      </c>
      <c r="AT83" s="17">
        <v>0.52400000000000002</v>
      </c>
      <c r="AU83" s="17">
        <v>15.7</v>
      </c>
      <c r="AV83" s="17">
        <v>0.35799999999999998</v>
      </c>
      <c r="AW83" s="17">
        <v>16.2</v>
      </c>
      <c r="AX83" s="17">
        <v>0.36399999999999999</v>
      </c>
      <c r="AY83" s="41">
        <f>IF(OR(ISBLANK(U83), ISBLANK(AQ83)), "Incomplete", (60.7*AQ83)+(45.3*U83)-2055)</f>
        <v>2740.2199999999993</v>
      </c>
      <c r="BA83" s="20">
        <f>IF(OR(ISBLANK(U83), ISBLANK(AS83)), "Incomplete", (60.7*AS83)+(45.3*U83)-2055)</f>
        <v>3061.9300000000003</v>
      </c>
      <c r="BC83" s="20">
        <f>IF(OR(ISBLANK(U83), ISBLANK(AU83)), "Incomplete", (60.7*AU83)+(45.3*U83)-2055)</f>
        <v>1969.33</v>
      </c>
      <c r="BE83" s="20">
        <f>IF(OR(ISBLANK(U83), ISBLANK(AW83)), "Incomplete", (60.7*AW83)+(45.3*U83)-2055)</f>
        <v>1999.6799999999998</v>
      </c>
      <c r="BG83" s="17">
        <v>20</v>
      </c>
      <c r="BH83" s="17">
        <v>56</v>
      </c>
      <c r="BI83" s="20">
        <f t="shared" si="21"/>
        <v>36</v>
      </c>
      <c r="BJ83" s="20"/>
      <c r="BK83" s="17">
        <v>11</v>
      </c>
      <c r="BL83" s="20"/>
      <c r="BM83" s="17">
        <v>11.4</v>
      </c>
      <c r="BN83" s="20"/>
      <c r="BO83" s="17">
        <v>47</v>
      </c>
      <c r="BP83" s="17">
        <v>48</v>
      </c>
      <c r="BQ83" s="17">
        <v>81</v>
      </c>
      <c r="BR83" s="17">
        <v>89</v>
      </c>
      <c r="BS83" s="17">
        <v>79</v>
      </c>
      <c r="BT83" s="17">
        <v>81</v>
      </c>
      <c r="BU83" s="17">
        <v>83</v>
      </c>
      <c r="BV83" s="17">
        <v>81</v>
      </c>
      <c r="BW83" s="91">
        <f>IFERROR(SUM(BQ83+BR83+BS83)/(3*(T83-S83))*100, "Incomplete")</f>
        <v>101.4669926650367</v>
      </c>
      <c r="BX83" s="91" t="str">
        <f>_xlfn.XLOOKUP(BW83,'Normative data'!$V$3:$V$6,'Normative data'!$W$3:$W$6,"Not Found",-1)</f>
        <v>Low risk</v>
      </c>
      <c r="BY83" s="91">
        <f>IFERROR(SUM(BT83+BU83+BV83)/(3*(T83-S83))*100, "Incomplete")</f>
        <v>99.837000814995946</v>
      </c>
      <c r="BZ83" s="91" t="str">
        <f>_xlfn.XLOOKUP(BY83,'Normative data'!$V$3:$V$6,'Normative data'!$W$3:$W$6,"Not Found",-1)</f>
        <v>Low risk</v>
      </c>
      <c r="CA83" s="17">
        <v>24</v>
      </c>
      <c r="CC83" s="20"/>
      <c r="CE83" s="17">
        <v>41</v>
      </c>
      <c r="CG83" s="17">
        <v>17.54</v>
      </c>
      <c r="CH83" s="20" t="str">
        <f>_xlfn.XLOOKUP(CG83, 'Normative data'!$S$9:$S$15,'Normative data'!$T$9:$T$15, "Not Found", -1)</f>
        <v>Above Average</v>
      </c>
      <c r="CI83" s="17">
        <v>17.2</v>
      </c>
      <c r="CJ83" s="20" t="str">
        <f>_xlfn.XLOOKUP(CI83, 'Normative data'!$S$9:$S$15, 'Normative data'!$T$9:$T$15, "Not Found", -1)</f>
        <v>Above Average</v>
      </c>
      <c r="CK83" s="21"/>
      <c r="CL83" s="21"/>
      <c r="CM83" s="21"/>
      <c r="CN83" s="21"/>
      <c r="CO83" s="21"/>
      <c r="CR83" s="20" t="str" cm="1">
        <f t="array" ref="CR83">IF(OR(ISBLANK(E83),ISBLANK(CQ83)),"Incomplete",_xlfn.XLOOKUP(CQ83,_xlfn.XLOOKUP(E83,'Normative data'!$Y$3:$Y$6,'Normative data'!$Z$3:$AG$6,,-1),'Normative data'!$Z$2:$AG$2,"Not Found",-1))</f>
        <v>Incomplete</v>
      </c>
      <c r="CS83" s="20"/>
      <c r="CT83" s="20"/>
      <c r="CU83" s="20" t="str" cm="1">
        <f t="array" ref="CU83">_xlfn.XLOOKUP(CS83&amp;CT83,(VLOOKUP!$A$3:$A$250)&amp;(VLOOKUP!$B$3:$B$250),VLOOKUP!$C$3:$C$250,"Incomplete",-1)</f>
        <v>Incomplete</v>
      </c>
      <c r="CV83" s="20" t="str" cm="1">
        <f t="array" ref="CV83">_xlfn.XLOOKUP(CU83, _xlfn.XLOOKUP(E83, 'Normative data'!$Y$11:$Y$14, 'Normative data'!$Z$11:$AG$14, ,-1), 'Normative data'!$Z$10:$AG$10, "Not Found", -1)</f>
        <v>Excellent</v>
      </c>
      <c r="CW83" s="20" t="str" cm="1">
        <f t="array" ref="CW83">IF(OR(ISBLANK(CS83),ISBLANK(CT83)),"Incomplete",_xlfn.XLOOKUP(CS83&amp;CT83,VLOOKUP!$A$4:$A$250&amp;VLOOKUP!$B$4:$B$250,VLOOKUP!$D$4:$D$250,"0"))</f>
        <v>Incomplete</v>
      </c>
    </row>
    <row r="84" spans="1:101">
      <c r="A84" s="18" t="s">
        <v>91</v>
      </c>
      <c r="B84" s="18" t="s">
        <v>90</v>
      </c>
      <c r="C84" s="17" t="s">
        <v>86</v>
      </c>
      <c r="D84" s="19">
        <v>40717</v>
      </c>
      <c r="F84" s="17">
        <v>8</v>
      </c>
      <c r="G84" s="17">
        <v>2025</v>
      </c>
      <c r="H84" s="20" t="s">
        <v>114</v>
      </c>
      <c r="I84" s="17">
        <v>1</v>
      </c>
      <c r="P84" s="17" t="s">
        <v>122</v>
      </c>
      <c r="S84" s="20"/>
      <c r="T84" s="20">
        <v>172</v>
      </c>
      <c r="U84" s="20">
        <v>63.7</v>
      </c>
      <c r="V84" s="20"/>
      <c r="W84" s="20">
        <v>17</v>
      </c>
      <c r="X84" s="20">
        <f>SUM(T84-W84)</f>
        <v>155</v>
      </c>
      <c r="Y84" s="20">
        <v>25.7</v>
      </c>
      <c r="Z84" s="20">
        <v>21.5</v>
      </c>
      <c r="AA84" s="20">
        <v>26.7</v>
      </c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41" t="str">
        <f>IF(OR(ISBLANK(#REF!), ISBLANK(AQ84)), "Incomplete", (60.7*AQ84)+(45.3*#REF!)-2055)</f>
        <v>Incomplete</v>
      </c>
      <c r="AZ84" s="20"/>
      <c r="BA84" s="20" t="str">
        <f>IF(OR(ISBLANK(#REF!), ISBLANK(AS84)), "Incomplete", (60.7*AS84)+(45.3*#REF!)-2055)</f>
        <v>Incomplete</v>
      </c>
      <c r="BB84" s="20"/>
      <c r="BC84" s="20" t="str">
        <f>IF(OR(ISBLANK(#REF!), ISBLANK(AU84)), "Incomplete", (60.7*AU84)+(45.3*#REF!)-2055)</f>
        <v>Incomplete</v>
      </c>
      <c r="BD84" s="20"/>
      <c r="BE84" s="20" t="str">
        <f>IF(OR(ISBLANK(#REF!), ISBLANK(AW84)), "Incomplete", (60.7*AW84)+(45.3*#REF!)-2055)</f>
        <v>Incomplete</v>
      </c>
      <c r="BF84" s="20"/>
      <c r="BG84" s="20">
        <v>16</v>
      </c>
      <c r="BH84" s="20">
        <v>39.700000000000003</v>
      </c>
      <c r="BI84" s="20">
        <f t="shared" si="21"/>
        <v>23.700000000000003</v>
      </c>
      <c r="BJ84" s="20"/>
      <c r="BK84" s="20">
        <v>6</v>
      </c>
      <c r="BL84" s="20"/>
      <c r="BM84" s="20">
        <v>7</v>
      </c>
      <c r="BN84" s="20"/>
      <c r="BO84" s="20"/>
      <c r="BP84" s="20"/>
      <c r="BQ84" s="20"/>
      <c r="BR84" s="20"/>
      <c r="BS84" s="20"/>
      <c r="BT84" s="20"/>
      <c r="BU84" s="20"/>
      <c r="BV84" s="20"/>
      <c r="BW84" s="91" t="str">
        <f>IFERROR(SUM(BQ84+BR84+BS84)/(3*(#REF!-S84))*100, "Incomplete")</f>
        <v>Incomplete</v>
      </c>
      <c r="BX84" s="91" t="str">
        <f>_xlfn.XLOOKUP(BW84,'Normative data'!$V$3:$V$6,'Normative data'!$W$3:$W$6,"Not Found",-1)</f>
        <v>Very low risk</v>
      </c>
      <c r="BY84" s="91" t="str">
        <f>IFERROR(SUM(BT84+BU84+BV84)/(3*(#REF!-S84))*100, "Incomplete")</f>
        <v>Incomplete</v>
      </c>
      <c r="BZ84" s="91" t="str">
        <f>_xlfn.XLOOKUP(BY84,'Normative data'!$V$3:$V$6,'Normative data'!$W$3:$W$6,"Not Found",-1)</f>
        <v>Very low risk</v>
      </c>
      <c r="CA84" s="20"/>
      <c r="CC84" s="20"/>
      <c r="CE84" s="20"/>
      <c r="CG84" s="20"/>
      <c r="CH84" s="20" t="str">
        <f>_xlfn.XLOOKUP(CG84, 'Normative data'!$S$9:$S$15,'Normative data'!$T$9:$T$15, "Not Found", -1)</f>
        <v>not completed</v>
      </c>
      <c r="CI84" s="20"/>
      <c r="CJ84" s="20" t="str">
        <f>_xlfn.XLOOKUP(CI84, 'Normative data'!$S$9:$S$15, 'Normative data'!$T$9:$T$15, "Not Found", -1)</f>
        <v>not completed</v>
      </c>
      <c r="CK84" s="21">
        <v>2.2000000000000002</v>
      </c>
      <c r="CL84" s="21">
        <v>4.55</v>
      </c>
      <c r="CM84" s="21"/>
      <c r="CN84" s="21">
        <v>7.01</v>
      </c>
      <c r="CO84" s="21">
        <v>7.13</v>
      </c>
      <c r="CP84" s="21"/>
      <c r="CQ84" s="30"/>
      <c r="CR84" s="20" t="str" cm="1">
        <f t="array" ref="CR84">IF(OR(ISBLANK(E84),ISBLANK(CQ84)),"Incomplete",_xlfn.XLOOKUP(CQ84,_xlfn.XLOOKUP(E84,'Normative data'!$Y$3:$Y$6,'Normative data'!$Z$3:$AG$6,,-1),'Normative data'!$Z$2:$AG$2,"Not Found",-1))</f>
        <v>Incomplete</v>
      </c>
      <c r="CS84" s="20"/>
      <c r="CT84" s="20"/>
      <c r="CU84" s="20" t="str" cm="1">
        <f t="array" ref="CU84">_xlfn.XLOOKUP(CS84&amp;CT84,(VLOOKUP!$A$3:$A$250)&amp;(VLOOKUP!$B$3:$B$250),VLOOKUP!$C$3:$C$250,"Incomplete",-1)</f>
        <v>Incomplete</v>
      </c>
      <c r="CV84" s="20" t="str" cm="1">
        <f t="array" ref="CV84">_xlfn.XLOOKUP(CU84, _xlfn.XLOOKUP(E84, 'Normative data'!$Y$11:$Y$14, 'Normative data'!$Z$11:$AG$14, ,-1), 'Normative data'!$Z$10:$AG$10, "Not Found", -1)</f>
        <v>Excellent</v>
      </c>
      <c r="CW84" s="20" t="str" cm="1">
        <f t="array" ref="CW84">IF(OR(ISBLANK(CS84),ISBLANK(CT84)),"Incomplete",_xlfn.XLOOKUP(CS84&amp;CT84,VLOOKUP!$A$4:$A$250&amp;VLOOKUP!$B$4:$B$250,VLOOKUP!$D$4:$D$250,"0"))</f>
        <v>Incomplete</v>
      </c>
    </row>
    <row r="85" spans="1:101">
      <c r="A85" s="17" t="s">
        <v>91</v>
      </c>
      <c r="B85" s="17" t="s">
        <v>90</v>
      </c>
      <c r="C85" s="17" t="s">
        <v>86</v>
      </c>
      <c r="D85" s="19">
        <v>40717</v>
      </c>
      <c r="F85" s="17">
        <v>8</v>
      </c>
      <c r="G85" s="17">
        <v>2025</v>
      </c>
      <c r="H85" s="20" t="s">
        <v>124</v>
      </c>
      <c r="I85" s="17">
        <v>3</v>
      </c>
      <c r="S85" s="20"/>
      <c r="T85" s="20" t="s">
        <v>302</v>
      </c>
      <c r="U85" s="20" t="s">
        <v>303</v>
      </c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41" t="str">
        <f>IF(OR(ISBLANK(#REF!), ISBLANK(AQ85)), "Incomplete", (60.7*AQ85)+(45.3*#REF!)-2055)</f>
        <v>Incomplete</v>
      </c>
      <c r="AZ85" s="20"/>
      <c r="BA85" s="20" t="str">
        <f>IF(OR(ISBLANK(#REF!), ISBLANK(AS85)), "Incomplete", (60.7*AS85)+(45.3*#REF!)-2055)</f>
        <v>Incomplete</v>
      </c>
      <c r="BB85" s="20"/>
      <c r="BC85" s="20" t="str">
        <f>IF(OR(ISBLANK(#REF!), ISBLANK(AU85)), "Incomplete", (60.7*AU85)+(45.3*#REF!)-2055)</f>
        <v>Incomplete</v>
      </c>
      <c r="BD85" s="20"/>
      <c r="BE85" s="20" t="str">
        <f>IF(OR(ISBLANK(#REF!), ISBLANK(AW85)), "Incomplete", (60.7*AW85)+(45.3*#REF!)-2055)</f>
        <v>Incomplete</v>
      </c>
      <c r="BF85" s="20"/>
      <c r="BG85" s="20"/>
      <c r="BH85" s="20"/>
      <c r="BI85" s="20" t="str">
        <f t="shared" si="21"/>
        <v>Incomplete</v>
      </c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91" t="str">
        <f>IFERROR(SUM(BQ85+BR85+BS85)/(3*(#REF!-S85))*100, "Incomplete")</f>
        <v>Incomplete</v>
      </c>
      <c r="BX85" s="91" t="str">
        <f>_xlfn.XLOOKUP(BW85,'Normative data'!$V$3:$V$6,'Normative data'!$W$3:$W$6,"Not Found",-1)</f>
        <v>Very low risk</v>
      </c>
      <c r="BY85" s="91" t="str">
        <f>IFERROR(SUM(BT85+BU85+BV85)/(3*(#REF!-S85))*100, "Incomplete")</f>
        <v>Incomplete</v>
      </c>
      <c r="BZ85" s="91" t="str">
        <f>_xlfn.XLOOKUP(BY85,'Normative data'!$V$3:$V$6,'Normative data'!$W$3:$W$6,"Not Found",-1)</f>
        <v>Very low risk</v>
      </c>
      <c r="CA85" s="20"/>
      <c r="CC85" s="20"/>
      <c r="CE85" s="20"/>
      <c r="CG85" s="20"/>
      <c r="CH85" s="20" t="str">
        <f>_xlfn.XLOOKUP(CG85, 'Normative data'!$S$9:$S$15,'Normative data'!$T$9:$T$15, "Not Found", -1)</f>
        <v>not completed</v>
      </c>
      <c r="CI85" s="20"/>
      <c r="CJ85" s="20" t="str">
        <f>_xlfn.XLOOKUP(CI85, 'Normative data'!$S$9:$S$15, 'Normative data'!$T$9:$T$15, "Not Found", -1)</f>
        <v>not completed</v>
      </c>
      <c r="CK85" s="20" t="s">
        <v>304</v>
      </c>
      <c r="CL85" s="20" t="s">
        <v>290</v>
      </c>
      <c r="CN85" s="20" t="s">
        <v>305</v>
      </c>
      <c r="CO85" s="20" t="s">
        <v>306</v>
      </c>
      <c r="CQ85" s="30"/>
      <c r="CR85" s="20" t="str" cm="1">
        <f t="array" ref="CR85">IF(OR(ISBLANK(E85),ISBLANK(CQ85)),"Incomplete",_xlfn.XLOOKUP(CQ85,_xlfn.XLOOKUP(E85,'Normative data'!$Y$3:$Y$6,'Normative data'!$Z$3:$AG$6,,-1),'Normative data'!$Z$2:$AG$2,"Not Found",-1))</f>
        <v>Incomplete</v>
      </c>
      <c r="CS85" s="20"/>
      <c r="CT85" s="20"/>
      <c r="CU85" s="20" t="str" cm="1">
        <f t="array" ref="CU85">_xlfn.XLOOKUP(CS85&amp;CT85,(VLOOKUP!$A$3:$A$250)&amp;(VLOOKUP!$B$3:$B$250),VLOOKUP!$C$3:$C$250,"Incomplete",-1)</f>
        <v>Incomplete</v>
      </c>
      <c r="CV85" s="20" t="str" cm="1">
        <f t="array" ref="CV85">_xlfn.XLOOKUP(CU85, _xlfn.XLOOKUP(E85, 'Normative data'!$Y$11:$Y$14, 'Normative data'!$Z$11:$AG$14, ,-1), 'Normative data'!$Z$10:$AG$10, "Not Found", -1)</f>
        <v>Excellent</v>
      </c>
      <c r="CW85" s="20" t="str" cm="1">
        <f t="array" ref="CW85">IF(OR(ISBLANK(CS85),ISBLANK(CT85)),"Incomplete",_xlfn.XLOOKUP(CS85&amp;CT85,VLOOKUP!$A$4:$A$250&amp;VLOOKUP!$B$4:$B$250,VLOOKUP!$D$4:$D$250,"0"))</f>
        <v>Incomplete</v>
      </c>
    </row>
    <row r="86" spans="1:101">
      <c r="A86" s="17" t="s">
        <v>307</v>
      </c>
      <c r="B86" s="17" t="s">
        <v>308</v>
      </c>
      <c r="C86" s="17" t="s">
        <v>86</v>
      </c>
      <c r="D86" s="26">
        <v>40863</v>
      </c>
      <c r="F86" s="20" t="s">
        <v>87</v>
      </c>
      <c r="G86" s="17">
        <v>2026</v>
      </c>
      <c r="I86" s="20">
        <v>2</v>
      </c>
      <c r="J86" s="20"/>
      <c r="K86" s="20"/>
      <c r="L86" s="20"/>
      <c r="S86" s="20"/>
      <c r="T86" s="20"/>
      <c r="AQ86" s="20"/>
      <c r="AR86" s="20"/>
      <c r="AS86" s="20"/>
      <c r="AT86" s="20"/>
      <c r="AU86" s="20"/>
      <c r="AV86" s="20"/>
      <c r="AW86" s="20"/>
      <c r="AX86" s="20"/>
      <c r="AY86" s="41" t="str">
        <f t="shared" ref="AY86:AY97" si="22">IF(OR(ISBLANK(U86), ISBLANK(AQ86)), "Incomplete", (60.7*AQ86)+(45.3*U86)-2055)</f>
        <v>Incomplete</v>
      </c>
      <c r="BA86" s="20" t="str">
        <f t="shared" ref="BA86:BA97" si="23">IF(OR(ISBLANK(U86), ISBLANK(AS86)), "Incomplete", (60.7*AS86)+(45.3*U86)-2055)</f>
        <v>Incomplete</v>
      </c>
      <c r="BC86" s="20" t="str">
        <f t="shared" ref="BC86:BC97" si="24">IF(OR(ISBLANK(U86), ISBLANK(AU86)), "Incomplete", (60.7*AU86)+(45.3*U86)-2055)</f>
        <v>Incomplete</v>
      </c>
      <c r="BE86" s="20" t="str">
        <f t="shared" ref="BE86:BE97" si="25">IF(OR(ISBLANK(U86), ISBLANK(AW86)), "Incomplete", (60.7*AW86)+(45.3*U86)-2055)</f>
        <v>Incomplete</v>
      </c>
      <c r="BG86" s="17">
        <v>11</v>
      </c>
      <c r="BH86" s="17">
        <v>38</v>
      </c>
      <c r="BI86" s="20">
        <f t="shared" si="21"/>
        <v>27</v>
      </c>
      <c r="BJ86" s="20"/>
      <c r="BK86" s="17">
        <v>16</v>
      </c>
      <c r="BL86" s="20"/>
      <c r="BM86" s="17" t="s">
        <v>309</v>
      </c>
      <c r="BN86" s="20"/>
      <c r="BO86" s="17">
        <v>49</v>
      </c>
      <c r="BP86" s="17">
        <v>48</v>
      </c>
      <c r="BW86" s="91" t="str">
        <f t="shared" ref="BW86:BW97" si="26">IFERROR(SUM(BQ86+BR86+BS86)/(3*(T86-S86))*100, "Incomplete")</f>
        <v>Incomplete</v>
      </c>
      <c r="BX86" s="91" t="str">
        <f>_xlfn.XLOOKUP(BW86,'Normative data'!$V$3:$V$6,'Normative data'!$W$3:$W$6,"Not Found",-1)</f>
        <v>Very low risk</v>
      </c>
      <c r="BY86" s="91" t="str">
        <f t="shared" ref="BY86:BY97" si="27">IFERROR(SUM(BT86+BU86+BV86)/(3*(T86-S86))*100, "Incomplete")</f>
        <v>Incomplete</v>
      </c>
      <c r="BZ86" s="91" t="str">
        <f>_xlfn.XLOOKUP(BY86,'Normative data'!$V$3:$V$6,'Normative data'!$W$3:$W$6,"Not Found",-1)</f>
        <v>Very low risk</v>
      </c>
      <c r="CG86" s="20"/>
      <c r="CH86" s="20" t="str">
        <f>_xlfn.XLOOKUP(CG86, 'Normative data'!$S$9:$S$15,'Normative data'!$T$9:$T$15, "Not Found", -1)</f>
        <v>not completed</v>
      </c>
      <c r="CI86" s="20"/>
      <c r="CJ86" s="20" t="str">
        <f>_xlfn.XLOOKUP(CI86, 'Normative data'!$S$9:$S$15, 'Normative data'!$T$9:$T$15, "Not Found", -1)</f>
        <v>not completed</v>
      </c>
      <c r="CK86" s="21"/>
      <c r="CL86" s="21"/>
      <c r="CM86" s="21"/>
      <c r="CN86" s="21"/>
      <c r="CO86" s="21"/>
      <c r="CR86" s="20" t="str" cm="1">
        <f t="array" ref="CR86">IF(OR(ISBLANK(E86),ISBLANK(CQ86)),"Incomplete",_xlfn.XLOOKUP(CQ86,_xlfn.XLOOKUP(E86,'Normative data'!$Y$3:$Y$6,'Normative data'!$Z$3:$AG$6,,-1),'Normative data'!$Z$2:$AG$2,"Not Found",-1))</f>
        <v>Incomplete</v>
      </c>
      <c r="CS86" s="20"/>
      <c r="CT86" s="20"/>
      <c r="CU86" s="20" t="str" cm="1">
        <f t="array" ref="CU86">_xlfn.XLOOKUP(CS86&amp;CT86,(VLOOKUP!$A$3:$A$250)&amp;(VLOOKUP!$B$3:$B$250),VLOOKUP!$C$3:$C$250,"Incomplete",-1)</f>
        <v>Incomplete</v>
      </c>
      <c r="CV86" s="20" t="str" cm="1">
        <f t="array" ref="CV86">_xlfn.XLOOKUP(CU86, _xlfn.XLOOKUP(E86, 'Normative data'!$Y$11:$Y$14, 'Normative data'!$Z$11:$AG$14, ,-1), 'Normative data'!$Z$10:$AG$10, "Not Found", -1)</f>
        <v>Excellent</v>
      </c>
      <c r="CW86" s="20" t="str" cm="1">
        <f t="array" ref="CW86">IF(OR(ISBLANK(CS86),ISBLANK(CT86)),"Incomplete",_xlfn.XLOOKUP(CS86&amp;CT86,VLOOKUP!$A$4:$A$250&amp;VLOOKUP!$B$4:$B$250,VLOOKUP!$D$4:$D$250,"0"))</f>
        <v>Incomplete</v>
      </c>
    </row>
    <row r="87" spans="1:101">
      <c r="A87" s="17" t="s">
        <v>310</v>
      </c>
      <c r="B87" s="17" t="s">
        <v>308</v>
      </c>
      <c r="C87" s="17" t="s">
        <v>86</v>
      </c>
      <c r="D87" s="26">
        <v>40967</v>
      </c>
      <c r="E87" s="17">
        <v>14.2</v>
      </c>
      <c r="F87" s="20" t="s">
        <v>107</v>
      </c>
      <c r="G87" s="17">
        <v>2026</v>
      </c>
      <c r="I87" s="20">
        <v>2</v>
      </c>
      <c r="J87" s="20" t="s">
        <v>88</v>
      </c>
      <c r="K87" s="20" t="s">
        <v>184</v>
      </c>
      <c r="L87" s="20"/>
      <c r="S87" s="20">
        <v>86.8</v>
      </c>
      <c r="T87" s="20">
        <v>164.4</v>
      </c>
      <c r="U87" s="17">
        <v>53.3</v>
      </c>
      <c r="V87" s="17">
        <v>30.3</v>
      </c>
      <c r="W87" s="17">
        <v>12</v>
      </c>
      <c r="X87" s="17">
        <v>41.3</v>
      </c>
      <c r="Y87" s="17">
        <v>22.4</v>
      </c>
      <c r="Z87" s="17">
        <v>19.7</v>
      </c>
      <c r="AA87" s="17">
        <v>22.4</v>
      </c>
      <c r="AB87" s="17">
        <v>6.21</v>
      </c>
      <c r="AC87" s="17">
        <v>100.8</v>
      </c>
      <c r="AD87" s="17">
        <v>6.14</v>
      </c>
      <c r="AE87" s="17">
        <v>99.7</v>
      </c>
      <c r="AF87" s="17">
        <v>1.9</v>
      </c>
      <c r="AG87" s="17">
        <v>76.7</v>
      </c>
      <c r="AH87" s="17">
        <v>1.9</v>
      </c>
      <c r="AI87" s="17">
        <v>76.5</v>
      </c>
      <c r="AJ87" s="17">
        <v>307.7</v>
      </c>
      <c r="AK87" s="17">
        <v>315</v>
      </c>
      <c r="AL87" s="17">
        <v>277.2</v>
      </c>
      <c r="AM87" s="17">
        <v>282.60000000000002</v>
      </c>
      <c r="AN87" s="17">
        <v>102</v>
      </c>
      <c r="AO87" s="17">
        <v>0.84</v>
      </c>
      <c r="AP87" s="17">
        <v>6</v>
      </c>
      <c r="AQ87" s="20"/>
      <c r="AR87" s="20"/>
      <c r="AS87" s="20"/>
      <c r="AT87" s="20"/>
      <c r="AU87" s="20"/>
      <c r="AV87" s="20"/>
      <c r="AW87" s="20"/>
      <c r="AX87" s="20"/>
      <c r="AY87" s="41" t="str">
        <f t="shared" si="22"/>
        <v>Incomplete</v>
      </c>
      <c r="BA87" s="20" t="str">
        <f t="shared" si="23"/>
        <v>Incomplete</v>
      </c>
      <c r="BC87" s="20" t="str">
        <f t="shared" si="24"/>
        <v>Incomplete</v>
      </c>
      <c r="BE87" s="20" t="str">
        <f t="shared" si="25"/>
        <v>Incomplete</v>
      </c>
      <c r="BH87" s="17">
        <v>23.1</v>
      </c>
      <c r="BI87" s="20" t="str">
        <f t="shared" si="21"/>
        <v>Incomplete</v>
      </c>
      <c r="BJ87" s="20"/>
      <c r="BK87" s="17">
        <v>9.6</v>
      </c>
      <c r="BL87" s="20"/>
      <c r="BM87" s="17">
        <v>10.5</v>
      </c>
      <c r="BN87" s="20"/>
      <c r="BW87" s="91">
        <f t="shared" si="26"/>
        <v>0</v>
      </c>
      <c r="BX87" s="91" t="str">
        <f>_xlfn.XLOOKUP(BW87,'Normative data'!$V$3:$V$6,'Normative data'!$W$3:$W$6,"Not Found",-1)</f>
        <v>Not completed</v>
      </c>
      <c r="BY87" s="91">
        <f t="shared" si="27"/>
        <v>0</v>
      </c>
      <c r="BZ87" s="91" t="str">
        <f>_xlfn.XLOOKUP(BY87,'Normative data'!$V$3:$V$6,'Normative data'!$W$3:$W$6,"Not Found",-1)</f>
        <v>Not completed</v>
      </c>
      <c r="CA87" s="20"/>
      <c r="CC87" s="20"/>
      <c r="CE87" s="17">
        <v>14</v>
      </c>
      <c r="CG87" s="17">
        <v>18.690000000000001</v>
      </c>
      <c r="CH87" s="20" t="str">
        <f>_xlfn.XLOOKUP(CG87, 'Normative data'!$S$9:$S$15,'Normative data'!$T$9:$T$15, "Not Found", -1)</f>
        <v>Average</v>
      </c>
      <c r="CI87" s="17">
        <v>18.850000000000001</v>
      </c>
      <c r="CJ87" s="20" t="str">
        <f>_xlfn.XLOOKUP(CI87, 'Normative data'!$S$9:$S$15, 'Normative data'!$T$9:$T$15, "Not Found", -1)</f>
        <v>Average</v>
      </c>
      <c r="CK87" s="17">
        <v>2.21</v>
      </c>
      <c r="CL87" s="17">
        <v>4.5199999999999996</v>
      </c>
      <c r="CN87" s="17">
        <v>7.25</v>
      </c>
      <c r="CO87" s="17">
        <v>6.9</v>
      </c>
      <c r="CQ87" s="17">
        <v>6.3</v>
      </c>
      <c r="CR87" s="20" t="str" cm="1">
        <f t="array" ref="CR87">IF(OR(ISBLANK(E87),ISBLANK(CQ87)),"Incomplete",_xlfn.XLOOKUP(CQ87,_xlfn.XLOOKUP(E87,'Normative data'!$Y$3:$Y$6,'Normative data'!$Z$3:$AG$6,,-1),'Normative data'!$Z$2:$AG$2,"Not Found",-1))</f>
        <v>Fair</v>
      </c>
      <c r="CS87" s="20">
        <v>6</v>
      </c>
      <c r="CT87" s="20">
        <v>3</v>
      </c>
      <c r="CU87" s="20" cm="1">
        <f t="array" ref="CU87">_xlfn.XLOOKUP(CS87&amp;CT87,(VLOOKUP!$A$3:$A$250)&amp;(VLOOKUP!$B$3:$B$250),VLOOKUP!$C$3:$C$250,"Incomplete",-1)</f>
        <v>880</v>
      </c>
      <c r="CV87" s="20" t="str" cm="1">
        <f t="array" ref="CV87">_xlfn.XLOOKUP(CU87, _xlfn.XLOOKUP(E87, 'Normative data'!$Y$11:$Y$14, 'Normative data'!$Z$11:$AG$14, ,-1), 'Normative data'!$Z$10:$AG$10, "Not Found", -1)</f>
        <v xml:space="preserve">Fair </v>
      </c>
      <c r="CW87" s="20" cm="1">
        <f t="array" ref="CW87">IF(OR(ISBLANK(CS87),ISBLANK(CT87)),"Incomplete",_xlfn.XLOOKUP(CS87&amp;CT87,VLOOKUP!$A$4:$A$250&amp;VLOOKUP!$B$4:$B$250,VLOOKUP!$D$4:$D$250,"0"))</f>
        <v>34</v>
      </c>
    </row>
    <row r="88" spans="1:101">
      <c r="A88" s="17" t="s">
        <v>311</v>
      </c>
      <c r="B88" s="17" t="s">
        <v>308</v>
      </c>
      <c r="C88" s="17" t="s">
        <v>86</v>
      </c>
      <c r="D88" s="26">
        <v>40067</v>
      </c>
      <c r="E88" s="17">
        <v>16.8</v>
      </c>
      <c r="F88" s="20" t="s">
        <v>181</v>
      </c>
      <c r="G88" s="17">
        <v>2026</v>
      </c>
      <c r="I88" s="20">
        <v>2</v>
      </c>
      <c r="J88" s="20" t="s">
        <v>122</v>
      </c>
      <c r="K88" s="20" t="s">
        <v>228</v>
      </c>
      <c r="L88" s="20"/>
      <c r="S88" s="20">
        <v>85.9</v>
      </c>
      <c r="T88" s="20">
        <v>166.2</v>
      </c>
      <c r="U88" s="17">
        <v>48.6</v>
      </c>
      <c r="V88" s="17">
        <v>32.1</v>
      </c>
      <c r="W88" s="17">
        <v>4.8</v>
      </c>
      <c r="X88" s="17">
        <v>43.8</v>
      </c>
      <c r="Y88" s="17">
        <v>23.9</v>
      </c>
      <c r="Z88" s="17">
        <v>17.600000000000001</v>
      </c>
      <c r="AA88" s="17">
        <v>10</v>
      </c>
      <c r="AB88" s="17">
        <v>6.75</v>
      </c>
      <c r="AC88" s="17">
        <v>120.1</v>
      </c>
      <c r="AD88" s="17">
        <v>6.71</v>
      </c>
      <c r="AE88" s="17">
        <v>119.4</v>
      </c>
      <c r="AF88" s="17">
        <v>1</v>
      </c>
      <c r="AG88" s="17">
        <v>38.5</v>
      </c>
      <c r="AH88" s="17">
        <v>1</v>
      </c>
      <c r="AI88" s="17">
        <v>38.299999999999997</v>
      </c>
      <c r="AJ88" s="17">
        <v>297.10000000000002</v>
      </c>
      <c r="AK88" s="17">
        <v>299.8</v>
      </c>
      <c r="AL88" s="17">
        <v>266.39999999999998</v>
      </c>
      <c r="AM88" s="17">
        <v>268.60000000000002</v>
      </c>
      <c r="AN88" s="17">
        <v>82</v>
      </c>
      <c r="AQ88" s="20"/>
      <c r="AR88" s="20"/>
      <c r="AS88" s="20"/>
      <c r="AT88" s="20"/>
      <c r="AU88" s="20"/>
      <c r="AV88" s="20"/>
      <c r="AW88" s="20"/>
      <c r="AX88" s="20"/>
      <c r="AY88" s="41" t="str">
        <f t="shared" si="22"/>
        <v>Incomplete</v>
      </c>
      <c r="BA88" s="20" t="str">
        <f t="shared" si="23"/>
        <v>Incomplete</v>
      </c>
      <c r="BC88" s="20" t="str">
        <f t="shared" si="24"/>
        <v>Incomplete</v>
      </c>
      <c r="BE88" s="20" t="str">
        <f t="shared" si="25"/>
        <v>Incomplete</v>
      </c>
      <c r="BH88" s="20"/>
      <c r="BI88" s="20" t="str">
        <f t="shared" si="21"/>
        <v>Incomplete</v>
      </c>
      <c r="BJ88" s="20"/>
      <c r="BL88" s="20"/>
      <c r="BM88" s="20"/>
      <c r="BN88" s="20"/>
      <c r="BO88" s="17">
        <v>43</v>
      </c>
      <c r="BP88" s="17">
        <v>43.5</v>
      </c>
      <c r="BW88" s="91">
        <f t="shared" si="26"/>
        <v>0</v>
      </c>
      <c r="BX88" s="91" t="str">
        <f>_xlfn.XLOOKUP(BW88,'Normative data'!$V$3:$V$6,'Normative data'!$W$3:$W$6,"Not Found",-1)</f>
        <v>Not completed</v>
      </c>
      <c r="BY88" s="91">
        <f t="shared" si="27"/>
        <v>0</v>
      </c>
      <c r="BZ88" s="91" t="str">
        <f>_xlfn.XLOOKUP(BY88,'Normative data'!$V$3:$V$6,'Normative data'!$W$3:$W$6,"Not Found",-1)</f>
        <v>Not completed</v>
      </c>
      <c r="CA88" s="17">
        <v>31</v>
      </c>
      <c r="CC88" s="20"/>
      <c r="CE88" s="17">
        <v>42</v>
      </c>
      <c r="CG88" s="20"/>
      <c r="CH88" s="20" t="str">
        <f>_xlfn.XLOOKUP(CG88, 'Normative data'!$S$9:$S$15,'Normative data'!$T$9:$T$15, "Not Found", -1)</f>
        <v>not completed</v>
      </c>
      <c r="CI88" s="20"/>
      <c r="CJ88" s="20" t="str">
        <f>_xlfn.XLOOKUP(CI88, 'Normative data'!$S$9:$S$15, 'Normative data'!$T$9:$T$15, "Not Found", -1)</f>
        <v>not completed</v>
      </c>
      <c r="CK88" s="17">
        <v>2.25</v>
      </c>
      <c r="CL88" s="17">
        <v>4.4400000000000004</v>
      </c>
      <c r="CN88" s="17">
        <v>6.97</v>
      </c>
      <c r="CO88" s="17">
        <v>7.17</v>
      </c>
      <c r="CR88" s="20" t="str" cm="1">
        <f t="array" ref="CR88">IF(OR(ISBLANK(E88),ISBLANK(CQ88)),"Incomplete",_xlfn.XLOOKUP(CQ88,_xlfn.XLOOKUP(E88,'Normative data'!$Y$3:$Y$6,'Normative data'!$Z$3:$AG$6,,-1),'Normative data'!$Z$2:$AG$2,"Not Found",-1))</f>
        <v>Incomplete</v>
      </c>
      <c r="CS88" s="20"/>
      <c r="CT88" s="20"/>
      <c r="CU88" s="20" t="str" cm="1">
        <f t="array" ref="CU88">_xlfn.XLOOKUP(CS88&amp;CT88,(VLOOKUP!$A$3:$A$250)&amp;(VLOOKUP!$B$3:$B$250),VLOOKUP!$C$3:$C$250,"Incomplete",-1)</f>
        <v>Incomplete</v>
      </c>
      <c r="CV88" s="20" t="str" cm="1">
        <f t="array" ref="CV88">_xlfn.XLOOKUP(CU88, _xlfn.XLOOKUP(E88, 'Normative data'!$Y$11:$Y$14, 'Normative data'!$Z$11:$AG$14, ,-1), 'Normative data'!$Z$10:$AG$10, "Not Found", -1)</f>
        <v>Excellent</v>
      </c>
      <c r="CW88" s="20" t="str" cm="1">
        <f t="array" ref="CW88">IF(OR(ISBLANK(CS88),ISBLANK(CT88)),"Incomplete",_xlfn.XLOOKUP(CS88&amp;CT88,VLOOKUP!$A$4:$A$250&amp;VLOOKUP!$B$4:$B$250,VLOOKUP!$D$4:$D$250,"0"))</f>
        <v>Incomplete</v>
      </c>
    </row>
    <row r="89" spans="1:101">
      <c r="A89" s="17" t="s">
        <v>312</v>
      </c>
      <c r="B89" s="17" t="s">
        <v>308</v>
      </c>
      <c r="C89" s="17" t="s">
        <v>86</v>
      </c>
      <c r="D89" s="26">
        <v>40217</v>
      </c>
      <c r="E89" s="17">
        <v>15.7</v>
      </c>
      <c r="F89" s="20" t="s">
        <v>162</v>
      </c>
      <c r="G89" s="17">
        <v>2026</v>
      </c>
      <c r="I89" s="20">
        <v>2</v>
      </c>
      <c r="J89" s="20" t="s">
        <v>88</v>
      </c>
      <c r="K89" s="20" t="s">
        <v>297</v>
      </c>
      <c r="L89" s="20"/>
      <c r="S89" s="20">
        <v>93.3</v>
      </c>
      <c r="T89" s="20">
        <v>178.2</v>
      </c>
      <c r="U89" s="17">
        <v>87.7</v>
      </c>
      <c r="V89" s="17">
        <v>45.7</v>
      </c>
      <c r="W89" s="17">
        <v>25</v>
      </c>
      <c r="X89" s="17">
        <v>62.7</v>
      </c>
      <c r="Y89" s="17">
        <v>35.4</v>
      </c>
      <c r="Z89" s="17">
        <v>27.5</v>
      </c>
      <c r="AA89" s="17">
        <v>28.5</v>
      </c>
      <c r="AB89" s="17">
        <v>9.6999999999999993</v>
      </c>
      <c r="AC89" s="17">
        <v>112.8</v>
      </c>
      <c r="AD89" s="17">
        <v>9.89</v>
      </c>
      <c r="AE89" s="17">
        <v>115</v>
      </c>
      <c r="AF89" s="17">
        <v>3.6</v>
      </c>
      <c r="AG89" s="17">
        <v>122.8</v>
      </c>
      <c r="AH89" s="17">
        <v>0.93</v>
      </c>
      <c r="AI89" s="17">
        <v>8.3000000000000007</v>
      </c>
      <c r="AJ89" s="17">
        <v>267.10000000000002</v>
      </c>
      <c r="AK89" s="17">
        <v>253</v>
      </c>
      <c r="AL89" s="17">
        <v>233.6</v>
      </c>
      <c r="AM89" s="17">
        <v>222.9</v>
      </c>
      <c r="AN89" s="17">
        <v>96</v>
      </c>
      <c r="AO89" s="17">
        <v>0.93</v>
      </c>
      <c r="AP89" s="17">
        <v>8.3000000000000007</v>
      </c>
      <c r="AQ89" s="17">
        <v>21.9</v>
      </c>
      <c r="AR89" s="17">
        <v>0.42299999999999999</v>
      </c>
      <c r="AS89" s="17">
        <v>22.8</v>
      </c>
      <c r="AT89" s="17">
        <v>0.43099999999999999</v>
      </c>
      <c r="AU89" s="17">
        <v>9.6</v>
      </c>
      <c r="AV89" s="17">
        <v>0.28000000000000003</v>
      </c>
      <c r="AW89" s="17">
        <v>12.2</v>
      </c>
      <c r="AX89" s="17">
        <v>0.315</v>
      </c>
      <c r="AY89" s="41">
        <f t="shared" si="22"/>
        <v>3247.1399999999994</v>
      </c>
      <c r="BA89" s="20">
        <f t="shared" si="23"/>
        <v>3301.7700000000004</v>
      </c>
      <c r="BC89" s="20">
        <f t="shared" si="24"/>
        <v>2500.5299999999997</v>
      </c>
      <c r="BE89" s="20">
        <f t="shared" si="25"/>
        <v>2658.3500000000004</v>
      </c>
      <c r="BG89" s="17">
        <v>6.5</v>
      </c>
      <c r="BH89" s="17">
        <v>54.5</v>
      </c>
      <c r="BI89" s="20">
        <f t="shared" si="21"/>
        <v>48</v>
      </c>
      <c r="BJ89" s="20"/>
      <c r="BK89" s="17">
        <v>12</v>
      </c>
      <c r="BL89" s="20"/>
      <c r="BM89" s="17">
        <v>10.5</v>
      </c>
      <c r="BN89" s="20"/>
      <c r="BO89" s="17">
        <v>65</v>
      </c>
      <c r="BP89" s="17">
        <v>64.5</v>
      </c>
      <c r="BQ89" s="17">
        <v>93</v>
      </c>
      <c r="BR89" s="17">
        <v>98</v>
      </c>
      <c r="BS89" s="17">
        <v>89</v>
      </c>
      <c r="BT89" s="17">
        <v>83.5</v>
      </c>
      <c r="BU89" s="17">
        <v>98</v>
      </c>
      <c r="BV89" s="17">
        <v>93</v>
      </c>
      <c r="BW89" s="91">
        <f t="shared" si="26"/>
        <v>109.93325480957989</v>
      </c>
      <c r="BX89" s="91" t="str">
        <f>_xlfn.XLOOKUP(BW89,'Normative data'!$V$3:$V$6,'Normative data'!$W$3:$W$6,"Not Found",-1)</f>
        <v>Low risk</v>
      </c>
      <c r="BY89" s="91">
        <f t="shared" si="27"/>
        <v>107.77385159010602</v>
      </c>
      <c r="BZ89" s="91" t="str">
        <f>_xlfn.XLOOKUP(BY89,'Normative data'!$V$3:$V$6,'Normative data'!$W$3:$W$6,"Not Found",-1)</f>
        <v>Low risk</v>
      </c>
      <c r="CA89" s="17">
        <v>37</v>
      </c>
      <c r="CC89" s="20"/>
      <c r="CE89" s="17">
        <v>26</v>
      </c>
      <c r="CG89" s="17">
        <v>18.73</v>
      </c>
      <c r="CH89" s="20" t="str">
        <f>_xlfn.XLOOKUP(CG89, 'Normative data'!$S$9:$S$15,'Normative data'!$T$9:$T$15, "Not Found", -1)</f>
        <v>Average</v>
      </c>
      <c r="CI89" s="17">
        <v>18.3</v>
      </c>
      <c r="CJ89" s="20" t="str">
        <f>_xlfn.XLOOKUP(CI89, 'Normative data'!$S$9:$S$15, 'Normative data'!$T$9:$T$15, "Not Found", -1)</f>
        <v>Average</v>
      </c>
      <c r="CK89" s="17">
        <v>2.21</v>
      </c>
      <c r="CL89" s="17">
        <v>4.5199999999999996</v>
      </c>
      <c r="CN89" s="17">
        <v>6.87</v>
      </c>
      <c r="CO89" s="17">
        <v>7.28</v>
      </c>
      <c r="CR89" s="20" t="str" cm="1">
        <f t="array" ref="CR89">IF(OR(ISBLANK(E89),ISBLANK(CQ89)),"Incomplete",_xlfn.XLOOKUP(CQ89,_xlfn.XLOOKUP(E89,'Normative data'!$Y$3:$Y$6,'Normative data'!$Z$3:$AG$6,,-1),'Normative data'!$Z$2:$AG$2,"Not Found",-1))</f>
        <v>Incomplete</v>
      </c>
      <c r="CS89" s="20"/>
      <c r="CT89" s="20"/>
      <c r="CU89" s="20" t="str" cm="1">
        <f t="array" ref="CU89">_xlfn.XLOOKUP(CS89&amp;CT89,(VLOOKUP!$A$3:$A$250)&amp;(VLOOKUP!$B$3:$B$250),VLOOKUP!$C$3:$C$250,"Incomplete",-1)</f>
        <v>Incomplete</v>
      </c>
      <c r="CV89" s="20" t="str" cm="1">
        <f t="array" ref="CV89">_xlfn.XLOOKUP(CU89, _xlfn.XLOOKUP(E89, 'Normative data'!$Y$11:$Y$14, 'Normative data'!$Z$11:$AG$14, ,-1), 'Normative data'!$Z$10:$AG$10, "Not Found", -1)</f>
        <v>Excellent</v>
      </c>
      <c r="CW89" s="20" t="str" cm="1">
        <f t="array" ref="CW89">IF(OR(ISBLANK(CS89),ISBLANK(CT89)),"Incomplete",_xlfn.XLOOKUP(CS89&amp;CT89,VLOOKUP!$A$4:$A$250&amp;VLOOKUP!$B$4:$B$250,VLOOKUP!$D$4:$D$250,"0"))</f>
        <v>Incomplete</v>
      </c>
    </row>
    <row r="90" spans="1:101">
      <c r="A90" s="17" t="s">
        <v>313</v>
      </c>
      <c r="B90" s="17" t="s">
        <v>308</v>
      </c>
      <c r="C90" s="17" t="s">
        <v>86</v>
      </c>
      <c r="D90" s="26"/>
      <c r="F90" s="20" t="s">
        <v>186</v>
      </c>
      <c r="G90" s="17">
        <v>2026</v>
      </c>
      <c r="I90" s="20">
        <v>2</v>
      </c>
      <c r="J90" s="20" t="s">
        <v>88</v>
      </c>
      <c r="K90" s="20" t="s">
        <v>297</v>
      </c>
      <c r="L90" s="20"/>
      <c r="S90" s="20"/>
      <c r="T90" s="20"/>
      <c r="AY90" s="41" t="str">
        <f t="shared" si="22"/>
        <v>Incomplete</v>
      </c>
      <c r="BA90" s="20" t="str">
        <f t="shared" si="23"/>
        <v>Incomplete</v>
      </c>
      <c r="BC90" s="20" t="str">
        <f t="shared" si="24"/>
        <v>Incomplete</v>
      </c>
      <c r="BE90" s="20" t="str">
        <f t="shared" si="25"/>
        <v>Incomplete</v>
      </c>
      <c r="BH90" s="20"/>
      <c r="BI90" s="20" t="str">
        <f t="shared" si="21"/>
        <v>Incomplete</v>
      </c>
      <c r="BJ90" s="20"/>
      <c r="BL90" s="20"/>
      <c r="BN90" s="20"/>
      <c r="BQ90" s="17">
        <v>80</v>
      </c>
      <c r="BR90" s="17">
        <v>73</v>
      </c>
      <c r="BS90" s="17">
        <v>68</v>
      </c>
      <c r="BT90" s="17">
        <v>79</v>
      </c>
      <c r="BU90" s="17">
        <v>78</v>
      </c>
      <c r="BV90" s="17">
        <v>65</v>
      </c>
      <c r="BW90" s="91" t="str">
        <f t="shared" si="26"/>
        <v>Incomplete</v>
      </c>
      <c r="BX90" s="91" t="str">
        <f>_xlfn.XLOOKUP(BW90,'Normative data'!$V$3:$V$6,'Normative data'!$W$3:$W$6,"Not Found",-1)</f>
        <v>Very low risk</v>
      </c>
      <c r="BY90" s="91" t="str">
        <f t="shared" si="27"/>
        <v>Incomplete</v>
      </c>
      <c r="BZ90" s="91" t="str">
        <f>_xlfn.XLOOKUP(BY90,'Normative data'!$V$3:$V$6,'Normative data'!$W$3:$W$6,"Not Found",-1)</f>
        <v>Very low risk</v>
      </c>
      <c r="CA90" s="17">
        <v>30</v>
      </c>
      <c r="CC90" s="20"/>
      <c r="CE90" s="17">
        <v>14</v>
      </c>
      <c r="CG90" s="17">
        <v>19.07</v>
      </c>
      <c r="CH90" s="20" t="str">
        <f>_xlfn.XLOOKUP(CG90, 'Normative data'!$S$9:$S$15,'Normative data'!$T$9:$T$15, "Not Found", -1)</f>
        <v>Average</v>
      </c>
      <c r="CI90" s="17">
        <v>18.34</v>
      </c>
      <c r="CJ90" s="20" t="str">
        <f>_xlfn.XLOOKUP(CI90, 'Normative data'!$S$9:$S$15, 'Normative data'!$T$9:$T$15, "Not Found", -1)</f>
        <v>Average</v>
      </c>
      <c r="CK90" s="17">
        <v>2.15</v>
      </c>
      <c r="CL90" s="17">
        <v>4.6500000000000004</v>
      </c>
      <c r="CN90" s="17">
        <v>6.69</v>
      </c>
      <c r="CO90" s="17">
        <v>7.18</v>
      </c>
      <c r="CR90" s="20" t="str" cm="1">
        <f t="array" ref="CR90">IF(OR(ISBLANK(E90),ISBLANK(CQ90)),"Incomplete",_xlfn.XLOOKUP(CQ90,_xlfn.XLOOKUP(E90,'Normative data'!$Y$3:$Y$6,'Normative data'!$Z$3:$AG$6,,-1),'Normative data'!$Z$2:$AG$2,"Not Found",-1))</f>
        <v>Incomplete</v>
      </c>
      <c r="CS90" s="20"/>
      <c r="CT90" s="20"/>
      <c r="CU90" s="20" t="str" cm="1">
        <f t="array" ref="CU90">_xlfn.XLOOKUP(CS90&amp;CT90,(VLOOKUP!$A$3:$A$250)&amp;(VLOOKUP!$B$3:$B$250),VLOOKUP!$C$3:$C$250,"Incomplete",-1)</f>
        <v>Incomplete</v>
      </c>
      <c r="CV90" s="20" t="str" cm="1">
        <f t="array" ref="CV90">_xlfn.XLOOKUP(CU90, _xlfn.XLOOKUP(E90, 'Normative data'!$Y$11:$Y$14, 'Normative data'!$Z$11:$AG$14, ,-1), 'Normative data'!$Z$10:$AG$10, "Not Found", -1)</f>
        <v>Excellent</v>
      </c>
      <c r="CW90" s="20" t="str" cm="1">
        <f t="array" ref="CW90">IF(OR(ISBLANK(CS90),ISBLANK(CT90)),"Incomplete",_xlfn.XLOOKUP(CS90&amp;CT90,VLOOKUP!$A$4:$A$250&amp;VLOOKUP!$B$4:$B$250,VLOOKUP!$D$4:$D$250,"0"))</f>
        <v>Incomplete</v>
      </c>
    </row>
    <row r="91" spans="1:101">
      <c r="A91" s="17" t="s">
        <v>314</v>
      </c>
      <c r="B91" s="17" t="s">
        <v>315</v>
      </c>
      <c r="C91" s="17" t="s">
        <v>86</v>
      </c>
      <c r="D91" s="26"/>
      <c r="F91" s="20" t="s">
        <v>162</v>
      </c>
      <c r="G91" s="17">
        <v>2026</v>
      </c>
      <c r="I91" s="20">
        <v>2</v>
      </c>
      <c r="J91" s="20" t="s">
        <v>100</v>
      </c>
      <c r="K91" s="20" t="s">
        <v>173</v>
      </c>
      <c r="L91" s="20"/>
      <c r="S91" s="20">
        <v>81.7</v>
      </c>
      <c r="T91" s="20">
        <v>161.6</v>
      </c>
      <c r="AY91" s="41" t="str">
        <f t="shared" si="22"/>
        <v>Incomplete</v>
      </c>
      <c r="BA91" s="20" t="str">
        <f t="shared" si="23"/>
        <v>Incomplete</v>
      </c>
      <c r="BC91" s="20" t="str">
        <f t="shared" si="24"/>
        <v>Incomplete</v>
      </c>
      <c r="BE91" s="20" t="str">
        <f t="shared" si="25"/>
        <v>Incomplete</v>
      </c>
      <c r="BG91" s="17">
        <v>11.1</v>
      </c>
      <c r="BH91" s="17">
        <v>56.9</v>
      </c>
      <c r="BI91" s="20">
        <f t="shared" si="21"/>
        <v>45.8</v>
      </c>
      <c r="BJ91" s="20"/>
      <c r="BL91" s="20"/>
      <c r="BM91" s="20"/>
      <c r="BN91" s="20"/>
      <c r="BQ91" s="17">
        <v>69</v>
      </c>
      <c r="BR91" s="17">
        <v>76</v>
      </c>
      <c r="BS91" s="17">
        <v>78</v>
      </c>
      <c r="BT91" s="17">
        <v>70</v>
      </c>
      <c r="BU91" s="17">
        <v>74</v>
      </c>
      <c r="BV91" s="17">
        <v>75</v>
      </c>
      <c r="BW91" s="91">
        <f t="shared" si="26"/>
        <v>93.032957863996671</v>
      </c>
      <c r="BX91" s="91" t="str">
        <f>_xlfn.XLOOKUP(BW91,'Normative data'!$V$3:$V$6,'Normative data'!$W$3:$W$6,"Not Found",-1)</f>
        <v>High risk</v>
      </c>
      <c r="BY91" s="91">
        <f t="shared" si="27"/>
        <v>91.364205256570713</v>
      </c>
      <c r="BZ91" s="91" t="str">
        <f>_xlfn.XLOOKUP(BY91,'Normative data'!$V$3:$V$6,'Normative data'!$W$3:$W$6,"Not Found",-1)</f>
        <v>High risk</v>
      </c>
      <c r="CA91" s="20"/>
      <c r="CC91" s="20"/>
      <c r="CE91" s="17">
        <v>7</v>
      </c>
      <c r="CG91" s="17">
        <v>17.86</v>
      </c>
      <c r="CH91" s="20" t="str">
        <f>_xlfn.XLOOKUP(CG91, 'Normative data'!$S$9:$S$15,'Normative data'!$T$9:$T$15, "Not Found", -1)</f>
        <v>Above Average</v>
      </c>
      <c r="CI91" s="17">
        <v>17.53</v>
      </c>
      <c r="CJ91" s="20" t="str">
        <f>_xlfn.XLOOKUP(CI91, 'Normative data'!$S$9:$S$15, 'Normative data'!$T$9:$T$15, "Not Found", -1)</f>
        <v>Above Average</v>
      </c>
      <c r="CK91" s="17">
        <v>2.17</v>
      </c>
      <c r="CL91" s="17">
        <v>4.6100000000000003</v>
      </c>
      <c r="CN91" s="17">
        <v>6.75</v>
      </c>
      <c r="CO91" s="17">
        <v>7.41</v>
      </c>
      <c r="CR91" s="20" t="str" cm="1">
        <f t="array" ref="CR91">IF(OR(ISBLANK(E91),ISBLANK(CQ91)),"Incomplete",_xlfn.XLOOKUP(CQ91,_xlfn.XLOOKUP(E91,'Normative data'!$Y$3:$Y$6,'Normative data'!$Z$3:$AG$6,,-1),'Normative data'!$Z$2:$AG$2,"Not Found",-1))</f>
        <v>Incomplete</v>
      </c>
      <c r="CS91" s="20"/>
      <c r="CT91" s="20"/>
      <c r="CU91" s="20" t="str" cm="1">
        <f t="array" ref="CU91">_xlfn.XLOOKUP(CS91&amp;CT91,(VLOOKUP!$A$3:$A$250)&amp;(VLOOKUP!$B$3:$B$250),VLOOKUP!$C$3:$C$250,"Incomplete",-1)</f>
        <v>Incomplete</v>
      </c>
      <c r="CV91" s="20" t="str" cm="1">
        <f t="array" ref="CV91">_xlfn.XLOOKUP(CU91, _xlfn.XLOOKUP(E91, 'Normative data'!$Y$11:$Y$14, 'Normative data'!$Z$11:$AG$14, ,-1), 'Normative data'!$Z$10:$AG$10, "Not Found", -1)</f>
        <v>Excellent</v>
      </c>
      <c r="CW91" s="20" t="str" cm="1">
        <f t="array" ref="CW91">IF(OR(ISBLANK(CS91),ISBLANK(CT91)),"Incomplete",_xlfn.XLOOKUP(CS91&amp;CT91,VLOOKUP!$A$4:$A$250&amp;VLOOKUP!$B$4:$B$250,VLOOKUP!$D$4:$D$250,"0"))</f>
        <v>Incomplete</v>
      </c>
    </row>
    <row r="92" spans="1:101">
      <c r="A92" s="17" t="s">
        <v>316</v>
      </c>
      <c r="B92" s="17" t="s">
        <v>317</v>
      </c>
      <c r="C92" s="17" t="s">
        <v>86</v>
      </c>
      <c r="D92" s="26"/>
      <c r="F92" s="20" t="s">
        <v>192</v>
      </c>
      <c r="G92" s="17">
        <v>2026</v>
      </c>
      <c r="I92" s="20">
        <v>2</v>
      </c>
      <c r="J92" s="20"/>
      <c r="K92" s="20"/>
      <c r="L92" s="20"/>
      <c r="S92" s="20">
        <v>89.7</v>
      </c>
      <c r="T92" s="20">
        <v>174.5</v>
      </c>
      <c r="AQ92" s="20"/>
      <c r="AR92" s="20"/>
      <c r="AS92" s="20"/>
      <c r="AT92" s="20"/>
      <c r="AU92" s="20"/>
      <c r="AV92" s="20"/>
      <c r="AW92" s="20"/>
      <c r="AX92" s="20"/>
      <c r="AY92" s="41" t="str">
        <f t="shared" si="22"/>
        <v>Incomplete</v>
      </c>
      <c r="BA92" s="20" t="str">
        <f t="shared" si="23"/>
        <v>Incomplete</v>
      </c>
      <c r="BC92" s="20" t="str">
        <f t="shared" si="24"/>
        <v>Incomplete</v>
      </c>
      <c r="BE92" s="20" t="str">
        <f t="shared" si="25"/>
        <v>Incomplete</v>
      </c>
      <c r="BG92" s="17">
        <v>1.7</v>
      </c>
      <c r="BH92" s="17">
        <v>34</v>
      </c>
      <c r="BI92" s="20">
        <f t="shared" si="21"/>
        <v>32.299999999999997</v>
      </c>
      <c r="BJ92" s="20"/>
      <c r="BK92" s="17">
        <v>6.5</v>
      </c>
      <c r="BL92" s="20"/>
      <c r="BM92" s="17">
        <v>8.4</v>
      </c>
      <c r="BN92" s="20"/>
      <c r="BO92" s="17">
        <v>53</v>
      </c>
      <c r="BP92" s="17">
        <v>52</v>
      </c>
      <c r="BQ92" s="17">
        <v>91</v>
      </c>
      <c r="BR92" s="17">
        <v>98</v>
      </c>
      <c r="BS92" s="17">
        <v>92</v>
      </c>
      <c r="BT92" s="17">
        <v>85</v>
      </c>
      <c r="BU92" s="17">
        <v>90</v>
      </c>
      <c r="BV92" s="17">
        <v>90</v>
      </c>
      <c r="BW92" s="91">
        <f t="shared" si="26"/>
        <v>110.4559748427673</v>
      </c>
      <c r="BX92" s="91" t="str">
        <f>_xlfn.XLOOKUP(BW92,'Normative data'!$V$3:$V$6,'Normative data'!$W$3:$W$6,"Not Found",-1)</f>
        <v>Low risk</v>
      </c>
      <c r="BY92" s="91">
        <f t="shared" si="27"/>
        <v>104.16666666666667</v>
      </c>
      <c r="BZ92" s="91" t="str">
        <f>_xlfn.XLOOKUP(BY92,'Normative data'!$V$3:$V$6,'Normative data'!$W$3:$W$6,"Not Found",-1)</f>
        <v>Low risk</v>
      </c>
      <c r="CA92" s="17">
        <v>21</v>
      </c>
      <c r="CC92" s="20"/>
      <c r="CE92" s="17">
        <v>1</v>
      </c>
      <c r="CG92" s="20"/>
      <c r="CH92" s="20" t="str">
        <f>_xlfn.XLOOKUP(CG92, 'Normative data'!$S$9:$S$15,'Normative data'!$T$9:$T$15, "Not Found", -1)</f>
        <v>not completed</v>
      </c>
      <c r="CI92" s="20"/>
      <c r="CJ92" s="20" t="str">
        <f>_xlfn.XLOOKUP(CI92, 'Normative data'!$S$9:$S$15, 'Normative data'!$T$9:$T$15, "Not Found", -1)</f>
        <v>not completed</v>
      </c>
      <c r="CK92" s="21"/>
      <c r="CL92" s="21"/>
      <c r="CM92" s="21"/>
      <c r="CN92" s="21"/>
      <c r="CO92" s="21"/>
      <c r="CQ92" s="17">
        <v>7.5</v>
      </c>
      <c r="CR92" s="20" t="str" cm="1">
        <f t="array" ref="CR92">IF(OR(ISBLANK(E92),ISBLANK(CQ92)),"Incomplete",_xlfn.XLOOKUP(CQ92,_xlfn.XLOOKUP(E92,'Normative data'!$Y$3:$Y$6,'Normative data'!$Z$3:$AG$6,,-1),'Normative data'!$Z$2:$AG$2,"Not Found",-1))</f>
        <v>Incomplete</v>
      </c>
      <c r="CS92" s="20">
        <v>7</v>
      </c>
      <c r="CT92" s="20">
        <v>5</v>
      </c>
      <c r="CU92" s="20" cm="1">
        <f t="array" ref="CU92">_xlfn.XLOOKUP(CS92&amp;CT92,(VLOOKUP!$A$3:$A$250)&amp;(VLOOKUP!$B$3:$B$250),VLOOKUP!$C$3:$C$250,"Incomplete",-1)</f>
        <v>1120</v>
      </c>
      <c r="CV92" s="20" t="str" cm="1">
        <f t="array" ref="CV92">_xlfn.XLOOKUP(CU92, _xlfn.XLOOKUP(E92, 'Normative data'!$Y$11:$Y$14, 'Normative data'!$Z$11:$AG$14, ,-1), 'Normative data'!$Z$10:$AG$10, "Not Found", -1)</f>
        <v>Average</v>
      </c>
      <c r="CW92" s="20" cm="1">
        <f t="array" ref="CW92">IF(OR(ISBLANK(CS92),ISBLANK(CT92)),"Incomplete",_xlfn.XLOOKUP(CS92&amp;CT92,VLOOKUP!$A$4:$A$250&amp;VLOOKUP!$B$4:$B$250,VLOOKUP!$D$4:$D$250,"0"))</f>
        <v>38</v>
      </c>
    </row>
    <row r="93" spans="1:101">
      <c r="A93" s="17" t="s">
        <v>318</v>
      </c>
      <c r="B93" s="17" t="s">
        <v>319</v>
      </c>
      <c r="C93" s="17" t="s">
        <v>86</v>
      </c>
      <c r="D93" s="26">
        <v>40779</v>
      </c>
      <c r="F93" s="20" t="s">
        <v>154</v>
      </c>
      <c r="G93" s="17">
        <v>2026</v>
      </c>
      <c r="I93" s="20">
        <v>2</v>
      </c>
      <c r="J93" s="20" t="s">
        <v>88</v>
      </c>
      <c r="K93" s="20" t="s">
        <v>93</v>
      </c>
      <c r="L93" s="20"/>
      <c r="S93" s="20">
        <v>81.099999999999994</v>
      </c>
      <c r="T93" s="20">
        <v>152.6</v>
      </c>
      <c r="U93" s="17">
        <v>46</v>
      </c>
      <c r="V93" s="17">
        <v>24.9</v>
      </c>
      <c r="W93" s="17">
        <v>12</v>
      </c>
      <c r="X93" s="17">
        <v>34</v>
      </c>
      <c r="Y93" s="17">
        <v>18.2</v>
      </c>
      <c r="Z93" s="17">
        <v>19.8</v>
      </c>
      <c r="AA93" s="17">
        <v>26.2</v>
      </c>
      <c r="AB93" s="17">
        <v>4.96</v>
      </c>
      <c r="AC93" s="17">
        <v>95.7</v>
      </c>
      <c r="AD93" s="17">
        <v>4.8899999999999997</v>
      </c>
      <c r="AE93" s="17">
        <v>94.3</v>
      </c>
      <c r="AF93" s="17">
        <v>2</v>
      </c>
      <c r="AG93" s="17">
        <v>120.6</v>
      </c>
      <c r="AH93" s="17">
        <v>2</v>
      </c>
      <c r="AI93" s="17">
        <v>119.4</v>
      </c>
      <c r="AJ93" s="17">
        <v>311.39999999999998</v>
      </c>
      <c r="AK93" s="17">
        <v>318.39999999999998</v>
      </c>
      <c r="AL93" s="17">
        <v>276.3</v>
      </c>
      <c r="AM93" s="17">
        <v>285.60000000000002</v>
      </c>
      <c r="AN93" s="17">
        <v>80</v>
      </c>
      <c r="AO93" s="17">
        <v>0.82</v>
      </c>
      <c r="AP93" s="17">
        <v>5.5</v>
      </c>
      <c r="AQ93" s="20"/>
      <c r="AR93" s="20"/>
      <c r="AS93" s="20"/>
      <c r="AT93" s="20"/>
      <c r="AU93" s="20"/>
      <c r="AV93" s="20"/>
      <c r="AW93" s="20"/>
      <c r="AX93" s="20"/>
      <c r="AY93" s="41" t="str">
        <f t="shared" si="22"/>
        <v>Incomplete</v>
      </c>
      <c r="BA93" s="20" t="str">
        <f t="shared" si="23"/>
        <v>Incomplete</v>
      </c>
      <c r="BC93" s="20" t="str">
        <f t="shared" si="24"/>
        <v>Incomplete</v>
      </c>
      <c r="BE93" s="20" t="str">
        <f t="shared" si="25"/>
        <v>Incomplete</v>
      </c>
      <c r="BG93" s="17">
        <v>18.5</v>
      </c>
      <c r="BH93" s="17">
        <v>59</v>
      </c>
      <c r="BI93" s="20">
        <f t="shared" si="21"/>
        <v>40.5</v>
      </c>
      <c r="BJ93" s="20"/>
      <c r="BK93" s="17">
        <v>11.5</v>
      </c>
      <c r="BL93" s="20"/>
      <c r="BM93" s="17">
        <v>13.5</v>
      </c>
      <c r="BN93" s="20"/>
      <c r="BW93" s="91">
        <f t="shared" si="26"/>
        <v>0</v>
      </c>
      <c r="BX93" s="91" t="str">
        <f>_xlfn.XLOOKUP(BW93,'Normative data'!$V$3:$V$6,'Normative data'!$W$3:$W$6,"Not Found",-1)</f>
        <v>Not completed</v>
      </c>
      <c r="BY93" s="91">
        <f t="shared" si="27"/>
        <v>0</v>
      </c>
      <c r="BZ93" s="91" t="str">
        <f>_xlfn.XLOOKUP(BY93,'Normative data'!$V$3:$V$6,'Normative data'!$W$3:$W$6,"Not Found",-1)</f>
        <v>Not completed</v>
      </c>
      <c r="CA93" s="17">
        <v>21</v>
      </c>
      <c r="CC93" s="20"/>
      <c r="CE93" s="17">
        <v>13</v>
      </c>
      <c r="CH93" s="20" t="str">
        <f>_xlfn.XLOOKUP(CG93, 'Normative data'!$S$9:$S$15,'Normative data'!$T$9:$T$15, "Not Found", -1)</f>
        <v>not completed</v>
      </c>
      <c r="CI93" s="17">
        <v>20.36</v>
      </c>
      <c r="CJ93" s="20" t="str">
        <f>_xlfn.XLOOKUP(CI93, 'Normative data'!$S$9:$S$15, 'Normative data'!$T$9:$T$15, "Not Found", -1)</f>
        <v>Average</v>
      </c>
      <c r="CK93" s="17">
        <v>2.5099999999999998</v>
      </c>
      <c r="CL93" s="17">
        <v>3.98</v>
      </c>
      <c r="CN93" s="17">
        <v>7.54</v>
      </c>
      <c r="CO93" s="17">
        <v>6.63</v>
      </c>
      <c r="CR93" s="20" t="str" cm="1">
        <f t="array" ref="CR93">IF(OR(ISBLANK(E93),ISBLANK(CQ93)),"Incomplete",_xlfn.XLOOKUP(CQ93,_xlfn.XLOOKUP(E93,'Normative data'!$Y$3:$Y$6,'Normative data'!$Z$3:$AG$6,,-1),'Normative data'!$Z$2:$AG$2,"Not Found",-1))</f>
        <v>Incomplete</v>
      </c>
      <c r="CS93" s="20"/>
      <c r="CT93" s="20"/>
      <c r="CU93" s="20" t="str" cm="1">
        <f t="array" ref="CU93">_xlfn.XLOOKUP(CS93&amp;CT93,(VLOOKUP!$A$3:$A$250)&amp;(VLOOKUP!$B$3:$B$250),VLOOKUP!$C$3:$C$250,"Incomplete",-1)</f>
        <v>Incomplete</v>
      </c>
      <c r="CV93" s="20" t="str" cm="1">
        <f t="array" ref="CV93">_xlfn.XLOOKUP(CU93, _xlfn.XLOOKUP(E93, 'Normative data'!$Y$11:$Y$14, 'Normative data'!$Z$11:$AG$14, ,-1), 'Normative data'!$Z$10:$AG$10, "Not Found", -1)</f>
        <v>Excellent</v>
      </c>
      <c r="CW93" s="20" t="str" cm="1">
        <f t="array" ref="CW93">IF(OR(ISBLANK(CS93),ISBLANK(CT93)),"Incomplete",_xlfn.XLOOKUP(CS93&amp;CT93,VLOOKUP!$A$4:$A$250&amp;VLOOKUP!$B$4:$B$250,VLOOKUP!$D$4:$D$250,"0"))</f>
        <v>Incomplete</v>
      </c>
    </row>
    <row r="94" spans="1:101">
      <c r="A94" s="17" t="s">
        <v>320</v>
      </c>
      <c r="B94" s="17" t="s">
        <v>319</v>
      </c>
      <c r="C94" s="17" t="s">
        <v>86</v>
      </c>
      <c r="D94" s="26">
        <v>40484</v>
      </c>
      <c r="F94" s="20" t="s">
        <v>162</v>
      </c>
      <c r="G94" s="17">
        <v>2026</v>
      </c>
      <c r="I94" s="20">
        <v>2</v>
      </c>
      <c r="J94" s="20"/>
      <c r="K94" s="20"/>
      <c r="L94" s="20"/>
      <c r="S94" s="20"/>
      <c r="T94" s="20"/>
      <c r="AQ94" s="20"/>
      <c r="AR94" s="20"/>
      <c r="AS94" s="20"/>
      <c r="AT94" s="20"/>
      <c r="AU94" s="20"/>
      <c r="AV94" s="20"/>
      <c r="AW94" s="20"/>
      <c r="AX94" s="20"/>
      <c r="AY94" s="41" t="str">
        <f t="shared" si="22"/>
        <v>Incomplete</v>
      </c>
      <c r="BA94" s="20" t="str">
        <f t="shared" si="23"/>
        <v>Incomplete</v>
      </c>
      <c r="BC94" s="20" t="str">
        <f t="shared" si="24"/>
        <v>Incomplete</v>
      </c>
      <c r="BE94" s="20" t="str">
        <f t="shared" si="25"/>
        <v>Incomplete</v>
      </c>
      <c r="BH94" s="20"/>
      <c r="BI94" s="20" t="str">
        <f t="shared" si="21"/>
        <v>Incomplete</v>
      </c>
      <c r="BJ94" s="20"/>
      <c r="BK94" s="17">
        <v>9</v>
      </c>
      <c r="BL94" s="20"/>
      <c r="BM94" s="17">
        <v>7</v>
      </c>
      <c r="BN94" s="20"/>
      <c r="BW94" s="91" t="str">
        <f t="shared" si="26"/>
        <v>Incomplete</v>
      </c>
      <c r="BX94" s="91" t="str">
        <f>_xlfn.XLOOKUP(BW94,'Normative data'!$V$3:$V$6,'Normative data'!$W$3:$W$6,"Not Found",-1)</f>
        <v>Very low risk</v>
      </c>
      <c r="BY94" s="91" t="str">
        <f t="shared" si="27"/>
        <v>Incomplete</v>
      </c>
      <c r="BZ94" s="91" t="str">
        <f>_xlfn.XLOOKUP(BY94,'Normative data'!$V$3:$V$6,'Normative data'!$W$3:$W$6,"Not Found",-1)</f>
        <v>Very low risk</v>
      </c>
      <c r="CA94" s="17">
        <v>17</v>
      </c>
      <c r="CC94" s="20"/>
      <c r="CE94" s="17">
        <v>6</v>
      </c>
      <c r="CG94" s="20"/>
      <c r="CH94" s="20" t="str">
        <f>_xlfn.XLOOKUP(CG94, 'Normative data'!$S$9:$S$15,'Normative data'!$T$9:$T$15, "Not Found", -1)</f>
        <v>not completed</v>
      </c>
      <c r="CI94" s="20"/>
      <c r="CJ94" s="20" t="str">
        <f>_xlfn.XLOOKUP(CI94, 'Normative data'!$S$9:$S$15, 'Normative data'!$T$9:$T$15, "Not Found", -1)</f>
        <v>not completed</v>
      </c>
      <c r="CK94" s="17">
        <v>2.4300000000000002</v>
      </c>
      <c r="CL94" s="17">
        <v>4.12</v>
      </c>
      <c r="CN94" s="17">
        <v>8.31</v>
      </c>
      <c r="CO94" s="17">
        <v>6.02</v>
      </c>
      <c r="CR94" s="20" t="str" cm="1">
        <f t="array" ref="CR94">IF(OR(ISBLANK(E94),ISBLANK(CQ94)),"Incomplete",_xlfn.XLOOKUP(CQ94,_xlfn.XLOOKUP(E94,'Normative data'!$Y$3:$Y$6,'Normative data'!$Z$3:$AG$6,,-1),'Normative data'!$Z$2:$AG$2,"Not Found",-1))</f>
        <v>Incomplete</v>
      </c>
      <c r="CS94" s="20"/>
      <c r="CT94" s="20"/>
      <c r="CU94" s="20" t="str" cm="1">
        <f t="array" ref="CU94">_xlfn.XLOOKUP(CS94&amp;CT94,(VLOOKUP!$A$3:$A$250)&amp;(VLOOKUP!$B$3:$B$250),VLOOKUP!$C$3:$C$250,"Incomplete",-1)</f>
        <v>Incomplete</v>
      </c>
      <c r="CV94" s="20" t="str" cm="1">
        <f t="array" ref="CV94">_xlfn.XLOOKUP(CU94, _xlfn.XLOOKUP(E94, 'Normative data'!$Y$11:$Y$14, 'Normative data'!$Z$11:$AG$14, ,-1), 'Normative data'!$Z$10:$AG$10, "Not Found", -1)</f>
        <v>Excellent</v>
      </c>
      <c r="CW94" s="20" t="str" cm="1">
        <f t="array" ref="CW94">IF(OR(ISBLANK(CS94),ISBLANK(CT94)),"Incomplete",_xlfn.XLOOKUP(CS94&amp;CT94,VLOOKUP!$A$4:$A$250&amp;VLOOKUP!$B$4:$B$250,VLOOKUP!$D$4:$D$250,"0"))</f>
        <v>Incomplete</v>
      </c>
    </row>
    <row r="95" spans="1:101">
      <c r="A95" s="17" t="s">
        <v>321</v>
      </c>
      <c r="B95" s="17" t="s">
        <v>322</v>
      </c>
      <c r="C95" s="17" t="s">
        <v>86</v>
      </c>
      <c r="D95" s="26"/>
      <c r="F95" s="20" t="s">
        <v>162</v>
      </c>
      <c r="G95" s="17">
        <v>2026</v>
      </c>
      <c r="I95" s="20">
        <v>2</v>
      </c>
      <c r="J95" s="20"/>
      <c r="K95" s="20"/>
      <c r="L95" s="20"/>
      <c r="S95" s="20">
        <v>82.4</v>
      </c>
      <c r="T95" s="20">
        <v>161.1</v>
      </c>
      <c r="AQ95" s="20"/>
      <c r="AR95" s="20"/>
      <c r="AS95" s="20"/>
      <c r="AT95" s="20"/>
      <c r="AU95" s="20"/>
      <c r="AV95" s="20"/>
      <c r="AW95" s="20"/>
      <c r="AX95" s="20"/>
      <c r="AY95" s="41" t="str">
        <f t="shared" si="22"/>
        <v>Incomplete</v>
      </c>
      <c r="BA95" s="20" t="str">
        <f t="shared" si="23"/>
        <v>Incomplete</v>
      </c>
      <c r="BC95" s="20" t="str">
        <f t="shared" si="24"/>
        <v>Incomplete</v>
      </c>
      <c r="BE95" s="20" t="str">
        <f t="shared" si="25"/>
        <v>Incomplete</v>
      </c>
      <c r="BG95" s="17">
        <v>13.7</v>
      </c>
      <c r="BH95" s="17">
        <v>56.4</v>
      </c>
      <c r="BI95" s="20">
        <f t="shared" si="21"/>
        <v>42.7</v>
      </c>
      <c r="BJ95" s="20"/>
      <c r="BL95" s="20"/>
      <c r="BM95" s="20"/>
      <c r="BN95" s="20"/>
      <c r="BW95" s="91">
        <f t="shared" si="26"/>
        <v>0</v>
      </c>
      <c r="BX95" s="91" t="str">
        <f>_xlfn.XLOOKUP(BW95,'Normative data'!$V$3:$V$6,'Normative data'!$W$3:$W$6,"Not Found",-1)</f>
        <v>Not completed</v>
      </c>
      <c r="BY95" s="91">
        <f t="shared" si="27"/>
        <v>0</v>
      </c>
      <c r="BZ95" s="91" t="str">
        <f>_xlfn.XLOOKUP(BY95,'Normative data'!$V$3:$V$6,'Normative data'!$W$3:$W$6,"Not Found",-1)</f>
        <v>Not completed</v>
      </c>
      <c r="CA95" s="20"/>
      <c r="CC95" s="20"/>
      <c r="CE95" s="17">
        <v>11</v>
      </c>
      <c r="CG95" s="17">
        <v>20.62</v>
      </c>
      <c r="CH95" s="20" t="str">
        <f>_xlfn.XLOOKUP(CG95, 'Normative data'!$S$9:$S$15,'Normative data'!$T$9:$T$15, "Not Found", -1)</f>
        <v>Average</v>
      </c>
      <c r="CI95" s="17">
        <v>20.190000000000001</v>
      </c>
      <c r="CJ95" s="20" t="str">
        <f>_xlfn.XLOOKUP(CI95, 'Normative data'!$S$9:$S$15, 'Normative data'!$T$9:$T$15, "Not Found", -1)</f>
        <v>Average</v>
      </c>
      <c r="CK95" s="17">
        <v>2.42</v>
      </c>
      <c r="CL95" s="17">
        <v>4.13</v>
      </c>
      <c r="CN95" s="17">
        <v>7.97</v>
      </c>
      <c r="CO95" s="17">
        <v>6.27</v>
      </c>
      <c r="CQ95" s="17">
        <v>3.4</v>
      </c>
      <c r="CR95" s="20" t="str" cm="1">
        <f t="array" ref="CR95">IF(OR(ISBLANK(E95),ISBLANK(CQ95)),"Incomplete",_xlfn.XLOOKUP(CQ95,_xlfn.XLOOKUP(E95,'Normative data'!$Y$3:$Y$6,'Normative data'!$Z$3:$AG$6,,-1),'Normative data'!$Z$2:$AG$2,"Not Found",-1))</f>
        <v>Incomplete</v>
      </c>
      <c r="CS95" s="20">
        <v>3</v>
      </c>
      <c r="CT95" s="20">
        <v>4</v>
      </c>
      <c r="CU95" s="20" cm="1">
        <f t="array" ref="CU95">_xlfn.XLOOKUP(CS95&amp;CT95,(VLOOKUP!$A$3:$A$250)&amp;(VLOOKUP!$B$3:$B$250),VLOOKUP!$C$3:$C$250,"Incomplete",-1)</f>
        <v>380</v>
      </c>
      <c r="CV95" s="20" t="str" cm="1">
        <f t="array" ref="CV95">_xlfn.XLOOKUP(CU95, _xlfn.XLOOKUP(E95, 'Normative data'!$Y$11:$Y$14, 'Normative data'!$Z$11:$AG$14, ,-1), 'Normative data'!$Z$10:$AG$10, "Not Found", -1)</f>
        <v xml:space="preserve">Very poor </v>
      </c>
      <c r="CW95" s="20" cm="1">
        <f t="array" ref="CW95">IF(OR(ISBLANK(CS95),ISBLANK(CT95)),"Incomplete",_xlfn.XLOOKUP(CS95&amp;CT95,VLOOKUP!$A$4:$A$250&amp;VLOOKUP!$B$4:$B$250,VLOOKUP!$D$4:$D$250,"0"))</f>
        <v>24</v>
      </c>
    </row>
    <row r="96" spans="1:101">
      <c r="A96" s="17" t="s">
        <v>323</v>
      </c>
      <c r="B96" s="17" t="s">
        <v>324</v>
      </c>
      <c r="C96" s="17" t="s">
        <v>86</v>
      </c>
      <c r="D96" s="26">
        <v>40574</v>
      </c>
      <c r="F96" s="20" t="s">
        <v>87</v>
      </c>
      <c r="G96" s="17">
        <v>2026</v>
      </c>
      <c r="I96" s="20">
        <v>2</v>
      </c>
      <c r="J96" s="20"/>
      <c r="K96" s="20"/>
      <c r="L96" s="20"/>
      <c r="S96" s="20">
        <v>78.599999999999994</v>
      </c>
      <c r="T96" s="20">
        <v>150.69999999999999</v>
      </c>
      <c r="U96" s="17">
        <v>71.3</v>
      </c>
      <c r="V96" s="17">
        <v>25.5</v>
      </c>
      <c r="W96" s="17">
        <v>36.299999999999997</v>
      </c>
      <c r="X96" s="17">
        <v>35</v>
      </c>
      <c r="Y96" s="17">
        <v>18.600000000000001</v>
      </c>
      <c r="AA96" s="17">
        <v>51</v>
      </c>
      <c r="AB96" s="17">
        <v>4.96</v>
      </c>
      <c r="AC96" s="17">
        <v>83.6</v>
      </c>
      <c r="AD96" s="17">
        <v>4.8600000000000003</v>
      </c>
      <c r="AE96" s="17">
        <v>81.900000000000006</v>
      </c>
      <c r="AF96" s="17">
        <v>5.5</v>
      </c>
      <c r="AG96" s="17">
        <v>358.5</v>
      </c>
      <c r="AH96" s="17">
        <v>5.4</v>
      </c>
      <c r="AI96" s="17">
        <v>356.3</v>
      </c>
      <c r="AJ96" s="17">
        <v>325.39999999999998</v>
      </c>
      <c r="AK96" s="17">
        <v>338.8</v>
      </c>
      <c r="AL96" s="17">
        <v>209.5</v>
      </c>
      <c r="AM96" s="17">
        <v>304.3</v>
      </c>
      <c r="AN96" s="17">
        <v>34</v>
      </c>
      <c r="AQ96" s="17">
        <v>14.6</v>
      </c>
      <c r="AR96" s="17">
        <v>0.34499999999999997</v>
      </c>
      <c r="AS96" s="17">
        <v>18.7</v>
      </c>
      <c r="AT96" s="17">
        <v>0.39100000000000001</v>
      </c>
      <c r="AU96" s="17">
        <v>2.4</v>
      </c>
      <c r="AV96" s="17">
        <v>0.13900000000000001</v>
      </c>
      <c r="AW96" s="17">
        <v>5.4</v>
      </c>
      <c r="AX96" s="17">
        <v>0.21</v>
      </c>
      <c r="AY96" s="41">
        <f t="shared" si="22"/>
        <v>2061.1099999999997</v>
      </c>
      <c r="BA96" s="20">
        <f t="shared" si="23"/>
        <v>2309.9799999999996</v>
      </c>
      <c r="BC96" s="20">
        <f t="shared" si="24"/>
        <v>1320.5699999999997</v>
      </c>
      <c r="BE96" s="20">
        <f t="shared" si="25"/>
        <v>1502.67</v>
      </c>
      <c r="BG96" s="17">
        <v>14</v>
      </c>
      <c r="BH96" s="17">
        <v>46</v>
      </c>
      <c r="BI96" s="20">
        <f t="shared" si="21"/>
        <v>32</v>
      </c>
      <c r="BJ96" s="20"/>
      <c r="BK96" s="17">
        <v>3</v>
      </c>
      <c r="BL96" s="20"/>
      <c r="BM96" s="17">
        <v>3.5</v>
      </c>
      <c r="BN96" s="20"/>
      <c r="BO96" s="17">
        <v>58</v>
      </c>
      <c r="BP96" s="17">
        <v>62</v>
      </c>
      <c r="BQ96" s="17">
        <v>71</v>
      </c>
      <c r="BR96" s="17">
        <v>67</v>
      </c>
      <c r="BS96" s="17">
        <v>62</v>
      </c>
      <c r="BT96" s="17">
        <v>70</v>
      </c>
      <c r="BU96" s="17">
        <v>70</v>
      </c>
      <c r="BV96" s="17">
        <v>61</v>
      </c>
      <c r="BW96" s="91">
        <f t="shared" si="26"/>
        <v>92.464170134073058</v>
      </c>
      <c r="BX96" s="91" t="str">
        <f>_xlfn.XLOOKUP(BW96,'Normative data'!$V$3:$V$6,'Normative data'!$W$3:$W$6,"Not Found",-1)</f>
        <v>High risk</v>
      </c>
      <c r="BY96" s="91">
        <f t="shared" si="27"/>
        <v>92.92649098474341</v>
      </c>
      <c r="BZ96" s="91" t="str">
        <f>_xlfn.XLOOKUP(BY96,'Normative data'!$V$3:$V$6,'Normative data'!$W$3:$W$6,"Not Found",-1)</f>
        <v>High risk</v>
      </c>
      <c r="CA96" s="17">
        <v>16</v>
      </c>
      <c r="CC96" s="20"/>
      <c r="CE96" s="17">
        <v>2</v>
      </c>
      <c r="CG96" s="20"/>
      <c r="CH96" s="20" t="str">
        <f>_xlfn.XLOOKUP(CG96, 'Normative data'!$S$9:$S$15,'Normative data'!$T$9:$T$15, "Not Found", -1)</f>
        <v>not completed</v>
      </c>
      <c r="CI96" s="20"/>
      <c r="CJ96" s="20" t="str">
        <f>_xlfn.XLOOKUP(CI96, 'Normative data'!$S$9:$S$15, 'Normative data'!$T$9:$T$15, "Not Found", -1)</f>
        <v>not completed</v>
      </c>
      <c r="CK96" s="17">
        <v>2.4300000000000002</v>
      </c>
      <c r="CL96" s="17">
        <v>4.12</v>
      </c>
      <c r="CN96" s="17">
        <v>7.71</v>
      </c>
      <c r="CO96" s="17">
        <v>6.49</v>
      </c>
      <c r="CQ96" s="17">
        <v>3.1</v>
      </c>
      <c r="CR96" s="20" t="str" cm="1">
        <f t="array" ref="CR96">IF(OR(ISBLANK(E96),ISBLANK(CQ96)),"Incomplete",_xlfn.XLOOKUP(CQ96,_xlfn.XLOOKUP(E96,'Normative data'!$Y$3:$Y$6,'Normative data'!$Z$3:$AG$6,,-1),'Normative data'!$Z$2:$AG$2,"Not Found",-1))</f>
        <v>Incomplete</v>
      </c>
      <c r="CS96" s="20">
        <v>3</v>
      </c>
      <c r="CT96" s="20">
        <v>1</v>
      </c>
      <c r="CU96" s="20" cm="1">
        <f t="array" ref="CU96">_xlfn.XLOOKUP(CS96&amp;CT96,(VLOOKUP!$A$3:$A$250)&amp;(VLOOKUP!$B$3:$B$250),VLOOKUP!$C$3:$C$250,"Incomplete",-1)</f>
        <v>320</v>
      </c>
      <c r="CV96" s="20" t="str" cm="1">
        <f t="array" ref="CV96">_xlfn.XLOOKUP(CU96, _xlfn.XLOOKUP(E96, 'Normative data'!$Y$11:$Y$14, 'Normative data'!$Z$11:$AG$14, ,-1), 'Normative data'!$Z$10:$AG$10, "Not Found", -1)</f>
        <v xml:space="preserve">Very poor </v>
      </c>
      <c r="CW96" s="20" cm="1">
        <f t="array" ref="CW96">IF(OR(ISBLANK(CS96),ISBLANK(CT96)),"Incomplete",_xlfn.XLOOKUP(CS96&amp;CT96,VLOOKUP!$A$4:$A$250&amp;VLOOKUP!$B$4:$B$250,VLOOKUP!$D$4:$D$250,"0"))</f>
        <v>23</v>
      </c>
    </row>
    <row r="97" spans="1:101">
      <c r="A97" s="22" t="s">
        <v>167</v>
      </c>
      <c r="B97" s="22" t="s">
        <v>166</v>
      </c>
      <c r="C97" s="17" t="s">
        <v>86</v>
      </c>
      <c r="D97" s="23">
        <v>39716</v>
      </c>
      <c r="F97" s="17">
        <v>11</v>
      </c>
      <c r="G97" s="17">
        <v>2025</v>
      </c>
      <c r="H97" s="20" t="s">
        <v>114</v>
      </c>
      <c r="I97" s="17">
        <v>1</v>
      </c>
      <c r="J97" s="17" t="s">
        <v>122</v>
      </c>
      <c r="P97" s="17" t="s">
        <v>122</v>
      </c>
      <c r="S97" s="20"/>
      <c r="T97" s="20">
        <v>159.80000000000001</v>
      </c>
      <c r="U97" s="20">
        <v>58.7</v>
      </c>
      <c r="V97" s="20"/>
      <c r="W97" s="20">
        <v>13.8</v>
      </c>
      <c r="X97" s="20">
        <f>SUM(T97-W97)</f>
        <v>146</v>
      </c>
      <c r="Y97" s="20">
        <v>24.9</v>
      </c>
      <c r="Z97" s="20">
        <v>23</v>
      </c>
      <c r="AA97" s="20">
        <v>23.5</v>
      </c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41" t="str">
        <f t="shared" si="22"/>
        <v>Incomplete</v>
      </c>
      <c r="AZ97" s="20"/>
      <c r="BA97" s="20" t="str">
        <f t="shared" si="23"/>
        <v>Incomplete</v>
      </c>
      <c r="BB97" s="20"/>
      <c r="BC97" s="20" t="str">
        <f t="shared" si="24"/>
        <v>Incomplete</v>
      </c>
      <c r="BD97" s="20"/>
      <c r="BE97" s="20" t="str">
        <f t="shared" si="25"/>
        <v>Incomplete</v>
      </c>
      <c r="BF97" s="20"/>
      <c r="BG97" s="20">
        <v>14</v>
      </c>
      <c r="BH97" s="20">
        <v>33.299999999999997</v>
      </c>
      <c r="BI97" s="20" t="e">
        <f>IF(OR(ISBLANK(#REF!), ISBLANK(#REF!)),"Incomplete",(SUM(#REF!-#REF!)))</f>
        <v>#REF!</v>
      </c>
      <c r="BJ97" s="20"/>
      <c r="BK97" s="20">
        <v>10</v>
      </c>
      <c r="BL97" s="20"/>
      <c r="BM97" s="20">
        <v>8</v>
      </c>
      <c r="BN97" s="20"/>
      <c r="BO97" s="20"/>
      <c r="BP97" s="20"/>
      <c r="BQ97" s="20"/>
      <c r="BR97" s="20"/>
      <c r="BS97" s="20"/>
      <c r="BT97" s="20"/>
      <c r="BU97" s="20"/>
      <c r="BV97" s="20"/>
      <c r="BW97" s="91">
        <f t="shared" si="26"/>
        <v>0</v>
      </c>
      <c r="BX97" s="91" t="str">
        <f>_xlfn.XLOOKUP(BW97,'Normative data'!$V$3:$V$6,'Normative data'!$W$3:$W$6,"Not Found",-1)</f>
        <v>Not completed</v>
      </c>
      <c r="BY97" s="91">
        <f t="shared" si="27"/>
        <v>0</v>
      </c>
      <c r="BZ97" s="91" t="str">
        <f>_xlfn.XLOOKUP(BY97,'Normative data'!$V$3:$V$6,'Normative data'!$W$3:$W$6,"Not Found",-1)</f>
        <v>Not completed</v>
      </c>
      <c r="CA97" s="20"/>
      <c r="CC97" s="20"/>
      <c r="CE97" s="20"/>
      <c r="CG97" s="20"/>
      <c r="CH97" s="20" t="str">
        <f>_xlfn.XLOOKUP(CG97, 'Normative data'!$S$9:$S$15,'Normative data'!$T$9:$T$15, "Not Found", -1)</f>
        <v>not completed</v>
      </c>
      <c r="CI97" s="20"/>
      <c r="CJ97" s="20" t="str">
        <f>_xlfn.XLOOKUP(CI97, 'Normative data'!$S$9:$S$15, 'Normative data'!$T$9:$T$15, "Not Found", -1)</f>
        <v>not completed</v>
      </c>
      <c r="CK97" s="24">
        <v>2.04</v>
      </c>
      <c r="CL97" s="24">
        <v>4.9000000000000004</v>
      </c>
      <c r="CM97" s="21"/>
      <c r="CN97" s="24">
        <v>6.12</v>
      </c>
      <c r="CO97" s="24">
        <v>8.17</v>
      </c>
      <c r="CP97" s="24"/>
      <c r="CQ97" s="30"/>
      <c r="CR97" s="20" t="str" cm="1">
        <f t="array" ref="CR97">IF(OR(ISBLANK(E97),ISBLANK(CQ97)),"Incomplete",_xlfn.XLOOKUP(CQ97,_xlfn.XLOOKUP(E97,'Normative data'!$Y$3:$Y$6,'Normative data'!$Z$3:$AG$6,,-1),'Normative data'!$Z$2:$AG$2,"Not Found",-1))</f>
        <v>Incomplete</v>
      </c>
      <c r="CS97" s="20"/>
      <c r="CT97" s="20"/>
      <c r="CU97" s="20" t="str" cm="1">
        <f t="array" ref="CU97">_xlfn.XLOOKUP(CS97&amp;CT97,(VLOOKUP!$A$3:$A$250)&amp;(VLOOKUP!$B$3:$B$250),VLOOKUP!$C$3:$C$250,"Incomplete",-1)</f>
        <v>Incomplete</v>
      </c>
      <c r="CV97" s="20" t="str" cm="1">
        <f t="array" ref="CV97">_xlfn.XLOOKUP(CU97, _xlfn.XLOOKUP(E97, 'Normative data'!$Y$11:$Y$14, 'Normative data'!$Z$11:$AG$14, ,-1), 'Normative data'!$Z$10:$AG$10, "Not Found", -1)</f>
        <v>Excellent</v>
      </c>
      <c r="CW97" s="20" t="str" cm="1">
        <f t="array" ref="CW97">IF(OR(ISBLANK(CS97),ISBLANK(CT97)),"Incomplete",_xlfn.XLOOKUP(CS97&amp;CT97,VLOOKUP!$A$4:$A$250&amp;VLOOKUP!$B$4:$B$250,VLOOKUP!$D$4:$D$250,"0"))</f>
        <v>Incomplete</v>
      </c>
    </row>
    <row r="98" spans="1:101">
      <c r="A98" s="17" t="s">
        <v>167</v>
      </c>
      <c r="B98" s="17" t="s">
        <v>166</v>
      </c>
      <c r="C98" s="17" t="s">
        <v>86</v>
      </c>
      <c r="D98" s="23">
        <v>39716</v>
      </c>
      <c r="F98" s="17">
        <v>11</v>
      </c>
      <c r="G98" s="17">
        <v>2025</v>
      </c>
      <c r="H98" s="20" t="s">
        <v>124</v>
      </c>
      <c r="I98" s="17">
        <v>3</v>
      </c>
      <c r="S98" s="20"/>
      <c r="T98" s="20" t="s">
        <v>325</v>
      </c>
      <c r="U98" s="20" t="s">
        <v>326</v>
      </c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41" t="str">
        <f>IF(OR(ISBLANK(#REF!), ISBLANK(AQ98)), "Incomplete", (60.7*AQ98)+(45.3*#REF!)-2055)</f>
        <v>Incomplete</v>
      </c>
      <c r="AZ98" s="20"/>
      <c r="BA98" s="20" t="str">
        <f>IF(OR(ISBLANK(#REF!), ISBLANK(AS98)), "Incomplete", (60.7*AS98)+(45.3*#REF!)-2055)</f>
        <v>Incomplete</v>
      </c>
      <c r="BB98" s="20"/>
      <c r="BC98" s="20" t="str">
        <f>IF(OR(ISBLANK(#REF!), ISBLANK(AU98)), "Incomplete", (60.7*AU98)+(45.3*#REF!)-2055)</f>
        <v>Incomplete</v>
      </c>
      <c r="BD98" s="20"/>
      <c r="BE98" s="20" t="str">
        <f>IF(OR(ISBLANK(#REF!), ISBLANK(AW98)), "Incomplete", (60.7*AW98)+(45.3*#REF!)-2055)</f>
        <v>Incomplete</v>
      </c>
      <c r="BF98" s="20"/>
      <c r="BG98" s="20"/>
      <c r="BH98" s="20"/>
      <c r="BI98" s="20" t="str">
        <f>IF(OR(ISBLANK(BG98), ISBLANK(BH98)),"Incomplete",(SUM(BH98-BG98)))</f>
        <v>Incomplete</v>
      </c>
      <c r="BJ98" s="20"/>
      <c r="BK98" s="20">
        <v>8</v>
      </c>
      <c r="BL98" s="20"/>
      <c r="BM98" s="20">
        <v>9</v>
      </c>
      <c r="BN98" s="20"/>
      <c r="BO98" s="20"/>
      <c r="BP98" s="20"/>
      <c r="BQ98" s="20"/>
      <c r="BR98" s="20"/>
      <c r="BS98" s="20"/>
      <c r="BT98" s="20"/>
      <c r="BU98" s="20"/>
      <c r="BV98" s="20"/>
      <c r="BW98" s="91" t="str">
        <f>IFERROR(SUM(BQ98+BR98+BS98)/(3*(#REF!-S98))*100, "Incomplete")</f>
        <v>Incomplete</v>
      </c>
      <c r="BX98" s="91" t="str">
        <f>_xlfn.XLOOKUP(BW98,'Normative data'!$V$3:$V$6,'Normative data'!$W$3:$W$6,"Not Found",-1)</f>
        <v>Very low risk</v>
      </c>
      <c r="BY98" s="91" t="str">
        <f>IFERROR(SUM(BT98+BU98+BV98)/(3*(#REF!-S98))*100, "Incomplete")</f>
        <v>Incomplete</v>
      </c>
      <c r="BZ98" s="91" t="str">
        <f>_xlfn.XLOOKUP(BY98,'Normative data'!$V$3:$V$6,'Normative data'!$W$3:$W$6,"Not Found",-1)</f>
        <v>Very low risk</v>
      </c>
      <c r="CA98" s="20"/>
      <c r="CC98" s="20"/>
      <c r="CE98" s="20"/>
      <c r="CG98" s="20">
        <v>17.28</v>
      </c>
      <c r="CH98" s="20" t="e">
        <f>_xlfn.XLOOKUP(#REF!, 'Normative data'!$S$9:$S$15,'Normative data'!$T$9:$T$15, "Not Found", -1)</f>
        <v>#REF!</v>
      </c>
      <c r="CI98" s="20">
        <v>17.36</v>
      </c>
      <c r="CJ98" s="20" t="e">
        <f>_xlfn.XLOOKUP(#REF!, 'Normative data'!$S$9:$S$15, 'Normative data'!$T$9:$T$15, "Not Found", -1)</f>
        <v>#REF!</v>
      </c>
      <c r="CK98" s="20" t="s">
        <v>327</v>
      </c>
      <c r="CL98" s="20" t="s">
        <v>328</v>
      </c>
      <c r="CN98" s="20" t="s">
        <v>329</v>
      </c>
      <c r="CO98" s="20" t="s">
        <v>330</v>
      </c>
      <c r="CQ98" s="30"/>
      <c r="CR98" s="20" t="str" cm="1">
        <f t="array" ref="CR98">IF(OR(ISBLANK(E98),ISBLANK(CQ98)),"Incomplete",_xlfn.XLOOKUP(CQ98,_xlfn.XLOOKUP(E98,'Normative data'!$Y$3:$Y$6,'Normative data'!$Z$3:$AG$6,,-1),'Normative data'!$Z$2:$AG$2,"Not Found",-1))</f>
        <v>Incomplete</v>
      </c>
      <c r="CS98" s="20"/>
      <c r="CT98" s="20"/>
      <c r="CU98" s="20" t="str" cm="1">
        <f t="array" ref="CU98">_xlfn.XLOOKUP(CS98&amp;CT98,(VLOOKUP!$A$3:$A$250)&amp;(VLOOKUP!$B$3:$B$250),VLOOKUP!$C$3:$C$250,"Incomplete",-1)</f>
        <v>Incomplete</v>
      </c>
      <c r="CV98" s="20" t="str" cm="1">
        <f t="array" ref="CV98">_xlfn.XLOOKUP(CU98, _xlfn.XLOOKUP(E98, 'Normative data'!$Y$11:$Y$14, 'Normative data'!$Z$11:$AG$14, ,-1), 'Normative data'!$Z$10:$AG$10, "Not Found", -1)</f>
        <v>Excellent</v>
      </c>
      <c r="CW98" s="20" t="str" cm="1">
        <f t="array" ref="CW98">IF(OR(ISBLANK(CS98),ISBLANK(CT98)),"Incomplete",_xlfn.XLOOKUP(CS98&amp;CT98,VLOOKUP!$A$4:$A$250&amp;VLOOKUP!$B$4:$B$250,VLOOKUP!$D$4:$D$250,"0"))</f>
        <v>Incomplete</v>
      </c>
    </row>
    <row r="99" spans="1:101">
      <c r="A99" s="18" t="s">
        <v>331</v>
      </c>
      <c r="B99" s="18" t="s">
        <v>332</v>
      </c>
      <c r="C99" s="17" t="s">
        <v>86</v>
      </c>
      <c r="D99" s="19">
        <v>39836</v>
      </c>
      <c r="F99" s="17">
        <v>10</v>
      </c>
      <c r="G99" s="17">
        <v>2025</v>
      </c>
      <c r="H99" s="20" t="s">
        <v>114</v>
      </c>
      <c r="I99" s="17">
        <v>1</v>
      </c>
      <c r="P99" s="17" t="s">
        <v>333</v>
      </c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41" t="str">
        <f>IF(OR(ISBLANK(U99), ISBLANK(AQ99)), "Incomplete", (60.7*AQ99)+(45.3*U99)-2055)</f>
        <v>Incomplete</v>
      </c>
      <c r="AZ99" s="20"/>
      <c r="BA99" s="20" t="str">
        <f>IF(OR(ISBLANK(U99), ISBLANK(AS99)), "Incomplete", (60.7*AS99)+(45.3*U99)-2055)</f>
        <v>Incomplete</v>
      </c>
      <c r="BB99" s="20"/>
      <c r="BC99" s="20" t="str">
        <f>IF(OR(ISBLANK(U99), ISBLANK(AU99)), "Incomplete", (60.7*AU99)+(45.3*U99)-2055)</f>
        <v>Incomplete</v>
      </c>
      <c r="BD99" s="20"/>
      <c r="BE99" s="20" t="str">
        <f>IF(OR(ISBLANK(U99), ISBLANK(AW99)), "Incomplete", (60.7*AW99)+(45.3*U99)-2055)</f>
        <v>Incomplete</v>
      </c>
      <c r="BF99" s="20"/>
      <c r="BG99" s="20">
        <v>13.5</v>
      </c>
      <c r="BH99" s="20">
        <v>32.5</v>
      </c>
      <c r="BI99" s="20">
        <f>IF(OR(ISBLANK(BG99), ISBLANK(BH99)),"Incomplete",(SUM(BH99-BG99)))</f>
        <v>19</v>
      </c>
      <c r="BJ99" s="20"/>
      <c r="BK99" s="20">
        <v>5</v>
      </c>
      <c r="BL99" s="20"/>
      <c r="BM99" s="20">
        <v>5</v>
      </c>
      <c r="BN99" s="20"/>
      <c r="BO99" s="20"/>
      <c r="BP99" s="20"/>
      <c r="BQ99" s="20"/>
      <c r="BR99" s="20"/>
      <c r="BS99" s="20"/>
      <c r="BT99" s="20"/>
      <c r="BU99" s="20"/>
      <c r="BV99" s="20"/>
      <c r="BW99" s="91" t="str">
        <f>IFERROR(SUM(BQ99+BR99+BS99)/(3*(T99-S99))*100, "Incomplete")</f>
        <v>Incomplete</v>
      </c>
      <c r="BX99" s="91" t="str">
        <f>_xlfn.XLOOKUP(BW99,'Normative data'!$V$3:$V$6,'Normative data'!$W$3:$W$6,"Not Found",-1)</f>
        <v>Very low risk</v>
      </c>
      <c r="BY99" s="91" t="str">
        <f>IFERROR(SUM(BT99+BU99+BV99)/(3*(T99-S99))*100, "Incomplete")</f>
        <v>Incomplete</v>
      </c>
      <c r="BZ99" s="91" t="str">
        <f>_xlfn.XLOOKUP(BY99,'Normative data'!$V$3:$V$6,'Normative data'!$W$3:$W$6,"Not Found",-1)</f>
        <v>Very low risk</v>
      </c>
      <c r="CA99" s="20"/>
      <c r="CC99" s="20"/>
      <c r="CE99" s="20"/>
      <c r="CG99" s="20"/>
      <c r="CH99" s="20" t="str">
        <f>_xlfn.XLOOKUP(CG99, 'Normative data'!$S$9:$S$15,'Normative data'!$T$9:$T$15, "Not Found", -1)</f>
        <v>not completed</v>
      </c>
      <c r="CI99" s="20"/>
      <c r="CJ99" s="20" t="str">
        <f>_xlfn.XLOOKUP(CI99, 'Normative data'!$S$9:$S$15, 'Normative data'!$T$9:$T$15, "Not Found", -1)</f>
        <v>not completed</v>
      </c>
      <c r="CK99" s="21">
        <v>2.33</v>
      </c>
      <c r="CL99" s="21">
        <v>4.29</v>
      </c>
      <c r="CM99" s="21"/>
      <c r="CN99" s="21">
        <v>7.08</v>
      </c>
      <c r="CO99" s="21">
        <v>7.06</v>
      </c>
      <c r="CP99" s="21"/>
      <c r="CQ99" s="30"/>
      <c r="CR99" s="20" t="str" cm="1">
        <f t="array" ref="CR99">IF(OR(ISBLANK(E99),ISBLANK(CQ99)),"Incomplete",_xlfn.XLOOKUP(CQ99,_xlfn.XLOOKUP(E99,'Normative data'!$Y$3:$Y$6,'Normative data'!$Z$3:$AG$6,,-1),'Normative data'!$Z$2:$AG$2,"Not Found",-1))</f>
        <v>Incomplete</v>
      </c>
      <c r="CS99" s="20"/>
      <c r="CT99" s="20"/>
      <c r="CU99" s="20" t="str" cm="1">
        <f t="array" ref="CU99">_xlfn.XLOOKUP(CS99&amp;CT99,(VLOOKUP!$A$3:$A$250)&amp;(VLOOKUP!$B$3:$B$250),VLOOKUP!$C$3:$C$250,"Incomplete",-1)</f>
        <v>Incomplete</v>
      </c>
      <c r="CV99" s="20" t="str" cm="1">
        <f t="array" ref="CV99">_xlfn.XLOOKUP(CU99, _xlfn.XLOOKUP(E99, 'Normative data'!$Y$11:$Y$14, 'Normative data'!$Z$11:$AG$14, ,-1), 'Normative data'!$Z$10:$AG$10, "Not Found", -1)</f>
        <v>Excellent</v>
      </c>
      <c r="CW99" s="20" t="str" cm="1">
        <f t="array" ref="CW99">IF(OR(ISBLANK(CS99),ISBLANK(CT99)),"Incomplete",_xlfn.XLOOKUP(CS99&amp;CT99,VLOOKUP!$A$4:$A$250&amp;VLOOKUP!$B$4:$B$250,VLOOKUP!$D$4:$D$250,"0"))</f>
        <v>Incomplete</v>
      </c>
    </row>
    <row r="100" spans="1:101">
      <c r="A100" s="17" t="s">
        <v>334</v>
      </c>
      <c r="B100" s="17" t="s">
        <v>332</v>
      </c>
      <c r="C100" s="17" t="s">
        <v>86</v>
      </c>
      <c r="D100" s="19">
        <v>39836</v>
      </c>
      <c r="F100" s="17">
        <v>10</v>
      </c>
      <c r="G100" s="17">
        <v>2025</v>
      </c>
      <c r="H100" s="20" t="s">
        <v>124</v>
      </c>
      <c r="I100" s="17">
        <v>3</v>
      </c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41" t="str">
        <f>IF(OR(ISBLANK(U100), ISBLANK(AQ100)), "Incomplete", (60.7*AQ100)+(45.3*U100)-2055)</f>
        <v>Incomplete</v>
      </c>
      <c r="AZ100" s="20"/>
      <c r="BA100" s="20" t="str">
        <f>IF(OR(ISBLANK(U100), ISBLANK(AS100)), "Incomplete", (60.7*AS100)+(45.3*U100)-2055)</f>
        <v>Incomplete</v>
      </c>
      <c r="BB100" s="20"/>
      <c r="BC100" s="20" t="str">
        <f>IF(OR(ISBLANK(U100), ISBLANK(AU100)), "Incomplete", (60.7*AU100)+(45.3*U100)-2055)</f>
        <v>Incomplete</v>
      </c>
      <c r="BD100" s="20"/>
      <c r="BE100" s="20" t="str">
        <f>IF(OR(ISBLANK(U100), ISBLANK(AW100)), "Incomplete", (60.7*AW100)+(45.3*U100)-2055)</f>
        <v>Incomplete</v>
      </c>
      <c r="BF100" s="20"/>
      <c r="BG100" s="20"/>
      <c r="BH100" s="20"/>
      <c r="BI100" s="20" t="str">
        <f>IF(OR(ISBLANK(BG100), ISBLANK(BH100)),"Incomplete",(SUM(BH100-BG100)))</f>
        <v>Incomplete</v>
      </c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91" t="str">
        <f>IFERROR(SUM(BQ100+BR100+BS100)/(3*(T100-S100))*100, "Incomplete")</f>
        <v>Incomplete</v>
      </c>
      <c r="BX100" s="91" t="str">
        <f>_xlfn.XLOOKUP(BW100,'Normative data'!$V$3:$V$6,'Normative data'!$W$3:$W$6,"Not Found",-1)</f>
        <v>Very low risk</v>
      </c>
      <c r="BY100" s="91" t="str">
        <f>IFERROR(SUM(BT100+BU100+BV100)/(3*(T100-S100))*100, "Incomplete")</f>
        <v>Incomplete</v>
      </c>
      <c r="BZ100" s="91" t="str">
        <f>_xlfn.XLOOKUP(BY100,'Normative data'!$V$3:$V$6,'Normative data'!$W$3:$W$6,"Not Found",-1)</f>
        <v>Very low risk</v>
      </c>
      <c r="CA100" s="20"/>
      <c r="CC100" s="20"/>
      <c r="CE100" s="20"/>
      <c r="CG100" s="20"/>
      <c r="CH100" s="20" t="str">
        <f>_xlfn.XLOOKUP(CG100, 'Normative data'!$S$9:$S$15,'Normative data'!$T$9:$T$15, "Not Found", -1)</f>
        <v>not completed</v>
      </c>
      <c r="CI100" s="20"/>
      <c r="CJ100" s="20" t="str">
        <f>_xlfn.XLOOKUP(CI100, 'Normative data'!$S$9:$S$15, 'Normative data'!$T$9:$T$15, "Not Found", -1)</f>
        <v>not completed</v>
      </c>
      <c r="CK100" s="20" t="s">
        <v>335</v>
      </c>
      <c r="CL100" s="20" t="s">
        <v>336</v>
      </c>
      <c r="CN100" s="20" t="s">
        <v>337</v>
      </c>
      <c r="CO100" s="20" t="s">
        <v>338</v>
      </c>
      <c r="CQ100" s="30"/>
      <c r="CR100" s="20" t="str" cm="1">
        <f t="array" ref="CR100">IF(OR(ISBLANK(E100),ISBLANK(CQ100)),"Incomplete",_xlfn.XLOOKUP(CQ100,_xlfn.XLOOKUP(E100,'Normative data'!$Y$3:$Y$6,'Normative data'!$Z$3:$AG$6,,-1),'Normative data'!$Z$2:$AG$2,"Not Found",-1))</f>
        <v>Incomplete</v>
      </c>
      <c r="CS100" s="20"/>
      <c r="CT100" s="20"/>
      <c r="CU100" s="20" t="str" cm="1">
        <f t="array" ref="CU100">_xlfn.XLOOKUP(CS100&amp;CT100,(VLOOKUP!$A$3:$A$250)&amp;(VLOOKUP!$B$3:$B$250),VLOOKUP!$C$3:$C$250,"Incomplete",-1)</f>
        <v>Incomplete</v>
      </c>
      <c r="CV100" s="20" t="str" cm="1">
        <f t="array" ref="CV100">_xlfn.XLOOKUP(CU100, _xlfn.XLOOKUP(E100, 'Normative data'!$Y$11:$Y$14, 'Normative data'!$Z$11:$AG$14, ,-1), 'Normative data'!$Z$10:$AG$10, "Not Found", -1)</f>
        <v>Excellent</v>
      </c>
      <c r="CW100" s="20" t="str" cm="1">
        <f t="array" ref="CW100">IF(OR(ISBLANK(CS100),ISBLANK(CT100)),"Incomplete",_xlfn.XLOOKUP(CS100&amp;CT100,VLOOKUP!$A$4:$A$250&amp;VLOOKUP!$B$4:$B$250,VLOOKUP!$D$4:$D$250,"0"))</f>
        <v>Incomplete</v>
      </c>
    </row>
    <row r="101" spans="1:101">
      <c r="A101" s="32" t="s">
        <v>339</v>
      </c>
      <c r="B101" s="32" t="s">
        <v>340</v>
      </c>
      <c r="C101" s="17" t="s">
        <v>86</v>
      </c>
      <c r="D101" s="34"/>
      <c r="F101" s="17">
        <v>10</v>
      </c>
      <c r="G101" s="17">
        <v>2025</v>
      </c>
      <c r="H101" s="20" t="s">
        <v>114</v>
      </c>
      <c r="I101" s="17">
        <v>1</v>
      </c>
      <c r="J101" s="17" t="s">
        <v>122</v>
      </c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41" t="str">
        <f>IF(OR(ISBLANK(U101), ISBLANK(AQ101)), "Incomplete", (60.7*AQ101)+(45.3*U101)-2055)</f>
        <v>Incomplete</v>
      </c>
      <c r="AZ101" s="20"/>
      <c r="BA101" s="20" t="str">
        <f>IF(OR(ISBLANK(U101), ISBLANK(AS101)), "Incomplete", (60.7*AS101)+(45.3*U101)-2055)</f>
        <v>Incomplete</v>
      </c>
      <c r="BB101" s="20"/>
      <c r="BC101" s="20" t="str">
        <f>IF(OR(ISBLANK(U101), ISBLANK(AU101)), "Incomplete", (60.7*AU101)+(45.3*U101)-2055)</f>
        <v>Incomplete</v>
      </c>
      <c r="BD101" s="20"/>
      <c r="BE101" s="20" t="str">
        <f>IF(OR(ISBLANK(U101), ISBLANK(AW101)), "Incomplete", (60.7*AW101)+(45.3*U101)-2055)</f>
        <v>Incomplete</v>
      </c>
      <c r="BF101" s="20"/>
      <c r="BG101" s="20">
        <v>13.5</v>
      </c>
      <c r="BH101" s="20">
        <v>52.8</v>
      </c>
      <c r="BI101" s="20" t="e">
        <f>IF(OR(ISBLANK(#REF!), ISBLANK(#REF!)),"Incomplete",(SUM(#REF!-#REF!)))</f>
        <v>#REF!</v>
      </c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91" t="str">
        <f>IFERROR(SUM(BQ101+BR101+BS101)/(3*(T101-S101))*100, "Incomplete")</f>
        <v>Incomplete</v>
      </c>
      <c r="BX101" s="91" t="str">
        <f>_xlfn.XLOOKUP(BW101,'Normative data'!$V$3:$V$6,'Normative data'!$W$3:$W$6,"Not Found",-1)</f>
        <v>Very low risk</v>
      </c>
      <c r="BY101" s="91" t="str">
        <f>IFERROR(SUM(BT101+BU101+BV101)/(3*(T101-S101))*100, "Incomplete")</f>
        <v>Incomplete</v>
      </c>
      <c r="BZ101" s="91" t="str">
        <f>_xlfn.XLOOKUP(BY101,'Normative data'!$V$3:$V$6,'Normative data'!$W$3:$W$6,"Not Found",-1)</f>
        <v>Very low risk</v>
      </c>
      <c r="CA101" s="20"/>
      <c r="CC101" s="20"/>
      <c r="CE101" s="20">
        <v>14</v>
      </c>
      <c r="CG101" s="20">
        <v>17.010000000000002</v>
      </c>
      <c r="CH101" s="20" t="str">
        <f>_xlfn.XLOOKUP(CG101, 'Normative data'!$S$9:$S$15,'Normative data'!$T$9:$T$15, "Not Found", -1)</f>
        <v>Above Average</v>
      </c>
      <c r="CI101" s="20">
        <v>17.23</v>
      </c>
      <c r="CJ101" s="20" t="str">
        <f>_xlfn.XLOOKUP(CI101, 'Normative data'!$S$9:$S$15, 'Normative data'!$T$9:$T$15, "Not Found", -1)</f>
        <v>Above Average</v>
      </c>
      <c r="CK101" s="24">
        <v>2.35</v>
      </c>
      <c r="CL101" s="24">
        <v>4.26</v>
      </c>
      <c r="CM101" s="21"/>
      <c r="CN101" s="24">
        <v>6.78</v>
      </c>
      <c r="CO101" s="24">
        <v>7.37</v>
      </c>
      <c r="CQ101" s="30"/>
      <c r="CR101" s="20" t="str" cm="1">
        <f t="array" ref="CR101">IF(OR(ISBLANK(E101),ISBLANK(CQ101)),"Incomplete",_xlfn.XLOOKUP(CQ101,_xlfn.XLOOKUP(E101,'Normative data'!$Y$3:$Y$6,'Normative data'!$Z$3:$AG$6,,-1),'Normative data'!$Z$2:$AG$2,"Not Found",-1))</f>
        <v>Incomplete</v>
      </c>
      <c r="CS101" s="20"/>
      <c r="CT101" s="20"/>
      <c r="CU101" s="20" t="str" cm="1">
        <f t="array" ref="CU101">_xlfn.XLOOKUP(CS101&amp;CT101,(VLOOKUP!$A$3:$A$250)&amp;(VLOOKUP!$B$3:$B$250),VLOOKUP!$C$3:$C$250,"Incomplete",-1)</f>
        <v>Incomplete</v>
      </c>
      <c r="CV101" s="20" t="str" cm="1">
        <f t="array" ref="CV101">_xlfn.XLOOKUP(CU101, _xlfn.XLOOKUP(E101, 'Normative data'!$Y$11:$Y$14, 'Normative data'!$Z$11:$AG$14, ,-1), 'Normative data'!$Z$10:$AG$10, "Not Found", -1)</f>
        <v>Excellent</v>
      </c>
      <c r="CW101" s="20" t="str" cm="1">
        <f t="array" ref="CW101">IF(OR(ISBLANK(CS101),ISBLANK(CT101)),"Incomplete",_xlfn.XLOOKUP(CS101&amp;CT101,VLOOKUP!$A$4:$A$250&amp;VLOOKUP!$B$4:$B$250,VLOOKUP!$D$4:$D$250,"0"))</f>
        <v>Incomplete</v>
      </c>
    </row>
    <row r="102" spans="1:101">
      <c r="A102" s="17" t="s">
        <v>341</v>
      </c>
      <c r="B102" s="17" t="s">
        <v>340</v>
      </c>
      <c r="C102" s="17" t="s">
        <v>86</v>
      </c>
      <c r="D102" s="26"/>
      <c r="F102" s="17">
        <v>10</v>
      </c>
      <c r="G102" s="17">
        <v>2025</v>
      </c>
      <c r="H102" s="20" t="s">
        <v>124</v>
      </c>
      <c r="I102" s="17">
        <v>3</v>
      </c>
      <c r="J102" s="17" t="s">
        <v>122</v>
      </c>
      <c r="S102" s="20"/>
      <c r="T102" s="20" t="s">
        <v>342</v>
      </c>
      <c r="U102" s="20" t="s">
        <v>343</v>
      </c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>
        <v>19.2</v>
      </c>
      <c r="AR102" s="20">
        <v>0.36899999999999999</v>
      </c>
      <c r="AS102" s="20">
        <v>25.2</v>
      </c>
      <c r="AT102" s="20">
        <v>0.45300000000000001</v>
      </c>
      <c r="AU102" s="20">
        <v>12.3</v>
      </c>
      <c r="AV102" s="20">
        <v>0.317</v>
      </c>
      <c r="AW102" s="20">
        <v>11.6</v>
      </c>
      <c r="AX102" s="20">
        <v>0.307</v>
      </c>
      <c r="AY102" s="41" t="e">
        <f>IF(OR(ISBLANK(#REF!), ISBLANK(AQ102)), "Incomplete", (60.7*AQ102)+(45.3*#REF!)-2055)</f>
        <v>#REF!</v>
      </c>
      <c r="AZ102" s="20"/>
      <c r="BA102" s="20" t="e">
        <f>IF(OR(ISBLANK(#REF!), ISBLANK(AS102)), "Incomplete", (60.7*AS102)+(45.3*#REF!)-2055)</f>
        <v>#REF!</v>
      </c>
      <c r="BB102" s="20"/>
      <c r="BC102" s="20" t="e">
        <f>IF(OR(ISBLANK(#REF!), ISBLANK(AU102)), "Incomplete", (60.7*AU102)+(45.3*#REF!)-2055)</f>
        <v>#REF!</v>
      </c>
      <c r="BD102" s="20"/>
      <c r="BE102" s="20" t="e">
        <f>IF(OR(ISBLANK(#REF!), ISBLANK(AW102)), "Incomplete", (60.7*AW102)+(45.3*#REF!)-2055)</f>
        <v>#REF!</v>
      </c>
      <c r="BF102" s="20"/>
      <c r="BG102" s="20"/>
      <c r="BH102" s="20"/>
      <c r="BI102" s="20" t="str">
        <f t="shared" ref="BI102:BI108" si="28">IF(OR(ISBLANK(BG102), ISBLANK(BH102)),"Incomplete",(SUM(BH102-BG102)))</f>
        <v>Incomplete</v>
      </c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91" t="str">
        <f>IFERROR(SUM(BQ102+BR102+BS102)/(3*(#REF!-S102))*100, "Incomplete")</f>
        <v>Incomplete</v>
      </c>
      <c r="BX102" s="91" t="str">
        <f>_xlfn.XLOOKUP(BW102,'Normative data'!$V$3:$V$6,'Normative data'!$W$3:$W$6,"Not Found",-1)</f>
        <v>Very low risk</v>
      </c>
      <c r="BY102" s="91" t="str">
        <f>IFERROR(SUM(BT102+BU102+BV102)/(3*(#REF!-S102))*100, "Incomplete")</f>
        <v>Incomplete</v>
      </c>
      <c r="BZ102" s="91" t="str">
        <f>_xlfn.XLOOKUP(BY102,'Normative data'!$V$3:$V$6,'Normative data'!$W$3:$W$6,"Not Found",-1)</f>
        <v>Very low risk</v>
      </c>
      <c r="CA102" s="20"/>
      <c r="CC102" s="20"/>
      <c r="CE102" s="20"/>
      <c r="CG102" s="20">
        <v>17.190000000000001</v>
      </c>
      <c r="CH102" s="20" t="e">
        <f>_xlfn.XLOOKUP(#REF!, 'Normative data'!$S$9:$S$15,'Normative data'!$T$9:$T$15, "Not Found", -1)</f>
        <v>#REF!</v>
      </c>
      <c r="CI102" s="20">
        <v>17.18</v>
      </c>
      <c r="CJ102" s="20" t="e">
        <f>_xlfn.XLOOKUP(#REF!, 'Normative data'!$S$9:$S$15, 'Normative data'!$T$9:$T$15, "Not Found", -1)</f>
        <v>#REF!</v>
      </c>
      <c r="CK102" s="20" t="s">
        <v>344</v>
      </c>
      <c r="CL102" s="20" t="s">
        <v>345</v>
      </c>
      <c r="CM102" s="21"/>
      <c r="CN102" s="20" t="s">
        <v>346</v>
      </c>
      <c r="CO102" s="20" t="s">
        <v>347</v>
      </c>
      <c r="CQ102" s="30"/>
      <c r="CR102" s="20" t="str" cm="1">
        <f t="array" ref="CR102">IF(OR(ISBLANK(E102),ISBLANK(CQ102)),"Incomplete",_xlfn.XLOOKUP(CQ102,_xlfn.XLOOKUP(E102,'Normative data'!$Y$3:$Y$6,'Normative data'!$Z$3:$AG$6,,-1),'Normative data'!$Z$2:$AG$2,"Not Found",-1))</f>
        <v>Incomplete</v>
      </c>
      <c r="CS102" s="20"/>
      <c r="CT102" s="20"/>
      <c r="CU102" s="20" t="str" cm="1">
        <f t="array" ref="CU102">_xlfn.XLOOKUP(CS102&amp;CT102,(VLOOKUP!$A$3:$A$250)&amp;(VLOOKUP!$B$3:$B$250),VLOOKUP!$C$3:$C$250,"Incomplete",-1)</f>
        <v>Incomplete</v>
      </c>
      <c r="CV102" s="20" t="str" cm="1">
        <f t="array" ref="CV102">_xlfn.XLOOKUP(CU102, _xlfn.XLOOKUP(E102, 'Normative data'!$Y$11:$Y$14, 'Normative data'!$Z$11:$AG$14, ,-1), 'Normative data'!$Z$10:$AG$10, "Not Found", -1)</f>
        <v>Excellent</v>
      </c>
      <c r="CW102" s="20" t="str" cm="1">
        <f t="array" ref="CW102">IF(OR(ISBLANK(CS102),ISBLANK(CT102)),"Incomplete",_xlfn.XLOOKUP(CS102&amp;CT102,VLOOKUP!$A$4:$A$250&amp;VLOOKUP!$B$4:$B$250,VLOOKUP!$D$4:$D$250,"0"))</f>
        <v>Incomplete</v>
      </c>
    </row>
    <row r="103" spans="1:101">
      <c r="A103" s="22" t="s">
        <v>348</v>
      </c>
      <c r="B103" s="22" t="s">
        <v>349</v>
      </c>
      <c r="C103" s="17" t="s">
        <v>86</v>
      </c>
      <c r="D103" s="23">
        <v>40675</v>
      </c>
      <c r="F103" s="17">
        <v>8</v>
      </c>
      <c r="G103" s="17">
        <v>2025</v>
      </c>
      <c r="H103" s="20" t="s">
        <v>124</v>
      </c>
      <c r="I103" s="17">
        <v>3</v>
      </c>
      <c r="P103" s="17" t="s">
        <v>201</v>
      </c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41" t="str">
        <f t="shared" ref="AY103:AY147" si="29">IF(OR(ISBLANK(U103), ISBLANK(AQ103)), "Incomplete", (60.7*AQ103)+(45.3*U103)-2055)</f>
        <v>Incomplete</v>
      </c>
      <c r="AZ103" s="20"/>
      <c r="BA103" s="20" t="str">
        <f t="shared" ref="BA103:BA147" si="30">IF(OR(ISBLANK(U103), ISBLANK(AS103)), "Incomplete", (60.7*AS103)+(45.3*U103)-2055)</f>
        <v>Incomplete</v>
      </c>
      <c r="BB103" s="20"/>
      <c r="BC103" s="20" t="str">
        <f t="shared" ref="BC103:BC147" si="31">IF(OR(ISBLANK(U103), ISBLANK(AU103)), "Incomplete", (60.7*AU103)+(45.3*U103)-2055)</f>
        <v>Incomplete</v>
      </c>
      <c r="BD103" s="20"/>
      <c r="BE103" s="20" t="str">
        <f t="shared" ref="BE103:BE147" si="32">IF(OR(ISBLANK(U103), ISBLANK(AW103)), "Incomplete", (60.7*AW103)+(45.3*U103)-2055)</f>
        <v>Incomplete</v>
      </c>
      <c r="BF103" s="20"/>
      <c r="BG103" s="20">
        <v>9</v>
      </c>
      <c r="BH103" s="20">
        <v>37.5</v>
      </c>
      <c r="BI103" s="20">
        <f t="shared" si="28"/>
        <v>28.5</v>
      </c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91" t="str">
        <f t="shared" ref="BW103:BW147" si="33">IFERROR(SUM(BQ103+BR103+BS103)/(3*(T103-S103))*100, "Incomplete")</f>
        <v>Incomplete</v>
      </c>
      <c r="BX103" s="91" t="str">
        <f>_xlfn.XLOOKUP(BW103,'Normative data'!$V$3:$V$6,'Normative data'!$W$3:$W$6,"Not Found",-1)</f>
        <v>Very low risk</v>
      </c>
      <c r="BY103" s="91" t="str">
        <f t="shared" ref="BY103:BY147" si="34">IFERROR(SUM(BT103+BU103+BV103)/(3*(T103-S103))*100, "Incomplete")</f>
        <v>Incomplete</v>
      </c>
      <c r="BZ103" s="91" t="str">
        <f>_xlfn.XLOOKUP(BY103,'Normative data'!$V$3:$V$6,'Normative data'!$W$3:$W$6,"Not Found",-1)</f>
        <v>Very low risk</v>
      </c>
      <c r="CA103" s="20"/>
      <c r="CC103" s="20"/>
      <c r="CE103" s="20"/>
      <c r="CG103" s="20"/>
      <c r="CH103" s="20" t="str">
        <f>_xlfn.XLOOKUP(CG103, 'Normative data'!$S$9:$S$15,'Normative data'!$T$9:$T$15, "Not Found", -1)</f>
        <v>not completed</v>
      </c>
      <c r="CI103" s="20"/>
      <c r="CJ103" s="20" t="str">
        <f>_xlfn.XLOOKUP(CI103, 'Normative data'!$S$9:$S$15, 'Normative data'!$T$9:$T$15, "Not Found", -1)</f>
        <v>not completed</v>
      </c>
      <c r="CK103" s="24">
        <v>2.46</v>
      </c>
      <c r="CL103" s="24">
        <v>4.07</v>
      </c>
      <c r="CM103" s="21"/>
      <c r="CN103" s="24">
        <v>7.41</v>
      </c>
      <c r="CO103" s="24">
        <v>6.75</v>
      </c>
      <c r="CP103" s="24"/>
      <c r="CQ103" s="30"/>
      <c r="CR103" s="20" t="str" cm="1">
        <f t="array" ref="CR103">IF(OR(ISBLANK(E103),ISBLANK(CQ103)),"Incomplete",_xlfn.XLOOKUP(CQ103,_xlfn.XLOOKUP(E103,'Normative data'!$Y$3:$Y$6,'Normative data'!$Z$3:$AG$6,,-1),'Normative data'!$Z$2:$AG$2,"Not Found",-1))</f>
        <v>Incomplete</v>
      </c>
      <c r="CS103" s="20"/>
      <c r="CT103" s="20"/>
      <c r="CU103" s="20" t="str" cm="1">
        <f t="array" ref="CU103">_xlfn.XLOOKUP(CS103&amp;CT103,(VLOOKUP!$A$3:$A$250)&amp;(VLOOKUP!$B$3:$B$250),VLOOKUP!$C$3:$C$250,"Incomplete",-1)</f>
        <v>Incomplete</v>
      </c>
      <c r="CV103" s="20" t="str" cm="1">
        <f t="array" ref="CV103">_xlfn.XLOOKUP(CU103, _xlfn.XLOOKUP(E103, 'Normative data'!$Y$11:$Y$14, 'Normative data'!$Z$11:$AG$14, ,-1), 'Normative data'!$Z$10:$AG$10, "Not Found", -1)</f>
        <v>Excellent</v>
      </c>
      <c r="CW103" s="20" t="str" cm="1">
        <f t="array" ref="CW103">IF(OR(ISBLANK(CS103),ISBLANK(CT103)),"Incomplete",_xlfn.XLOOKUP(CS103&amp;CT103,VLOOKUP!$A$4:$A$250&amp;VLOOKUP!$B$4:$B$250,VLOOKUP!$D$4:$D$250,"0"))</f>
        <v>Incomplete</v>
      </c>
    </row>
    <row r="104" spans="1:101">
      <c r="A104" s="17" t="s">
        <v>350</v>
      </c>
      <c r="B104" s="17" t="s">
        <v>351</v>
      </c>
      <c r="C104" s="17" t="s">
        <v>86</v>
      </c>
      <c r="D104" s="26"/>
      <c r="F104" s="20" t="s">
        <v>186</v>
      </c>
      <c r="G104" s="17">
        <v>2026</v>
      </c>
      <c r="I104" s="20">
        <v>2</v>
      </c>
      <c r="J104" s="20"/>
      <c r="K104" s="20"/>
      <c r="L104" s="20"/>
      <c r="S104" s="20"/>
      <c r="T104" s="20"/>
      <c r="AQ104" s="20"/>
      <c r="AR104" s="20"/>
      <c r="AS104" s="20"/>
      <c r="AT104" s="20"/>
      <c r="AU104" s="20"/>
      <c r="AV104" s="20"/>
      <c r="AW104" s="20"/>
      <c r="AX104" s="20"/>
      <c r="AY104" s="41" t="str">
        <f t="shared" si="29"/>
        <v>Incomplete</v>
      </c>
      <c r="BA104" s="20" t="str">
        <f t="shared" si="30"/>
        <v>Incomplete</v>
      </c>
      <c r="BC104" s="20" t="str">
        <f t="shared" si="31"/>
        <v>Incomplete</v>
      </c>
      <c r="BE104" s="20" t="str">
        <f t="shared" si="32"/>
        <v>Incomplete</v>
      </c>
      <c r="BH104" s="20"/>
      <c r="BI104" s="20" t="str">
        <f t="shared" si="28"/>
        <v>Incomplete</v>
      </c>
      <c r="BJ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91" t="str">
        <f t="shared" si="33"/>
        <v>Incomplete</v>
      </c>
      <c r="BX104" s="91" t="str">
        <f>_xlfn.XLOOKUP(BW104,'Normative data'!$V$3:$V$6,'Normative data'!$W$3:$W$6,"Not Found",-1)</f>
        <v>Very low risk</v>
      </c>
      <c r="BY104" s="91" t="str">
        <f t="shared" si="34"/>
        <v>Incomplete</v>
      </c>
      <c r="BZ104" s="91" t="str">
        <f>_xlfn.XLOOKUP(BY104,'Normative data'!$V$3:$V$6,'Normative data'!$W$3:$W$6,"Not Found",-1)</f>
        <v>Very low risk</v>
      </c>
      <c r="CA104" s="17">
        <v>19</v>
      </c>
      <c r="CC104" s="20"/>
      <c r="CE104" s="17">
        <v>2</v>
      </c>
      <c r="CG104" s="20"/>
      <c r="CH104" s="20" t="str">
        <f>_xlfn.XLOOKUP(CG104, 'Normative data'!$S$9:$S$15,'Normative data'!$T$9:$T$15, "Not Found", -1)</f>
        <v>not completed</v>
      </c>
      <c r="CI104" s="20"/>
      <c r="CJ104" s="20" t="str">
        <f>_xlfn.XLOOKUP(CI104, 'Normative data'!$S$9:$S$15, 'Normative data'!$T$9:$T$15, "Not Found", -1)</f>
        <v>not completed</v>
      </c>
      <c r="CK104" s="17">
        <v>2.4900000000000002</v>
      </c>
      <c r="CL104" s="17">
        <v>4.0199999999999996</v>
      </c>
      <c r="CN104" s="17">
        <v>8.2899999999999991</v>
      </c>
      <c r="CO104" s="17">
        <v>6.03</v>
      </c>
      <c r="CQ104" s="17">
        <v>6.1</v>
      </c>
      <c r="CR104" s="20" t="str" cm="1">
        <f t="array" ref="CR104">IF(OR(ISBLANK(E104),ISBLANK(CQ104)),"Incomplete",_xlfn.XLOOKUP(CQ104,_xlfn.XLOOKUP(E104,'Normative data'!$Y$3:$Y$6,'Normative data'!$Z$3:$AG$6,,-1),'Normative data'!$Z$2:$AG$2,"Not Found",-1))</f>
        <v>Incomplete</v>
      </c>
      <c r="CS104" s="20">
        <v>6</v>
      </c>
      <c r="CT104" s="20">
        <v>1</v>
      </c>
      <c r="CU104" s="20" cm="1">
        <f t="array" ref="CU104">_xlfn.XLOOKUP(CS104&amp;CT104,(VLOOKUP!$A$3:$A$250)&amp;(VLOOKUP!$B$3:$B$250),VLOOKUP!$C$3:$C$250,"Incomplete",-1)</f>
        <v>840</v>
      </c>
      <c r="CV104" s="20" t="str" cm="1">
        <f t="array" ref="CV104">_xlfn.XLOOKUP(CU104, _xlfn.XLOOKUP(E104, 'Normative data'!$Y$11:$Y$14, 'Normative data'!$Z$11:$AG$14, ,-1), 'Normative data'!$Z$10:$AG$10, "Not Found", -1)</f>
        <v xml:space="preserve">Fair </v>
      </c>
      <c r="CW104" s="20" cm="1">
        <f t="array" ref="CW104">IF(OR(ISBLANK(CS104),ISBLANK(CT104)),"Incomplete",_xlfn.XLOOKUP(CS104&amp;CT104,VLOOKUP!$A$4:$A$250&amp;VLOOKUP!$B$4:$B$250,VLOOKUP!$D$4:$D$250,"0"))</f>
        <v>33</v>
      </c>
    </row>
    <row r="105" spans="1:101">
      <c r="A105" s="17" t="s">
        <v>352</v>
      </c>
      <c r="B105" s="17" t="s">
        <v>353</v>
      </c>
      <c r="C105" s="17" t="s">
        <v>86</v>
      </c>
      <c r="D105" s="26"/>
      <c r="F105" s="17">
        <v>9</v>
      </c>
      <c r="G105" s="17">
        <v>2025</v>
      </c>
      <c r="H105" s="20" t="s">
        <v>124</v>
      </c>
      <c r="I105" s="17">
        <v>3</v>
      </c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41" t="str">
        <f t="shared" si="29"/>
        <v>Incomplete</v>
      </c>
      <c r="AZ105" s="20"/>
      <c r="BA105" s="20" t="str">
        <f t="shared" si="30"/>
        <v>Incomplete</v>
      </c>
      <c r="BB105" s="20"/>
      <c r="BC105" s="20" t="str">
        <f t="shared" si="31"/>
        <v>Incomplete</v>
      </c>
      <c r="BD105" s="20"/>
      <c r="BE105" s="20" t="str">
        <f t="shared" si="32"/>
        <v>Incomplete</v>
      </c>
      <c r="BF105" s="20"/>
      <c r="BG105" s="20"/>
      <c r="BH105" s="20"/>
      <c r="BI105" s="20" t="str">
        <f t="shared" si="28"/>
        <v>Incomplete</v>
      </c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91" t="str">
        <f t="shared" si="33"/>
        <v>Incomplete</v>
      </c>
      <c r="BX105" s="91" t="str">
        <f>_xlfn.XLOOKUP(BW105,'Normative data'!$V$3:$V$6,'Normative data'!$W$3:$W$6,"Not Found",-1)</f>
        <v>Very low risk</v>
      </c>
      <c r="BY105" s="91" t="str">
        <f t="shared" si="34"/>
        <v>Incomplete</v>
      </c>
      <c r="BZ105" s="91" t="str">
        <f>_xlfn.XLOOKUP(BY105,'Normative data'!$V$3:$V$6,'Normative data'!$W$3:$W$6,"Not Found",-1)</f>
        <v>Very low risk</v>
      </c>
      <c r="CA105" s="20"/>
      <c r="CC105" s="20"/>
      <c r="CE105" s="20">
        <v>13</v>
      </c>
      <c r="CG105" s="20"/>
      <c r="CH105" s="20" t="str">
        <f>_xlfn.XLOOKUP(CG105, 'Normative data'!$S$9:$S$15,'Normative data'!$T$9:$T$15, "Not Found", -1)</f>
        <v>not completed</v>
      </c>
      <c r="CI105" s="20"/>
      <c r="CJ105" s="20" t="str">
        <f>_xlfn.XLOOKUP(CI105, 'Normative data'!$S$9:$S$15, 'Normative data'!$T$9:$T$15, "Not Found", -1)</f>
        <v>not completed</v>
      </c>
      <c r="CK105" s="20" t="s">
        <v>205</v>
      </c>
      <c r="CL105" s="20" t="s">
        <v>354</v>
      </c>
      <c r="CN105" s="20" t="s">
        <v>355</v>
      </c>
      <c r="CO105" s="20" t="s">
        <v>356</v>
      </c>
      <c r="CQ105" s="30"/>
      <c r="CR105" s="20" t="str" cm="1">
        <f t="array" ref="CR105">IF(OR(ISBLANK(E105),ISBLANK(CQ105)),"Incomplete",_xlfn.XLOOKUP(CQ105,_xlfn.XLOOKUP(E105,'Normative data'!$Y$3:$Y$6,'Normative data'!$Z$3:$AG$6,,-1),'Normative data'!$Z$2:$AG$2,"Not Found",-1))</f>
        <v>Incomplete</v>
      </c>
      <c r="CS105" s="20"/>
      <c r="CT105" s="20"/>
      <c r="CU105" s="20" t="str" cm="1">
        <f t="array" ref="CU105">_xlfn.XLOOKUP(CS105&amp;CT105,(VLOOKUP!$A$3:$A$250)&amp;(VLOOKUP!$B$3:$B$250),VLOOKUP!$C$3:$C$250,"Incomplete",-1)</f>
        <v>Incomplete</v>
      </c>
      <c r="CV105" s="20" t="str" cm="1">
        <f t="array" ref="CV105">_xlfn.XLOOKUP(CU105, _xlfn.XLOOKUP(E105, 'Normative data'!$Y$11:$Y$14, 'Normative data'!$Z$11:$AG$14, ,-1), 'Normative data'!$Z$10:$AG$10, "Not Found", -1)</f>
        <v>Excellent</v>
      </c>
      <c r="CW105" s="20" t="str" cm="1">
        <f t="array" ref="CW105">IF(OR(ISBLANK(CS105),ISBLANK(CT105)),"Incomplete",_xlfn.XLOOKUP(CS105&amp;CT105,VLOOKUP!$A$4:$A$250&amp;VLOOKUP!$B$4:$B$250,VLOOKUP!$D$4:$D$250,"0"))</f>
        <v>Incomplete</v>
      </c>
    </row>
    <row r="106" spans="1:101">
      <c r="A106" s="22" t="s">
        <v>357</v>
      </c>
      <c r="B106" s="22" t="s">
        <v>358</v>
      </c>
      <c r="C106" s="17" t="s">
        <v>86</v>
      </c>
      <c r="D106" s="23">
        <v>40259</v>
      </c>
      <c r="F106" s="17">
        <v>9</v>
      </c>
      <c r="G106" s="17">
        <v>2025</v>
      </c>
      <c r="H106" s="20" t="s">
        <v>114</v>
      </c>
      <c r="I106" s="17">
        <v>1</v>
      </c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41" t="str">
        <f t="shared" si="29"/>
        <v>Incomplete</v>
      </c>
      <c r="AZ106" s="20"/>
      <c r="BA106" s="20" t="str">
        <f t="shared" si="30"/>
        <v>Incomplete</v>
      </c>
      <c r="BB106" s="20"/>
      <c r="BC106" s="20" t="str">
        <f t="shared" si="31"/>
        <v>Incomplete</v>
      </c>
      <c r="BD106" s="20"/>
      <c r="BE106" s="20" t="str">
        <f t="shared" si="32"/>
        <v>Incomplete</v>
      </c>
      <c r="BF106" s="20"/>
      <c r="BG106" s="20">
        <v>7</v>
      </c>
      <c r="BH106" s="20">
        <v>29.5</v>
      </c>
      <c r="BI106" s="20">
        <f t="shared" si="28"/>
        <v>22.5</v>
      </c>
      <c r="BJ106" s="20"/>
      <c r="BK106" s="20">
        <v>7</v>
      </c>
      <c r="BL106" s="20"/>
      <c r="BM106" s="20">
        <v>6</v>
      </c>
      <c r="BN106" s="20"/>
      <c r="BO106" s="20"/>
      <c r="BP106" s="20"/>
      <c r="BQ106" s="20"/>
      <c r="BR106" s="20"/>
      <c r="BS106" s="20"/>
      <c r="BT106" s="20"/>
      <c r="BU106" s="20"/>
      <c r="BV106" s="20"/>
      <c r="BW106" s="91" t="str">
        <f t="shared" si="33"/>
        <v>Incomplete</v>
      </c>
      <c r="BX106" s="91" t="str">
        <f>_xlfn.XLOOKUP(BW106,'Normative data'!$V$3:$V$6,'Normative data'!$W$3:$W$6,"Not Found",-1)</f>
        <v>Very low risk</v>
      </c>
      <c r="BY106" s="91" t="str">
        <f t="shared" si="34"/>
        <v>Incomplete</v>
      </c>
      <c r="BZ106" s="91" t="str">
        <f>_xlfn.XLOOKUP(BY106,'Normative data'!$V$3:$V$6,'Normative data'!$W$3:$W$6,"Not Found",-1)</f>
        <v>Very low risk</v>
      </c>
      <c r="CA106" s="20"/>
      <c r="CC106" s="20"/>
      <c r="CE106" s="20"/>
      <c r="CG106" s="20"/>
      <c r="CH106" s="20" t="str">
        <f>_xlfn.XLOOKUP(CG106, 'Normative data'!$S$9:$S$15,'Normative data'!$T$9:$T$15, "Not Found", -1)</f>
        <v>not completed</v>
      </c>
      <c r="CI106" s="20"/>
      <c r="CJ106" s="20" t="str">
        <f>_xlfn.XLOOKUP(CI106, 'Normative data'!$S$9:$S$15, 'Normative data'!$T$9:$T$15, "Not Found", -1)</f>
        <v>not completed</v>
      </c>
      <c r="CK106" s="24">
        <v>2.3199999999999998</v>
      </c>
      <c r="CL106" s="24">
        <v>4.71</v>
      </c>
      <c r="CM106" s="21"/>
      <c r="CN106" s="24">
        <v>7.07</v>
      </c>
      <c r="CO106" s="24">
        <v>7.07</v>
      </c>
      <c r="CP106" s="24"/>
      <c r="CQ106" s="30"/>
      <c r="CR106" s="20" t="str" cm="1">
        <f t="array" ref="CR106">IF(OR(ISBLANK(E106),ISBLANK(CQ106)),"Incomplete",_xlfn.XLOOKUP(CQ106,_xlfn.XLOOKUP(E106,'Normative data'!$Y$3:$Y$6,'Normative data'!$Z$3:$AG$6,,-1),'Normative data'!$Z$2:$AG$2,"Not Found",-1))</f>
        <v>Incomplete</v>
      </c>
      <c r="CS106" s="20"/>
      <c r="CT106" s="20"/>
      <c r="CU106" s="20" t="str" cm="1">
        <f t="array" ref="CU106">_xlfn.XLOOKUP(CS106&amp;CT106,(VLOOKUP!$A$3:$A$250)&amp;(VLOOKUP!$B$3:$B$250),VLOOKUP!$C$3:$C$250,"Incomplete",-1)</f>
        <v>Incomplete</v>
      </c>
      <c r="CV106" s="20" t="str" cm="1">
        <f t="array" ref="CV106">_xlfn.XLOOKUP(CU106, _xlfn.XLOOKUP(E106, 'Normative data'!$Y$11:$Y$14, 'Normative data'!$Z$11:$AG$14, ,-1), 'Normative data'!$Z$10:$AG$10, "Not Found", -1)</f>
        <v>Excellent</v>
      </c>
      <c r="CW106" s="20" t="str" cm="1">
        <f t="array" ref="CW106">IF(OR(ISBLANK(CS106),ISBLANK(CT106)),"Incomplete",_xlfn.XLOOKUP(CS106&amp;CT106,VLOOKUP!$A$4:$A$250&amp;VLOOKUP!$B$4:$B$250,VLOOKUP!$D$4:$D$250,"0"))</f>
        <v>Incomplete</v>
      </c>
    </row>
    <row r="107" spans="1:101">
      <c r="A107" s="17" t="s">
        <v>357</v>
      </c>
      <c r="B107" s="17" t="s">
        <v>359</v>
      </c>
      <c r="C107" s="17" t="s">
        <v>86</v>
      </c>
      <c r="D107" s="26"/>
      <c r="F107" s="17">
        <v>9</v>
      </c>
      <c r="G107" s="17">
        <v>2025</v>
      </c>
      <c r="H107" s="20" t="s">
        <v>124</v>
      </c>
      <c r="I107" s="17">
        <v>3</v>
      </c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41" t="str">
        <f t="shared" si="29"/>
        <v>Incomplete</v>
      </c>
      <c r="AZ107" s="20"/>
      <c r="BA107" s="20" t="str">
        <f t="shared" si="30"/>
        <v>Incomplete</v>
      </c>
      <c r="BB107" s="20"/>
      <c r="BC107" s="20" t="str">
        <f t="shared" si="31"/>
        <v>Incomplete</v>
      </c>
      <c r="BD107" s="20"/>
      <c r="BE107" s="20" t="str">
        <f t="shared" si="32"/>
        <v>Incomplete</v>
      </c>
      <c r="BF107" s="20"/>
      <c r="BG107" s="20"/>
      <c r="BH107" s="20"/>
      <c r="BI107" s="20" t="str">
        <f t="shared" si="28"/>
        <v>Incomplete</v>
      </c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91" t="str">
        <f t="shared" si="33"/>
        <v>Incomplete</v>
      </c>
      <c r="BX107" s="91" t="str">
        <f>_xlfn.XLOOKUP(BW107,'Normative data'!$V$3:$V$6,'Normative data'!$W$3:$W$6,"Not Found",-1)</f>
        <v>Very low risk</v>
      </c>
      <c r="BY107" s="91" t="str">
        <f t="shared" si="34"/>
        <v>Incomplete</v>
      </c>
      <c r="BZ107" s="91" t="str">
        <f>_xlfn.XLOOKUP(BY107,'Normative data'!$V$3:$V$6,'Normative data'!$W$3:$W$6,"Not Found",-1)</f>
        <v>Very low risk</v>
      </c>
      <c r="CA107" s="20"/>
      <c r="CC107" s="20"/>
      <c r="CE107" s="20">
        <v>7</v>
      </c>
      <c r="CG107" s="20"/>
      <c r="CH107" s="20" t="str">
        <f>_xlfn.XLOOKUP(CG107, 'Normative data'!$S$9:$S$15,'Normative data'!$T$9:$T$15, "Not Found", -1)</f>
        <v>not completed</v>
      </c>
      <c r="CI107" s="20"/>
      <c r="CJ107" s="20" t="str">
        <f>_xlfn.XLOOKUP(CI107, 'Normative data'!$S$9:$S$15, 'Normative data'!$T$9:$T$15, "Not Found", -1)</f>
        <v>not completed</v>
      </c>
      <c r="CK107" s="20" t="s">
        <v>360</v>
      </c>
      <c r="CL107" s="20" t="s">
        <v>361</v>
      </c>
      <c r="CN107" s="20" t="s">
        <v>337</v>
      </c>
      <c r="CO107" s="20" t="s">
        <v>338</v>
      </c>
      <c r="CQ107" s="30"/>
      <c r="CR107" s="20" t="str" cm="1">
        <f t="array" ref="CR107">IF(OR(ISBLANK(E107),ISBLANK(CQ107)),"Incomplete",_xlfn.XLOOKUP(CQ107,_xlfn.XLOOKUP(E107,'Normative data'!$Y$3:$Y$6,'Normative data'!$Z$3:$AG$6,,-1),'Normative data'!$Z$2:$AG$2,"Not Found",-1))</f>
        <v>Incomplete</v>
      </c>
      <c r="CS107" s="20"/>
      <c r="CT107" s="20"/>
      <c r="CU107" s="20" t="str" cm="1">
        <f t="array" ref="CU107">_xlfn.XLOOKUP(CS107&amp;CT107,(VLOOKUP!$A$3:$A$250)&amp;(VLOOKUP!$B$3:$B$250),VLOOKUP!$C$3:$C$250,"Incomplete",-1)</f>
        <v>Incomplete</v>
      </c>
      <c r="CV107" s="20" t="str" cm="1">
        <f t="array" ref="CV107">_xlfn.XLOOKUP(CU107, _xlfn.XLOOKUP(E107, 'Normative data'!$Y$11:$Y$14, 'Normative data'!$Z$11:$AG$14, ,-1), 'Normative data'!$Z$10:$AG$10, "Not Found", -1)</f>
        <v>Excellent</v>
      </c>
      <c r="CW107" s="20" t="str" cm="1">
        <f t="array" ref="CW107">IF(OR(ISBLANK(CS107),ISBLANK(CT107)),"Incomplete",_xlfn.XLOOKUP(CS107&amp;CT107,VLOOKUP!$A$4:$A$250&amp;VLOOKUP!$B$4:$B$250,VLOOKUP!$D$4:$D$250,"0"))</f>
        <v>Incomplete</v>
      </c>
    </row>
    <row r="108" spans="1:101">
      <c r="A108" s="17" t="s">
        <v>362</v>
      </c>
      <c r="B108" s="17" t="s">
        <v>363</v>
      </c>
      <c r="C108" s="17" t="s">
        <v>86</v>
      </c>
      <c r="D108" s="26"/>
      <c r="F108" s="20" t="s">
        <v>157</v>
      </c>
      <c r="G108" s="17">
        <v>2026</v>
      </c>
      <c r="I108" s="20">
        <v>2</v>
      </c>
      <c r="J108" s="20" t="s">
        <v>88</v>
      </c>
      <c r="K108" s="20" t="s">
        <v>184</v>
      </c>
      <c r="L108" s="20"/>
      <c r="S108" s="20">
        <v>81.5</v>
      </c>
      <c r="T108" s="20">
        <v>161.80000000000001</v>
      </c>
      <c r="AQ108" s="20"/>
      <c r="AR108" s="20"/>
      <c r="AS108" s="20"/>
      <c r="AT108" s="20"/>
      <c r="AU108" s="20"/>
      <c r="AV108" s="20"/>
      <c r="AW108" s="20"/>
      <c r="AX108" s="20"/>
      <c r="AY108" s="41" t="str">
        <f t="shared" si="29"/>
        <v>Incomplete</v>
      </c>
      <c r="BA108" s="20" t="str">
        <f t="shared" si="30"/>
        <v>Incomplete</v>
      </c>
      <c r="BC108" s="20" t="str">
        <f t="shared" si="31"/>
        <v>Incomplete</v>
      </c>
      <c r="BE108" s="20" t="str">
        <f t="shared" si="32"/>
        <v>Incomplete</v>
      </c>
      <c r="BH108" s="17">
        <v>35</v>
      </c>
      <c r="BI108" s="20" t="str">
        <f t="shared" si="28"/>
        <v>Incomplete</v>
      </c>
      <c r="BJ108" s="20"/>
      <c r="BK108" s="17">
        <v>7</v>
      </c>
      <c r="BL108" s="20"/>
      <c r="BM108" s="17">
        <v>6</v>
      </c>
      <c r="BN108" s="20"/>
      <c r="BQ108" s="17">
        <v>72</v>
      </c>
      <c r="BR108" s="17">
        <v>71</v>
      </c>
      <c r="BS108" s="17">
        <v>61</v>
      </c>
      <c r="BT108" s="17">
        <v>76</v>
      </c>
      <c r="BU108" s="17">
        <v>64</v>
      </c>
      <c r="BV108" s="17">
        <v>54</v>
      </c>
      <c r="BW108" s="91">
        <f t="shared" si="33"/>
        <v>84.682440846824392</v>
      </c>
      <c r="BX108" s="91" t="str">
        <f>_xlfn.XLOOKUP(BW108,'Normative data'!$V$3:$V$6,'Normative data'!$W$3:$W$6,"Not Found",-1)</f>
        <v>High risk</v>
      </c>
      <c r="BY108" s="91">
        <f t="shared" si="34"/>
        <v>80.531340805313405</v>
      </c>
      <c r="BZ108" s="91" t="str">
        <f>_xlfn.XLOOKUP(BY108,'Normative data'!$V$3:$V$6,'Normative data'!$W$3:$W$6,"Not Found",-1)</f>
        <v>High risk</v>
      </c>
      <c r="CA108" s="20"/>
      <c r="CC108" s="20"/>
      <c r="CE108" s="20"/>
      <c r="CG108" s="20"/>
      <c r="CH108" s="20" t="str">
        <f>_xlfn.XLOOKUP(CG108, 'Normative data'!$S$9:$S$15,'Normative data'!$T$9:$T$15, "Not Found", -1)</f>
        <v>not completed</v>
      </c>
      <c r="CI108" s="20"/>
      <c r="CJ108" s="20" t="str">
        <f>_xlfn.XLOOKUP(CI108, 'Normative data'!$S$9:$S$15, 'Normative data'!$T$9:$T$15, "Not Found", -1)</f>
        <v>not completed</v>
      </c>
      <c r="CK108" s="17">
        <v>2.85</v>
      </c>
      <c r="CL108" s="17">
        <v>3.51</v>
      </c>
      <c r="CN108" s="17">
        <v>8.7799999999999994</v>
      </c>
      <c r="CO108" s="17">
        <v>5.69</v>
      </c>
      <c r="CQ108" s="17">
        <v>3.1</v>
      </c>
      <c r="CR108" s="20" t="str" cm="1">
        <f t="array" ref="CR108">IF(OR(ISBLANK(E108),ISBLANK(CQ108)),"Incomplete",_xlfn.XLOOKUP(CQ108,_xlfn.XLOOKUP(E108,'Normative data'!$Y$3:$Y$6,'Normative data'!$Z$3:$AG$6,,-1),'Normative data'!$Z$2:$AG$2,"Not Found",-1))</f>
        <v>Incomplete</v>
      </c>
      <c r="CS108" s="20">
        <v>3</v>
      </c>
      <c r="CT108" s="20">
        <v>7</v>
      </c>
      <c r="CU108" s="20" cm="1">
        <f t="array" ref="CU108">_xlfn.XLOOKUP(CS108&amp;CT108,(VLOOKUP!$A$3:$A$250)&amp;(VLOOKUP!$B$3:$B$250),VLOOKUP!$C$3:$C$250,"Incomplete",-1)</f>
        <v>440</v>
      </c>
      <c r="CV108" s="20" t="str" cm="1">
        <f t="array" ref="CV108">_xlfn.XLOOKUP(CU108, _xlfn.XLOOKUP(E108, 'Normative data'!$Y$11:$Y$14, 'Normative data'!$Z$11:$AG$14, ,-1), 'Normative data'!$Z$10:$AG$10, "Not Found", -1)</f>
        <v xml:space="preserve">Very poor </v>
      </c>
      <c r="CW108" s="20" cm="1">
        <f t="array" ref="CW108">IF(OR(ISBLANK(CS108),ISBLANK(CT108)),"Incomplete",_xlfn.XLOOKUP(CS108&amp;CT108,VLOOKUP!$A$4:$A$250&amp;VLOOKUP!$B$4:$B$250,VLOOKUP!$D$4:$D$250,"0"))</f>
        <v>25</v>
      </c>
    </row>
    <row r="109" spans="1:101">
      <c r="A109" s="22" t="s">
        <v>364</v>
      </c>
      <c r="B109" s="22" t="s">
        <v>365</v>
      </c>
      <c r="C109" s="17" t="s">
        <v>86</v>
      </c>
      <c r="D109" s="23">
        <v>40454</v>
      </c>
      <c r="F109" s="17">
        <v>9</v>
      </c>
      <c r="G109" s="17">
        <v>2025</v>
      </c>
      <c r="H109" s="20" t="s">
        <v>114</v>
      </c>
      <c r="I109" s="17">
        <v>1</v>
      </c>
      <c r="P109" s="17" t="s">
        <v>366</v>
      </c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41" t="str">
        <f t="shared" si="29"/>
        <v>Incomplete</v>
      </c>
      <c r="AZ109" s="20"/>
      <c r="BA109" s="20" t="str">
        <f t="shared" si="30"/>
        <v>Incomplete</v>
      </c>
      <c r="BB109" s="20"/>
      <c r="BC109" s="20" t="str">
        <f t="shared" si="31"/>
        <v>Incomplete</v>
      </c>
      <c r="BD109" s="20"/>
      <c r="BE109" s="20" t="str">
        <f t="shared" si="32"/>
        <v>Incomplete</v>
      </c>
      <c r="BF109" s="20"/>
      <c r="BG109" s="20">
        <v>12</v>
      </c>
      <c r="BH109" s="20">
        <v>30.5</v>
      </c>
      <c r="BI109" s="20" t="e">
        <f>IF(OR(ISBLANK(#REF!), ISBLANK(#REF!)),"Incomplete",(SUM(#REF!-#REF!)))</f>
        <v>#REF!</v>
      </c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91" t="str">
        <f t="shared" si="33"/>
        <v>Incomplete</v>
      </c>
      <c r="BX109" s="91" t="str">
        <f>_xlfn.XLOOKUP(BW109,'Normative data'!$V$3:$V$6,'Normative data'!$W$3:$W$6,"Not Found",-1)</f>
        <v>Very low risk</v>
      </c>
      <c r="BY109" s="91" t="str">
        <f t="shared" si="34"/>
        <v>Incomplete</v>
      </c>
      <c r="BZ109" s="91" t="str">
        <f>_xlfn.XLOOKUP(BY109,'Normative data'!$V$3:$V$6,'Normative data'!$W$3:$W$6,"Not Found",-1)</f>
        <v>Very low risk</v>
      </c>
      <c r="CA109" s="20"/>
      <c r="CC109" s="20"/>
      <c r="CE109" s="20">
        <v>16</v>
      </c>
      <c r="CG109" s="20"/>
      <c r="CH109" s="20" t="str">
        <f>_xlfn.XLOOKUP(CG109, 'Normative data'!$S$9:$S$15,'Normative data'!$T$9:$T$15, "Not Found", -1)</f>
        <v>not completed</v>
      </c>
      <c r="CI109" s="20"/>
      <c r="CJ109" s="20" t="str">
        <f>_xlfn.XLOOKUP(CI109, 'Normative data'!$S$9:$S$15, 'Normative data'!$T$9:$T$15, "Not Found", -1)</f>
        <v>not completed</v>
      </c>
      <c r="CK109" s="24">
        <v>2.1</v>
      </c>
      <c r="CL109" s="24">
        <v>4.76</v>
      </c>
      <c r="CM109" s="24"/>
      <c r="CN109" s="24">
        <v>6.7</v>
      </c>
      <c r="CO109" s="24">
        <v>7.46</v>
      </c>
      <c r="CP109" s="24"/>
      <c r="CQ109" s="30"/>
      <c r="CR109" s="20" t="str" cm="1">
        <f t="array" ref="CR109">IF(OR(ISBLANK(E109),ISBLANK(CQ109)),"Incomplete",_xlfn.XLOOKUP(CQ109,_xlfn.XLOOKUP(E109,'Normative data'!$Y$3:$Y$6,'Normative data'!$Z$3:$AG$6,,-1),'Normative data'!$Z$2:$AG$2,"Not Found",-1))</f>
        <v>Incomplete</v>
      </c>
      <c r="CS109" s="20"/>
      <c r="CT109" s="20"/>
      <c r="CU109" s="20" t="str" cm="1">
        <f t="array" ref="CU109">_xlfn.XLOOKUP(CS109&amp;CT109,(VLOOKUP!$A$3:$A$250)&amp;(VLOOKUP!$B$3:$B$250),VLOOKUP!$C$3:$C$250,"Incomplete",-1)</f>
        <v>Incomplete</v>
      </c>
      <c r="CV109" s="20" t="str" cm="1">
        <f t="array" ref="CV109">_xlfn.XLOOKUP(CU109, _xlfn.XLOOKUP(E109, 'Normative data'!$Y$11:$Y$14, 'Normative data'!$Z$11:$AG$14, ,-1), 'Normative data'!$Z$10:$AG$10, "Not Found", -1)</f>
        <v>Excellent</v>
      </c>
      <c r="CW109" s="20" t="str" cm="1">
        <f t="array" ref="CW109">IF(OR(ISBLANK(CS109),ISBLANK(CT109)),"Incomplete",_xlfn.XLOOKUP(CS109&amp;CT109,VLOOKUP!$A$4:$A$250&amp;VLOOKUP!$B$4:$B$250,VLOOKUP!$D$4:$D$250,"0"))</f>
        <v>Incomplete</v>
      </c>
    </row>
    <row r="110" spans="1:101">
      <c r="A110" s="17" t="s">
        <v>367</v>
      </c>
      <c r="B110" s="17" t="s">
        <v>368</v>
      </c>
      <c r="C110" s="17" t="s">
        <v>86</v>
      </c>
      <c r="D110" s="26"/>
      <c r="F110" s="17">
        <v>9</v>
      </c>
      <c r="G110" s="17">
        <v>2025</v>
      </c>
      <c r="H110" s="20" t="s">
        <v>124</v>
      </c>
      <c r="I110" s="17">
        <v>3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41" t="str">
        <f t="shared" si="29"/>
        <v>Incomplete</v>
      </c>
      <c r="AZ110" s="20"/>
      <c r="BA110" s="20" t="str">
        <f t="shared" si="30"/>
        <v>Incomplete</v>
      </c>
      <c r="BB110" s="20"/>
      <c r="BC110" s="20" t="str">
        <f t="shared" si="31"/>
        <v>Incomplete</v>
      </c>
      <c r="BD110" s="20"/>
      <c r="BE110" s="20" t="str">
        <f t="shared" si="32"/>
        <v>Incomplete</v>
      </c>
      <c r="BF110" s="20"/>
      <c r="BG110" s="20"/>
      <c r="BH110" s="20"/>
      <c r="BI110" s="20" t="str">
        <f>IF(OR(ISBLANK(BG110), ISBLANK(BH110)),"Incomplete",(SUM(BH110-BG110)))</f>
        <v>Incomplete</v>
      </c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91" t="str">
        <f t="shared" si="33"/>
        <v>Incomplete</v>
      </c>
      <c r="BX110" s="91" t="str">
        <f>_xlfn.XLOOKUP(BW110,'Normative data'!$V$3:$V$6,'Normative data'!$W$3:$W$6,"Not Found",-1)</f>
        <v>Very low risk</v>
      </c>
      <c r="BY110" s="91" t="str">
        <f t="shared" si="34"/>
        <v>Incomplete</v>
      </c>
      <c r="BZ110" s="91" t="str">
        <f>_xlfn.XLOOKUP(BY110,'Normative data'!$V$3:$V$6,'Normative data'!$W$3:$W$6,"Not Found",-1)</f>
        <v>Very low risk</v>
      </c>
      <c r="CA110" s="20"/>
      <c r="CC110" s="20"/>
      <c r="CE110" s="20"/>
      <c r="CG110" s="20"/>
      <c r="CH110" s="20" t="str">
        <f>_xlfn.XLOOKUP(CG110, 'Normative data'!$S$9:$S$15,'Normative data'!$T$9:$T$15, "Not Found", -1)</f>
        <v>not completed</v>
      </c>
      <c r="CI110" s="20"/>
      <c r="CJ110" s="20" t="str">
        <f>_xlfn.XLOOKUP(CI110, 'Normative data'!$S$9:$S$15, 'Normative data'!$T$9:$T$15, "Not Found", -1)</f>
        <v>not completed</v>
      </c>
      <c r="CK110" s="20" t="s">
        <v>245</v>
      </c>
      <c r="CL110" s="20" t="s">
        <v>246</v>
      </c>
      <c r="CN110" s="20" t="s">
        <v>369</v>
      </c>
      <c r="CO110" s="20" t="s">
        <v>370</v>
      </c>
      <c r="CQ110" s="30"/>
      <c r="CR110" s="20" t="str" cm="1">
        <f t="array" ref="CR110">IF(OR(ISBLANK(E110),ISBLANK(CQ110)),"Incomplete",_xlfn.XLOOKUP(CQ110,_xlfn.XLOOKUP(E110,'Normative data'!$Y$3:$Y$6,'Normative data'!$Z$3:$AG$6,,-1),'Normative data'!$Z$2:$AG$2,"Not Found",-1))</f>
        <v>Incomplete</v>
      </c>
      <c r="CS110" s="20"/>
      <c r="CT110" s="20"/>
      <c r="CU110" s="20" t="str" cm="1">
        <f t="array" ref="CU110">_xlfn.XLOOKUP(CS110&amp;CT110,(VLOOKUP!$A$3:$A$250)&amp;(VLOOKUP!$B$3:$B$250),VLOOKUP!$C$3:$C$250,"Incomplete",-1)</f>
        <v>Incomplete</v>
      </c>
      <c r="CV110" s="20" t="str" cm="1">
        <f t="array" ref="CV110">_xlfn.XLOOKUP(CU110, _xlfn.XLOOKUP(E110, 'Normative data'!$Y$11:$Y$14, 'Normative data'!$Z$11:$AG$14, ,-1), 'Normative data'!$Z$10:$AG$10, "Not Found", -1)</f>
        <v>Excellent</v>
      </c>
      <c r="CW110" s="20" t="str" cm="1">
        <f t="array" ref="CW110">IF(OR(ISBLANK(CS110),ISBLANK(CT110)),"Incomplete",_xlfn.XLOOKUP(CS110&amp;CT110,VLOOKUP!$A$4:$A$250&amp;VLOOKUP!$B$4:$B$250,VLOOKUP!$D$4:$D$250,"0"))</f>
        <v>Incomplete</v>
      </c>
    </row>
    <row r="111" spans="1:101">
      <c r="A111" s="17" t="s">
        <v>364</v>
      </c>
      <c r="B111" s="17" t="s">
        <v>368</v>
      </c>
      <c r="C111" s="17" t="s">
        <v>86</v>
      </c>
      <c r="D111" s="23">
        <v>40454</v>
      </c>
      <c r="F111" s="17">
        <v>9</v>
      </c>
      <c r="G111" s="17">
        <v>2025</v>
      </c>
      <c r="H111" s="20" t="s">
        <v>124</v>
      </c>
      <c r="I111" s="17">
        <v>3</v>
      </c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41" t="str">
        <f t="shared" si="29"/>
        <v>Incomplete</v>
      </c>
      <c r="AZ111" s="20"/>
      <c r="BA111" s="20" t="str">
        <f t="shared" si="30"/>
        <v>Incomplete</v>
      </c>
      <c r="BB111" s="20"/>
      <c r="BC111" s="20" t="str">
        <f t="shared" si="31"/>
        <v>Incomplete</v>
      </c>
      <c r="BD111" s="20"/>
      <c r="BE111" s="20" t="str">
        <f t="shared" si="32"/>
        <v>Incomplete</v>
      </c>
      <c r="BF111" s="20"/>
      <c r="BG111" s="20"/>
      <c r="BH111" s="20"/>
      <c r="BI111" s="20" t="str">
        <f>IF(OR(ISBLANK(BG111), ISBLANK(BH111)),"Incomplete",(SUM(BH111-BG111)))</f>
        <v>Incomplete</v>
      </c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91" t="str">
        <f t="shared" si="33"/>
        <v>Incomplete</v>
      </c>
      <c r="BX111" s="91" t="str">
        <f>_xlfn.XLOOKUP(BW111,'Normative data'!$V$3:$V$6,'Normative data'!$W$3:$W$6,"Not Found",-1)</f>
        <v>Very low risk</v>
      </c>
      <c r="BY111" s="91" t="str">
        <f t="shared" si="34"/>
        <v>Incomplete</v>
      </c>
      <c r="BZ111" s="91" t="str">
        <f>_xlfn.XLOOKUP(BY111,'Normative data'!$V$3:$V$6,'Normative data'!$W$3:$W$6,"Not Found",-1)</f>
        <v>Very low risk</v>
      </c>
      <c r="CA111" s="20"/>
      <c r="CC111" s="20"/>
      <c r="CE111" s="20"/>
      <c r="CG111" s="20"/>
      <c r="CH111" s="20" t="str">
        <f>_xlfn.XLOOKUP(CG111, 'Normative data'!$S$9:$S$15,'Normative data'!$T$9:$T$15, "Not Found", -1)</f>
        <v>not completed</v>
      </c>
      <c r="CI111" s="20"/>
      <c r="CJ111" s="20" t="str">
        <f>_xlfn.XLOOKUP(CI111, 'Normative data'!$S$9:$S$15, 'Normative data'!$T$9:$T$15, "Not Found", -1)</f>
        <v>not completed</v>
      </c>
      <c r="CK111" s="20" t="s">
        <v>371</v>
      </c>
      <c r="CL111" s="20" t="s">
        <v>372</v>
      </c>
      <c r="CN111" s="20" t="s">
        <v>373</v>
      </c>
      <c r="CO111" s="20" t="s">
        <v>374</v>
      </c>
      <c r="CQ111" s="30"/>
      <c r="CR111" s="20" t="str" cm="1">
        <f t="array" ref="CR111">IF(OR(ISBLANK(E111),ISBLANK(CQ111)),"Incomplete",_xlfn.XLOOKUP(CQ111,_xlfn.XLOOKUP(E111,'Normative data'!$Y$3:$Y$6,'Normative data'!$Z$3:$AG$6,,-1),'Normative data'!$Z$2:$AG$2,"Not Found",-1))</f>
        <v>Incomplete</v>
      </c>
      <c r="CS111" s="20"/>
      <c r="CT111" s="20"/>
      <c r="CU111" s="20" t="str" cm="1">
        <f t="array" ref="CU111">_xlfn.XLOOKUP(CS111&amp;CT111,(VLOOKUP!$A$3:$A$250)&amp;(VLOOKUP!$B$3:$B$250),VLOOKUP!$C$3:$C$250,"Incomplete",-1)</f>
        <v>Incomplete</v>
      </c>
      <c r="CV111" s="20" t="str" cm="1">
        <f t="array" ref="CV111">_xlfn.XLOOKUP(CU111, _xlfn.XLOOKUP(E111, 'Normative data'!$Y$11:$Y$14, 'Normative data'!$Z$11:$AG$14, ,-1), 'Normative data'!$Z$10:$AG$10, "Not Found", -1)</f>
        <v>Excellent</v>
      </c>
      <c r="CW111" s="20" t="str" cm="1">
        <f t="array" ref="CW111">IF(OR(ISBLANK(CS111),ISBLANK(CT111)),"Incomplete",_xlfn.XLOOKUP(CS111&amp;CT111,VLOOKUP!$A$4:$A$250&amp;VLOOKUP!$B$4:$B$250,VLOOKUP!$D$4:$D$250,"0"))</f>
        <v>Incomplete</v>
      </c>
    </row>
    <row r="112" spans="1:101">
      <c r="A112" s="18" t="s">
        <v>375</v>
      </c>
      <c r="B112" s="18" t="s">
        <v>376</v>
      </c>
      <c r="C112" s="17" t="s">
        <v>86</v>
      </c>
      <c r="D112" s="19">
        <v>39124</v>
      </c>
      <c r="F112" s="17">
        <v>11</v>
      </c>
      <c r="G112" s="17">
        <v>2025</v>
      </c>
      <c r="H112" s="20" t="s">
        <v>124</v>
      </c>
      <c r="I112" s="17">
        <v>3</v>
      </c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41" t="str">
        <f t="shared" si="29"/>
        <v>Incomplete</v>
      </c>
      <c r="AZ112" s="20"/>
      <c r="BA112" s="20" t="str">
        <f t="shared" si="30"/>
        <v>Incomplete</v>
      </c>
      <c r="BB112" s="20"/>
      <c r="BC112" s="20" t="str">
        <f t="shared" si="31"/>
        <v>Incomplete</v>
      </c>
      <c r="BD112" s="20"/>
      <c r="BE112" s="20" t="str">
        <f t="shared" si="32"/>
        <v>Incomplete</v>
      </c>
      <c r="BF112" s="20"/>
      <c r="BG112" s="20">
        <v>28</v>
      </c>
      <c r="BH112" s="20">
        <v>57</v>
      </c>
      <c r="BI112" s="20" t="e">
        <f>IF(OR(ISBLANK(#REF!), ISBLANK(#REF!)),"Incomplete",(SUM(#REF!-#REF!)))</f>
        <v>#REF!</v>
      </c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91" t="str">
        <f t="shared" si="33"/>
        <v>Incomplete</v>
      </c>
      <c r="BX112" s="91" t="str">
        <f>_xlfn.XLOOKUP(BW112,'Normative data'!$V$3:$V$6,'Normative data'!$W$3:$W$6,"Not Found",-1)</f>
        <v>Very low risk</v>
      </c>
      <c r="BY112" s="91" t="str">
        <f t="shared" si="34"/>
        <v>Incomplete</v>
      </c>
      <c r="BZ112" s="91" t="str">
        <f>_xlfn.XLOOKUP(BY112,'Normative data'!$V$3:$V$6,'Normative data'!$W$3:$W$6,"Not Found",-1)</f>
        <v>Very low risk</v>
      </c>
      <c r="CA112" s="20"/>
      <c r="CC112" s="20"/>
      <c r="CE112" s="20">
        <v>30</v>
      </c>
      <c r="CG112" s="20"/>
      <c r="CH112" s="20" t="str">
        <f>_xlfn.XLOOKUP(CG112, 'Normative data'!$S$9:$S$15,'Normative data'!$T$9:$T$15, "Not Found", -1)</f>
        <v>not completed</v>
      </c>
      <c r="CI112" s="20"/>
      <c r="CJ112" s="20" t="str">
        <f>_xlfn.XLOOKUP(CI112, 'Normative data'!$S$9:$S$15, 'Normative data'!$T$9:$T$15, "Not Found", -1)</f>
        <v>not completed</v>
      </c>
      <c r="CK112" s="21">
        <v>2.16</v>
      </c>
      <c r="CL112" s="21">
        <v>5.63</v>
      </c>
      <c r="CM112" s="21"/>
      <c r="CN112" s="21">
        <v>6.82</v>
      </c>
      <c r="CO112" s="21">
        <v>7.33</v>
      </c>
      <c r="CP112" s="21"/>
      <c r="CQ112" s="30"/>
      <c r="CR112" s="20" t="str" cm="1">
        <f t="array" ref="CR112">IF(OR(ISBLANK(E112),ISBLANK(CQ112)),"Incomplete",_xlfn.XLOOKUP(CQ112,_xlfn.XLOOKUP(E112,'Normative data'!$Y$3:$Y$6,'Normative data'!$Z$3:$AG$6,,-1),'Normative data'!$Z$2:$AG$2,"Not Found",-1))</f>
        <v>Incomplete</v>
      </c>
      <c r="CS112" s="20"/>
      <c r="CT112" s="20"/>
      <c r="CU112" s="20" t="str" cm="1">
        <f t="array" ref="CU112">_xlfn.XLOOKUP(CS112&amp;CT112,(VLOOKUP!$A$3:$A$250)&amp;(VLOOKUP!$B$3:$B$250),VLOOKUP!$C$3:$C$250,"Incomplete",-1)</f>
        <v>Incomplete</v>
      </c>
      <c r="CV112" s="20" t="str" cm="1">
        <f t="array" ref="CV112">_xlfn.XLOOKUP(CU112, _xlfn.XLOOKUP(E112, 'Normative data'!$Y$11:$Y$14, 'Normative data'!$Z$11:$AG$14, ,-1), 'Normative data'!$Z$10:$AG$10, "Not Found", -1)</f>
        <v>Excellent</v>
      </c>
      <c r="CW112" s="20" t="str" cm="1">
        <f t="array" ref="CW112">IF(OR(ISBLANK(CS112),ISBLANK(CT112)),"Incomplete",_xlfn.XLOOKUP(CS112&amp;CT112,VLOOKUP!$A$4:$A$250&amp;VLOOKUP!$B$4:$B$250,VLOOKUP!$D$4:$D$250,"0"))</f>
        <v>Incomplete</v>
      </c>
    </row>
    <row r="113" spans="1:101">
      <c r="A113" s="22" t="s">
        <v>377</v>
      </c>
      <c r="B113" s="22" t="s">
        <v>378</v>
      </c>
      <c r="C113" s="17" t="s">
        <v>86</v>
      </c>
      <c r="D113" s="23">
        <v>39455</v>
      </c>
      <c r="F113" s="17">
        <v>11</v>
      </c>
      <c r="G113" s="17">
        <v>2025</v>
      </c>
      <c r="H113" s="20" t="s">
        <v>114</v>
      </c>
      <c r="I113" s="17">
        <v>1</v>
      </c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41" t="str">
        <f t="shared" si="29"/>
        <v>Incomplete</v>
      </c>
      <c r="AZ113" s="20"/>
      <c r="BA113" s="20" t="str">
        <f t="shared" si="30"/>
        <v>Incomplete</v>
      </c>
      <c r="BB113" s="20"/>
      <c r="BC113" s="20" t="str">
        <f t="shared" si="31"/>
        <v>Incomplete</v>
      </c>
      <c r="BD113" s="20"/>
      <c r="BE113" s="20" t="str">
        <f t="shared" si="32"/>
        <v>Incomplete</v>
      </c>
      <c r="BF113" s="20"/>
      <c r="BG113" s="20">
        <v>17</v>
      </c>
      <c r="BH113" s="20">
        <v>49</v>
      </c>
      <c r="BI113" s="20">
        <f>IF(OR(ISBLANK(BG113), ISBLANK(BH113)),"Incomplete",(SUM(BH113-BG113)))</f>
        <v>32</v>
      </c>
      <c r="BJ113" s="20"/>
      <c r="BK113" s="20">
        <v>11</v>
      </c>
      <c r="BL113" s="20"/>
      <c r="BM113" s="20">
        <v>10</v>
      </c>
      <c r="BN113" s="20"/>
      <c r="BO113" s="20"/>
      <c r="BP113" s="20"/>
      <c r="BQ113" s="20"/>
      <c r="BR113" s="20"/>
      <c r="BS113" s="20"/>
      <c r="BT113" s="20"/>
      <c r="BU113" s="20"/>
      <c r="BV113" s="20"/>
      <c r="BW113" s="91" t="str">
        <f t="shared" si="33"/>
        <v>Incomplete</v>
      </c>
      <c r="BX113" s="91" t="str">
        <f>_xlfn.XLOOKUP(BW113,'Normative data'!$V$3:$V$6,'Normative data'!$W$3:$W$6,"Not Found",-1)</f>
        <v>Very low risk</v>
      </c>
      <c r="BY113" s="91" t="str">
        <f t="shared" si="34"/>
        <v>Incomplete</v>
      </c>
      <c r="BZ113" s="91" t="str">
        <f>_xlfn.XLOOKUP(BY113,'Normative data'!$V$3:$V$6,'Normative data'!$W$3:$W$6,"Not Found",-1)</f>
        <v>Very low risk</v>
      </c>
      <c r="CA113" s="20"/>
      <c r="CC113" s="20"/>
      <c r="CE113" s="20">
        <v>13</v>
      </c>
      <c r="CG113" s="20"/>
      <c r="CH113" s="20" t="str">
        <f>_xlfn.XLOOKUP(CG113, 'Normative data'!$S$9:$S$15,'Normative data'!$T$9:$T$15, "Not Found", -1)</f>
        <v>not completed</v>
      </c>
      <c r="CI113" s="20"/>
      <c r="CJ113" s="20" t="str">
        <f>_xlfn.XLOOKUP(CI113, 'Normative data'!$S$9:$S$15, 'Normative data'!$T$9:$T$15, "Not Found", -1)</f>
        <v>not completed</v>
      </c>
      <c r="CK113" s="24">
        <v>2.2200000000000002</v>
      </c>
      <c r="CL113" s="24">
        <v>4.5</v>
      </c>
      <c r="CM113" s="21"/>
      <c r="CN113" s="24">
        <v>6.7</v>
      </c>
      <c r="CO113" s="35">
        <v>7.46</v>
      </c>
      <c r="CP113" s="35"/>
      <c r="CQ113" s="30"/>
      <c r="CR113" s="20" t="str" cm="1">
        <f t="array" ref="CR113">IF(OR(ISBLANK(E113),ISBLANK(CQ113)),"Incomplete",_xlfn.XLOOKUP(CQ113,_xlfn.XLOOKUP(E113,'Normative data'!$Y$3:$Y$6,'Normative data'!$Z$3:$AG$6,,-1),'Normative data'!$Z$2:$AG$2,"Not Found",-1))</f>
        <v>Incomplete</v>
      </c>
      <c r="CS113" s="20"/>
      <c r="CT113" s="20"/>
      <c r="CU113" s="20" t="str" cm="1">
        <f t="array" ref="CU113">_xlfn.XLOOKUP(CS113&amp;CT113,(VLOOKUP!$A$3:$A$250)&amp;(VLOOKUP!$B$3:$B$250),VLOOKUP!$C$3:$C$250,"Incomplete",-1)</f>
        <v>Incomplete</v>
      </c>
      <c r="CV113" s="20" t="str" cm="1">
        <f t="array" ref="CV113">_xlfn.XLOOKUP(CU113, _xlfn.XLOOKUP(E113, 'Normative data'!$Y$11:$Y$14, 'Normative data'!$Z$11:$AG$14, ,-1), 'Normative data'!$Z$10:$AG$10, "Not Found", -1)</f>
        <v>Excellent</v>
      </c>
      <c r="CW113" s="20" t="str" cm="1">
        <f t="array" ref="CW113">IF(OR(ISBLANK(CS113),ISBLANK(CT113)),"Incomplete",_xlfn.XLOOKUP(CS113&amp;CT113,VLOOKUP!$A$4:$A$250&amp;VLOOKUP!$B$4:$B$250,VLOOKUP!$D$4:$D$250,"0"))</f>
        <v>Incomplete</v>
      </c>
    </row>
    <row r="114" spans="1:101">
      <c r="A114" s="17" t="s">
        <v>377</v>
      </c>
      <c r="B114" s="17" t="s">
        <v>378</v>
      </c>
      <c r="C114" s="17" t="s">
        <v>86</v>
      </c>
      <c r="D114" s="23">
        <v>39455</v>
      </c>
      <c r="F114" s="17">
        <v>11</v>
      </c>
      <c r="G114" s="17">
        <v>2025</v>
      </c>
      <c r="H114" s="20" t="s">
        <v>124</v>
      </c>
      <c r="I114" s="17">
        <v>3</v>
      </c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41" t="str">
        <f t="shared" si="29"/>
        <v>Incomplete</v>
      </c>
      <c r="AZ114" s="20"/>
      <c r="BA114" s="20" t="str">
        <f t="shared" si="30"/>
        <v>Incomplete</v>
      </c>
      <c r="BB114" s="20"/>
      <c r="BC114" s="20" t="str">
        <f t="shared" si="31"/>
        <v>Incomplete</v>
      </c>
      <c r="BD114" s="20"/>
      <c r="BE114" s="20" t="str">
        <f t="shared" si="32"/>
        <v>Incomplete</v>
      </c>
      <c r="BF114" s="20"/>
      <c r="BG114" s="20"/>
      <c r="BH114" s="20"/>
      <c r="BI114" s="20" t="str">
        <f>IF(OR(ISBLANK(BG114), ISBLANK(BH114)),"Incomplete",(SUM(BH114-BG114)))</f>
        <v>Incomplete</v>
      </c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91" t="str">
        <f t="shared" si="33"/>
        <v>Incomplete</v>
      </c>
      <c r="BX114" s="91" t="str">
        <f>_xlfn.XLOOKUP(BW114,'Normative data'!$V$3:$V$6,'Normative data'!$W$3:$W$6,"Not Found",-1)</f>
        <v>Very low risk</v>
      </c>
      <c r="BY114" s="91" t="str">
        <f t="shared" si="34"/>
        <v>Incomplete</v>
      </c>
      <c r="BZ114" s="91" t="str">
        <f>_xlfn.XLOOKUP(BY114,'Normative data'!$V$3:$V$6,'Normative data'!$W$3:$W$6,"Not Found",-1)</f>
        <v>Very low risk</v>
      </c>
      <c r="CA114" s="20"/>
      <c r="CC114" s="20"/>
      <c r="CE114" s="20"/>
      <c r="CG114" s="20"/>
      <c r="CH114" s="20" t="str">
        <f>_xlfn.XLOOKUP(CG114, 'Normative data'!$S$9:$S$15,'Normative data'!$T$9:$T$15, "Not Found", -1)</f>
        <v>not completed</v>
      </c>
      <c r="CI114" s="20"/>
      <c r="CJ114" s="20" t="str">
        <f>_xlfn.XLOOKUP(CI114, 'Normative data'!$S$9:$S$15, 'Normative data'!$T$9:$T$15, "Not Found", -1)</f>
        <v>not completed</v>
      </c>
      <c r="CK114" s="20" t="s">
        <v>304</v>
      </c>
      <c r="CL114" s="20" t="s">
        <v>290</v>
      </c>
      <c r="CN114" s="20" t="s">
        <v>379</v>
      </c>
      <c r="CO114" s="20" t="s">
        <v>380</v>
      </c>
      <c r="CQ114" s="30"/>
      <c r="CR114" s="20" t="str" cm="1">
        <f t="array" ref="CR114">IF(OR(ISBLANK(E114),ISBLANK(CQ114)),"Incomplete",_xlfn.XLOOKUP(CQ114,_xlfn.XLOOKUP(E114,'Normative data'!$Y$3:$Y$6,'Normative data'!$Z$3:$AG$6,,-1),'Normative data'!$Z$2:$AG$2,"Not Found",-1))</f>
        <v>Incomplete</v>
      </c>
      <c r="CS114" s="20"/>
      <c r="CT114" s="20"/>
      <c r="CU114" s="20" t="str" cm="1">
        <f t="array" ref="CU114">_xlfn.XLOOKUP(CS114&amp;CT114,(VLOOKUP!$A$3:$A$250)&amp;(VLOOKUP!$B$3:$B$250),VLOOKUP!$C$3:$C$250,"Incomplete",-1)</f>
        <v>Incomplete</v>
      </c>
      <c r="CV114" s="20" t="str" cm="1">
        <f t="array" ref="CV114">_xlfn.XLOOKUP(CU114, _xlfn.XLOOKUP(E114, 'Normative data'!$Y$11:$Y$14, 'Normative data'!$Z$11:$AG$14, ,-1), 'Normative data'!$Z$10:$AG$10, "Not Found", -1)</f>
        <v>Excellent</v>
      </c>
      <c r="CW114" s="20" t="str" cm="1">
        <f t="array" ref="CW114">IF(OR(ISBLANK(CS114),ISBLANK(CT114)),"Incomplete",_xlfn.XLOOKUP(CS114&amp;CT114,VLOOKUP!$A$4:$A$250&amp;VLOOKUP!$B$4:$B$250,VLOOKUP!$D$4:$D$250,"0"))</f>
        <v>Incomplete</v>
      </c>
    </row>
    <row r="115" spans="1:101">
      <c r="A115" s="18" t="s">
        <v>381</v>
      </c>
      <c r="B115" s="18" t="s">
        <v>378</v>
      </c>
      <c r="C115" s="17" t="s">
        <v>86</v>
      </c>
      <c r="D115" s="19">
        <v>40202</v>
      </c>
      <c r="F115" s="17">
        <v>9</v>
      </c>
      <c r="G115" s="17">
        <v>2025</v>
      </c>
      <c r="H115" s="20" t="s">
        <v>124</v>
      </c>
      <c r="I115" s="17">
        <v>3</v>
      </c>
      <c r="P115" s="17" t="s">
        <v>382</v>
      </c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41" t="str">
        <f t="shared" si="29"/>
        <v>Incomplete</v>
      </c>
      <c r="AZ115" s="20"/>
      <c r="BA115" s="20" t="str">
        <f t="shared" si="30"/>
        <v>Incomplete</v>
      </c>
      <c r="BB115" s="20"/>
      <c r="BC115" s="20" t="str">
        <f t="shared" si="31"/>
        <v>Incomplete</v>
      </c>
      <c r="BD115" s="20"/>
      <c r="BE115" s="20" t="str">
        <f t="shared" si="32"/>
        <v>Incomplete</v>
      </c>
      <c r="BF115" s="20"/>
      <c r="BG115" s="20">
        <v>17</v>
      </c>
      <c r="BH115" s="20">
        <v>39</v>
      </c>
      <c r="BI115" s="20">
        <f>IF(OR(ISBLANK(BG115), ISBLANK(BH115)),"Incomplete",(SUM(BH115-BG115)))</f>
        <v>22</v>
      </c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91" t="str">
        <f t="shared" si="33"/>
        <v>Incomplete</v>
      </c>
      <c r="BX115" s="91" t="str">
        <f>_xlfn.XLOOKUP(BW115,'Normative data'!$V$3:$V$6,'Normative data'!$W$3:$W$6,"Not Found",-1)</f>
        <v>Very low risk</v>
      </c>
      <c r="BY115" s="91" t="str">
        <f t="shared" si="34"/>
        <v>Incomplete</v>
      </c>
      <c r="BZ115" s="91" t="str">
        <f>_xlfn.XLOOKUP(BY115,'Normative data'!$V$3:$V$6,'Normative data'!$W$3:$W$6,"Not Found",-1)</f>
        <v>Very low risk</v>
      </c>
      <c r="CA115" s="20"/>
      <c r="CC115" s="20"/>
      <c r="CE115" s="20">
        <v>7</v>
      </c>
      <c r="CG115" s="20"/>
      <c r="CH115" s="20" t="str">
        <f>_xlfn.XLOOKUP(CG115, 'Normative data'!$S$9:$S$15,'Normative data'!$T$9:$T$15, "Not Found", -1)</f>
        <v>not completed</v>
      </c>
      <c r="CI115" s="20"/>
      <c r="CJ115" s="20" t="str">
        <f>_xlfn.XLOOKUP(CI115, 'Normative data'!$S$9:$S$15, 'Normative data'!$T$9:$T$15, "Not Found", -1)</f>
        <v>not completed</v>
      </c>
      <c r="CK115" s="21"/>
      <c r="CL115" s="21"/>
      <c r="CM115" s="21"/>
      <c r="CN115" s="21"/>
      <c r="CO115" s="21"/>
      <c r="CP115" s="21"/>
      <c r="CQ115" s="30"/>
      <c r="CR115" s="20" t="str" cm="1">
        <f t="array" ref="CR115">IF(OR(ISBLANK(E115),ISBLANK(CQ115)),"Incomplete",_xlfn.XLOOKUP(CQ115,_xlfn.XLOOKUP(E115,'Normative data'!$Y$3:$Y$6,'Normative data'!$Z$3:$AG$6,,-1),'Normative data'!$Z$2:$AG$2,"Not Found",-1))</f>
        <v>Incomplete</v>
      </c>
      <c r="CS115" s="20"/>
      <c r="CT115" s="20"/>
      <c r="CU115" s="20" t="str" cm="1">
        <f t="array" ref="CU115">_xlfn.XLOOKUP(CS115&amp;CT115,(VLOOKUP!$A$3:$A$250)&amp;(VLOOKUP!$B$3:$B$250),VLOOKUP!$C$3:$C$250,"Incomplete",-1)</f>
        <v>Incomplete</v>
      </c>
      <c r="CV115" s="20" t="str" cm="1">
        <f t="array" ref="CV115">_xlfn.XLOOKUP(CU115, _xlfn.XLOOKUP(E115, 'Normative data'!$Y$11:$Y$14, 'Normative data'!$Z$11:$AG$14, ,-1), 'Normative data'!$Z$10:$AG$10, "Not Found", -1)</f>
        <v>Excellent</v>
      </c>
      <c r="CW115" s="20" t="str" cm="1">
        <f t="array" ref="CW115">IF(OR(ISBLANK(CS115),ISBLANK(CT115)),"Incomplete",_xlfn.XLOOKUP(CS115&amp;CT115,VLOOKUP!$A$4:$A$250&amp;VLOOKUP!$B$4:$B$250,VLOOKUP!$D$4:$D$250,"0"))</f>
        <v>Incomplete</v>
      </c>
    </row>
    <row r="116" spans="1:101">
      <c r="A116" s="17" t="s">
        <v>383</v>
      </c>
      <c r="B116" s="17" t="s">
        <v>384</v>
      </c>
      <c r="C116" s="17" t="s">
        <v>385</v>
      </c>
      <c r="D116" s="26">
        <v>39979</v>
      </c>
      <c r="F116" s="17">
        <v>10</v>
      </c>
      <c r="G116" s="17">
        <v>2025</v>
      </c>
      <c r="H116" s="20" t="s">
        <v>124</v>
      </c>
      <c r="I116" s="17">
        <v>3</v>
      </c>
      <c r="J116" s="17" t="s">
        <v>88</v>
      </c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41" t="str">
        <f t="shared" si="29"/>
        <v>Incomplete</v>
      </c>
      <c r="AZ116" s="20"/>
      <c r="BA116" s="20" t="str">
        <f t="shared" si="30"/>
        <v>Incomplete</v>
      </c>
      <c r="BB116" s="20"/>
      <c r="BC116" s="20" t="str">
        <f t="shared" si="31"/>
        <v>Incomplete</v>
      </c>
      <c r="BD116" s="20"/>
      <c r="BE116" s="20" t="str">
        <f t="shared" si="32"/>
        <v>Incomplete</v>
      </c>
      <c r="BF116" s="20"/>
      <c r="BG116" s="20">
        <v>10</v>
      </c>
      <c r="BH116" s="20">
        <v>37.4</v>
      </c>
      <c r="BI116" s="20" t="e">
        <f>IF(OR(ISBLANK(#REF!), ISBLANK(#REF!)),"Incomplete",(SUM(#REF!-#REF!)))</f>
        <v>#REF!</v>
      </c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91" t="str">
        <f t="shared" si="33"/>
        <v>Incomplete</v>
      </c>
      <c r="BX116" s="91" t="str">
        <f>_xlfn.XLOOKUP(BW116,'Normative data'!$V$3:$V$6,'Normative data'!$W$3:$W$6,"Not Found",-1)</f>
        <v>Very low risk</v>
      </c>
      <c r="BY116" s="91" t="str">
        <f t="shared" si="34"/>
        <v>Incomplete</v>
      </c>
      <c r="BZ116" s="91" t="str">
        <f>_xlfn.XLOOKUP(BY116,'Normative data'!$V$3:$V$6,'Normative data'!$W$3:$W$6,"Not Found",-1)</f>
        <v>Very low risk</v>
      </c>
      <c r="CA116" s="20"/>
      <c r="CC116" s="20"/>
      <c r="CE116" s="20">
        <v>12</v>
      </c>
      <c r="CG116" s="20"/>
      <c r="CH116" s="20" t="str">
        <f>_xlfn.XLOOKUP(CG116, 'Normative data'!$S$9:$S$15,'Normative data'!$T$9:$T$15, "Not Found", -1)</f>
        <v>not completed</v>
      </c>
      <c r="CI116" s="20"/>
      <c r="CJ116" s="20" t="str">
        <f>_xlfn.XLOOKUP(CI116, 'Normative data'!$S$9:$S$15, 'Normative data'!$T$9:$T$15, "Not Found", -1)</f>
        <v>not completed</v>
      </c>
      <c r="CK116" s="20" t="s">
        <v>386</v>
      </c>
      <c r="CL116" s="20" t="s">
        <v>387</v>
      </c>
      <c r="CN116" s="20" t="s">
        <v>388</v>
      </c>
      <c r="CO116" s="20" t="s">
        <v>389</v>
      </c>
      <c r="CQ116" s="30"/>
      <c r="CR116" s="20" t="str" cm="1">
        <f t="array" ref="CR116">IF(OR(ISBLANK(E116),ISBLANK(CQ116)),"Incomplete",_xlfn.XLOOKUP(CQ116,_xlfn.XLOOKUP(E116,'Normative data'!$Y$3:$Y$6,'Normative data'!$Z$3:$AG$6,,-1),'Normative data'!$Z$2:$AG$2,"Not Found",-1))</f>
        <v>Incomplete</v>
      </c>
      <c r="CS116" s="20"/>
      <c r="CT116" s="20"/>
      <c r="CU116" s="20" t="str" cm="1">
        <f t="array" ref="CU116">_xlfn.XLOOKUP(CS116&amp;CT116,(VLOOKUP!$A$3:$A$250)&amp;(VLOOKUP!$B$3:$B$250),VLOOKUP!$C$3:$C$250,"Incomplete",-1)</f>
        <v>Incomplete</v>
      </c>
      <c r="CV116" s="20" t="str" cm="1">
        <f t="array" ref="CV116">_xlfn.XLOOKUP(CU116, _xlfn.XLOOKUP(E116, 'Normative data'!$Y$11:$Y$14, 'Normative data'!$Z$11:$AG$14, ,-1), 'Normative data'!$Z$10:$AG$10, "Not Found", -1)</f>
        <v>Excellent</v>
      </c>
      <c r="CW116" s="20" t="str" cm="1">
        <f t="array" ref="CW116">IF(OR(ISBLANK(CS116),ISBLANK(CT116)),"Incomplete",_xlfn.XLOOKUP(CS116&amp;CT116,VLOOKUP!$A$4:$A$250&amp;VLOOKUP!$B$4:$B$250,VLOOKUP!$D$4:$D$250,"0"))</f>
        <v>Incomplete</v>
      </c>
    </row>
    <row r="117" spans="1:101">
      <c r="A117" s="22" t="s">
        <v>390</v>
      </c>
      <c r="B117" s="22" t="s">
        <v>391</v>
      </c>
      <c r="C117" s="17" t="s">
        <v>86</v>
      </c>
      <c r="D117" s="23">
        <v>40354</v>
      </c>
      <c r="F117" s="17">
        <v>9</v>
      </c>
      <c r="G117" s="17">
        <v>2025</v>
      </c>
      <c r="H117" s="20" t="s">
        <v>114</v>
      </c>
      <c r="I117" s="17">
        <v>1</v>
      </c>
      <c r="P117" s="17" t="s">
        <v>366</v>
      </c>
      <c r="S117" s="20"/>
      <c r="T117" s="20">
        <v>166</v>
      </c>
      <c r="U117" s="20">
        <v>68.2</v>
      </c>
      <c r="V117" s="20"/>
      <c r="W117" s="20">
        <v>18.600000000000001</v>
      </c>
      <c r="X117" s="20">
        <f>SUM(T117-W117)</f>
        <v>147.4</v>
      </c>
      <c r="Y117" s="20">
        <v>27.7</v>
      </c>
      <c r="Z117" s="20">
        <v>24.7</v>
      </c>
      <c r="AA117" s="20">
        <v>27.3</v>
      </c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41" t="str">
        <f t="shared" si="29"/>
        <v>Incomplete</v>
      </c>
      <c r="AZ117" s="20"/>
      <c r="BA117" s="20" t="str">
        <f t="shared" si="30"/>
        <v>Incomplete</v>
      </c>
      <c r="BB117" s="20"/>
      <c r="BC117" s="20" t="str">
        <f t="shared" si="31"/>
        <v>Incomplete</v>
      </c>
      <c r="BD117" s="20"/>
      <c r="BE117" s="20" t="str">
        <f t="shared" si="32"/>
        <v>Incomplete</v>
      </c>
      <c r="BF117" s="20"/>
      <c r="BG117" s="20">
        <v>14</v>
      </c>
      <c r="BH117" s="20">
        <v>50</v>
      </c>
      <c r="BI117" s="20" t="e">
        <f>IF(OR(ISBLANK(#REF!), ISBLANK(#REF!)),"Incomplete",(SUM(#REF!-#REF!)))</f>
        <v>#REF!</v>
      </c>
      <c r="BJ117" s="20"/>
      <c r="BK117" s="20">
        <v>8</v>
      </c>
      <c r="BL117" s="20"/>
      <c r="BM117" s="20">
        <v>7</v>
      </c>
      <c r="BN117" s="20"/>
      <c r="BO117" s="20"/>
      <c r="BP117" s="20"/>
      <c r="BQ117" s="20"/>
      <c r="BR117" s="20"/>
      <c r="BS117" s="20"/>
      <c r="BT117" s="20"/>
      <c r="BU117" s="20"/>
      <c r="BV117" s="20"/>
      <c r="BW117" s="91">
        <f t="shared" si="33"/>
        <v>0</v>
      </c>
      <c r="BX117" s="91" t="str">
        <f>_xlfn.XLOOKUP(BW117,'Normative data'!$V$3:$V$6,'Normative data'!$W$3:$W$6,"Not Found",-1)</f>
        <v>Not completed</v>
      </c>
      <c r="BY117" s="91">
        <f t="shared" si="34"/>
        <v>0</v>
      </c>
      <c r="BZ117" s="91" t="str">
        <f>_xlfn.XLOOKUP(BY117,'Normative data'!$V$3:$V$6,'Normative data'!$W$3:$W$6,"Not Found",-1)</f>
        <v>Not completed</v>
      </c>
      <c r="CA117" s="20"/>
      <c r="CC117" s="20"/>
      <c r="CE117" s="20"/>
      <c r="CG117" s="20"/>
      <c r="CH117" s="20" t="str">
        <f>_xlfn.XLOOKUP(CG117, 'Normative data'!$S$9:$S$15,'Normative data'!$T$9:$T$15, "Not Found", -1)</f>
        <v>not completed</v>
      </c>
      <c r="CI117" s="20"/>
      <c r="CJ117" s="20" t="str">
        <f>_xlfn.XLOOKUP(CI117, 'Normative data'!$S$9:$S$15, 'Normative data'!$T$9:$T$15, "Not Found", -1)</f>
        <v>not completed</v>
      </c>
      <c r="CK117" s="21"/>
      <c r="CL117" s="21"/>
      <c r="CM117" s="21"/>
      <c r="CN117" s="21"/>
      <c r="CO117" s="21"/>
      <c r="CP117" s="24"/>
      <c r="CQ117" s="30"/>
      <c r="CR117" s="20" t="str" cm="1">
        <f t="array" ref="CR117">IF(OR(ISBLANK(E117),ISBLANK(CQ117)),"Incomplete",_xlfn.XLOOKUP(CQ117,_xlfn.XLOOKUP(E117,'Normative data'!$Y$3:$Y$6,'Normative data'!$Z$3:$AG$6,,-1),'Normative data'!$Z$2:$AG$2,"Not Found",-1))</f>
        <v>Incomplete</v>
      </c>
      <c r="CS117" s="20"/>
      <c r="CT117" s="20"/>
      <c r="CU117" s="20" t="str" cm="1">
        <f t="array" ref="CU117">_xlfn.XLOOKUP(CS117&amp;CT117,(VLOOKUP!$A$3:$A$250)&amp;(VLOOKUP!$B$3:$B$250),VLOOKUP!$C$3:$C$250,"Incomplete",-1)</f>
        <v>Incomplete</v>
      </c>
      <c r="CV117" s="20" t="str" cm="1">
        <f t="array" ref="CV117">_xlfn.XLOOKUP(CU117, _xlfn.XLOOKUP(E117, 'Normative data'!$Y$11:$Y$14, 'Normative data'!$Z$11:$AG$14, ,-1), 'Normative data'!$Z$10:$AG$10, "Not Found", -1)</f>
        <v>Excellent</v>
      </c>
      <c r="CW117" s="20" t="str" cm="1">
        <f t="array" ref="CW117">IF(OR(ISBLANK(CS117),ISBLANK(CT117)),"Incomplete",_xlfn.XLOOKUP(CS117&amp;CT117,VLOOKUP!$A$4:$A$250&amp;VLOOKUP!$B$4:$B$250,VLOOKUP!$D$4:$D$250,"0"))</f>
        <v>Incomplete</v>
      </c>
    </row>
    <row r="118" spans="1:101">
      <c r="A118" s="17" t="s">
        <v>390</v>
      </c>
      <c r="B118" s="17" t="s">
        <v>391</v>
      </c>
      <c r="C118" s="17" t="s">
        <v>86</v>
      </c>
      <c r="D118" s="26"/>
      <c r="G118" s="17">
        <v>2025</v>
      </c>
      <c r="H118" s="20" t="s">
        <v>124</v>
      </c>
      <c r="I118" s="17">
        <v>3</v>
      </c>
      <c r="S118" s="20"/>
      <c r="T118" s="20" t="s">
        <v>392</v>
      </c>
      <c r="U118" s="20" t="s">
        <v>393</v>
      </c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41" t="str">
        <f t="shared" si="29"/>
        <v>Incomplete</v>
      </c>
      <c r="AZ118" s="20"/>
      <c r="BA118" s="20" t="str">
        <f t="shared" si="30"/>
        <v>Incomplete</v>
      </c>
      <c r="BB118" s="20"/>
      <c r="BC118" s="20" t="str">
        <f t="shared" si="31"/>
        <v>Incomplete</v>
      </c>
      <c r="BD118" s="20"/>
      <c r="BE118" s="20" t="str">
        <f t="shared" si="32"/>
        <v>Incomplete</v>
      </c>
      <c r="BF118" s="20"/>
      <c r="BG118" s="20"/>
      <c r="BH118" s="20"/>
      <c r="BI118" s="20" t="str">
        <f>IF(OR(ISBLANK(BG118), ISBLANK(BH118)),"Incomplete",(SUM(BH118-BG118)))</f>
        <v>Incomplete</v>
      </c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91" t="str">
        <f t="shared" si="33"/>
        <v>Incomplete</v>
      </c>
      <c r="BX118" s="91" t="str">
        <f>_xlfn.XLOOKUP(BW118,'Normative data'!$V$3:$V$6,'Normative data'!$W$3:$W$6,"Not Found",-1)</f>
        <v>Very low risk</v>
      </c>
      <c r="BY118" s="91" t="str">
        <f t="shared" si="34"/>
        <v>Incomplete</v>
      </c>
      <c r="BZ118" s="91" t="str">
        <f>_xlfn.XLOOKUP(BY118,'Normative data'!$V$3:$V$6,'Normative data'!$W$3:$W$6,"Not Found",-1)</f>
        <v>Very low risk</v>
      </c>
      <c r="CA118" s="20"/>
      <c r="CC118" s="20"/>
      <c r="CE118" s="20">
        <v>1</v>
      </c>
      <c r="CG118" s="20"/>
      <c r="CH118" s="20" t="str">
        <f>_xlfn.XLOOKUP(CG118, 'Normative data'!$S$9:$S$15,'Normative data'!$T$9:$T$15, "Not Found", -1)</f>
        <v>not completed</v>
      </c>
      <c r="CI118" s="20"/>
      <c r="CJ118" s="20" t="str">
        <f>_xlfn.XLOOKUP(CI118, 'Normative data'!$S$9:$S$15, 'Normative data'!$T$9:$T$15, "Not Found", -1)</f>
        <v>not completed</v>
      </c>
      <c r="CK118" s="24">
        <v>2.38</v>
      </c>
      <c r="CL118" s="24">
        <v>4.2</v>
      </c>
      <c r="CM118" s="21"/>
      <c r="CN118" s="24">
        <v>7.28</v>
      </c>
      <c r="CO118" s="24">
        <v>6.87</v>
      </c>
      <c r="CQ118" s="30"/>
      <c r="CR118" s="20" t="str" cm="1">
        <f t="array" ref="CR118">IF(OR(ISBLANK(E118),ISBLANK(CQ118)),"Incomplete",_xlfn.XLOOKUP(CQ118,_xlfn.XLOOKUP(E118,'Normative data'!$Y$3:$Y$6,'Normative data'!$Z$3:$AG$6,,-1),'Normative data'!$Z$2:$AG$2,"Not Found",-1))</f>
        <v>Incomplete</v>
      </c>
      <c r="CS118" s="20"/>
      <c r="CT118" s="20"/>
      <c r="CU118" s="20" t="str" cm="1">
        <f t="array" ref="CU118">_xlfn.XLOOKUP(CS118&amp;CT118,(VLOOKUP!$A$3:$A$250)&amp;(VLOOKUP!$B$3:$B$250),VLOOKUP!$C$3:$C$250,"Incomplete",-1)</f>
        <v>Incomplete</v>
      </c>
      <c r="CV118" s="20" t="str" cm="1">
        <f t="array" ref="CV118">_xlfn.XLOOKUP(CU118, _xlfn.XLOOKUP(E118, 'Normative data'!$Y$11:$Y$14, 'Normative data'!$Z$11:$AG$14, ,-1), 'Normative data'!$Z$10:$AG$10, "Not Found", -1)</f>
        <v>Excellent</v>
      </c>
      <c r="CW118" s="20" t="str" cm="1">
        <f t="array" ref="CW118">IF(OR(ISBLANK(CS118),ISBLANK(CT118)),"Incomplete",_xlfn.XLOOKUP(CS118&amp;CT118,VLOOKUP!$A$4:$A$250&amp;VLOOKUP!$B$4:$B$250,VLOOKUP!$D$4:$D$250,"0"))</f>
        <v>Incomplete</v>
      </c>
    </row>
    <row r="119" spans="1:101">
      <c r="A119" s="27" t="s">
        <v>394</v>
      </c>
      <c r="B119" s="27" t="s">
        <v>391</v>
      </c>
      <c r="C119" s="17" t="s">
        <v>86</v>
      </c>
      <c r="D119" s="33"/>
      <c r="G119" s="17">
        <v>2026</v>
      </c>
      <c r="H119" s="20" t="s">
        <v>114</v>
      </c>
      <c r="I119" s="28">
        <v>1</v>
      </c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30">
        <v>22.4</v>
      </c>
      <c r="AR119" s="30">
        <v>0.42699999999999999</v>
      </c>
      <c r="AS119" s="30">
        <v>19.7</v>
      </c>
      <c r="AT119" s="30">
        <v>0.40100000000000002</v>
      </c>
      <c r="AU119" s="30">
        <v>9.6999999999999993</v>
      </c>
      <c r="AV119" s="30">
        <v>0.28199999999999997</v>
      </c>
      <c r="AW119" s="30">
        <v>12.2</v>
      </c>
      <c r="AX119" s="30">
        <v>0.315</v>
      </c>
      <c r="AY119" s="41" t="str">
        <f t="shared" si="29"/>
        <v>Incomplete</v>
      </c>
      <c r="AZ119" s="20"/>
      <c r="BA119" s="20" t="str">
        <f t="shared" si="30"/>
        <v>Incomplete</v>
      </c>
      <c r="BB119" s="20"/>
      <c r="BC119" s="20" t="str">
        <f t="shared" si="31"/>
        <v>Incomplete</v>
      </c>
      <c r="BD119" s="20"/>
      <c r="BE119" s="20" t="str">
        <f t="shared" si="32"/>
        <v>Incomplete</v>
      </c>
      <c r="BF119" s="20"/>
      <c r="BG119" s="30">
        <v>16</v>
      </c>
      <c r="BH119" s="30">
        <v>51</v>
      </c>
      <c r="BI119" s="20">
        <f>IF(OR(ISBLANK(BG119), ISBLANK(BH119)),"Incomplete",(SUM(BH119-BG119)))</f>
        <v>35</v>
      </c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91" t="str">
        <f t="shared" si="33"/>
        <v>Incomplete</v>
      </c>
      <c r="BX119" s="91" t="str">
        <f>_xlfn.XLOOKUP(BW119,'Normative data'!$V$3:$V$6,'Normative data'!$W$3:$W$6,"Not Found",-1)</f>
        <v>Very low risk</v>
      </c>
      <c r="BY119" s="91" t="str">
        <f t="shared" si="34"/>
        <v>Incomplete</v>
      </c>
      <c r="BZ119" s="91" t="str">
        <f>_xlfn.XLOOKUP(BY119,'Normative data'!$V$3:$V$6,'Normative data'!$W$3:$W$6,"Not Found",-1)</f>
        <v>Very low risk</v>
      </c>
      <c r="CA119" s="20"/>
      <c r="CC119" s="36">
        <v>42</v>
      </c>
      <c r="CD119" s="36"/>
      <c r="CE119" s="36">
        <v>1</v>
      </c>
      <c r="CF119" s="36"/>
      <c r="CG119" s="20"/>
      <c r="CH119" s="20" t="str">
        <f>_xlfn.XLOOKUP(CG119, 'Normative data'!$S$9:$S$15,'Normative data'!$T$9:$T$15, "Not Found", -1)</f>
        <v>not completed</v>
      </c>
      <c r="CI119" s="20"/>
      <c r="CJ119" s="20" t="str">
        <f>_xlfn.XLOOKUP(CI119, 'Normative data'!$S$9:$S$15, 'Normative data'!$T$9:$T$15, "Not Found", -1)</f>
        <v>not completed</v>
      </c>
      <c r="CK119" s="30">
        <v>2.14</v>
      </c>
      <c r="CL119" s="30">
        <v>4.67</v>
      </c>
      <c r="CM119" s="30"/>
      <c r="CN119" s="30">
        <v>7.24</v>
      </c>
      <c r="CO119" s="30">
        <v>6.91</v>
      </c>
      <c r="CP119" s="30"/>
      <c r="CQ119" s="20">
        <v>9.8000000000000007</v>
      </c>
      <c r="CR119" s="20" t="str" cm="1">
        <f t="array" ref="CR119">IF(OR(ISBLANK(E119),ISBLANK(CQ119)),"Incomplete",_xlfn.XLOOKUP(CQ119,_xlfn.XLOOKUP(E119,'Normative data'!$Y$3:$Y$6,'Normative data'!$Z$3:$AG$6,,-1),'Normative data'!$Z$2:$AG$2,"Not Found",-1))</f>
        <v>Incomplete</v>
      </c>
      <c r="CS119" s="20">
        <v>9</v>
      </c>
      <c r="CT119" s="20">
        <v>8</v>
      </c>
      <c r="CU119" s="20" cm="1">
        <f t="array" ref="CU119">_xlfn.XLOOKUP(CS119&amp;CT119,(VLOOKUP!$A$3:$A$250)&amp;(VLOOKUP!$B$3:$B$250),VLOOKUP!$C$3:$C$250,"Incomplete",-1)</f>
        <v>1600</v>
      </c>
      <c r="CV119" s="20" t="str" cm="1">
        <f t="array" ref="CV119">_xlfn.XLOOKUP(CU119, _xlfn.XLOOKUP(E119, 'Normative data'!$Y$11:$Y$14, 'Normative data'!$Z$11:$AG$14, ,-1), 'Normative data'!$Z$10:$AG$10, "Not Found", -1)</f>
        <v>Average</v>
      </c>
      <c r="CW119" s="20" cm="1">
        <f t="array" ref="CW119">IF(OR(ISBLANK(CS119),ISBLANK(CT119)),"Incomplete",_xlfn.XLOOKUP(CS119&amp;CT119,VLOOKUP!$A$4:$A$250&amp;VLOOKUP!$B$4:$B$250,VLOOKUP!$D$4:$D$250,"0"))</f>
        <v>46</v>
      </c>
    </row>
    <row r="120" spans="1:101">
      <c r="A120" s="18" t="s">
        <v>395</v>
      </c>
      <c r="B120" s="18" t="s">
        <v>396</v>
      </c>
      <c r="C120" s="17" t="s">
        <v>86</v>
      </c>
      <c r="D120" s="19">
        <v>40323</v>
      </c>
      <c r="F120" s="17">
        <v>9</v>
      </c>
      <c r="G120" s="17">
        <v>2025</v>
      </c>
      <c r="H120" s="20" t="s">
        <v>114</v>
      </c>
      <c r="I120" s="17">
        <v>1</v>
      </c>
      <c r="P120" s="17" t="s">
        <v>366</v>
      </c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41" t="str">
        <f t="shared" si="29"/>
        <v>Incomplete</v>
      </c>
      <c r="AZ120" s="20"/>
      <c r="BA120" s="20" t="str">
        <f t="shared" si="30"/>
        <v>Incomplete</v>
      </c>
      <c r="BB120" s="20"/>
      <c r="BC120" s="20" t="str">
        <f t="shared" si="31"/>
        <v>Incomplete</v>
      </c>
      <c r="BD120" s="20"/>
      <c r="BE120" s="20" t="str">
        <f t="shared" si="32"/>
        <v>Incomplete</v>
      </c>
      <c r="BF120" s="20"/>
      <c r="BG120" s="20">
        <v>10.5</v>
      </c>
      <c r="BH120" s="20">
        <v>17</v>
      </c>
      <c r="BI120" s="20">
        <f>IF(OR(ISBLANK(BG120), ISBLANK(BH120)),"Incomplete",(SUM(BH120-BG120)))</f>
        <v>6.5</v>
      </c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91" t="str">
        <f t="shared" si="33"/>
        <v>Incomplete</v>
      </c>
      <c r="BX120" s="91" t="str">
        <f>_xlfn.XLOOKUP(BW120,'Normative data'!$V$3:$V$6,'Normative data'!$W$3:$W$6,"Not Found",-1)</f>
        <v>Very low risk</v>
      </c>
      <c r="BY120" s="91" t="str">
        <f t="shared" si="34"/>
        <v>Incomplete</v>
      </c>
      <c r="BZ120" s="91" t="str">
        <f>_xlfn.XLOOKUP(BY120,'Normative data'!$V$3:$V$6,'Normative data'!$W$3:$W$6,"Not Found",-1)</f>
        <v>Very low risk</v>
      </c>
      <c r="CA120" s="20"/>
      <c r="CC120" s="20"/>
      <c r="CE120" s="20"/>
      <c r="CG120" s="20"/>
      <c r="CH120" s="20" t="str">
        <f>_xlfn.XLOOKUP(CG120, 'Normative data'!$S$9:$S$15,'Normative data'!$T$9:$T$15, "Not Found", -1)</f>
        <v>not completed</v>
      </c>
      <c r="CI120" s="20"/>
      <c r="CJ120" s="20" t="str">
        <f>_xlfn.XLOOKUP(CI120, 'Normative data'!$S$9:$S$15, 'Normative data'!$T$9:$T$15, "Not Found", -1)</f>
        <v>not completed</v>
      </c>
      <c r="CK120" s="21">
        <v>2.2000000000000002</v>
      </c>
      <c r="CL120" s="21">
        <v>4.55</v>
      </c>
      <c r="CM120" s="21"/>
      <c r="CN120" s="21">
        <v>7.1</v>
      </c>
      <c r="CO120" s="21">
        <v>7.04</v>
      </c>
      <c r="CP120" s="21"/>
      <c r="CQ120" s="20"/>
      <c r="CR120" s="20" t="str" cm="1">
        <f t="array" ref="CR120">IF(OR(ISBLANK(E120),ISBLANK(CQ120)),"Incomplete",_xlfn.XLOOKUP(CQ120,_xlfn.XLOOKUP(E120,'Normative data'!$Y$3:$Y$6,'Normative data'!$Z$3:$AG$6,,-1),'Normative data'!$Z$2:$AG$2,"Not Found",-1))</f>
        <v>Incomplete</v>
      </c>
      <c r="CS120" s="20"/>
      <c r="CT120" s="20"/>
      <c r="CU120" s="20" t="str" cm="1">
        <f t="array" ref="CU120">_xlfn.XLOOKUP(CS120&amp;CT120,(VLOOKUP!$A$3:$A$250)&amp;(VLOOKUP!$B$3:$B$250),VLOOKUP!$C$3:$C$250,"Incomplete",-1)</f>
        <v>Incomplete</v>
      </c>
      <c r="CV120" s="20" t="str" cm="1">
        <f t="array" ref="CV120">_xlfn.XLOOKUP(CU120, _xlfn.XLOOKUP(E120, 'Normative data'!$Y$11:$Y$14, 'Normative data'!$Z$11:$AG$14, ,-1), 'Normative data'!$Z$10:$AG$10, "Not Found", -1)</f>
        <v>Excellent</v>
      </c>
      <c r="CW120" s="20" t="str" cm="1">
        <f t="array" ref="CW120">IF(OR(ISBLANK(CS120),ISBLANK(CT120)),"Incomplete",_xlfn.XLOOKUP(CS120&amp;CT120,VLOOKUP!$A$4:$A$250&amp;VLOOKUP!$B$4:$B$250,VLOOKUP!$D$4:$D$250,"0"))</f>
        <v>Incomplete</v>
      </c>
    </row>
    <row r="121" spans="1:101">
      <c r="A121" s="17" t="s">
        <v>395</v>
      </c>
      <c r="B121" s="17" t="s">
        <v>396</v>
      </c>
      <c r="C121" s="17" t="s">
        <v>86</v>
      </c>
      <c r="D121" s="19">
        <v>40323</v>
      </c>
      <c r="F121" s="17">
        <v>9</v>
      </c>
      <c r="G121" s="17">
        <v>2025</v>
      </c>
      <c r="H121" s="20" t="s">
        <v>124</v>
      </c>
      <c r="I121" s="17">
        <v>3</v>
      </c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41" t="str">
        <f t="shared" si="29"/>
        <v>Incomplete</v>
      </c>
      <c r="AZ121" s="20"/>
      <c r="BA121" s="20" t="str">
        <f t="shared" si="30"/>
        <v>Incomplete</v>
      </c>
      <c r="BB121" s="20"/>
      <c r="BC121" s="20" t="str">
        <f t="shared" si="31"/>
        <v>Incomplete</v>
      </c>
      <c r="BD121" s="20"/>
      <c r="BE121" s="20" t="str">
        <f t="shared" si="32"/>
        <v>Incomplete</v>
      </c>
      <c r="BF121" s="20"/>
      <c r="BG121" s="20"/>
      <c r="BH121" s="20"/>
      <c r="BI121" s="20" t="str">
        <f>IF(OR(ISBLANK(BG121), ISBLANK(BH121)),"Incomplete",(SUM(BH121-BG121)))</f>
        <v>Incomplete</v>
      </c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91" t="str">
        <f t="shared" si="33"/>
        <v>Incomplete</v>
      </c>
      <c r="BX121" s="91" t="str">
        <f>_xlfn.XLOOKUP(BW121,'Normative data'!$V$3:$V$6,'Normative data'!$W$3:$W$6,"Not Found",-1)</f>
        <v>Very low risk</v>
      </c>
      <c r="BY121" s="91" t="str">
        <f t="shared" si="34"/>
        <v>Incomplete</v>
      </c>
      <c r="BZ121" s="91" t="str">
        <f>_xlfn.XLOOKUP(BY121,'Normative data'!$V$3:$V$6,'Normative data'!$W$3:$W$6,"Not Found",-1)</f>
        <v>Very low risk</v>
      </c>
      <c r="CA121" s="20"/>
      <c r="CC121" s="20"/>
      <c r="CE121" s="20">
        <v>12</v>
      </c>
      <c r="CG121" s="20"/>
      <c r="CH121" s="20" t="str">
        <f>_xlfn.XLOOKUP(CG121, 'Normative data'!$S$9:$S$15,'Normative data'!$T$9:$T$15, "Not Found", -1)</f>
        <v>not completed</v>
      </c>
      <c r="CI121" s="20"/>
      <c r="CJ121" s="20" t="str">
        <f>_xlfn.XLOOKUP(CI121, 'Normative data'!$S$9:$S$15, 'Normative data'!$T$9:$T$15, "Not Found", -1)</f>
        <v>not completed</v>
      </c>
      <c r="CK121" s="20" t="s">
        <v>397</v>
      </c>
      <c r="CL121" s="20" t="s">
        <v>398</v>
      </c>
      <c r="CN121" s="20" t="s">
        <v>148</v>
      </c>
      <c r="CO121" s="20" t="s">
        <v>147</v>
      </c>
      <c r="CQ121" s="20"/>
      <c r="CR121" s="20" t="str" cm="1">
        <f t="array" ref="CR121">IF(OR(ISBLANK(E121),ISBLANK(CQ121)),"Incomplete",_xlfn.XLOOKUP(CQ121,_xlfn.XLOOKUP(E121,'Normative data'!$Y$3:$Y$6,'Normative data'!$Z$3:$AG$6,,-1),'Normative data'!$Z$2:$AG$2,"Not Found",-1))</f>
        <v>Incomplete</v>
      </c>
      <c r="CS121" s="20"/>
      <c r="CT121" s="20"/>
      <c r="CU121" s="20" t="str" cm="1">
        <f t="array" ref="CU121">_xlfn.XLOOKUP(CS121&amp;CT121,(VLOOKUP!$A$3:$A$250)&amp;(VLOOKUP!$B$3:$B$250),VLOOKUP!$C$3:$C$250,"Incomplete",-1)</f>
        <v>Incomplete</v>
      </c>
      <c r="CV121" s="20" t="str" cm="1">
        <f t="array" ref="CV121">_xlfn.XLOOKUP(CU121, _xlfn.XLOOKUP(E121, 'Normative data'!$Y$11:$Y$14, 'Normative data'!$Z$11:$AG$14, ,-1), 'Normative data'!$Z$10:$AG$10, "Not Found", -1)</f>
        <v>Excellent</v>
      </c>
      <c r="CW121" s="20" t="str" cm="1">
        <f t="array" ref="CW121">IF(OR(ISBLANK(CS121),ISBLANK(CT121)),"Incomplete",_xlfn.XLOOKUP(CS121&amp;CT121,VLOOKUP!$A$4:$A$250&amp;VLOOKUP!$B$4:$B$250,VLOOKUP!$D$4:$D$250,"0"))</f>
        <v>Incomplete</v>
      </c>
    </row>
    <row r="122" spans="1:101">
      <c r="A122" s="22" t="s">
        <v>242</v>
      </c>
      <c r="B122" s="22" t="s">
        <v>241</v>
      </c>
      <c r="C122" s="17" t="s">
        <v>86</v>
      </c>
      <c r="D122" s="23">
        <v>40564</v>
      </c>
      <c r="F122" s="17">
        <v>8</v>
      </c>
      <c r="G122" s="17">
        <v>2025</v>
      </c>
      <c r="H122" s="20" t="s">
        <v>124</v>
      </c>
      <c r="I122" s="17">
        <v>3</v>
      </c>
      <c r="P122" s="17" t="s">
        <v>399</v>
      </c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41" t="str">
        <f t="shared" si="29"/>
        <v>Incomplete</v>
      </c>
      <c r="AZ122" s="20"/>
      <c r="BA122" s="20" t="str">
        <f t="shared" si="30"/>
        <v>Incomplete</v>
      </c>
      <c r="BB122" s="20"/>
      <c r="BC122" s="20" t="str">
        <f t="shared" si="31"/>
        <v>Incomplete</v>
      </c>
      <c r="BD122" s="20"/>
      <c r="BE122" s="20" t="str">
        <f t="shared" si="32"/>
        <v>Incomplete</v>
      </c>
      <c r="BF122" s="20"/>
      <c r="BG122" s="20">
        <v>14</v>
      </c>
      <c r="BH122" s="20">
        <v>43.2</v>
      </c>
      <c r="BI122" s="20" t="e">
        <f>IF(OR(ISBLANK(#REF!), ISBLANK(#REF!)),"Incomplete",(SUM(#REF!-#REF!)))</f>
        <v>#REF!</v>
      </c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91" t="str">
        <f t="shared" si="33"/>
        <v>Incomplete</v>
      </c>
      <c r="BX122" s="91" t="str">
        <f>_xlfn.XLOOKUP(BW122,'Normative data'!$V$3:$V$6,'Normative data'!$W$3:$W$6,"Not Found",-1)</f>
        <v>Very low risk</v>
      </c>
      <c r="BY122" s="91" t="str">
        <f t="shared" si="34"/>
        <v>Incomplete</v>
      </c>
      <c r="BZ122" s="91" t="str">
        <f>_xlfn.XLOOKUP(BY122,'Normative data'!$V$3:$V$6,'Normative data'!$W$3:$W$6,"Not Found",-1)</f>
        <v>Very low risk</v>
      </c>
      <c r="CA122" s="20"/>
      <c r="CC122" s="20"/>
      <c r="CE122" s="20"/>
      <c r="CG122" s="20"/>
      <c r="CH122" s="20" t="str">
        <f>_xlfn.XLOOKUP(CG122, 'Normative data'!$S$9:$S$15,'Normative data'!$T$9:$T$15, "Not Found", -1)</f>
        <v>not completed</v>
      </c>
      <c r="CI122" s="20"/>
      <c r="CJ122" s="20" t="str">
        <f>_xlfn.XLOOKUP(CI122, 'Normative data'!$S$9:$S$15, 'Normative data'!$T$9:$T$15, "Not Found", -1)</f>
        <v>not completed</v>
      </c>
      <c r="CK122" s="24">
        <v>2.06</v>
      </c>
      <c r="CL122" s="24">
        <v>4.8499999999999996</v>
      </c>
      <c r="CM122" s="24"/>
      <c r="CN122" s="24">
        <v>6.67</v>
      </c>
      <c r="CO122" s="24">
        <v>7.5</v>
      </c>
      <c r="CP122" s="24"/>
      <c r="CQ122" s="20"/>
      <c r="CR122" s="20" t="str" cm="1">
        <f t="array" ref="CR122">IF(OR(ISBLANK(E122),ISBLANK(CQ122)),"Incomplete",_xlfn.XLOOKUP(CQ122,_xlfn.XLOOKUP(E122,'Normative data'!$Y$3:$Y$6,'Normative data'!$Z$3:$AG$6,,-1),'Normative data'!$Z$2:$AG$2,"Not Found",-1))</f>
        <v>Incomplete</v>
      </c>
      <c r="CS122" s="20"/>
      <c r="CT122" s="20"/>
      <c r="CU122" s="20" t="str" cm="1">
        <f t="array" ref="CU122">_xlfn.XLOOKUP(CS122&amp;CT122,(VLOOKUP!$A$3:$A$250)&amp;(VLOOKUP!$B$3:$B$250),VLOOKUP!$C$3:$C$250,"Incomplete",-1)</f>
        <v>Incomplete</v>
      </c>
      <c r="CV122" s="20" t="str" cm="1">
        <f t="array" ref="CV122">_xlfn.XLOOKUP(CU122, _xlfn.XLOOKUP(E122, 'Normative data'!$Y$11:$Y$14, 'Normative data'!$Z$11:$AG$14, ,-1), 'Normative data'!$Z$10:$AG$10, "Not Found", -1)</f>
        <v>Excellent</v>
      </c>
      <c r="CW122" s="20" t="str" cm="1">
        <f t="array" ref="CW122">IF(OR(ISBLANK(CS122),ISBLANK(CT122)),"Incomplete",_xlfn.XLOOKUP(CS122&amp;CT122,VLOOKUP!$A$4:$A$250&amp;VLOOKUP!$B$4:$B$250,VLOOKUP!$D$4:$D$250,"0"))</f>
        <v>Incomplete</v>
      </c>
    </row>
    <row r="123" spans="1:101">
      <c r="A123" s="22" t="s">
        <v>274</v>
      </c>
      <c r="B123" s="22" t="s">
        <v>400</v>
      </c>
      <c r="C123" s="17" t="s">
        <v>86</v>
      </c>
      <c r="D123" s="23">
        <v>39730</v>
      </c>
      <c r="F123" s="17">
        <v>11</v>
      </c>
      <c r="G123" s="17">
        <v>2025</v>
      </c>
      <c r="H123" s="20" t="s">
        <v>114</v>
      </c>
      <c r="I123" s="17">
        <v>1</v>
      </c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41" t="str">
        <f t="shared" si="29"/>
        <v>Incomplete</v>
      </c>
      <c r="AZ123" s="20"/>
      <c r="BA123" s="20" t="str">
        <f t="shared" si="30"/>
        <v>Incomplete</v>
      </c>
      <c r="BB123" s="20"/>
      <c r="BC123" s="20" t="str">
        <f t="shared" si="31"/>
        <v>Incomplete</v>
      </c>
      <c r="BD123" s="20"/>
      <c r="BE123" s="20" t="str">
        <f t="shared" si="32"/>
        <v>Incomplete</v>
      </c>
      <c r="BF123" s="20"/>
      <c r="BG123" s="20">
        <v>14.4</v>
      </c>
      <c r="BH123" s="20">
        <v>51.4</v>
      </c>
      <c r="BI123" s="20" t="e">
        <f>IF(OR(ISBLANK(#REF!), ISBLANK(#REF!)),"Incomplete",(SUM(#REF!-#REF!)))</f>
        <v>#REF!</v>
      </c>
      <c r="BJ123" s="20"/>
      <c r="BK123" s="20">
        <v>10</v>
      </c>
      <c r="BL123" s="20"/>
      <c r="BM123" s="20">
        <v>9</v>
      </c>
      <c r="BN123" s="20"/>
      <c r="BO123" s="20"/>
      <c r="BP123" s="20"/>
      <c r="BQ123" s="20"/>
      <c r="BR123" s="20"/>
      <c r="BS123" s="20"/>
      <c r="BT123" s="20"/>
      <c r="BU123" s="20"/>
      <c r="BV123" s="20"/>
      <c r="BW123" s="91" t="str">
        <f t="shared" si="33"/>
        <v>Incomplete</v>
      </c>
      <c r="BX123" s="91" t="str">
        <f>_xlfn.XLOOKUP(BW123,'Normative data'!$V$3:$V$6,'Normative data'!$W$3:$W$6,"Not Found",-1)</f>
        <v>Very low risk</v>
      </c>
      <c r="BY123" s="91" t="str">
        <f t="shared" si="34"/>
        <v>Incomplete</v>
      </c>
      <c r="BZ123" s="91" t="str">
        <f>_xlfn.XLOOKUP(BY123,'Normative data'!$V$3:$V$6,'Normative data'!$W$3:$W$6,"Not Found",-1)</f>
        <v>Very low risk</v>
      </c>
      <c r="CA123" s="20"/>
      <c r="CC123" s="20"/>
      <c r="CE123" s="20"/>
      <c r="CG123" s="20"/>
      <c r="CH123" s="20" t="str">
        <f>_xlfn.XLOOKUP(CG123, 'Normative data'!$S$9:$S$15,'Normative data'!$T$9:$T$15, "Not Found", -1)</f>
        <v>not completed</v>
      </c>
      <c r="CI123" s="20"/>
      <c r="CJ123" s="20" t="str">
        <f>_xlfn.XLOOKUP(CI123, 'Normative data'!$S$9:$S$15, 'Normative data'!$T$9:$T$15, "Not Found", -1)</f>
        <v>not completed</v>
      </c>
      <c r="CK123" s="24">
        <v>2.13</v>
      </c>
      <c r="CL123" s="24">
        <v>4.6900000000000004</v>
      </c>
      <c r="CM123" s="24"/>
      <c r="CN123" s="24">
        <v>6.37</v>
      </c>
      <c r="CO123" s="24">
        <v>7.85</v>
      </c>
      <c r="CP123" s="24"/>
      <c r="CQ123" s="20"/>
      <c r="CR123" s="20" t="str" cm="1">
        <f t="array" ref="CR123">IF(OR(ISBLANK(E123),ISBLANK(CQ123)),"Incomplete",_xlfn.XLOOKUP(CQ123,_xlfn.XLOOKUP(E123,'Normative data'!$Y$3:$Y$6,'Normative data'!$Z$3:$AG$6,,-1),'Normative data'!$Z$2:$AG$2,"Not Found",-1))</f>
        <v>Incomplete</v>
      </c>
      <c r="CS123" s="20"/>
      <c r="CT123" s="20"/>
      <c r="CU123" s="20" t="str" cm="1">
        <f t="array" ref="CU123">_xlfn.XLOOKUP(CS123&amp;CT123,(VLOOKUP!$A$3:$A$250)&amp;(VLOOKUP!$B$3:$B$250),VLOOKUP!$C$3:$C$250,"Incomplete",-1)</f>
        <v>Incomplete</v>
      </c>
      <c r="CV123" s="20" t="str" cm="1">
        <f t="array" ref="CV123">_xlfn.XLOOKUP(CU123, _xlfn.XLOOKUP(E123, 'Normative data'!$Y$11:$Y$14, 'Normative data'!$Z$11:$AG$14, ,-1), 'Normative data'!$Z$10:$AG$10, "Not Found", -1)</f>
        <v>Excellent</v>
      </c>
      <c r="CW123" s="20" t="str" cm="1">
        <f t="array" ref="CW123">IF(OR(ISBLANK(CS123),ISBLANK(CT123)),"Incomplete",_xlfn.XLOOKUP(CS123&amp;CT123,VLOOKUP!$A$4:$A$250&amp;VLOOKUP!$B$4:$B$250,VLOOKUP!$D$4:$D$250,"0"))</f>
        <v>Incomplete</v>
      </c>
    </row>
    <row r="124" spans="1:101">
      <c r="A124" s="17" t="s">
        <v>276</v>
      </c>
      <c r="B124" s="17" t="s">
        <v>400</v>
      </c>
      <c r="C124" s="17" t="s">
        <v>86</v>
      </c>
      <c r="D124" s="23">
        <v>39730</v>
      </c>
      <c r="F124" s="17">
        <v>11</v>
      </c>
      <c r="G124" s="17">
        <v>2025</v>
      </c>
      <c r="H124" s="20" t="s">
        <v>124</v>
      </c>
      <c r="I124" s="17">
        <v>3</v>
      </c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41" t="str">
        <f t="shared" si="29"/>
        <v>Incomplete</v>
      </c>
      <c r="AZ124" s="20"/>
      <c r="BA124" s="20" t="str">
        <f t="shared" si="30"/>
        <v>Incomplete</v>
      </c>
      <c r="BB124" s="20"/>
      <c r="BC124" s="20" t="str">
        <f t="shared" si="31"/>
        <v>Incomplete</v>
      </c>
      <c r="BD124" s="20"/>
      <c r="BE124" s="20" t="str">
        <f t="shared" si="32"/>
        <v>Incomplete</v>
      </c>
      <c r="BF124" s="20"/>
      <c r="BG124" s="20"/>
      <c r="BH124" s="20"/>
      <c r="BI124" s="20" t="str">
        <f>IF(OR(ISBLANK(BG124), ISBLANK(BH124)),"Incomplete",(SUM(BH124-BG124)))</f>
        <v>Incomplete</v>
      </c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91" t="str">
        <f t="shared" si="33"/>
        <v>Incomplete</v>
      </c>
      <c r="BX124" s="91" t="str">
        <f>_xlfn.XLOOKUP(BW124,'Normative data'!$V$3:$V$6,'Normative data'!$W$3:$W$6,"Not Found",-1)</f>
        <v>Very low risk</v>
      </c>
      <c r="BY124" s="91" t="str">
        <f t="shared" si="34"/>
        <v>Incomplete</v>
      </c>
      <c r="BZ124" s="91" t="str">
        <f>_xlfn.XLOOKUP(BY124,'Normative data'!$V$3:$V$6,'Normative data'!$W$3:$W$6,"Not Found",-1)</f>
        <v>Very low risk</v>
      </c>
      <c r="CA124" s="20"/>
      <c r="CC124" s="20"/>
      <c r="CE124" s="20"/>
      <c r="CG124" s="20"/>
      <c r="CH124" s="20" t="str">
        <f>_xlfn.XLOOKUP(CG124, 'Normative data'!$S$9:$S$15,'Normative data'!$T$9:$T$15, "Not Found", -1)</f>
        <v>not completed</v>
      </c>
      <c r="CI124" s="20"/>
      <c r="CJ124" s="20" t="str">
        <f>_xlfn.XLOOKUP(CI124, 'Normative data'!$S$9:$S$15, 'Normative data'!$T$9:$T$15, "Not Found", -1)</f>
        <v>not completed</v>
      </c>
      <c r="CK124" s="20" t="s">
        <v>401</v>
      </c>
      <c r="CL124" s="20" t="s">
        <v>402</v>
      </c>
      <c r="CN124" s="20" t="s">
        <v>403</v>
      </c>
      <c r="CO124" s="20" t="s">
        <v>404</v>
      </c>
      <c r="CQ124" s="20"/>
      <c r="CR124" s="20" t="str" cm="1">
        <f t="array" ref="CR124">IF(OR(ISBLANK(E124),ISBLANK(CQ124)),"Incomplete",_xlfn.XLOOKUP(CQ124,_xlfn.XLOOKUP(E124,'Normative data'!$Y$3:$Y$6,'Normative data'!$Z$3:$AG$6,,-1),'Normative data'!$Z$2:$AG$2,"Not Found",-1))</f>
        <v>Incomplete</v>
      </c>
      <c r="CS124" s="20"/>
      <c r="CT124" s="20"/>
      <c r="CU124" s="20" t="str" cm="1">
        <f t="array" ref="CU124">_xlfn.XLOOKUP(CS124&amp;CT124,(VLOOKUP!$A$3:$A$250)&amp;(VLOOKUP!$B$3:$B$250),VLOOKUP!$C$3:$C$250,"Incomplete",-1)</f>
        <v>Incomplete</v>
      </c>
      <c r="CV124" s="20" t="str" cm="1">
        <f t="array" ref="CV124">_xlfn.XLOOKUP(CU124, _xlfn.XLOOKUP(E124, 'Normative data'!$Y$11:$Y$14, 'Normative data'!$Z$11:$AG$14, ,-1), 'Normative data'!$Z$10:$AG$10, "Not Found", -1)</f>
        <v>Excellent</v>
      </c>
      <c r="CW124" s="20" t="str" cm="1">
        <f t="array" ref="CW124">IF(OR(ISBLANK(CS124),ISBLANK(CT124)),"Incomplete",_xlfn.XLOOKUP(CS124&amp;CT124,VLOOKUP!$A$4:$A$250&amp;VLOOKUP!$B$4:$B$250,VLOOKUP!$D$4:$D$250,"0"))</f>
        <v>Incomplete</v>
      </c>
    </row>
    <row r="125" spans="1:101" ht="13.9" customHeight="1">
      <c r="A125" s="18" t="s">
        <v>405</v>
      </c>
      <c r="B125" s="18" t="s">
        <v>406</v>
      </c>
      <c r="C125" s="17" t="s">
        <v>86</v>
      </c>
      <c r="D125" s="19">
        <v>40767</v>
      </c>
      <c r="F125" s="17">
        <v>8</v>
      </c>
      <c r="G125" s="17">
        <v>2025</v>
      </c>
      <c r="H125" s="20" t="s">
        <v>124</v>
      </c>
      <c r="I125" s="17">
        <v>3</v>
      </c>
      <c r="P125" s="17" t="s">
        <v>333</v>
      </c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41" t="str">
        <f t="shared" si="29"/>
        <v>Incomplete</v>
      </c>
      <c r="AZ125" s="20"/>
      <c r="BA125" s="20" t="str">
        <f t="shared" si="30"/>
        <v>Incomplete</v>
      </c>
      <c r="BB125" s="20"/>
      <c r="BC125" s="20" t="str">
        <f t="shared" si="31"/>
        <v>Incomplete</v>
      </c>
      <c r="BD125" s="20"/>
      <c r="BE125" s="20" t="str">
        <f t="shared" si="32"/>
        <v>Incomplete</v>
      </c>
      <c r="BF125" s="20"/>
      <c r="BG125" s="20">
        <v>12</v>
      </c>
      <c r="BH125" s="20"/>
      <c r="BI125" s="20" t="str">
        <f>IF(OR(ISBLANK(#REF!), ISBLANK(BH125)),"Incomplete",(SUM(BH125-#REF!)))</f>
        <v>Incomplete</v>
      </c>
      <c r="BJ125" s="20"/>
      <c r="BK125" s="20">
        <v>2</v>
      </c>
      <c r="BL125" s="20"/>
      <c r="BM125" s="20">
        <v>3</v>
      </c>
      <c r="BN125" s="20"/>
      <c r="BO125" s="20"/>
      <c r="BP125" s="20"/>
      <c r="BQ125" s="20"/>
      <c r="BR125" s="20"/>
      <c r="BS125" s="20"/>
      <c r="BT125" s="20"/>
      <c r="BU125" s="20"/>
      <c r="BV125" s="20"/>
      <c r="BW125" s="91" t="str">
        <f t="shared" si="33"/>
        <v>Incomplete</v>
      </c>
      <c r="BX125" s="91" t="str">
        <f>_xlfn.XLOOKUP(BW125,'Normative data'!$V$3:$V$6,'Normative data'!$W$3:$W$6,"Not Found",-1)</f>
        <v>Very low risk</v>
      </c>
      <c r="BY125" s="91" t="str">
        <f t="shared" si="34"/>
        <v>Incomplete</v>
      </c>
      <c r="BZ125" s="91" t="str">
        <f>_xlfn.XLOOKUP(BY125,'Normative data'!$V$3:$V$6,'Normative data'!$W$3:$W$6,"Not Found",-1)</f>
        <v>Very low risk</v>
      </c>
      <c r="CA125" s="20"/>
      <c r="CC125" s="20"/>
      <c r="CE125" s="20">
        <v>6</v>
      </c>
      <c r="CG125" s="20"/>
      <c r="CH125" s="20" t="str">
        <f>_xlfn.XLOOKUP(CG125, 'Normative data'!$S$9:$S$15,'Normative data'!$T$9:$T$15, "Not Found", -1)</f>
        <v>not completed</v>
      </c>
      <c r="CI125" s="20"/>
      <c r="CJ125" s="20" t="str">
        <f>_xlfn.XLOOKUP(CI125, 'Normative data'!$S$9:$S$15, 'Normative data'!$T$9:$T$15, "Not Found", -1)</f>
        <v>not completed</v>
      </c>
      <c r="CK125" s="21">
        <v>2.29</v>
      </c>
      <c r="CL125" s="21">
        <v>4.37</v>
      </c>
      <c r="CM125" s="21"/>
      <c r="CN125" s="21">
        <v>6.89</v>
      </c>
      <c r="CO125" s="21">
        <v>7.26</v>
      </c>
      <c r="CP125" s="21"/>
      <c r="CQ125" s="20"/>
      <c r="CR125" s="20" t="str" cm="1">
        <f t="array" ref="CR125">IF(OR(ISBLANK(E125),ISBLANK(CQ125)),"Incomplete",_xlfn.XLOOKUP(CQ125,_xlfn.XLOOKUP(E125,'Normative data'!$Y$3:$Y$6,'Normative data'!$Z$3:$AG$6,,-1),'Normative data'!$Z$2:$AG$2,"Not Found",-1))</f>
        <v>Incomplete</v>
      </c>
      <c r="CS125" s="20"/>
      <c r="CT125" s="20"/>
      <c r="CU125" s="20" t="str" cm="1">
        <f t="array" ref="CU125">_xlfn.XLOOKUP(CS125&amp;CT125,(VLOOKUP!$A$3:$A$250)&amp;(VLOOKUP!$B$3:$B$250),VLOOKUP!$C$3:$C$250,"Incomplete",-1)</f>
        <v>Incomplete</v>
      </c>
      <c r="CV125" s="20" t="str" cm="1">
        <f t="array" ref="CV125">_xlfn.XLOOKUP(CU125, _xlfn.XLOOKUP(E125, 'Normative data'!$Y$11:$Y$14, 'Normative data'!$Z$11:$AG$14, ,-1), 'Normative data'!$Z$10:$AG$10, "Not Found", -1)</f>
        <v>Excellent</v>
      </c>
      <c r="CW125" s="20" t="str" cm="1">
        <f t="array" ref="CW125">IF(OR(ISBLANK(CS125),ISBLANK(CT125)),"Incomplete",_xlfn.XLOOKUP(CS125&amp;CT125,VLOOKUP!$A$4:$A$250&amp;VLOOKUP!$B$4:$B$250,VLOOKUP!$D$4:$D$250,"0"))</f>
        <v>Incomplete</v>
      </c>
    </row>
    <row r="126" spans="1:101" ht="13.9" customHeight="1">
      <c r="A126" s="22" t="s">
        <v>407</v>
      </c>
      <c r="B126" s="22" t="s">
        <v>408</v>
      </c>
      <c r="C126" s="17" t="s">
        <v>86</v>
      </c>
      <c r="D126" s="23"/>
      <c r="F126" s="17">
        <v>11</v>
      </c>
      <c r="G126" s="17">
        <v>2025</v>
      </c>
      <c r="H126" s="20" t="s">
        <v>124</v>
      </c>
      <c r="I126" s="17">
        <v>3</v>
      </c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41" t="str">
        <f t="shared" si="29"/>
        <v>Incomplete</v>
      </c>
      <c r="AZ126" s="20"/>
      <c r="BA126" s="20" t="str">
        <f t="shared" si="30"/>
        <v>Incomplete</v>
      </c>
      <c r="BB126" s="20"/>
      <c r="BC126" s="20" t="str">
        <f t="shared" si="31"/>
        <v>Incomplete</v>
      </c>
      <c r="BD126" s="20"/>
      <c r="BE126" s="20" t="str">
        <f t="shared" si="32"/>
        <v>Incomplete</v>
      </c>
      <c r="BF126" s="20"/>
      <c r="BG126" s="20">
        <v>8</v>
      </c>
      <c r="BH126" s="20">
        <v>32.799999999999997</v>
      </c>
      <c r="BI126" s="20">
        <f>IF(OR(ISBLANK(BG126), ISBLANK(BH126)),"Incomplete",(SUM(BH126-BG126)))</f>
        <v>24.799999999999997</v>
      </c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91" t="str">
        <f t="shared" si="33"/>
        <v>Incomplete</v>
      </c>
      <c r="BX126" s="91" t="str">
        <f>_xlfn.XLOOKUP(BW126,'Normative data'!$V$3:$V$6,'Normative data'!$W$3:$W$6,"Not Found",-1)</f>
        <v>Very low risk</v>
      </c>
      <c r="BY126" s="91" t="str">
        <f t="shared" si="34"/>
        <v>Incomplete</v>
      </c>
      <c r="BZ126" s="91" t="str">
        <f>_xlfn.XLOOKUP(BY126,'Normative data'!$V$3:$V$6,'Normative data'!$W$3:$W$6,"Not Found",-1)</f>
        <v>Very low risk</v>
      </c>
      <c r="CA126" s="20"/>
      <c r="CC126" s="20"/>
      <c r="CE126" s="20"/>
      <c r="CG126" s="20"/>
      <c r="CH126" s="20" t="str">
        <f>_xlfn.XLOOKUP(CG126, 'Normative data'!$S$9:$S$15,'Normative data'!$T$9:$T$15, "Not Found", -1)</f>
        <v>not completed</v>
      </c>
      <c r="CI126" s="20"/>
      <c r="CJ126" s="20" t="str">
        <f>_xlfn.XLOOKUP(CI126, 'Normative data'!$S$9:$S$15, 'Normative data'!$T$9:$T$15, "Not Found", -1)</f>
        <v>not completed</v>
      </c>
      <c r="CK126" s="21"/>
      <c r="CL126" s="21"/>
      <c r="CM126" s="21"/>
      <c r="CN126" s="21"/>
      <c r="CO126" s="21"/>
      <c r="CP126" s="24"/>
      <c r="CQ126" s="20"/>
      <c r="CR126" s="20" t="str" cm="1">
        <f t="array" ref="CR126">IF(OR(ISBLANK(E126),ISBLANK(CQ126)),"Incomplete",_xlfn.XLOOKUP(CQ126,_xlfn.XLOOKUP(E126,'Normative data'!$Y$3:$Y$6,'Normative data'!$Z$3:$AG$6,,-1),'Normative data'!$Z$2:$AG$2,"Not Found",-1))</f>
        <v>Incomplete</v>
      </c>
      <c r="CS126" s="20"/>
      <c r="CT126" s="20"/>
      <c r="CU126" s="20" t="str" cm="1">
        <f t="array" ref="CU126">_xlfn.XLOOKUP(CS126&amp;CT126,(VLOOKUP!$A$3:$A$250)&amp;(VLOOKUP!$B$3:$B$250),VLOOKUP!$C$3:$C$250,"Incomplete",-1)</f>
        <v>Incomplete</v>
      </c>
      <c r="CV126" s="20" t="str" cm="1">
        <f t="array" ref="CV126">_xlfn.XLOOKUP(CU126, _xlfn.XLOOKUP(E126, 'Normative data'!$Y$11:$Y$14, 'Normative data'!$Z$11:$AG$14, ,-1), 'Normative data'!$Z$10:$AG$10, "Not Found", -1)</f>
        <v>Excellent</v>
      </c>
      <c r="CW126" s="20" t="str" cm="1">
        <f t="array" ref="CW126">IF(OR(ISBLANK(CS126),ISBLANK(CT126)),"Incomplete",_xlfn.XLOOKUP(CS126&amp;CT126,VLOOKUP!$A$4:$A$250&amp;VLOOKUP!$B$4:$B$250,VLOOKUP!$D$4:$D$250,"0"))</f>
        <v>Incomplete</v>
      </c>
    </row>
    <row r="127" spans="1:101">
      <c r="A127" s="18" t="s">
        <v>409</v>
      </c>
      <c r="B127" s="18" t="s">
        <v>410</v>
      </c>
      <c r="C127" s="17" t="s">
        <v>86</v>
      </c>
      <c r="D127" s="19" t="s">
        <v>411</v>
      </c>
      <c r="F127" s="17">
        <v>10</v>
      </c>
      <c r="G127" s="17">
        <v>2025</v>
      </c>
      <c r="H127" s="20" t="s">
        <v>114</v>
      </c>
      <c r="I127" s="17">
        <v>1</v>
      </c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41" t="str">
        <f t="shared" si="29"/>
        <v>Incomplete</v>
      </c>
      <c r="AZ127" s="20"/>
      <c r="BA127" s="20" t="str">
        <f t="shared" si="30"/>
        <v>Incomplete</v>
      </c>
      <c r="BB127" s="20"/>
      <c r="BC127" s="20" t="str">
        <f t="shared" si="31"/>
        <v>Incomplete</v>
      </c>
      <c r="BD127" s="20"/>
      <c r="BE127" s="20" t="str">
        <f t="shared" si="32"/>
        <v>Incomplete</v>
      </c>
      <c r="BF127" s="20"/>
      <c r="BG127" s="20">
        <v>13.5</v>
      </c>
      <c r="BH127" s="20">
        <v>32.5</v>
      </c>
      <c r="BI127" s="20">
        <f>IF(OR(ISBLANK(BG127), ISBLANK(BH127)),"Incomplete",(SUM(BH127-BG127)))</f>
        <v>19</v>
      </c>
      <c r="BJ127" s="20"/>
      <c r="BK127" s="20">
        <v>9</v>
      </c>
      <c r="BL127" s="20"/>
      <c r="BM127" s="20">
        <v>7</v>
      </c>
      <c r="BN127" s="20"/>
      <c r="BO127" s="20"/>
      <c r="BP127" s="20"/>
      <c r="BQ127" s="20"/>
      <c r="BR127" s="20"/>
      <c r="BS127" s="20"/>
      <c r="BT127" s="20"/>
      <c r="BU127" s="20"/>
      <c r="BV127" s="20"/>
      <c r="BW127" s="91" t="str">
        <f t="shared" si="33"/>
        <v>Incomplete</v>
      </c>
      <c r="BX127" s="91" t="str">
        <f>_xlfn.XLOOKUP(BW127,'Normative data'!$V$3:$V$6,'Normative data'!$W$3:$W$6,"Not Found",-1)</f>
        <v>Very low risk</v>
      </c>
      <c r="BY127" s="91" t="str">
        <f t="shared" si="34"/>
        <v>Incomplete</v>
      </c>
      <c r="BZ127" s="91" t="str">
        <f>_xlfn.XLOOKUP(BY127,'Normative data'!$V$3:$V$6,'Normative data'!$W$3:$W$6,"Not Found",-1)</f>
        <v>Very low risk</v>
      </c>
      <c r="CA127" s="20"/>
      <c r="CC127" s="20"/>
      <c r="CE127" s="20">
        <v>3</v>
      </c>
      <c r="CG127" s="20"/>
      <c r="CH127" s="20" t="str">
        <f>_xlfn.XLOOKUP(CG127, 'Normative data'!$S$9:$S$15,'Normative data'!$T$9:$T$15, "Not Found", -1)</f>
        <v>not completed</v>
      </c>
      <c r="CI127" s="20"/>
      <c r="CJ127" s="20" t="str">
        <f>_xlfn.XLOOKUP(CI127, 'Normative data'!$S$9:$S$15, 'Normative data'!$T$9:$T$15, "Not Found", -1)</f>
        <v>not completed</v>
      </c>
      <c r="CK127" s="21">
        <v>2.25</v>
      </c>
      <c r="CL127" s="21">
        <v>4.4400000000000004</v>
      </c>
      <c r="CM127" s="21"/>
      <c r="CN127" s="21">
        <v>6.85</v>
      </c>
      <c r="CO127" s="21">
        <v>7.3</v>
      </c>
      <c r="CP127" s="21"/>
      <c r="CQ127" s="20"/>
      <c r="CR127" s="20" t="str" cm="1">
        <f t="array" ref="CR127">IF(OR(ISBLANK(E127),ISBLANK(CQ127)),"Incomplete",_xlfn.XLOOKUP(CQ127,_xlfn.XLOOKUP(E127,'Normative data'!$Y$3:$Y$6,'Normative data'!$Z$3:$AG$6,,-1),'Normative data'!$Z$2:$AG$2,"Not Found",-1))</f>
        <v>Incomplete</v>
      </c>
      <c r="CS127" s="20"/>
      <c r="CT127" s="20"/>
      <c r="CU127" s="20" t="str" cm="1">
        <f t="array" ref="CU127">_xlfn.XLOOKUP(CS127&amp;CT127,(VLOOKUP!$A$3:$A$250)&amp;(VLOOKUP!$B$3:$B$250),VLOOKUP!$C$3:$C$250,"Incomplete",-1)</f>
        <v>Incomplete</v>
      </c>
      <c r="CV127" s="20" t="str" cm="1">
        <f t="array" ref="CV127">_xlfn.XLOOKUP(CU127, _xlfn.XLOOKUP(E127, 'Normative data'!$Y$11:$Y$14, 'Normative data'!$Z$11:$AG$14, ,-1), 'Normative data'!$Z$10:$AG$10, "Not Found", -1)</f>
        <v>Excellent</v>
      </c>
      <c r="CW127" s="20" t="str" cm="1">
        <f t="array" ref="CW127">IF(OR(ISBLANK(CS127),ISBLANK(CT127)),"Incomplete",_xlfn.XLOOKUP(CS127&amp;CT127,VLOOKUP!$A$4:$A$250&amp;VLOOKUP!$B$4:$B$250,VLOOKUP!$D$4:$D$250,"0"))</f>
        <v>Incomplete</v>
      </c>
    </row>
    <row r="128" spans="1:101">
      <c r="A128" s="17" t="s">
        <v>409</v>
      </c>
      <c r="B128" s="17" t="s">
        <v>410</v>
      </c>
      <c r="C128" s="17" t="s">
        <v>86</v>
      </c>
      <c r="D128" s="19" t="s">
        <v>411</v>
      </c>
      <c r="F128" s="17">
        <v>10</v>
      </c>
      <c r="G128" s="17">
        <v>2025</v>
      </c>
      <c r="H128" s="20" t="s">
        <v>124</v>
      </c>
      <c r="I128" s="17">
        <v>3</v>
      </c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41" t="str">
        <f t="shared" si="29"/>
        <v>Incomplete</v>
      </c>
      <c r="AZ128" s="20"/>
      <c r="BA128" s="20" t="str">
        <f t="shared" si="30"/>
        <v>Incomplete</v>
      </c>
      <c r="BB128" s="20"/>
      <c r="BC128" s="20" t="str">
        <f t="shared" si="31"/>
        <v>Incomplete</v>
      </c>
      <c r="BD128" s="20"/>
      <c r="BE128" s="20" t="str">
        <f t="shared" si="32"/>
        <v>Incomplete</v>
      </c>
      <c r="BF128" s="20"/>
      <c r="BG128" s="20"/>
      <c r="BH128" s="20"/>
      <c r="BI128" s="20" t="str">
        <f>IF(OR(ISBLANK(BG128), ISBLANK(BH128)),"Incomplete",(SUM(BH128-BG128)))</f>
        <v>Incomplete</v>
      </c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91" t="str">
        <f t="shared" si="33"/>
        <v>Incomplete</v>
      </c>
      <c r="BX128" s="91" t="str">
        <f>_xlfn.XLOOKUP(BW128,'Normative data'!$V$3:$V$6,'Normative data'!$W$3:$W$6,"Not Found",-1)</f>
        <v>Very low risk</v>
      </c>
      <c r="BY128" s="91" t="str">
        <f t="shared" si="34"/>
        <v>Incomplete</v>
      </c>
      <c r="BZ128" s="91" t="str">
        <f>_xlfn.XLOOKUP(BY128,'Normative data'!$V$3:$V$6,'Normative data'!$W$3:$W$6,"Not Found",-1)</f>
        <v>Very low risk</v>
      </c>
      <c r="CA128" s="20"/>
      <c r="CC128" s="20"/>
      <c r="CE128" s="20"/>
      <c r="CG128" s="20"/>
      <c r="CH128" s="20" t="str">
        <f>_xlfn.XLOOKUP(CG128, 'Normative data'!$S$9:$S$15,'Normative data'!$T$9:$T$15, "Not Found", -1)</f>
        <v>not completed</v>
      </c>
      <c r="CI128" s="20"/>
      <c r="CJ128" s="20" t="str">
        <f>_xlfn.XLOOKUP(CI128, 'Normative data'!$S$9:$S$15, 'Normative data'!$T$9:$T$15, "Not Found", -1)</f>
        <v>not completed</v>
      </c>
      <c r="CK128" s="20" t="s">
        <v>344</v>
      </c>
      <c r="CL128" s="20" t="s">
        <v>345</v>
      </c>
      <c r="CN128" s="20" t="s">
        <v>412</v>
      </c>
      <c r="CO128" s="20" t="s">
        <v>413</v>
      </c>
      <c r="CQ128" s="20"/>
      <c r="CR128" s="20" t="str" cm="1">
        <f t="array" ref="CR128">IF(OR(ISBLANK(E128),ISBLANK(CQ128)),"Incomplete",_xlfn.XLOOKUP(CQ128,_xlfn.XLOOKUP(E128,'Normative data'!$Y$3:$Y$6,'Normative data'!$Z$3:$AG$6,,-1),'Normative data'!$Z$2:$AG$2,"Not Found",-1))</f>
        <v>Incomplete</v>
      </c>
      <c r="CS128" s="20"/>
      <c r="CT128" s="20"/>
      <c r="CU128" s="20" t="str" cm="1">
        <f t="array" ref="CU128">_xlfn.XLOOKUP(CS128&amp;CT128,(VLOOKUP!$A$3:$A$250)&amp;(VLOOKUP!$B$3:$B$250),VLOOKUP!$C$3:$C$250,"Incomplete",-1)</f>
        <v>Incomplete</v>
      </c>
      <c r="CV128" s="20" t="str" cm="1">
        <f t="array" ref="CV128">_xlfn.XLOOKUP(CU128, _xlfn.XLOOKUP(E128, 'Normative data'!$Y$11:$Y$14, 'Normative data'!$Z$11:$AG$14, ,-1), 'Normative data'!$Z$10:$AG$10, "Not Found", -1)</f>
        <v>Excellent</v>
      </c>
      <c r="CW128" s="20" t="str" cm="1">
        <f t="array" ref="CW128">IF(OR(ISBLANK(CS128),ISBLANK(CT128)),"Incomplete",_xlfn.XLOOKUP(CS128&amp;CT128,VLOOKUP!$A$4:$A$250&amp;VLOOKUP!$B$4:$B$250,VLOOKUP!$D$4:$D$250,"0"))</f>
        <v>Incomplete</v>
      </c>
    </row>
    <row r="129" spans="1:101">
      <c r="A129" s="18" t="s">
        <v>414</v>
      </c>
      <c r="B129" s="18" t="s">
        <v>415</v>
      </c>
      <c r="C129" s="17" t="s">
        <v>86</v>
      </c>
      <c r="D129" s="19">
        <v>39367</v>
      </c>
      <c r="F129" s="17">
        <v>11</v>
      </c>
      <c r="G129" s="17">
        <v>2025</v>
      </c>
      <c r="H129" s="20" t="s">
        <v>124</v>
      </c>
      <c r="I129" s="17">
        <v>3</v>
      </c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41" t="str">
        <f t="shared" si="29"/>
        <v>Incomplete</v>
      </c>
      <c r="AZ129" s="20"/>
      <c r="BA129" s="20" t="str">
        <f t="shared" si="30"/>
        <v>Incomplete</v>
      </c>
      <c r="BB129" s="20"/>
      <c r="BC129" s="20" t="str">
        <f t="shared" si="31"/>
        <v>Incomplete</v>
      </c>
      <c r="BD129" s="20"/>
      <c r="BE129" s="20" t="str">
        <f t="shared" si="32"/>
        <v>Incomplete</v>
      </c>
      <c r="BF129" s="20"/>
      <c r="BG129" s="20">
        <v>15</v>
      </c>
      <c r="BH129" s="20">
        <v>49</v>
      </c>
      <c r="BI129" s="20" t="e">
        <f>IF(OR(ISBLANK(#REF!), ISBLANK(#REF!)),"Incomplete",(SUM(#REF!-#REF!)))</f>
        <v>#REF!</v>
      </c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91" t="str">
        <f t="shared" si="33"/>
        <v>Incomplete</v>
      </c>
      <c r="BX129" s="91" t="str">
        <f>_xlfn.XLOOKUP(BW129,'Normative data'!$V$3:$V$6,'Normative data'!$W$3:$W$6,"Not Found",-1)</f>
        <v>Very low risk</v>
      </c>
      <c r="BY129" s="91" t="str">
        <f t="shared" si="34"/>
        <v>Incomplete</v>
      </c>
      <c r="BZ129" s="91" t="str">
        <f>_xlfn.XLOOKUP(BY129,'Normative data'!$V$3:$V$6,'Normative data'!$W$3:$W$6,"Not Found",-1)</f>
        <v>Very low risk</v>
      </c>
      <c r="CA129" s="20"/>
      <c r="CC129" s="20"/>
      <c r="CE129" s="20">
        <v>3</v>
      </c>
      <c r="CG129" s="20"/>
      <c r="CH129" s="20" t="str">
        <f>_xlfn.XLOOKUP(CG129, 'Normative data'!$S$9:$S$15,'Normative data'!$T$9:$T$15, "Not Found", -1)</f>
        <v>not completed</v>
      </c>
      <c r="CI129" s="20"/>
      <c r="CJ129" s="20" t="str">
        <f>_xlfn.XLOOKUP(CI129, 'Normative data'!$S$9:$S$15, 'Normative data'!$T$9:$T$15, "Not Found", -1)</f>
        <v>not completed</v>
      </c>
      <c r="CK129" s="21">
        <v>2.1800000000000002</v>
      </c>
      <c r="CL129" s="21">
        <v>4.59</v>
      </c>
      <c r="CM129" s="21"/>
      <c r="CN129" s="21">
        <v>6.68</v>
      </c>
      <c r="CO129" s="21">
        <v>7.49</v>
      </c>
      <c r="CP129" s="21"/>
      <c r="CQ129" s="20"/>
      <c r="CR129" s="20" t="str" cm="1">
        <f t="array" ref="CR129">IF(OR(ISBLANK(E129),ISBLANK(CQ129)),"Incomplete",_xlfn.XLOOKUP(CQ129,_xlfn.XLOOKUP(E129,'Normative data'!$Y$3:$Y$6,'Normative data'!$Z$3:$AG$6,,-1),'Normative data'!$Z$2:$AG$2,"Not Found",-1))</f>
        <v>Incomplete</v>
      </c>
      <c r="CS129" s="20"/>
      <c r="CT129" s="20"/>
      <c r="CU129" s="20" t="str" cm="1">
        <f t="array" ref="CU129">_xlfn.XLOOKUP(CS129&amp;CT129,(VLOOKUP!$A$3:$A$250)&amp;(VLOOKUP!$B$3:$B$250),VLOOKUP!$C$3:$C$250,"Incomplete",-1)</f>
        <v>Incomplete</v>
      </c>
      <c r="CV129" s="20" t="str" cm="1">
        <f t="array" ref="CV129">_xlfn.XLOOKUP(CU129, _xlfn.XLOOKUP(E129, 'Normative data'!$Y$11:$Y$14, 'Normative data'!$Z$11:$AG$14, ,-1), 'Normative data'!$Z$10:$AG$10, "Not Found", -1)</f>
        <v>Excellent</v>
      </c>
      <c r="CW129" s="20" t="str" cm="1">
        <f t="array" ref="CW129">IF(OR(ISBLANK(CS129),ISBLANK(CT129)),"Incomplete",_xlfn.XLOOKUP(CS129&amp;CT129,VLOOKUP!$A$4:$A$250&amp;VLOOKUP!$B$4:$B$250,VLOOKUP!$D$4:$D$250,"0"))</f>
        <v>Incomplete</v>
      </c>
    </row>
    <row r="130" spans="1:101">
      <c r="A130" s="17" t="s">
        <v>416</v>
      </c>
      <c r="B130" s="17" t="s">
        <v>417</v>
      </c>
      <c r="C130" s="17" t="s">
        <v>86</v>
      </c>
      <c r="D130" s="26"/>
      <c r="F130" s="20" t="s">
        <v>151</v>
      </c>
      <c r="G130" s="17">
        <v>2026</v>
      </c>
      <c r="I130" s="20">
        <v>2</v>
      </c>
      <c r="J130" s="20"/>
      <c r="K130" s="20"/>
      <c r="L130" s="20"/>
      <c r="S130" s="20"/>
      <c r="T130" s="20"/>
      <c r="AQ130" s="20"/>
      <c r="AR130" s="20"/>
      <c r="AS130" s="20"/>
      <c r="AT130" s="20"/>
      <c r="AU130" s="20"/>
      <c r="AV130" s="20"/>
      <c r="AW130" s="20"/>
      <c r="AX130" s="20"/>
      <c r="AY130" s="41" t="str">
        <f t="shared" si="29"/>
        <v>Incomplete</v>
      </c>
      <c r="BA130" s="20" t="str">
        <f t="shared" si="30"/>
        <v>Incomplete</v>
      </c>
      <c r="BC130" s="20" t="str">
        <f t="shared" si="31"/>
        <v>Incomplete</v>
      </c>
      <c r="BE130" s="20" t="str">
        <f t="shared" si="32"/>
        <v>Incomplete</v>
      </c>
      <c r="BH130" s="20"/>
      <c r="BI130" s="20" t="str">
        <f>IF(OR(ISBLANK(BG130), ISBLANK(BH130)),"Incomplete",(SUM(BH130-BG130)))</f>
        <v>Incomplete</v>
      </c>
      <c r="BJ130" s="20"/>
      <c r="BL130" s="20"/>
      <c r="BM130" s="20"/>
      <c r="BN130" s="20"/>
      <c r="BW130" s="91" t="str">
        <f t="shared" si="33"/>
        <v>Incomplete</v>
      </c>
      <c r="BX130" s="91" t="str">
        <f>_xlfn.XLOOKUP(BW130,'Normative data'!$V$3:$V$6,'Normative data'!$W$3:$W$6,"Not Found",-1)</f>
        <v>Very low risk</v>
      </c>
      <c r="BY130" s="91" t="str">
        <f t="shared" si="34"/>
        <v>Incomplete</v>
      </c>
      <c r="BZ130" s="91" t="str">
        <f>_xlfn.XLOOKUP(BY130,'Normative data'!$V$3:$V$6,'Normative data'!$W$3:$W$6,"Not Found",-1)</f>
        <v>Very low risk</v>
      </c>
      <c r="CA130" s="17">
        <v>13</v>
      </c>
      <c r="CC130" s="20"/>
      <c r="CE130" s="17">
        <v>10</v>
      </c>
      <c r="CG130" s="17">
        <v>19.91</v>
      </c>
      <c r="CH130" s="20" t="str">
        <f>_xlfn.XLOOKUP(CG130, 'Normative data'!$S$9:$S$15,'Normative data'!$T$9:$T$15, "Not Found", -1)</f>
        <v>Average</v>
      </c>
      <c r="CI130" s="17">
        <v>19.68</v>
      </c>
      <c r="CJ130" s="20" t="str">
        <f>_xlfn.XLOOKUP(CI130, 'Normative data'!$S$9:$S$15, 'Normative data'!$T$9:$T$15, "Not Found", -1)</f>
        <v>Average</v>
      </c>
      <c r="CK130" s="17">
        <v>2.33</v>
      </c>
      <c r="CL130" s="17">
        <v>4.26</v>
      </c>
      <c r="CN130" s="17">
        <v>8.2100000000000009</v>
      </c>
      <c r="CO130" s="17">
        <v>6.09</v>
      </c>
      <c r="CR130" s="20" t="str" cm="1">
        <f t="array" ref="CR130">IF(OR(ISBLANK(E130),ISBLANK(CQ130)),"Incomplete",_xlfn.XLOOKUP(CQ130,_xlfn.XLOOKUP(E130,'Normative data'!$Y$3:$Y$6,'Normative data'!$Z$3:$AG$6,,-1),'Normative data'!$Z$2:$AG$2,"Not Found",-1))</f>
        <v>Incomplete</v>
      </c>
      <c r="CS130" s="20"/>
      <c r="CT130" s="20"/>
      <c r="CU130" s="20" t="str" cm="1">
        <f t="array" ref="CU130">_xlfn.XLOOKUP(CS130&amp;CT130,(VLOOKUP!$A$3:$A$250)&amp;(VLOOKUP!$B$3:$B$250),VLOOKUP!$C$3:$C$250,"Incomplete",-1)</f>
        <v>Incomplete</v>
      </c>
      <c r="CV130" s="20" t="str" cm="1">
        <f t="array" ref="CV130">_xlfn.XLOOKUP(CU130, _xlfn.XLOOKUP(E130, 'Normative data'!$Y$11:$Y$14, 'Normative data'!$Z$11:$AG$14, ,-1), 'Normative data'!$Z$10:$AG$10, "Not Found", -1)</f>
        <v>Excellent</v>
      </c>
      <c r="CW130" s="20" t="str" cm="1">
        <f t="array" ref="CW130">IF(OR(ISBLANK(CS130),ISBLANK(CT130)),"Incomplete",_xlfn.XLOOKUP(CS130&amp;CT130,VLOOKUP!$A$4:$A$250&amp;VLOOKUP!$B$4:$B$250,VLOOKUP!$D$4:$D$250,"0"))</f>
        <v>Incomplete</v>
      </c>
    </row>
    <row r="131" spans="1:101">
      <c r="A131" s="17" t="s">
        <v>418</v>
      </c>
      <c r="B131" s="17" t="s">
        <v>419</v>
      </c>
      <c r="C131" s="17" t="s">
        <v>86</v>
      </c>
      <c r="D131" s="26"/>
      <c r="F131" s="17">
        <v>8</v>
      </c>
      <c r="G131" s="17">
        <v>2025</v>
      </c>
      <c r="H131" s="20" t="s">
        <v>124</v>
      </c>
      <c r="I131" s="17">
        <v>3</v>
      </c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41" t="str">
        <f t="shared" si="29"/>
        <v>Incomplete</v>
      </c>
      <c r="AZ131" s="20"/>
      <c r="BA131" s="20" t="str">
        <f t="shared" si="30"/>
        <v>Incomplete</v>
      </c>
      <c r="BB131" s="20"/>
      <c r="BC131" s="20" t="str">
        <f t="shared" si="31"/>
        <v>Incomplete</v>
      </c>
      <c r="BD131" s="20"/>
      <c r="BE131" s="20" t="str">
        <f t="shared" si="32"/>
        <v>Incomplete</v>
      </c>
      <c r="BF131" s="20"/>
      <c r="BG131" s="20"/>
      <c r="BH131" s="20"/>
      <c r="BI131" s="20" t="str">
        <f>IF(OR(ISBLANK(BG131), ISBLANK(BH131)),"Incomplete",(SUM(BH131-BG131)))</f>
        <v>Incomplete</v>
      </c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91" t="str">
        <f t="shared" si="33"/>
        <v>Incomplete</v>
      </c>
      <c r="BX131" s="91" t="str">
        <f>_xlfn.XLOOKUP(BW131,'Normative data'!$V$3:$V$6,'Normative data'!$W$3:$W$6,"Not Found",-1)</f>
        <v>Very low risk</v>
      </c>
      <c r="BY131" s="91" t="str">
        <f t="shared" si="34"/>
        <v>Incomplete</v>
      </c>
      <c r="BZ131" s="91" t="str">
        <f>_xlfn.XLOOKUP(BY131,'Normative data'!$V$3:$V$6,'Normative data'!$W$3:$W$6,"Not Found",-1)</f>
        <v>Very low risk</v>
      </c>
      <c r="CA131" s="20"/>
      <c r="CC131" s="20"/>
      <c r="CE131" s="20"/>
      <c r="CG131" s="20"/>
      <c r="CH131" s="20" t="str">
        <f>_xlfn.XLOOKUP(CG131, 'Normative data'!$S$9:$S$15,'Normative data'!$T$9:$T$15, "Not Found", -1)</f>
        <v>not completed</v>
      </c>
      <c r="CI131" s="20"/>
      <c r="CJ131" s="20" t="str">
        <f>_xlfn.XLOOKUP(CI131, 'Normative data'!$S$9:$S$15, 'Normative data'!$T$9:$T$15, "Not Found", -1)</f>
        <v>not completed</v>
      </c>
      <c r="CK131" s="20" t="s">
        <v>245</v>
      </c>
      <c r="CL131" s="20" t="s">
        <v>246</v>
      </c>
      <c r="CN131" s="20" t="s">
        <v>420</v>
      </c>
      <c r="CO131" s="20" t="s">
        <v>337</v>
      </c>
      <c r="CQ131" s="20"/>
      <c r="CR131" s="20" t="str" cm="1">
        <f t="array" ref="CR131">IF(OR(ISBLANK(E131),ISBLANK(CQ131)),"Incomplete",_xlfn.XLOOKUP(CQ131,_xlfn.XLOOKUP(E131,'Normative data'!$Y$3:$Y$6,'Normative data'!$Z$3:$AG$6,,-1),'Normative data'!$Z$2:$AG$2,"Not Found",-1))</f>
        <v>Incomplete</v>
      </c>
      <c r="CS131" s="20"/>
      <c r="CT131" s="20"/>
      <c r="CU131" s="20" t="str" cm="1">
        <f t="array" ref="CU131">_xlfn.XLOOKUP(CS131&amp;CT131,(VLOOKUP!$A$3:$A$250)&amp;(VLOOKUP!$B$3:$B$250),VLOOKUP!$C$3:$C$250,"Incomplete",-1)</f>
        <v>Incomplete</v>
      </c>
      <c r="CV131" s="20" t="str" cm="1">
        <f t="array" ref="CV131">_xlfn.XLOOKUP(CU131, _xlfn.XLOOKUP(E131, 'Normative data'!$Y$11:$Y$14, 'Normative data'!$Z$11:$AG$14, ,-1), 'Normative data'!$Z$10:$AG$10, "Not Found", -1)</f>
        <v>Excellent</v>
      </c>
      <c r="CW131" s="20" t="str" cm="1">
        <f t="array" ref="CW131">IF(OR(ISBLANK(CS131),ISBLANK(CT131)),"Incomplete",_xlfn.XLOOKUP(CS131&amp;CT131,VLOOKUP!$A$4:$A$250&amp;VLOOKUP!$B$4:$B$250,VLOOKUP!$D$4:$D$250,"0"))</f>
        <v>Incomplete</v>
      </c>
    </row>
    <row r="132" spans="1:101">
      <c r="A132" s="22" t="s">
        <v>421</v>
      </c>
      <c r="B132" s="22" t="s">
        <v>419</v>
      </c>
      <c r="C132" s="17" t="s">
        <v>86</v>
      </c>
      <c r="D132" s="23">
        <v>39996</v>
      </c>
      <c r="F132" s="17">
        <v>10</v>
      </c>
      <c r="G132" s="17">
        <v>2025</v>
      </c>
      <c r="H132" s="20" t="s">
        <v>124</v>
      </c>
      <c r="I132" s="17">
        <v>3</v>
      </c>
      <c r="J132" s="17" t="s">
        <v>88</v>
      </c>
      <c r="P132" s="17" t="s">
        <v>366</v>
      </c>
      <c r="S132" s="20"/>
      <c r="T132" s="20">
        <v>173.1</v>
      </c>
      <c r="U132" s="20">
        <v>57.8</v>
      </c>
      <c r="V132" s="20"/>
      <c r="W132" s="20">
        <v>9.9</v>
      </c>
      <c r="X132" s="20">
        <f>SUM(T132-W132)</f>
        <v>163.19999999999999</v>
      </c>
      <c r="Y132" s="20">
        <v>26.6</v>
      </c>
      <c r="Z132" s="20">
        <v>19.3</v>
      </c>
      <c r="AA132" s="20">
        <v>17.2</v>
      </c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>
        <v>23.4</v>
      </c>
      <c r="AR132" s="20">
        <v>0.437</v>
      </c>
      <c r="AS132" s="20">
        <v>31</v>
      </c>
      <c r="AT132" s="20">
        <v>0.503</v>
      </c>
      <c r="AU132" s="20">
        <v>15.5</v>
      </c>
      <c r="AV132" s="20">
        <v>0.35599999999999998</v>
      </c>
      <c r="AW132" s="20">
        <v>15.8</v>
      </c>
      <c r="AX132" s="20">
        <v>0.35899999999999999</v>
      </c>
      <c r="AY132" s="41">
        <f t="shared" si="29"/>
        <v>1983.7199999999993</v>
      </c>
      <c r="AZ132" s="20"/>
      <c r="BA132" s="20">
        <f t="shared" si="30"/>
        <v>2445.04</v>
      </c>
      <c r="BB132" s="20"/>
      <c r="BC132" s="20">
        <f t="shared" si="31"/>
        <v>1504.1899999999996</v>
      </c>
      <c r="BD132" s="20"/>
      <c r="BE132" s="20">
        <f t="shared" si="32"/>
        <v>1522.3999999999996</v>
      </c>
      <c r="BF132" s="20"/>
      <c r="BG132" s="20">
        <v>12.5</v>
      </c>
      <c r="BH132" s="20">
        <v>36.200000000000003</v>
      </c>
      <c r="BI132" s="20" t="e">
        <f>IF(OR(ISBLANK(#REF!), ISBLANK(#REF!)),"Incomplete",(SUM(#REF!-#REF!)))</f>
        <v>#REF!</v>
      </c>
      <c r="BJ132" s="20"/>
      <c r="BK132" s="20">
        <v>11</v>
      </c>
      <c r="BL132" s="20"/>
      <c r="BM132" s="20">
        <v>12</v>
      </c>
      <c r="BN132" s="20"/>
      <c r="BO132" s="20"/>
      <c r="BP132" s="20"/>
      <c r="BQ132" s="20"/>
      <c r="BR132" s="20"/>
      <c r="BS132" s="20"/>
      <c r="BT132" s="20"/>
      <c r="BU132" s="20"/>
      <c r="BV132" s="20"/>
      <c r="BW132" s="91">
        <f t="shared" si="33"/>
        <v>0</v>
      </c>
      <c r="BX132" s="91" t="str">
        <f>_xlfn.XLOOKUP(BW132,'Normative data'!$V$3:$V$6,'Normative data'!$W$3:$W$6,"Not Found",-1)</f>
        <v>Not completed</v>
      </c>
      <c r="BY132" s="91">
        <f t="shared" si="34"/>
        <v>0</v>
      </c>
      <c r="BZ132" s="91" t="str">
        <f>_xlfn.XLOOKUP(BY132,'Normative data'!$V$3:$V$6,'Normative data'!$W$3:$W$6,"Not Found",-1)</f>
        <v>Not completed</v>
      </c>
      <c r="CA132" s="20"/>
      <c r="CC132" s="20"/>
      <c r="CE132" s="20">
        <v>5</v>
      </c>
      <c r="CG132" s="20"/>
      <c r="CH132" s="20" t="str">
        <f>_xlfn.XLOOKUP(CG132, 'Normative data'!$S$9:$S$15,'Normative data'!$T$9:$T$15, "Not Found", -1)</f>
        <v>not completed</v>
      </c>
      <c r="CI132" s="20"/>
      <c r="CJ132" s="20" t="str">
        <f>_xlfn.XLOOKUP(CI132, 'Normative data'!$S$9:$S$15, 'Normative data'!$T$9:$T$15, "Not Found", -1)</f>
        <v>not completed</v>
      </c>
      <c r="CK132" s="20" t="s">
        <v>344</v>
      </c>
      <c r="CL132" s="20" t="s">
        <v>345</v>
      </c>
      <c r="CM132" s="21"/>
      <c r="CN132" s="20" t="s">
        <v>413</v>
      </c>
      <c r="CO132" s="20" t="s">
        <v>412</v>
      </c>
      <c r="CQ132" s="20"/>
      <c r="CR132" s="20" t="str" cm="1">
        <f t="array" ref="CR132">IF(OR(ISBLANK(E132),ISBLANK(CQ132)),"Incomplete",_xlfn.XLOOKUP(CQ132,_xlfn.XLOOKUP(E132,'Normative data'!$Y$3:$Y$6,'Normative data'!$Z$3:$AG$6,,-1),'Normative data'!$Z$2:$AG$2,"Not Found",-1))</f>
        <v>Incomplete</v>
      </c>
      <c r="CS132" s="20"/>
      <c r="CT132" s="20"/>
      <c r="CU132" s="20" t="str" cm="1">
        <f t="array" ref="CU132">_xlfn.XLOOKUP(CS132&amp;CT132,(VLOOKUP!$A$3:$A$250)&amp;(VLOOKUP!$B$3:$B$250),VLOOKUP!$C$3:$C$250,"Incomplete",-1)</f>
        <v>Incomplete</v>
      </c>
      <c r="CV132" s="20" t="str" cm="1">
        <f t="array" ref="CV132">_xlfn.XLOOKUP(CU132, _xlfn.XLOOKUP(E132, 'Normative data'!$Y$11:$Y$14, 'Normative data'!$Z$11:$AG$14, ,-1), 'Normative data'!$Z$10:$AG$10, "Not Found", -1)</f>
        <v>Excellent</v>
      </c>
      <c r="CW132" s="20" t="str" cm="1">
        <f t="array" ref="CW132">IF(OR(ISBLANK(CS132),ISBLANK(CT132)),"Incomplete",_xlfn.XLOOKUP(CS132&amp;CT132,VLOOKUP!$A$4:$A$250&amp;VLOOKUP!$B$4:$B$250,VLOOKUP!$D$4:$D$250,"0"))</f>
        <v>Incomplete</v>
      </c>
    </row>
    <row r="133" spans="1:101">
      <c r="A133" s="18" t="s">
        <v>216</v>
      </c>
      <c r="B133" s="18" t="s">
        <v>215</v>
      </c>
      <c r="C133" s="17" t="s">
        <v>86</v>
      </c>
      <c r="D133" s="19">
        <v>40714</v>
      </c>
      <c r="F133" s="17">
        <v>8</v>
      </c>
      <c r="G133" s="17">
        <v>2025</v>
      </c>
      <c r="H133" s="20" t="s">
        <v>114</v>
      </c>
      <c r="I133" s="17">
        <v>1</v>
      </c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41" t="str">
        <f t="shared" si="29"/>
        <v>Incomplete</v>
      </c>
      <c r="AZ133" s="20"/>
      <c r="BA133" s="20" t="str">
        <f t="shared" si="30"/>
        <v>Incomplete</v>
      </c>
      <c r="BB133" s="20"/>
      <c r="BC133" s="20" t="str">
        <f t="shared" si="31"/>
        <v>Incomplete</v>
      </c>
      <c r="BD133" s="20"/>
      <c r="BE133" s="20" t="str">
        <f t="shared" si="32"/>
        <v>Incomplete</v>
      </c>
      <c r="BF133" s="20"/>
      <c r="BG133" s="20">
        <v>15</v>
      </c>
      <c r="BH133" s="20">
        <v>49.8</v>
      </c>
      <c r="BI133" s="20" t="e">
        <f>IF(OR(ISBLANK(#REF!), ISBLANK(#REF!)),"Incomplete",(SUM(#REF!-#REF!)))</f>
        <v>#REF!</v>
      </c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91" t="str">
        <f t="shared" si="33"/>
        <v>Incomplete</v>
      </c>
      <c r="BX133" s="91" t="str">
        <f>_xlfn.XLOOKUP(BW133,'Normative data'!$V$3:$V$6,'Normative data'!$W$3:$W$6,"Not Found",-1)</f>
        <v>Very low risk</v>
      </c>
      <c r="BY133" s="91" t="str">
        <f t="shared" si="34"/>
        <v>Incomplete</v>
      </c>
      <c r="BZ133" s="91" t="str">
        <f>_xlfn.XLOOKUP(BY133,'Normative data'!$V$3:$V$6,'Normative data'!$W$3:$W$6,"Not Found",-1)</f>
        <v>Very low risk</v>
      </c>
      <c r="CA133" s="20"/>
      <c r="CC133" s="20"/>
      <c r="CE133" s="20">
        <v>11</v>
      </c>
      <c r="CG133" s="20"/>
      <c r="CH133" s="20" t="str">
        <f>_xlfn.XLOOKUP(CG133, 'Normative data'!$S$9:$S$15,'Normative data'!$T$9:$T$15, "Not Found", -1)</f>
        <v>not completed</v>
      </c>
      <c r="CI133" s="20"/>
      <c r="CJ133" s="20" t="str">
        <f>_xlfn.XLOOKUP(CI133, 'Normative data'!$S$9:$S$15, 'Normative data'!$T$9:$T$15, "Not Found", -1)</f>
        <v>not completed</v>
      </c>
      <c r="CK133" s="21">
        <v>2.2799999999999998</v>
      </c>
      <c r="CL133" s="21">
        <v>4.3899999999999997</v>
      </c>
      <c r="CM133" s="21"/>
      <c r="CN133" s="21">
        <v>7.14</v>
      </c>
      <c r="CO133" s="21">
        <v>7</v>
      </c>
      <c r="CP133" s="21"/>
      <c r="CQ133" s="20"/>
      <c r="CR133" s="20" t="str" cm="1">
        <f t="array" ref="CR133">IF(OR(ISBLANK(E133),ISBLANK(CQ133)),"Incomplete",_xlfn.XLOOKUP(CQ133,_xlfn.XLOOKUP(E133,'Normative data'!$Y$3:$Y$6,'Normative data'!$Z$3:$AG$6,,-1),'Normative data'!$Z$2:$AG$2,"Not Found",-1))</f>
        <v>Incomplete</v>
      </c>
      <c r="CS133" s="20"/>
      <c r="CT133" s="20"/>
      <c r="CU133" s="20" t="str" cm="1">
        <f t="array" ref="CU133">_xlfn.XLOOKUP(CS133&amp;CT133,(VLOOKUP!$A$3:$A$250)&amp;(VLOOKUP!$B$3:$B$250),VLOOKUP!$C$3:$C$250,"Incomplete",-1)</f>
        <v>Incomplete</v>
      </c>
      <c r="CV133" s="20" t="str" cm="1">
        <f t="array" ref="CV133">_xlfn.XLOOKUP(CU133, _xlfn.XLOOKUP(E133, 'Normative data'!$Y$11:$Y$14, 'Normative data'!$Z$11:$AG$14, ,-1), 'Normative data'!$Z$10:$AG$10, "Not Found", -1)</f>
        <v>Excellent</v>
      </c>
      <c r="CW133" s="20" t="str" cm="1">
        <f t="array" ref="CW133">IF(OR(ISBLANK(CS133),ISBLANK(CT133)),"Incomplete",_xlfn.XLOOKUP(CS133&amp;CT133,VLOOKUP!$A$4:$A$250&amp;VLOOKUP!$B$4:$B$250,VLOOKUP!$D$4:$D$250,"0"))</f>
        <v>Incomplete</v>
      </c>
    </row>
    <row r="134" spans="1:101">
      <c r="A134" s="17" t="s">
        <v>422</v>
      </c>
      <c r="B134" s="17" t="s">
        <v>215</v>
      </c>
      <c r="C134" s="17" t="s">
        <v>86</v>
      </c>
      <c r="D134" s="19">
        <v>40714</v>
      </c>
      <c r="F134" s="17">
        <v>8</v>
      </c>
      <c r="G134" s="17">
        <v>2025</v>
      </c>
      <c r="H134" s="20" t="s">
        <v>124</v>
      </c>
      <c r="I134" s="17">
        <v>3</v>
      </c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41" t="str">
        <f t="shared" si="29"/>
        <v>Incomplete</v>
      </c>
      <c r="AZ134" s="20"/>
      <c r="BA134" s="20" t="str">
        <f t="shared" si="30"/>
        <v>Incomplete</v>
      </c>
      <c r="BB134" s="20"/>
      <c r="BC134" s="20" t="str">
        <f t="shared" si="31"/>
        <v>Incomplete</v>
      </c>
      <c r="BD134" s="20"/>
      <c r="BE134" s="20" t="str">
        <f t="shared" si="32"/>
        <v>Incomplete</v>
      </c>
      <c r="BF134" s="20"/>
      <c r="BG134" s="20"/>
      <c r="BH134" s="20"/>
      <c r="BI134" s="20" t="str">
        <f>IF(OR(ISBLANK(BG134), ISBLANK(BH134)),"Incomplete",(SUM(BH134-BG134)))</f>
        <v>Incomplete</v>
      </c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91" t="str">
        <f t="shared" si="33"/>
        <v>Incomplete</v>
      </c>
      <c r="BX134" s="91" t="str">
        <f>_xlfn.XLOOKUP(BW134,'Normative data'!$V$3:$V$6,'Normative data'!$W$3:$W$6,"Not Found",-1)</f>
        <v>Very low risk</v>
      </c>
      <c r="BY134" s="91" t="str">
        <f t="shared" si="34"/>
        <v>Incomplete</v>
      </c>
      <c r="BZ134" s="91" t="str">
        <f>_xlfn.XLOOKUP(BY134,'Normative data'!$V$3:$V$6,'Normative data'!$W$3:$W$6,"Not Found",-1)</f>
        <v>Very low risk</v>
      </c>
      <c r="CA134" s="20"/>
      <c r="CC134" s="20"/>
      <c r="CE134" s="20"/>
      <c r="CG134" s="20"/>
      <c r="CH134" s="20" t="str">
        <f>_xlfn.XLOOKUP(CG134, 'Normative data'!$S$9:$S$15,'Normative data'!$T$9:$T$15, "Not Found", -1)</f>
        <v>not completed</v>
      </c>
      <c r="CI134" s="20"/>
      <c r="CJ134" s="20" t="str">
        <f>_xlfn.XLOOKUP(CI134, 'Normative data'!$S$9:$S$15, 'Normative data'!$T$9:$T$15, "Not Found", -1)</f>
        <v>not completed</v>
      </c>
      <c r="CK134" s="20" t="s">
        <v>270</v>
      </c>
      <c r="CL134" s="20" t="s">
        <v>423</v>
      </c>
      <c r="CN134" s="20" t="s">
        <v>424</v>
      </c>
      <c r="CO134" s="20" t="s">
        <v>425</v>
      </c>
      <c r="CQ134" s="20"/>
      <c r="CR134" s="20" t="str" cm="1">
        <f t="array" ref="CR134">IF(OR(ISBLANK(E134),ISBLANK(CQ134)),"Incomplete",_xlfn.XLOOKUP(CQ134,_xlfn.XLOOKUP(E134,'Normative data'!$Y$3:$Y$6,'Normative data'!$Z$3:$AG$6,,-1),'Normative data'!$Z$2:$AG$2,"Not Found",-1))</f>
        <v>Incomplete</v>
      </c>
      <c r="CS134" s="20"/>
      <c r="CT134" s="20"/>
      <c r="CU134" s="20" t="str" cm="1">
        <f t="array" ref="CU134">_xlfn.XLOOKUP(CS134&amp;CT134,(VLOOKUP!$A$3:$A$250)&amp;(VLOOKUP!$B$3:$B$250),VLOOKUP!$C$3:$C$250,"Incomplete",-1)</f>
        <v>Incomplete</v>
      </c>
      <c r="CV134" s="20" t="str" cm="1">
        <f t="array" ref="CV134">_xlfn.XLOOKUP(CU134, _xlfn.XLOOKUP(E134, 'Normative data'!$Y$11:$Y$14, 'Normative data'!$Z$11:$AG$14, ,-1), 'Normative data'!$Z$10:$AG$10, "Not Found", -1)</f>
        <v>Excellent</v>
      </c>
      <c r="CW134" s="20" t="str" cm="1">
        <f t="array" ref="CW134">IF(OR(ISBLANK(CS134),ISBLANK(CT134)),"Incomplete",_xlfn.XLOOKUP(CS134&amp;CT134,VLOOKUP!$A$4:$A$250&amp;VLOOKUP!$B$4:$B$250,VLOOKUP!$D$4:$D$250,"0"))</f>
        <v>Incomplete</v>
      </c>
    </row>
    <row r="135" spans="1:101">
      <c r="A135" s="22" t="s">
        <v>426</v>
      </c>
      <c r="B135" s="22" t="s">
        <v>427</v>
      </c>
      <c r="C135" s="17" t="s">
        <v>86</v>
      </c>
      <c r="D135" s="23">
        <v>40224</v>
      </c>
      <c r="F135" s="17">
        <v>9</v>
      </c>
      <c r="G135" s="17">
        <v>2025</v>
      </c>
      <c r="H135" s="20" t="s">
        <v>114</v>
      </c>
      <c r="I135" s="17">
        <v>1</v>
      </c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41" t="str">
        <f t="shared" si="29"/>
        <v>Incomplete</v>
      </c>
      <c r="AZ135" s="20"/>
      <c r="BA135" s="20" t="str">
        <f t="shared" si="30"/>
        <v>Incomplete</v>
      </c>
      <c r="BB135" s="20"/>
      <c r="BC135" s="20" t="str">
        <f t="shared" si="31"/>
        <v>Incomplete</v>
      </c>
      <c r="BD135" s="20"/>
      <c r="BE135" s="20" t="str">
        <f t="shared" si="32"/>
        <v>Incomplete</v>
      </c>
      <c r="BF135" s="20"/>
      <c r="BG135" s="20">
        <v>9</v>
      </c>
      <c r="BH135" s="20">
        <v>30.5</v>
      </c>
      <c r="BI135" s="20" t="e">
        <f>IF(OR(ISBLANK(#REF!), ISBLANK(#REF!)),"Incomplete",(SUM(#REF!-#REF!)))</f>
        <v>#REF!</v>
      </c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91" t="str">
        <f t="shared" si="33"/>
        <v>Incomplete</v>
      </c>
      <c r="BX135" s="91" t="str">
        <f>_xlfn.XLOOKUP(BW135,'Normative data'!$V$3:$V$6,'Normative data'!$W$3:$W$6,"Not Found",-1)</f>
        <v>Very low risk</v>
      </c>
      <c r="BY135" s="91" t="str">
        <f t="shared" si="34"/>
        <v>Incomplete</v>
      </c>
      <c r="BZ135" s="91" t="str">
        <f>_xlfn.XLOOKUP(BY135,'Normative data'!$V$3:$V$6,'Normative data'!$W$3:$W$6,"Not Found",-1)</f>
        <v>Very low risk</v>
      </c>
      <c r="CA135" s="20"/>
      <c r="CC135" s="20"/>
      <c r="CE135" s="20">
        <v>6</v>
      </c>
      <c r="CG135" s="20"/>
      <c r="CH135" s="20" t="str">
        <f>_xlfn.XLOOKUP(CG135, 'Normative data'!$S$9:$S$15,'Normative data'!$T$9:$T$15, "Not Found", -1)</f>
        <v>not completed</v>
      </c>
      <c r="CI135" s="20"/>
      <c r="CJ135" s="20" t="str">
        <f>_xlfn.XLOOKUP(CI135, 'Normative data'!$S$9:$S$15, 'Normative data'!$T$9:$T$15, "Not Found", -1)</f>
        <v>not completed</v>
      </c>
      <c r="CK135" s="24">
        <v>2.39</v>
      </c>
      <c r="CL135" s="24">
        <v>4.18</v>
      </c>
      <c r="CM135" s="24"/>
      <c r="CN135" s="24">
        <v>7.38</v>
      </c>
      <c r="CO135" s="24">
        <v>6.78</v>
      </c>
      <c r="CP135" s="24"/>
      <c r="CQ135" s="20"/>
      <c r="CR135" s="20" t="str" cm="1">
        <f t="array" ref="CR135">IF(OR(ISBLANK(E135),ISBLANK(CQ135)),"Incomplete",_xlfn.XLOOKUP(CQ135,_xlfn.XLOOKUP(E135,'Normative data'!$Y$3:$Y$6,'Normative data'!$Z$3:$AG$6,,-1),'Normative data'!$Z$2:$AG$2,"Not Found",-1))</f>
        <v>Incomplete</v>
      </c>
      <c r="CS135" s="20"/>
      <c r="CT135" s="20"/>
      <c r="CU135" s="20" t="str" cm="1">
        <f t="array" ref="CU135">_xlfn.XLOOKUP(CS135&amp;CT135,(VLOOKUP!$A$3:$A$250)&amp;(VLOOKUP!$B$3:$B$250),VLOOKUP!$C$3:$C$250,"Incomplete",-1)</f>
        <v>Incomplete</v>
      </c>
      <c r="CV135" s="20" t="str" cm="1">
        <f t="array" ref="CV135">_xlfn.XLOOKUP(CU135, _xlfn.XLOOKUP(E135, 'Normative data'!$Y$11:$Y$14, 'Normative data'!$Z$11:$AG$14, ,-1), 'Normative data'!$Z$10:$AG$10, "Not Found", -1)</f>
        <v>Excellent</v>
      </c>
      <c r="CW135" s="20" t="str" cm="1">
        <f t="array" ref="CW135">IF(OR(ISBLANK(CS135),ISBLANK(CT135)),"Incomplete",_xlfn.XLOOKUP(CS135&amp;CT135,VLOOKUP!$A$4:$A$250&amp;VLOOKUP!$B$4:$B$250,VLOOKUP!$D$4:$D$250,"0"))</f>
        <v>Incomplete</v>
      </c>
    </row>
    <row r="136" spans="1:101">
      <c r="A136" s="17" t="s">
        <v>426</v>
      </c>
      <c r="B136" s="17" t="s">
        <v>427</v>
      </c>
      <c r="C136" s="17" t="s">
        <v>86</v>
      </c>
      <c r="D136" s="23">
        <v>40224</v>
      </c>
      <c r="F136" s="17">
        <v>9</v>
      </c>
      <c r="G136" s="17">
        <v>2025</v>
      </c>
      <c r="H136" s="20" t="s">
        <v>124</v>
      </c>
      <c r="I136" s="17">
        <v>3</v>
      </c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41" t="str">
        <f t="shared" si="29"/>
        <v>Incomplete</v>
      </c>
      <c r="AZ136" s="20"/>
      <c r="BA136" s="20" t="str">
        <f t="shared" si="30"/>
        <v>Incomplete</v>
      </c>
      <c r="BB136" s="20"/>
      <c r="BC136" s="20" t="str">
        <f t="shared" si="31"/>
        <v>Incomplete</v>
      </c>
      <c r="BD136" s="20"/>
      <c r="BE136" s="20" t="str">
        <f t="shared" si="32"/>
        <v>Incomplete</v>
      </c>
      <c r="BF136" s="20"/>
      <c r="BG136" s="20"/>
      <c r="BH136" s="20"/>
      <c r="BI136" s="20" t="str">
        <f>IF(OR(ISBLANK(BG136), ISBLANK(BH136)),"Incomplete",(SUM(BH136-BG136)))</f>
        <v>Incomplete</v>
      </c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91" t="str">
        <f t="shared" si="33"/>
        <v>Incomplete</v>
      </c>
      <c r="BX136" s="91" t="str">
        <f>_xlfn.XLOOKUP(BW136,'Normative data'!$V$3:$V$6,'Normative data'!$W$3:$W$6,"Not Found",-1)</f>
        <v>Very low risk</v>
      </c>
      <c r="BY136" s="91" t="str">
        <f t="shared" si="34"/>
        <v>Incomplete</v>
      </c>
      <c r="BZ136" s="91" t="str">
        <f>_xlfn.XLOOKUP(BY136,'Normative data'!$V$3:$V$6,'Normative data'!$W$3:$W$6,"Not Found",-1)</f>
        <v>Very low risk</v>
      </c>
      <c r="CA136" s="20"/>
      <c r="CC136" s="20"/>
      <c r="CE136" s="20"/>
      <c r="CG136" s="20"/>
      <c r="CH136" s="20" t="str">
        <f>_xlfn.XLOOKUP(CG136, 'Normative data'!$S$9:$S$15,'Normative data'!$T$9:$T$15, "Not Found", -1)</f>
        <v>not completed</v>
      </c>
      <c r="CI136" s="20"/>
      <c r="CJ136" s="20" t="str">
        <f>_xlfn.XLOOKUP(CI136, 'Normative data'!$S$9:$S$15, 'Normative data'!$T$9:$T$15, "Not Found", -1)</f>
        <v>not completed</v>
      </c>
      <c r="CK136" s="20" t="s">
        <v>428</v>
      </c>
      <c r="CL136" s="20" t="s">
        <v>117</v>
      </c>
      <c r="CN136" s="20" t="s">
        <v>429</v>
      </c>
      <c r="CO136" s="20" t="s">
        <v>430</v>
      </c>
      <c r="CQ136" s="20"/>
      <c r="CR136" s="20" t="str" cm="1">
        <f t="array" ref="CR136">IF(OR(ISBLANK(E136),ISBLANK(CQ136)),"Incomplete",_xlfn.XLOOKUP(CQ136,_xlfn.XLOOKUP(E136,'Normative data'!$Y$3:$Y$6,'Normative data'!$Z$3:$AG$6,,-1),'Normative data'!$Z$2:$AG$2,"Not Found",-1))</f>
        <v>Incomplete</v>
      </c>
      <c r="CS136" s="20"/>
      <c r="CT136" s="20"/>
      <c r="CU136" s="20" t="str" cm="1">
        <f t="array" ref="CU136">_xlfn.XLOOKUP(CS136&amp;CT136,(VLOOKUP!$A$3:$A$250)&amp;(VLOOKUP!$B$3:$B$250),VLOOKUP!$C$3:$C$250,"Incomplete",-1)</f>
        <v>Incomplete</v>
      </c>
      <c r="CV136" s="20" t="str" cm="1">
        <f t="array" ref="CV136">_xlfn.XLOOKUP(CU136, _xlfn.XLOOKUP(E136, 'Normative data'!$Y$11:$Y$14, 'Normative data'!$Z$11:$AG$14, ,-1), 'Normative data'!$Z$10:$AG$10, "Not Found", -1)</f>
        <v>Excellent</v>
      </c>
      <c r="CW136" s="20" t="str" cm="1">
        <f t="array" ref="CW136">IF(OR(ISBLANK(CS136),ISBLANK(CT136)),"Incomplete",_xlfn.XLOOKUP(CS136&amp;CT136,VLOOKUP!$A$4:$A$250&amp;VLOOKUP!$B$4:$B$250,VLOOKUP!$D$4:$D$250,"0"))</f>
        <v>Incomplete</v>
      </c>
    </row>
    <row r="137" spans="1:101">
      <c r="A137" s="17" t="s">
        <v>431</v>
      </c>
      <c r="B137" s="17" t="s">
        <v>432</v>
      </c>
      <c r="C137" s="17" t="s">
        <v>86</v>
      </c>
      <c r="D137" s="26"/>
      <c r="F137" s="17">
        <v>10</v>
      </c>
      <c r="G137" s="17">
        <v>2025</v>
      </c>
      <c r="H137" s="20" t="s">
        <v>124</v>
      </c>
      <c r="I137" s="17">
        <v>3</v>
      </c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41" t="str">
        <f t="shared" si="29"/>
        <v>Incomplete</v>
      </c>
      <c r="AZ137" s="20"/>
      <c r="BA137" s="20" t="str">
        <f t="shared" si="30"/>
        <v>Incomplete</v>
      </c>
      <c r="BB137" s="20"/>
      <c r="BC137" s="20" t="str">
        <f t="shared" si="31"/>
        <v>Incomplete</v>
      </c>
      <c r="BD137" s="20"/>
      <c r="BE137" s="20" t="str">
        <f t="shared" si="32"/>
        <v>Incomplete</v>
      </c>
      <c r="BF137" s="20"/>
      <c r="BG137" s="20">
        <v>19.5</v>
      </c>
      <c r="BH137" s="20">
        <v>47.8</v>
      </c>
      <c r="BI137" s="20" t="e">
        <f>IF(OR(ISBLANK(#REF!), ISBLANK(#REF!)),"Incomplete",(SUM(#REF!-#REF!)))</f>
        <v>#REF!</v>
      </c>
      <c r="BJ137" s="20"/>
      <c r="BK137" s="20">
        <v>12</v>
      </c>
      <c r="BL137" s="20"/>
      <c r="BM137" s="20">
        <v>11</v>
      </c>
      <c r="BN137" s="20"/>
      <c r="BO137" s="20"/>
      <c r="BP137" s="20"/>
      <c r="BQ137" s="20"/>
      <c r="BR137" s="20"/>
      <c r="BS137" s="20"/>
      <c r="BT137" s="20"/>
      <c r="BU137" s="20"/>
      <c r="BV137" s="20"/>
      <c r="BW137" s="91" t="str">
        <f t="shared" si="33"/>
        <v>Incomplete</v>
      </c>
      <c r="BX137" s="91" t="str">
        <f>_xlfn.XLOOKUP(BW137,'Normative data'!$V$3:$V$6,'Normative data'!$W$3:$W$6,"Not Found",-1)</f>
        <v>Very low risk</v>
      </c>
      <c r="BY137" s="91" t="str">
        <f t="shared" si="34"/>
        <v>Incomplete</v>
      </c>
      <c r="BZ137" s="91" t="str">
        <f>_xlfn.XLOOKUP(BY137,'Normative data'!$V$3:$V$6,'Normative data'!$W$3:$W$6,"Not Found",-1)</f>
        <v>Very low risk</v>
      </c>
      <c r="CA137" s="20"/>
      <c r="CC137" s="20"/>
      <c r="CE137" s="20">
        <v>17</v>
      </c>
      <c r="CG137" s="20"/>
      <c r="CH137" s="20" t="str">
        <f>_xlfn.XLOOKUP(CG137, 'Normative data'!$S$9:$S$15,'Normative data'!$T$9:$T$15, "Not Found", -1)</f>
        <v>not completed</v>
      </c>
      <c r="CI137" s="20"/>
      <c r="CJ137" s="20" t="str">
        <f>_xlfn.XLOOKUP(CI137, 'Normative data'!$S$9:$S$15, 'Normative data'!$T$9:$T$15, "Not Found", -1)</f>
        <v>not completed</v>
      </c>
      <c r="CK137" s="21"/>
      <c r="CL137" s="21"/>
      <c r="CM137" s="21"/>
      <c r="CN137" s="21"/>
      <c r="CO137" s="21"/>
      <c r="CQ137" s="20"/>
      <c r="CR137" s="20" t="str" cm="1">
        <f t="array" ref="CR137">IF(OR(ISBLANK(E137),ISBLANK(CQ137)),"Incomplete",_xlfn.XLOOKUP(CQ137,_xlfn.XLOOKUP(E137,'Normative data'!$Y$3:$Y$6,'Normative data'!$Z$3:$AG$6,,-1),'Normative data'!$Z$2:$AG$2,"Not Found",-1))</f>
        <v>Incomplete</v>
      </c>
      <c r="CS137" s="20"/>
      <c r="CT137" s="20"/>
      <c r="CU137" s="20" t="str" cm="1">
        <f t="array" ref="CU137">_xlfn.XLOOKUP(CS137&amp;CT137,(VLOOKUP!$A$3:$A$250)&amp;(VLOOKUP!$B$3:$B$250),VLOOKUP!$C$3:$C$250,"Incomplete",-1)</f>
        <v>Incomplete</v>
      </c>
      <c r="CV137" s="20" t="str" cm="1">
        <f t="array" ref="CV137">_xlfn.XLOOKUP(CU137, _xlfn.XLOOKUP(E137, 'Normative data'!$Y$11:$Y$14, 'Normative data'!$Z$11:$AG$14, ,-1), 'Normative data'!$Z$10:$AG$10, "Not Found", -1)</f>
        <v>Excellent</v>
      </c>
      <c r="CW137" s="20" t="str" cm="1">
        <f t="array" ref="CW137">IF(OR(ISBLANK(CS137),ISBLANK(CT137)),"Incomplete",_xlfn.XLOOKUP(CS137&amp;CT137,VLOOKUP!$A$4:$A$250&amp;VLOOKUP!$B$4:$B$250,VLOOKUP!$D$4:$D$250,"0"))</f>
        <v>Incomplete</v>
      </c>
    </row>
    <row r="138" spans="1:101">
      <c r="A138" s="18" t="s">
        <v>433</v>
      </c>
      <c r="B138" s="18" t="s">
        <v>434</v>
      </c>
      <c r="C138" s="17" t="s">
        <v>86</v>
      </c>
      <c r="D138" s="19">
        <v>39552</v>
      </c>
      <c r="F138" s="17">
        <v>11</v>
      </c>
      <c r="G138" s="17">
        <v>2025</v>
      </c>
      <c r="H138" s="20" t="s">
        <v>124</v>
      </c>
      <c r="I138" s="17">
        <v>3</v>
      </c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41" t="str">
        <f t="shared" si="29"/>
        <v>Incomplete</v>
      </c>
      <c r="AZ138" s="20"/>
      <c r="BA138" s="20" t="str">
        <f t="shared" si="30"/>
        <v>Incomplete</v>
      </c>
      <c r="BB138" s="20"/>
      <c r="BC138" s="20" t="str">
        <f t="shared" si="31"/>
        <v>Incomplete</v>
      </c>
      <c r="BD138" s="20"/>
      <c r="BE138" s="20" t="str">
        <f t="shared" si="32"/>
        <v>Incomplete</v>
      </c>
      <c r="BF138" s="20"/>
      <c r="BG138" s="20"/>
      <c r="BH138" s="20"/>
      <c r="BI138" s="20" t="str">
        <f t="shared" ref="BI138:BI144" si="35">IF(OR(ISBLANK(BG138), ISBLANK(BH138)),"Incomplete",(SUM(BH138-BG138)))</f>
        <v>Incomplete</v>
      </c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91" t="str">
        <f t="shared" si="33"/>
        <v>Incomplete</v>
      </c>
      <c r="BX138" s="91" t="str">
        <f>_xlfn.XLOOKUP(BW138,'Normative data'!$V$3:$V$6,'Normative data'!$W$3:$W$6,"Not Found",-1)</f>
        <v>Very low risk</v>
      </c>
      <c r="BY138" s="91" t="str">
        <f t="shared" si="34"/>
        <v>Incomplete</v>
      </c>
      <c r="BZ138" s="91" t="str">
        <f>_xlfn.XLOOKUP(BY138,'Normative data'!$V$3:$V$6,'Normative data'!$W$3:$W$6,"Not Found",-1)</f>
        <v>Very low risk</v>
      </c>
      <c r="CA138" s="20"/>
      <c r="CC138" s="20"/>
      <c r="CE138" s="20">
        <v>1</v>
      </c>
      <c r="CG138" s="20"/>
      <c r="CH138" s="20" t="str">
        <f>_xlfn.XLOOKUP(CG138, 'Normative data'!$S$9:$S$15,'Normative data'!$T$9:$T$15, "Not Found", -1)</f>
        <v>not completed</v>
      </c>
      <c r="CI138" s="20"/>
      <c r="CJ138" s="20" t="str">
        <f>_xlfn.XLOOKUP(CI138, 'Normative data'!$S$9:$S$15, 'Normative data'!$T$9:$T$15, "Not Found", -1)</f>
        <v>not completed</v>
      </c>
      <c r="CK138" s="21">
        <v>2.5</v>
      </c>
      <c r="CL138" s="24">
        <v>4</v>
      </c>
      <c r="CM138" s="24"/>
      <c r="CN138" s="21">
        <v>7.94</v>
      </c>
      <c r="CO138" s="21">
        <v>6.3</v>
      </c>
      <c r="CP138" s="21"/>
      <c r="CQ138" s="20"/>
      <c r="CR138" s="20" t="str" cm="1">
        <f t="array" ref="CR138">IF(OR(ISBLANK(E138),ISBLANK(CQ138)),"Incomplete",_xlfn.XLOOKUP(CQ138,_xlfn.XLOOKUP(E138,'Normative data'!$Y$3:$Y$6,'Normative data'!$Z$3:$AG$6,,-1),'Normative data'!$Z$2:$AG$2,"Not Found",-1))</f>
        <v>Incomplete</v>
      </c>
      <c r="CS138" s="20"/>
      <c r="CT138" s="20"/>
      <c r="CU138" s="20" t="str" cm="1">
        <f t="array" ref="CU138">_xlfn.XLOOKUP(CS138&amp;CT138,(VLOOKUP!$A$3:$A$250)&amp;(VLOOKUP!$B$3:$B$250),VLOOKUP!$C$3:$C$250,"Incomplete",-1)</f>
        <v>Incomplete</v>
      </c>
      <c r="CV138" s="20" t="str" cm="1">
        <f t="array" ref="CV138">_xlfn.XLOOKUP(CU138, _xlfn.XLOOKUP(E138, 'Normative data'!$Y$11:$Y$14, 'Normative data'!$Z$11:$AG$14, ,-1), 'Normative data'!$Z$10:$AG$10, "Not Found", -1)</f>
        <v>Excellent</v>
      </c>
      <c r="CW138" s="20" t="str" cm="1">
        <f t="array" ref="CW138">IF(OR(ISBLANK(CS138),ISBLANK(CT138)),"Incomplete",_xlfn.XLOOKUP(CS138&amp;CT138,VLOOKUP!$A$4:$A$250&amp;VLOOKUP!$B$4:$B$250,VLOOKUP!$D$4:$D$250,"0"))</f>
        <v>Incomplete</v>
      </c>
    </row>
    <row r="139" spans="1:101">
      <c r="A139" s="18" t="s">
        <v>317</v>
      </c>
      <c r="B139" s="18" t="s">
        <v>316</v>
      </c>
      <c r="C139" s="17" t="s">
        <v>86</v>
      </c>
      <c r="D139" s="19">
        <v>39806</v>
      </c>
      <c r="F139" s="17">
        <v>10</v>
      </c>
      <c r="G139" s="17">
        <v>2025</v>
      </c>
      <c r="H139" s="20" t="s">
        <v>114</v>
      </c>
      <c r="I139" s="17">
        <v>1</v>
      </c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41" t="str">
        <f t="shared" si="29"/>
        <v>Incomplete</v>
      </c>
      <c r="AZ139" s="20"/>
      <c r="BA139" s="20" t="str">
        <f t="shared" si="30"/>
        <v>Incomplete</v>
      </c>
      <c r="BB139" s="20"/>
      <c r="BC139" s="20" t="str">
        <f t="shared" si="31"/>
        <v>Incomplete</v>
      </c>
      <c r="BD139" s="20"/>
      <c r="BE139" s="20" t="str">
        <f t="shared" si="32"/>
        <v>Incomplete</v>
      </c>
      <c r="BF139" s="20"/>
      <c r="BG139" s="20">
        <v>8.1999999999999993</v>
      </c>
      <c r="BH139" s="20">
        <v>22</v>
      </c>
      <c r="BI139" s="20">
        <f t="shared" si="35"/>
        <v>13.8</v>
      </c>
      <c r="BJ139" s="20"/>
      <c r="BK139" s="20">
        <v>3</v>
      </c>
      <c r="BL139" s="20"/>
      <c r="BM139" s="20">
        <v>4</v>
      </c>
      <c r="BN139" s="20"/>
      <c r="BO139" s="20"/>
      <c r="BP139" s="20"/>
      <c r="BQ139" s="20"/>
      <c r="BR139" s="20"/>
      <c r="BS139" s="20"/>
      <c r="BT139" s="20"/>
      <c r="BU139" s="20"/>
      <c r="BV139" s="20"/>
      <c r="BW139" s="91" t="str">
        <f t="shared" si="33"/>
        <v>Incomplete</v>
      </c>
      <c r="BX139" s="91" t="str">
        <f>_xlfn.XLOOKUP(BW139,'Normative data'!$V$3:$V$6,'Normative data'!$W$3:$W$6,"Not Found",-1)</f>
        <v>Very low risk</v>
      </c>
      <c r="BY139" s="91" t="str">
        <f t="shared" si="34"/>
        <v>Incomplete</v>
      </c>
      <c r="BZ139" s="91" t="str">
        <f>_xlfn.XLOOKUP(BY139,'Normative data'!$V$3:$V$6,'Normative data'!$W$3:$W$6,"Not Found",-1)</f>
        <v>Very low risk</v>
      </c>
      <c r="CA139" s="20"/>
      <c r="CC139" s="20"/>
      <c r="CE139" s="20"/>
      <c r="CG139" s="20"/>
      <c r="CH139" s="20" t="str">
        <f>_xlfn.XLOOKUP(CG139, 'Normative data'!$S$9:$S$15,'Normative data'!$T$9:$T$15, "Not Found", -1)</f>
        <v>not completed</v>
      </c>
      <c r="CI139" s="20"/>
      <c r="CJ139" s="20" t="str">
        <f>_xlfn.XLOOKUP(CI139, 'Normative data'!$S$9:$S$15, 'Normative data'!$T$9:$T$15, "Not Found", -1)</f>
        <v>not completed</v>
      </c>
      <c r="CK139" s="24">
        <v>2.33</v>
      </c>
      <c r="CL139" s="24">
        <v>4.29</v>
      </c>
      <c r="CM139" s="21"/>
      <c r="CN139" s="24">
        <v>6.93</v>
      </c>
      <c r="CO139" s="24">
        <v>7.22</v>
      </c>
      <c r="CP139" s="24"/>
      <c r="CQ139" s="20"/>
      <c r="CR139" s="20" t="str" cm="1">
        <f t="array" ref="CR139">IF(OR(ISBLANK(E139),ISBLANK(CQ139)),"Incomplete",_xlfn.XLOOKUP(CQ139,_xlfn.XLOOKUP(E139,'Normative data'!$Y$3:$Y$6,'Normative data'!$Z$3:$AG$6,,-1),'Normative data'!$Z$2:$AG$2,"Not Found",-1))</f>
        <v>Incomplete</v>
      </c>
      <c r="CS139" s="20"/>
      <c r="CT139" s="20"/>
      <c r="CU139" s="20" t="str" cm="1">
        <f t="array" ref="CU139">_xlfn.XLOOKUP(CS139&amp;CT139,(VLOOKUP!$A$3:$A$250)&amp;(VLOOKUP!$B$3:$B$250),VLOOKUP!$C$3:$C$250,"Incomplete",-1)</f>
        <v>Incomplete</v>
      </c>
      <c r="CV139" s="20" t="str" cm="1">
        <f t="array" ref="CV139">_xlfn.XLOOKUP(CU139, _xlfn.XLOOKUP(E139, 'Normative data'!$Y$11:$Y$14, 'Normative data'!$Z$11:$AG$14, ,-1), 'Normative data'!$Z$10:$AG$10, "Not Found", -1)</f>
        <v>Excellent</v>
      </c>
      <c r="CW139" s="20" t="str" cm="1">
        <f t="array" ref="CW139">IF(OR(ISBLANK(CS139),ISBLANK(CT139)),"Incomplete",_xlfn.XLOOKUP(CS139&amp;CT139,VLOOKUP!$A$4:$A$250&amp;VLOOKUP!$B$4:$B$250,VLOOKUP!$D$4:$D$250,"0"))</f>
        <v>Incomplete</v>
      </c>
    </row>
    <row r="140" spans="1:101">
      <c r="A140" s="17" t="s">
        <v>317</v>
      </c>
      <c r="B140" s="17" t="s">
        <v>316</v>
      </c>
      <c r="C140" s="17" t="s">
        <v>86</v>
      </c>
      <c r="D140" s="19">
        <v>39806</v>
      </c>
      <c r="F140" s="17">
        <v>10</v>
      </c>
      <c r="G140" s="17">
        <v>2025</v>
      </c>
      <c r="H140" s="20" t="s">
        <v>124</v>
      </c>
      <c r="I140" s="17">
        <v>3</v>
      </c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41" t="str">
        <f t="shared" si="29"/>
        <v>Incomplete</v>
      </c>
      <c r="AZ140" s="20"/>
      <c r="BA140" s="20" t="str">
        <f t="shared" si="30"/>
        <v>Incomplete</v>
      </c>
      <c r="BB140" s="20"/>
      <c r="BC140" s="20" t="str">
        <f t="shared" si="31"/>
        <v>Incomplete</v>
      </c>
      <c r="BD140" s="20"/>
      <c r="BE140" s="20" t="str">
        <f t="shared" si="32"/>
        <v>Incomplete</v>
      </c>
      <c r="BF140" s="20"/>
      <c r="BG140" s="20"/>
      <c r="BH140" s="20"/>
      <c r="BI140" s="20" t="str">
        <f t="shared" si="35"/>
        <v>Incomplete</v>
      </c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91" t="str">
        <f t="shared" si="33"/>
        <v>Incomplete</v>
      </c>
      <c r="BX140" s="91" t="str">
        <f>_xlfn.XLOOKUP(BW140,'Normative data'!$V$3:$V$6,'Normative data'!$W$3:$W$6,"Not Found",-1)</f>
        <v>Very low risk</v>
      </c>
      <c r="BY140" s="91" t="str">
        <f t="shared" si="34"/>
        <v>Incomplete</v>
      </c>
      <c r="BZ140" s="91" t="str">
        <f>_xlfn.XLOOKUP(BY140,'Normative data'!$V$3:$V$6,'Normative data'!$W$3:$W$6,"Not Found",-1)</f>
        <v>Very low risk</v>
      </c>
      <c r="CA140" s="20"/>
      <c r="CC140" s="20"/>
      <c r="CE140" s="20"/>
      <c r="CG140" s="20"/>
      <c r="CH140" s="20" t="str">
        <f>_xlfn.XLOOKUP(CG140, 'Normative data'!$S$9:$S$15,'Normative data'!$T$9:$T$15, "Not Found", -1)</f>
        <v>not completed</v>
      </c>
      <c r="CI140" s="20"/>
      <c r="CJ140" s="20" t="str">
        <f>_xlfn.XLOOKUP(CI140, 'Normative data'!$S$9:$S$15, 'Normative data'!$T$9:$T$15, "Not Found", -1)</f>
        <v>not completed</v>
      </c>
      <c r="CK140" s="20" t="s">
        <v>435</v>
      </c>
      <c r="CL140" s="20" t="s">
        <v>436</v>
      </c>
      <c r="CN140" s="20" t="s">
        <v>437</v>
      </c>
      <c r="CO140" s="20" t="s">
        <v>438</v>
      </c>
      <c r="CQ140" s="20"/>
      <c r="CR140" s="20" t="str" cm="1">
        <f t="array" ref="CR140">IF(OR(ISBLANK(E140),ISBLANK(CQ140)),"Incomplete",_xlfn.XLOOKUP(CQ140,_xlfn.XLOOKUP(E140,'Normative data'!$Y$3:$Y$6,'Normative data'!$Z$3:$AG$6,,-1),'Normative data'!$Z$2:$AG$2,"Not Found",-1))</f>
        <v>Incomplete</v>
      </c>
      <c r="CS140" s="20"/>
      <c r="CT140" s="20"/>
      <c r="CU140" s="20" t="str" cm="1">
        <f t="array" ref="CU140">_xlfn.XLOOKUP(CS140&amp;CT140,(VLOOKUP!$A$3:$A$250)&amp;(VLOOKUP!$B$3:$B$250),VLOOKUP!$C$3:$C$250,"Incomplete",-1)</f>
        <v>Incomplete</v>
      </c>
      <c r="CV140" s="20" t="str" cm="1">
        <f t="array" ref="CV140">_xlfn.XLOOKUP(CU140, _xlfn.XLOOKUP(E140, 'Normative data'!$Y$11:$Y$14, 'Normative data'!$Z$11:$AG$14, ,-1), 'Normative data'!$Z$10:$AG$10, "Not Found", -1)</f>
        <v>Excellent</v>
      </c>
      <c r="CW140" s="20" t="str" cm="1">
        <f t="array" ref="CW140">IF(OR(ISBLANK(CS140),ISBLANK(CT140)),"Incomplete",_xlfn.XLOOKUP(CS140&amp;CT140,VLOOKUP!$A$4:$A$250&amp;VLOOKUP!$B$4:$B$250,VLOOKUP!$D$4:$D$250,"0"))</f>
        <v>Incomplete</v>
      </c>
    </row>
    <row r="141" spans="1:101">
      <c r="A141" s="17" t="s">
        <v>439</v>
      </c>
      <c r="B141" s="17" t="s">
        <v>440</v>
      </c>
      <c r="C141" s="17" t="s">
        <v>86</v>
      </c>
      <c r="D141" s="26">
        <v>39861</v>
      </c>
      <c r="F141" s="17">
        <v>10</v>
      </c>
      <c r="G141" s="17">
        <v>2025</v>
      </c>
      <c r="H141" s="20" t="s">
        <v>114</v>
      </c>
      <c r="I141" s="17">
        <v>1</v>
      </c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41" t="str">
        <f t="shared" si="29"/>
        <v>Incomplete</v>
      </c>
      <c r="AZ141" s="20"/>
      <c r="BA141" s="20" t="str">
        <f t="shared" si="30"/>
        <v>Incomplete</v>
      </c>
      <c r="BB141" s="20"/>
      <c r="BC141" s="20" t="str">
        <f t="shared" si="31"/>
        <v>Incomplete</v>
      </c>
      <c r="BD141" s="20"/>
      <c r="BE141" s="20" t="str">
        <f t="shared" si="32"/>
        <v>Incomplete</v>
      </c>
      <c r="BF141" s="20"/>
      <c r="BG141" s="20"/>
      <c r="BH141" s="20"/>
      <c r="BI141" s="20" t="str">
        <f t="shared" si="35"/>
        <v>Incomplete</v>
      </c>
      <c r="BJ141" s="20"/>
      <c r="BK141" s="20">
        <v>8</v>
      </c>
      <c r="BL141" s="20"/>
      <c r="BM141" s="20">
        <v>9</v>
      </c>
      <c r="BN141" s="20"/>
      <c r="BO141" s="20"/>
      <c r="BP141" s="20"/>
      <c r="BQ141" s="20"/>
      <c r="BR141" s="20"/>
      <c r="BS141" s="20"/>
      <c r="BT141" s="20"/>
      <c r="BU141" s="20"/>
      <c r="BV141" s="20"/>
      <c r="BW141" s="91" t="str">
        <f t="shared" si="33"/>
        <v>Incomplete</v>
      </c>
      <c r="BX141" s="91" t="str">
        <f>_xlfn.XLOOKUP(BW141,'Normative data'!$V$3:$V$6,'Normative data'!$W$3:$W$6,"Not Found",-1)</f>
        <v>Very low risk</v>
      </c>
      <c r="BY141" s="91" t="str">
        <f t="shared" si="34"/>
        <v>Incomplete</v>
      </c>
      <c r="BZ141" s="91" t="str">
        <f>_xlfn.XLOOKUP(BY141,'Normative data'!$V$3:$V$6,'Normative data'!$W$3:$W$6,"Not Found",-1)</f>
        <v>Very low risk</v>
      </c>
      <c r="CA141" s="20"/>
      <c r="CC141" s="20"/>
      <c r="CE141" s="20">
        <v>11</v>
      </c>
      <c r="CG141" s="20"/>
      <c r="CH141" s="20" t="str">
        <f>_xlfn.XLOOKUP(CG141, 'Normative data'!$S$9:$S$15,'Normative data'!$T$9:$T$15, "Not Found", -1)</f>
        <v>not completed</v>
      </c>
      <c r="CI141" s="20"/>
      <c r="CJ141" s="20" t="str">
        <f>_xlfn.XLOOKUP(CI141, 'Normative data'!$S$9:$S$15, 'Normative data'!$T$9:$T$15, "Not Found", -1)</f>
        <v>not completed</v>
      </c>
      <c r="CK141" s="21">
        <v>2.09</v>
      </c>
      <c r="CL141" s="21">
        <v>4.78</v>
      </c>
      <c r="CM141" s="21"/>
      <c r="CN141" s="21">
        <v>6.37</v>
      </c>
      <c r="CO141" s="21">
        <v>7.85</v>
      </c>
      <c r="CP141" s="21"/>
      <c r="CQ141" s="20"/>
      <c r="CR141" s="20" t="str" cm="1">
        <f t="array" ref="CR141">IF(OR(ISBLANK(E141),ISBLANK(CQ141)),"Incomplete",_xlfn.XLOOKUP(CQ141,_xlfn.XLOOKUP(E141,'Normative data'!$Y$3:$Y$6,'Normative data'!$Z$3:$AG$6,,-1),'Normative data'!$Z$2:$AG$2,"Not Found",-1))</f>
        <v>Incomplete</v>
      </c>
      <c r="CS141" s="20"/>
      <c r="CT141" s="20"/>
      <c r="CU141" s="20" t="str" cm="1">
        <f t="array" ref="CU141">_xlfn.XLOOKUP(CS141&amp;CT141,(VLOOKUP!$A$3:$A$250)&amp;(VLOOKUP!$B$3:$B$250),VLOOKUP!$C$3:$C$250,"Incomplete",-1)</f>
        <v>Incomplete</v>
      </c>
      <c r="CV141" s="20" t="str" cm="1">
        <f t="array" ref="CV141">_xlfn.XLOOKUP(CU141, _xlfn.XLOOKUP(E141, 'Normative data'!$Y$11:$Y$14, 'Normative data'!$Z$11:$AG$14, ,-1), 'Normative data'!$Z$10:$AG$10, "Not Found", -1)</f>
        <v>Excellent</v>
      </c>
      <c r="CW141" s="20" t="str" cm="1">
        <f t="array" ref="CW141">IF(OR(ISBLANK(CS141),ISBLANK(CT141)),"Incomplete",_xlfn.XLOOKUP(CS141&amp;CT141,VLOOKUP!$A$4:$A$250&amp;VLOOKUP!$B$4:$B$250,VLOOKUP!$D$4:$D$250,"0"))</f>
        <v>Incomplete</v>
      </c>
    </row>
    <row r="142" spans="1:101">
      <c r="A142" s="17" t="s">
        <v>441</v>
      </c>
      <c r="B142" s="17" t="s">
        <v>442</v>
      </c>
      <c r="C142" s="17" t="s">
        <v>86</v>
      </c>
      <c r="D142" s="26"/>
      <c r="F142" s="17">
        <v>10</v>
      </c>
      <c r="G142" s="17">
        <v>2025</v>
      </c>
      <c r="H142" s="20" t="s">
        <v>124</v>
      </c>
      <c r="I142" s="17">
        <v>3</v>
      </c>
      <c r="J142" s="17" t="s">
        <v>88</v>
      </c>
      <c r="S142" s="20"/>
      <c r="T142" s="20" t="s">
        <v>443</v>
      </c>
      <c r="U142" s="20" t="s">
        <v>444</v>
      </c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41" t="str">
        <f t="shared" si="29"/>
        <v>Incomplete</v>
      </c>
      <c r="AZ142" s="20"/>
      <c r="BA142" s="20" t="str">
        <f t="shared" si="30"/>
        <v>Incomplete</v>
      </c>
      <c r="BB142" s="20"/>
      <c r="BC142" s="20" t="str">
        <f t="shared" si="31"/>
        <v>Incomplete</v>
      </c>
      <c r="BD142" s="20"/>
      <c r="BE142" s="20" t="str">
        <f t="shared" si="32"/>
        <v>Incomplete</v>
      </c>
      <c r="BF142" s="20"/>
      <c r="BG142" s="20"/>
      <c r="BH142" s="20"/>
      <c r="BI142" s="20" t="str">
        <f t="shared" si="35"/>
        <v>Incomplete</v>
      </c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91" t="str">
        <f t="shared" si="33"/>
        <v>Incomplete</v>
      </c>
      <c r="BX142" s="91" t="str">
        <f>_xlfn.XLOOKUP(BW142,'Normative data'!$V$3:$V$6,'Normative data'!$W$3:$W$6,"Not Found",-1)</f>
        <v>Very low risk</v>
      </c>
      <c r="BY142" s="91" t="str">
        <f t="shared" si="34"/>
        <v>Incomplete</v>
      </c>
      <c r="BZ142" s="91" t="str">
        <f>_xlfn.XLOOKUP(BY142,'Normative data'!$V$3:$V$6,'Normative data'!$W$3:$W$6,"Not Found",-1)</f>
        <v>Very low risk</v>
      </c>
      <c r="CA142" s="20"/>
      <c r="CC142" s="20"/>
      <c r="CE142" s="20"/>
      <c r="CG142" s="20"/>
      <c r="CH142" s="20" t="str">
        <f>_xlfn.XLOOKUP(CG142, 'Normative data'!$S$9:$S$15,'Normative data'!$T$9:$T$15, "Not Found", -1)</f>
        <v>not completed</v>
      </c>
      <c r="CI142" s="20"/>
      <c r="CJ142" s="20" t="str">
        <f>_xlfn.XLOOKUP(CI142, 'Normative data'!$S$9:$S$15, 'Normative data'!$T$9:$T$15, "Not Found", -1)</f>
        <v>not completed</v>
      </c>
      <c r="CK142" s="21"/>
      <c r="CL142" s="21"/>
      <c r="CM142" s="21"/>
      <c r="CN142" s="21"/>
      <c r="CO142" s="21"/>
      <c r="CQ142" s="20"/>
      <c r="CR142" s="20" t="str" cm="1">
        <f t="array" ref="CR142">IF(OR(ISBLANK(E142),ISBLANK(CQ142)),"Incomplete",_xlfn.XLOOKUP(CQ142,_xlfn.XLOOKUP(E142,'Normative data'!$Y$3:$Y$6,'Normative data'!$Z$3:$AG$6,,-1),'Normative data'!$Z$2:$AG$2,"Not Found",-1))</f>
        <v>Incomplete</v>
      </c>
      <c r="CS142" s="20"/>
      <c r="CT142" s="20"/>
      <c r="CU142" s="20" t="str" cm="1">
        <f t="array" ref="CU142">_xlfn.XLOOKUP(CS142&amp;CT142,(VLOOKUP!$A$3:$A$250)&amp;(VLOOKUP!$B$3:$B$250),VLOOKUP!$C$3:$C$250,"Incomplete",-1)</f>
        <v>Incomplete</v>
      </c>
      <c r="CV142" s="20" t="str" cm="1">
        <f t="array" ref="CV142">_xlfn.XLOOKUP(CU142, _xlfn.XLOOKUP(E142, 'Normative data'!$Y$11:$Y$14, 'Normative data'!$Z$11:$AG$14, ,-1), 'Normative data'!$Z$10:$AG$10, "Not Found", -1)</f>
        <v>Excellent</v>
      </c>
      <c r="CW142" s="20" t="str" cm="1">
        <f t="array" ref="CW142">IF(OR(ISBLANK(CS142),ISBLANK(CT142)),"Incomplete",_xlfn.XLOOKUP(CS142&amp;CT142,VLOOKUP!$A$4:$A$250&amp;VLOOKUP!$B$4:$B$250,VLOOKUP!$D$4:$D$250,"0"))</f>
        <v>Incomplete</v>
      </c>
    </row>
    <row r="143" spans="1:101">
      <c r="A143" s="17" t="s">
        <v>441</v>
      </c>
      <c r="B143" s="17" t="s">
        <v>442</v>
      </c>
      <c r="C143" s="17" t="s">
        <v>86</v>
      </c>
      <c r="D143" s="33"/>
      <c r="G143" s="17">
        <v>2026</v>
      </c>
      <c r="H143" s="20" t="s">
        <v>114</v>
      </c>
      <c r="I143" s="17">
        <v>1</v>
      </c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41" t="str">
        <f t="shared" si="29"/>
        <v>Incomplete</v>
      </c>
      <c r="AZ143" s="20"/>
      <c r="BA143" s="20" t="str">
        <f t="shared" si="30"/>
        <v>Incomplete</v>
      </c>
      <c r="BB143" s="20"/>
      <c r="BC143" s="20" t="str">
        <f t="shared" si="31"/>
        <v>Incomplete</v>
      </c>
      <c r="BD143" s="20"/>
      <c r="BE143" s="20" t="str">
        <f t="shared" si="32"/>
        <v>Incomplete</v>
      </c>
      <c r="BF143" s="20"/>
      <c r="BG143" s="20">
        <v>20</v>
      </c>
      <c r="BH143" s="20">
        <v>56</v>
      </c>
      <c r="BI143" s="20">
        <f t="shared" si="35"/>
        <v>36</v>
      </c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91" t="str">
        <f t="shared" si="33"/>
        <v>Incomplete</v>
      </c>
      <c r="BX143" s="91" t="str">
        <f>_xlfn.XLOOKUP(BW143,'Normative data'!$V$3:$V$6,'Normative data'!$W$3:$W$6,"Not Found",-1)</f>
        <v>Very low risk</v>
      </c>
      <c r="BY143" s="91" t="str">
        <f t="shared" si="34"/>
        <v>Incomplete</v>
      </c>
      <c r="BZ143" s="91" t="str">
        <f>_xlfn.XLOOKUP(BY143,'Normative data'!$V$3:$V$6,'Normative data'!$W$3:$W$6,"Not Found",-1)</f>
        <v>Very low risk</v>
      </c>
      <c r="CA143" s="20"/>
      <c r="CC143" s="20" t="s">
        <v>445</v>
      </c>
      <c r="CE143" s="20">
        <v>13</v>
      </c>
      <c r="CG143" s="20"/>
      <c r="CH143" s="20" t="str">
        <f>_xlfn.XLOOKUP(CG143, 'Normative data'!$S$9:$S$15,'Normative data'!$T$9:$T$15, "Not Found", -1)</f>
        <v>not completed</v>
      </c>
      <c r="CI143" s="20"/>
      <c r="CJ143" s="20" t="str">
        <f>_xlfn.XLOOKUP(CI143, 'Normative data'!$S$9:$S$15, 'Normative data'!$T$9:$T$15, "Not Found", -1)</f>
        <v>not completed</v>
      </c>
      <c r="CK143" s="21"/>
      <c r="CL143" s="21"/>
      <c r="CM143" s="21"/>
      <c r="CN143" s="21"/>
      <c r="CO143" s="21"/>
      <c r="CQ143" s="20"/>
      <c r="CR143" s="20" t="str" cm="1">
        <f t="array" ref="CR143">IF(OR(ISBLANK(E143),ISBLANK(CQ143)),"Incomplete",_xlfn.XLOOKUP(CQ143,_xlfn.XLOOKUP(E143,'Normative data'!$Y$3:$Y$6,'Normative data'!$Z$3:$AG$6,,-1),'Normative data'!$Z$2:$AG$2,"Not Found",-1))</f>
        <v>Incomplete</v>
      </c>
      <c r="CS143" s="20"/>
      <c r="CT143" s="20"/>
      <c r="CU143" s="20" t="str" cm="1">
        <f t="array" ref="CU143">_xlfn.XLOOKUP(CS143&amp;CT143,(VLOOKUP!$A$3:$A$250)&amp;(VLOOKUP!$B$3:$B$250),VLOOKUP!$C$3:$C$250,"Incomplete",-1)</f>
        <v>Incomplete</v>
      </c>
      <c r="CV143" s="20" t="str" cm="1">
        <f t="array" ref="CV143">_xlfn.XLOOKUP(CU143, _xlfn.XLOOKUP(E143, 'Normative data'!$Y$11:$Y$14, 'Normative data'!$Z$11:$AG$14, ,-1), 'Normative data'!$Z$10:$AG$10, "Not Found", -1)</f>
        <v>Excellent</v>
      </c>
      <c r="CW143" s="20" t="str" cm="1">
        <f t="array" ref="CW143">IF(OR(ISBLANK(CS143),ISBLANK(CT143)),"Incomplete",_xlfn.XLOOKUP(CS143&amp;CT143,VLOOKUP!$A$4:$A$250&amp;VLOOKUP!$B$4:$B$250,VLOOKUP!$D$4:$D$250,"0"))</f>
        <v>Incomplete</v>
      </c>
    </row>
    <row r="144" spans="1:101">
      <c r="A144" s="22" t="s">
        <v>367</v>
      </c>
      <c r="B144" s="22" t="s">
        <v>446</v>
      </c>
      <c r="C144" s="17" t="s">
        <v>86</v>
      </c>
      <c r="D144" s="23">
        <v>40294</v>
      </c>
      <c r="F144" s="17">
        <v>9</v>
      </c>
      <c r="G144" s="17">
        <v>2025</v>
      </c>
      <c r="H144" s="20" t="s">
        <v>124</v>
      </c>
      <c r="I144" s="17">
        <v>3</v>
      </c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41" t="str">
        <f t="shared" si="29"/>
        <v>Incomplete</v>
      </c>
      <c r="AZ144" s="20"/>
      <c r="BA144" s="20" t="str">
        <f t="shared" si="30"/>
        <v>Incomplete</v>
      </c>
      <c r="BB144" s="20"/>
      <c r="BC144" s="20" t="str">
        <f t="shared" si="31"/>
        <v>Incomplete</v>
      </c>
      <c r="BD144" s="20"/>
      <c r="BE144" s="20" t="str">
        <f t="shared" si="32"/>
        <v>Incomplete</v>
      </c>
      <c r="BF144" s="20"/>
      <c r="BG144" s="20">
        <v>11</v>
      </c>
      <c r="BH144" s="20">
        <v>32.5</v>
      </c>
      <c r="BI144" s="20">
        <f t="shared" si="35"/>
        <v>21.5</v>
      </c>
      <c r="BJ144" s="20"/>
      <c r="BK144" s="20">
        <v>13</v>
      </c>
      <c r="BL144" s="20"/>
      <c r="BM144" s="20">
        <v>12</v>
      </c>
      <c r="BN144" s="20"/>
      <c r="BO144" s="20"/>
      <c r="BP144" s="20"/>
      <c r="BQ144" s="20"/>
      <c r="BR144" s="20"/>
      <c r="BS144" s="20"/>
      <c r="BT144" s="20"/>
      <c r="BU144" s="20"/>
      <c r="BV144" s="20"/>
      <c r="BW144" s="91" t="str">
        <f t="shared" si="33"/>
        <v>Incomplete</v>
      </c>
      <c r="BX144" s="91" t="str">
        <f>_xlfn.XLOOKUP(BW144,'Normative data'!$V$3:$V$6,'Normative data'!$W$3:$W$6,"Not Found",-1)</f>
        <v>Very low risk</v>
      </c>
      <c r="BY144" s="91" t="str">
        <f t="shared" si="34"/>
        <v>Incomplete</v>
      </c>
      <c r="BZ144" s="91" t="str">
        <f>_xlfn.XLOOKUP(BY144,'Normative data'!$V$3:$V$6,'Normative data'!$W$3:$W$6,"Not Found",-1)</f>
        <v>Very low risk</v>
      </c>
      <c r="CA144" s="20"/>
      <c r="CC144" s="20"/>
      <c r="CE144" s="20">
        <v>10</v>
      </c>
      <c r="CG144" s="20"/>
      <c r="CH144" s="20" t="str">
        <f>_xlfn.XLOOKUP(CG144, 'Normative data'!$S$9:$S$15,'Normative data'!$T$9:$T$15, "Not Found", -1)</f>
        <v>not completed</v>
      </c>
      <c r="CI144" s="20"/>
      <c r="CJ144" s="20" t="str">
        <f>_xlfn.XLOOKUP(CI144, 'Normative data'!$S$9:$S$15, 'Normative data'!$T$9:$T$15, "Not Found", -1)</f>
        <v>not completed</v>
      </c>
      <c r="CK144" s="24">
        <v>2.48</v>
      </c>
      <c r="CL144" s="24">
        <v>4.03</v>
      </c>
      <c r="CM144" s="21"/>
      <c r="CN144" s="24">
        <v>7.73</v>
      </c>
      <c r="CO144" s="24">
        <v>6.47</v>
      </c>
      <c r="CP144" s="24"/>
      <c r="CQ144" s="20"/>
      <c r="CR144" s="20" t="str" cm="1">
        <f t="array" ref="CR144">IF(OR(ISBLANK(E144),ISBLANK(CQ144)),"Incomplete",_xlfn.XLOOKUP(CQ144,_xlfn.XLOOKUP(E144,'Normative data'!$Y$3:$Y$6,'Normative data'!$Z$3:$AG$6,,-1),'Normative data'!$Z$2:$AG$2,"Not Found",-1))</f>
        <v>Incomplete</v>
      </c>
      <c r="CS144" s="20"/>
      <c r="CT144" s="20"/>
      <c r="CU144" s="20" t="str" cm="1">
        <f t="array" ref="CU144">_xlfn.XLOOKUP(CS144&amp;CT144,(VLOOKUP!$A$3:$A$250)&amp;(VLOOKUP!$B$3:$B$250),VLOOKUP!$C$3:$C$250,"Incomplete",-1)</f>
        <v>Incomplete</v>
      </c>
      <c r="CV144" s="20" t="str" cm="1">
        <f t="array" ref="CV144">_xlfn.XLOOKUP(CU144, _xlfn.XLOOKUP(E144, 'Normative data'!$Y$11:$Y$14, 'Normative data'!$Z$11:$AG$14, ,-1), 'Normative data'!$Z$10:$AG$10, "Not Found", -1)</f>
        <v>Excellent</v>
      </c>
      <c r="CW144" s="20" t="str" cm="1">
        <f t="array" ref="CW144">IF(OR(ISBLANK(CS144),ISBLANK(CT144)),"Incomplete",_xlfn.XLOOKUP(CS144&amp;CT144,VLOOKUP!$A$4:$A$250&amp;VLOOKUP!$B$4:$B$250,VLOOKUP!$D$4:$D$250,"0"))</f>
        <v>Incomplete</v>
      </c>
    </row>
    <row r="145" spans="1:101">
      <c r="A145" s="18" t="s">
        <v>447</v>
      </c>
      <c r="B145" s="18" t="s">
        <v>448</v>
      </c>
      <c r="C145" s="17" t="s">
        <v>86</v>
      </c>
      <c r="D145" s="19">
        <v>39947</v>
      </c>
      <c r="F145" s="17">
        <v>10</v>
      </c>
      <c r="G145" s="17">
        <v>2025</v>
      </c>
      <c r="H145" s="20" t="s">
        <v>124</v>
      </c>
      <c r="I145" s="17">
        <v>3</v>
      </c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41" t="str">
        <f t="shared" si="29"/>
        <v>Incomplete</v>
      </c>
      <c r="AZ145" s="20"/>
      <c r="BA145" s="20" t="str">
        <f t="shared" si="30"/>
        <v>Incomplete</v>
      </c>
      <c r="BB145" s="20"/>
      <c r="BC145" s="20" t="str">
        <f t="shared" si="31"/>
        <v>Incomplete</v>
      </c>
      <c r="BD145" s="20"/>
      <c r="BE145" s="20" t="str">
        <f t="shared" si="32"/>
        <v>Incomplete</v>
      </c>
      <c r="BF145" s="20"/>
      <c r="BG145" s="20">
        <v>15.8</v>
      </c>
      <c r="BH145" s="20">
        <v>40</v>
      </c>
      <c r="BI145" s="20" t="e">
        <f>IF(OR(ISBLANK(#REF!), ISBLANK(#REF!)),"Incomplete",(SUM(#REF!-#REF!)))</f>
        <v>#REF!</v>
      </c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91" t="str">
        <f t="shared" si="33"/>
        <v>Incomplete</v>
      </c>
      <c r="BX145" s="91" t="str">
        <f>_xlfn.XLOOKUP(BW145,'Normative data'!$V$3:$V$6,'Normative data'!$W$3:$W$6,"Not Found",-1)</f>
        <v>Very low risk</v>
      </c>
      <c r="BY145" s="91" t="str">
        <f t="shared" si="34"/>
        <v>Incomplete</v>
      </c>
      <c r="BZ145" s="91" t="str">
        <f>_xlfn.XLOOKUP(BY145,'Normative data'!$V$3:$V$6,'Normative data'!$W$3:$W$6,"Not Found",-1)</f>
        <v>Very low risk</v>
      </c>
      <c r="CA145" s="20"/>
      <c r="CC145" s="20"/>
      <c r="CE145" s="20"/>
      <c r="CG145" s="20"/>
      <c r="CH145" s="20" t="str">
        <f>_xlfn.XLOOKUP(CG145, 'Normative data'!$S$9:$S$15,'Normative data'!$T$9:$T$15, "Not Found", -1)</f>
        <v>not completed</v>
      </c>
      <c r="CI145" s="20"/>
      <c r="CJ145" s="20" t="str">
        <f>_xlfn.XLOOKUP(CI145, 'Normative data'!$S$9:$S$15, 'Normative data'!$T$9:$T$15, "Not Found", -1)</f>
        <v>not completed</v>
      </c>
      <c r="CK145" s="21">
        <v>2.36</v>
      </c>
      <c r="CL145" s="21">
        <v>4.24</v>
      </c>
      <c r="CM145" s="21"/>
      <c r="CN145" s="21">
        <v>7.15</v>
      </c>
      <c r="CO145" s="21">
        <v>6.99</v>
      </c>
      <c r="CP145" s="21"/>
      <c r="CQ145" s="20"/>
      <c r="CR145" s="20" t="str" cm="1">
        <f t="array" ref="CR145">IF(OR(ISBLANK(E145),ISBLANK(CQ145)),"Incomplete",_xlfn.XLOOKUP(CQ145,_xlfn.XLOOKUP(E145,'Normative data'!$Y$3:$Y$6,'Normative data'!$Z$3:$AG$6,,-1),'Normative data'!$Z$2:$AG$2,"Not Found",-1))</f>
        <v>Incomplete</v>
      </c>
      <c r="CS145" s="20"/>
      <c r="CT145" s="20"/>
      <c r="CU145" s="20" t="str" cm="1">
        <f t="array" ref="CU145">_xlfn.XLOOKUP(CS145&amp;CT145,(VLOOKUP!$A$3:$A$250)&amp;(VLOOKUP!$B$3:$B$250),VLOOKUP!$C$3:$C$250,"Incomplete",-1)</f>
        <v>Incomplete</v>
      </c>
      <c r="CV145" s="20" t="str" cm="1">
        <f t="array" ref="CV145">_xlfn.XLOOKUP(CU145, _xlfn.XLOOKUP(E145, 'Normative data'!$Y$11:$Y$14, 'Normative data'!$Z$11:$AG$14, ,-1), 'Normative data'!$Z$10:$AG$10, "Not Found", -1)</f>
        <v>Excellent</v>
      </c>
      <c r="CW145" s="20" t="str" cm="1">
        <f t="array" ref="CW145">IF(OR(ISBLANK(CS145),ISBLANK(CT145)),"Incomplete",_xlfn.XLOOKUP(CS145&amp;CT145,VLOOKUP!$A$4:$A$250&amp;VLOOKUP!$B$4:$B$250,VLOOKUP!$D$4:$D$250,"0"))</f>
        <v>Incomplete</v>
      </c>
    </row>
    <row r="146" spans="1:101" ht="13.9" customHeight="1">
      <c r="A146" s="22" t="s">
        <v>449</v>
      </c>
      <c r="B146" s="22" t="s">
        <v>450</v>
      </c>
      <c r="C146" s="17" t="s">
        <v>86</v>
      </c>
      <c r="D146" s="23">
        <v>39651</v>
      </c>
      <c r="F146" s="17">
        <v>11</v>
      </c>
      <c r="G146" s="17">
        <v>2025</v>
      </c>
      <c r="H146" s="20" t="s">
        <v>114</v>
      </c>
      <c r="I146" s="17">
        <v>1</v>
      </c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41" t="str">
        <f t="shared" si="29"/>
        <v>Incomplete</v>
      </c>
      <c r="AZ146" s="20"/>
      <c r="BA146" s="20" t="str">
        <f t="shared" si="30"/>
        <v>Incomplete</v>
      </c>
      <c r="BB146" s="20"/>
      <c r="BC146" s="20" t="str">
        <f t="shared" si="31"/>
        <v>Incomplete</v>
      </c>
      <c r="BD146" s="20"/>
      <c r="BE146" s="20" t="str">
        <f t="shared" si="32"/>
        <v>Incomplete</v>
      </c>
      <c r="BF146" s="20"/>
      <c r="BG146" s="20">
        <v>12.5</v>
      </c>
      <c r="BH146" s="20">
        <v>27</v>
      </c>
      <c r="BI146" s="20">
        <f>IF(OR(ISBLANK(BG146), ISBLANK(BH146)),"Incomplete",(SUM(BH146-BG146)))</f>
        <v>14.5</v>
      </c>
      <c r="BJ146" s="20"/>
      <c r="BK146" s="20">
        <v>13</v>
      </c>
      <c r="BL146" s="20"/>
      <c r="BM146" s="20">
        <v>13</v>
      </c>
      <c r="BN146" s="20"/>
      <c r="BO146" s="20"/>
      <c r="BP146" s="20"/>
      <c r="BQ146" s="20"/>
      <c r="BR146" s="20"/>
      <c r="BS146" s="20"/>
      <c r="BT146" s="20"/>
      <c r="BU146" s="20"/>
      <c r="BV146" s="20"/>
      <c r="BW146" s="91" t="str">
        <f t="shared" si="33"/>
        <v>Incomplete</v>
      </c>
      <c r="BX146" s="91" t="str">
        <f>_xlfn.XLOOKUP(BW146,'Normative data'!$V$3:$V$6,'Normative data'!$W$3:$W$6,"Not Found",-1)</f>
        <v>Very low risk</v>
      </c>
      <c r="BY146" s="91" t="str">
        <f t="shared" si="34"/>
        <v>Incomplete</v>
      </c>
      <c r="BZ146" s="91" t="str">
        <f>_xlfn.XLOOKUP(BY146,'Normative data'!$V$3:$V$6,'Normative data'!$W$3:$W$6,"Not Found",-1)</f>
        <v>Very low risk</v>
      </c>
      <c r="CA146" s="20"/>
      <c r="CC146" s="20"/>
      <c r="CE146" s="20">
        <v>5</v>
      </c>
      <c r="CG146" s="20"/>
      <c r="CH146" s="20" t="str">
        <f>_xlfn.XLOOKUP(CG146, 'Normative data'!$S$9:$S$15,'Normative data'!$T$9:$T$15, "Not Found", -1)</f>
        <v>not completed</v>
      </c>
      <c r="CI146" s="20"/>
      <c r="CJ146" s="20" t="str">
        <f>_xlfn.XLOOKUP(CI146, 'Normative data'!$S$9:$S$15, 'Normative data'!$T$9:$T$15, "Not Found", -1)</f>
        <v>not completed</v>
      </c>
      <c r="CK146" s="24">
        <v>2.3199999999999998</v>
      </c>
      <c r="CL146" s="24">
        <v>4.3099999999999996</v>
      </c>
      <c r="CM146" s="21"/>
      <c r="CN146" s="24">
        <v>7.28</v>
      </c>
      <c r="CO146" s="24">
        <v>6.87</v>
      </c>
      <c r="CP146" s="24"/>
      <c r="CQ146" s="20"/>
      <c r="CR146" s="20" t="str" cm="1">
        <f t="array" ref="CR146">IF(OR(ISBLANK(E146),ISBLANK(CQ146)),"Incomplete",_xlfn.XLOOKUP(CQ146,_xlfn.XLOOKUP(E146,'Normative data'!$Y$3:$Y$6,'Normative data'!$Z$3:$AG$6,,-1),'Normative data'!$Z$2:$AG$2,"Not Found",-1))</f>
        <v>Incomplete</v>
      </c>
      <c r="CS146" s="20"/>
      <c r="CT146" s="20"/>
      <c r="CU146" s="20" t="str" cm="1">
        <f t="array" ref="CU146">_xlfn.XLOOKUP(CS146&amp;CT146,(VLOOKUP!$A$3:$A$250)&amp;(VLOOKUP!$B$3:$B$250),VLOOKUP!$C$3:$C$250,"Incomplete",-1)</f>
        <v>Incomplete</v>
      </c>
      <c r="CV146" s="20" t="str" cm="1">
        <f t="array" ref="CV146">_xlfn.XLOOKUP(CU146, _xlfn.XLOOKUP(E146, 'Normative data'!$Y$11:$Y$14, 'Normative data'!$Z$11:$AG$14, ,-1), 'Normative data'!$Z$10:$AG$10, "Not Found", -1)</f>
        <v>Excellent</v>
      </c>
      <c r="CW146" s="20" t="str" cm="1">
        <f t="array" ref="CW146">IF(OR(ISBLANK(CS146),ISBLANK(CT146)),"Incomplete",_xlfn.XLOOKUP(CS146&amp;CT146,VLOOKUP!$A$4:$A$250&amp;VLOOKUP!$B$4:$B$250,VLOOKUP!$D$4:$D$250,"0"))</f>
        <v>Incomplete</v>
      </c>
    </row>
    <row r="147" spans="1:101" ht="13.9" customHeight="1">
      <c r="A147" s="17" t="s">
        <v>449</v>
      </c>
      <c r="B147" s="17" t="s">
        <v>450</v>
      </c>
      <c r="C147" s="17" t="s">
        <v>86</v>
      </c>
      <c r="D147" s="23">
        <v>39651</v>
      </c>
      <c r="F147" s="17">
        <v>11</v>
      </c>
      <c r="G147" s="17">
        <v>2025</v>
      </c>
      <c r="H147" s="20" t="s">
        <v>124</v>
      </c>
      <c r="I147" s="17">
        <v>3</v>
      </c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41" t="str">
        <f t="shared" si="29"/>
        <v>Incomplete</v>
      </c>
      <c r="AZ147" s="20"/>
      <c r="BA147" s="20" t="str">
        <f t="shared" si="30"/>
        <v>Incomplete</v>
      </c>
      <c r="BB147" s="20"/>
      <c r="BC147" s="20" t="str">
        <f t="shared" si="31"/>
        <v>Incomplete</v>
      </c>
      <c r="BD147" s="20"/>
      <c r="BE147" s="20" t="str">
        <f t="shared" si="32"/>
        <v>Incomplete</v>
      </c>
      <c r="BF147" s="20"/>
      <c r="BG147" s="20"/>
      <c r="BH147" s="20"/>
      <c r="BI147" s="20" t="str">
        <f>IF(OR(ISBLANK(BG147), ISBLANK(BH147)),"Incomplete",(SUM(BH147-BG147)))</f>
        <v>Incomplete</v>
      </c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91" t="str">
        <f t="shared" si="33"/>
        <v>Incomplete</v>
      </c>
      <c r="BX147" s="91" t="str">
        <f>_xlfn.XLOOKUP(BW147,'Normative data'!$V$3:$V$6,'Normative data'!$W$3:$W$6,"Not Found",-1)</f>
        <v>Very low risk</v>
      </c>
      <c r="BY147" s="91" t="str">
        <f t="shared" si="34"/>
        <v>Incomplete</v>
      </c>
      <c r="BZ147" s="91" t="str">
        <f>_xlfn.XLOOKUP(BY147,'Normative data'!$V$3:$V$6,'Normative data'!$W$3:$W$6,"Not Found",-1)</f>
        <v>Very low risk</v>
      </c>
      <c r="CA147" s="20"/>
      <c r="CC147" s="20"/>
      <c r="CE147" s="20"/>
      <c r="CG147" s="20"/>
      <c r="CH147" s="20" t="str">
        <f>_xlfn.XLOOKUP(CG147, 'Normative data'!$S$9:$S$15,'Normative data'!$T$9:$T$15, "Not Found", -1)</f>
        <v>not completed</v>
      </c>
      <c r="CI147" s="20"/>
      <c r="CJ147" s="20" t="str">
        <f>_xlfn.XLOOKUP(CI147, 'Normative data'!$S$9:$S$15, 'Normative data'!$T$9:$T$15, "Not Found", -1)</f>
        <v>not completed</v>
      </c>
      <c r="CK147" s="20" t="s">
        <v>360</v>
      </c>
      <c r="CL147" s="20" t="s">
        <v>451</v>
      </c>
      <c r="CN147" s="20" t="s">
        <v>452</v>
      </c>
      <c r="CO147" s="20" t="s">
        <v>379</v>
      </c>
      <c r="CQ147" s="20"/>
      <c r="CR147" s="20" t="str" cm="1">
        <f t="array" ref="CR147">IF(OR(ISBLANK(E147),ISBLANK(CQ147)),"Incomplete",_xlfn.XLOOKUP(CQ147,_xlfn.XLOOKUP(E147,'Normative data'!$Y$3:$Y$6,'Normative data'!$Z$3:$AG$6,,-1),'Normative data'!$Z$2:$AG$2,"Not Found",-1))</f>
        <v>Incomplete</v>
      </c>
      <c r="CS147" s="20"/>
      <c r="CT147" s="20"/>
      <c r="CU147" s="20" t="str" cm="1">
        <f t="array" ref="CU147">_xlfn.XLOOKUP(CS147&amp;CT147,(VLOOKUP!$A$3:$A$250)&amp;(VLOOKUP!$B$3:$B$250),VLOOKUP!$C$3:$C$250,"Incomplete",-1)</f>
        <v>Incomplete</v>
      </c>
      <c r="CV147" s="20" t="str" cm="1">
        <f t="array" ref="CV147">_xlfn.XLOOKUP(CU147, _xlfn.XLOOKUP(E147, 'Normative data'!$Y$11:$Y$14, 'Normative data'!$Z$11:$AG$14, ,-1), 'Normative data'!$Z$10:$AG$10, "Not Found", -1)</f>
        <v>Excellent</v>
      </c>
      <c r="CW147" s="20" t="str" cm="1">
        <f t="array" ref="CW147">IF(OR(ISBLANK(CS147),ISBLANK(CT147)),"Incomplete",_xlfn.XLOOKUP(CS147&amp;CT147,VLOOKUP!$A$4:$A$250&amp;VLOOKUP!$B$4:$B$250,VLOOKUP!$D$4:$D$250,"0"))</f>
        <v>Incomplete</v>
      </c>
    </row>
    <row r="148" spans="1:101">
      <c r="A148" s="17" t="s">
        <v>91</v>
      </c>
      <c r="B148" s="17" t="s">
        <v>94</v>
      </c>
      <c r="C148" s="17" t="s">
        <v>86</v>
      </c>
      <c r="D148" s="19">
        <v>39646</v>
      </c>
      <c r="G148" s="17">
        <v>2025</v>
      </c>
      <c r="H148" s="20" t="s">
        <v>124</v>
      </c>
      <c r="I148" s="17">
        <v>3</v>
      </c>
      <c r="S148" s="20"/>
      <c r="T148" s="20" t="s">
        <v>453</v>
      </c>
      <c r="U148" s="20" t="s">
        <v>454</v>
      </c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>
        <v>23.9</v>
      </c>
      <c r="AR148" s="20">
        <v>0.442</v>
      </c>
      <c r="AS148" s="20">
        <v>23.5</v>
      </c>
      <c r="AT148" s="20">
        <v>0.438</v>
      </c>
      <c r="AU148" s="20">
        <v>12</v>
      </c>
      <c r="AV148" s="20">
        <v>0.313</v>
      </c>
      <c r="AW148" s="20">
        <v>13.3</v>
      </c>
      <c r="AX148" s="20">
        <v>0.32900000000000001</v>
      </c>
      <c r="AY148" s="41" t="e">
        <f>IF(OR(ISBLANK(#REF!), ISBLANK(AQ148)), "Incomplete", (60.7*AQ148)+(45.3*#REF!)-2055)</f>
        <v>#REF!</v>
      </c>
      <c r="AZ148" s="20"/>
      <c r="BA148" s="20" t="e">
        <f>IF(OR(ISBLANK(#REF!), ISBLANK(AS148)), "Incomplete", (60.7*AS148)+(45.3*#REF!)-2055)</f>
        <v>#REF!</v>
      </c>
      <c r="BB148" s="20"/>
      <c r="BC148" s="20" t="e">
        <f>IF(OR(ISBLANK(#REF!), ISBLANK(AU148)), "Incomplete", (60.7*AU148)+(45.3*#REF!)-2055)</f>
        <v>#REF!</v>
      </c>
      <c r="BD148" s="20"/>
      <c r="BE148" s="20" t="e">
        <f>IF(OR(ISBLANK(#REF!), ISBLANK(AW148)), "Incomplete", (60.7*AW148)+(45.3*#REF!)-2055)</f>
        <v>#REF!</v>
      </c>
      <c r="BF148" s="20"/>
      <c r="BG148" s="20">
        <v>17</v>
      </c>
      <c r="BH148" s="20">
        <v>58</v>
      </c>
      <c r="BI148" s="20" t="e">
        <f>IF(OR(ISBLANK(#REF!), ISBLANK(#REF!)),"Incomplete",(SUM(#REF!-#REF!)))</f>
        <v>#REF!</v>
      </c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91" t="str">
        <f>IFERROR(SUM(BQ148+BR148+BS148)/(3*(#REF!-S148))*100, "Incomplete")</f>
        <v>Incomplete</v>
      </c>
      <c r="BX148" s="91" t="str">
        <f>_xlfn.XLOOKUP(BW148,'Normative data'!$V$3:$V$6,'Normative data'!$W$3:$W$6,"Not Found",-1)</f>
        <v>Very low risk</v>
      </c>
      <c r="BY148" s="91" t="str">
        <f>IFERROR(SUM(BT148+BU148+BV148)/(3*(#REF!-S148))*100, "Incomplete")</f>
        <v>Incomplete</v>
      </c>
      <c r="BZ148" s="91" t="str">
        <f>_xlfn.XLOOKUP(BY148,'Normative data'!$V$3:$V$6,'Normative data'!$W$3:$W$6,"Not Found",-1)</f>
        <v>Very low risk</v>
      </c>
      <c r="CA148" s="20"/>
      <c r="CC148" s="20"/>
      <c r="CE148" s="20"/>
      <c r="CG148" s="20"/>
      <c r="CH148" s="20" t="str">
        <f>_xlfn.XLOOKUP(CG148, 'Normative data'!$S$9:$S$15,'Normative data'!$T$9:$T$15, "Not Found", -1)</f>
        <v>not completed</v>
      </c>
      <c r="CI148" s="20"/>
      <c r="CJ148" s="20" t="str">
        <f>_xlfn.XLOOKUP(CI148, 'Normative data'!$S$9:$S$15, 'Normative data'!$T$9:$T$15, "Not Found", -1)</f>
        <v>not completed</v>
      </c>
      <c r="CK148" s="21">
        <v>2.25</v>
      </c>
      <c r="CL148" s="21">
        <v>4.4400000000000004</v>
      </c>
      <c r="CM148" s="21"/>
      <c r="CN148" s="21">
        <v>6.9</v>
      </c>
      <c r="CO148" s="21">
        <v>7.25</v>
      </c>
      <c r="CQ148" s="20"/>
      <c r="CR148" s="20" t="str" cm="1">
        <f t="array" ref="CR148">IF(OR(ISBLANK(E148),ISBLANK(CQ148)),"Incomplete",_xlfn.XLOOKUP(CQ148,_xlfn.XLOOKUP(E148,'Normative data'!$Y$3:$Y$6,'Normative data'!$Z$3:$AG$6,,-1),'Normative data'!$Z$2:$AG$2,"Not Found",-1))</f>
        <v>Incomplete</v>
      </c>
      <c r="CS148" s="20"/>
      <c r="CT148" s="20"/>
      <c r="CU148" s="20" t="str" cm="1">
        <f t="array" ref="CU148">_xlfn.XLOOKUP(CS148&amp;CT148,(VLOOKUP!$A$3:$A$250)&amp;(VLOOKUP!$B$3:$B$250),VLOOKUP!$C$3:$C$250,"Incomplete",-1)</f>
        <v>Incomplete</v>
      </c>
      <c r="CV148" s="20" t="str" cm="1">
        <f t="array" ref="CV148">_xlfn.XLOOKUP(CU148, _xlfn.XLOOKUP(E148, 'Normative data'!$Y$11:$Y$14, 'Normative data'!$Z$11:$AG$14, ,-1), 'Normative data'!$Z$10:$AG$10, "Not Found", -1)</f>
        <v>Excellent</v>
      </c>
      <c r="CW148" s="20" t="str" cm="1">
        <f t="array" ref="CW148">IF(OR(ISBLANK(CS148),ISBLANK(CT148)),"Incomplete",_xlfn.XLOOKUP(CS148&amp;CT148,VLOOKUP!$A$4:$A$250&amp;VLOOKUP!$B$4:$B$250,VLOOKUP!$D$4:$D$250,"0"))</f>
        <v>Incomplete</v>
      </c>
    </row>
    <row r="149" spans="1:101">
      <c r="A149" s="17" t="s">
        <v>455</v>
      </c>
      <c r="B149" s="17" t="s">
        <v>94</v>
      </c>
      <c r="C149" s="17" t="s">
        <v>86</v>
      </c>
      <c r="D149" s="23">
        <v>40863</v>
      </c>
      <c r="G149" s="17">
        <v>2025</v>
      </c>
      <c r="H149" s="20" t="s">
        <v>114</v>
      </c>
      <c r="I149" s="17">
        <v>1</v>
      </c>
      <c r="J149" s="17" t="s">
        <v>122</v>
      </c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41" t="str">
        <f>IF(OR(ISBLANK(U149), ISBLANK(AQ149)), "Incomplete", (60.7*AQ149)+(45.3*U149)-2055)</f>
        <v>Incomplete</v>
      </c>
      <c r="AZ149" s="20"/>
      <c r="BA149" s="20" t="str">
        <f>IF(OR(ISBLANK(U149), ISBLANK(AS149)), "Incomplete", (60.7*AS149)+(45.3*U149)-2055)</f>
        <v>Incomplete</v>
      </c>
      <c r="BB149" s="20"/>
      <c r="BC149" s="20" t="str">
        <f>IF(OR(ISBLANK(U149), ISBLANK(AU149)), "Incomplete", (60.7*AU149)+(45.3*U149)-2055)</f>
        <v>Incomplete</v>
      </c>
      <c r="BD149" s="20"/>
      <c r="BE149" s="20" t="str">
        <f>IF(OR(ISBLANK(U149), ISBLANK(AW149)), "Incomplete", (60.7*AW149)+(45.3*U149)-2055)</f>
        <v>Incomplete</v>
      </c>
      <c r="BF149" s="20"/>
      <c r="BG149" s="20"/>
      <c r="BH149" s="20"/>
      <c r="BI149" s="20" t="str">
        <f>IF(OR(ISBLANK(BG149), ISBLANK(BH149)),"Incomplete",(SUM(BH149-BG149)))</f>
        <v>Incomplete</v>
      </c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91" t="str">
        <f>IFERROR(SUM(BQ149+BR149+BS149)/(3*(T149-S149))*100, "Incomplete")</f>
        <v>Incomplete</v>
      </c>
      <c r="BX149" s="91" t="str">
        <f>_xlfn.XLOOKUP(BW149,'Normative data'!$V$3:$V$6,'Normative data'!$W$3:$W$6,"Not Found",-1)</f>
        <v>Very low risk</v>
      </c>
      <c r="BY149" s="91" t="str">
        <f>IFERROR(SUM(BT149+BU149+BV149)/(3*(T149-S149))*100, "Incomplete")</f>
        <v>Incomplete</v>
      </c>
      <c r="BZ149" s="91" t="str">
        <f>_xlfn.XLOOKUP(BY149,'Normative data'!$V$3:$V$6,'Normative data'!$W$3:$W$6,"Not Found",-1)</f>
        <v>Very low risk</v>
      </c>
      <c r="CA149" s="20"/>
      <c r="CC149" s="20"/>
      <c r="CE149" s="20"/>
      <c r="CG149" s="20">
        <v>16.760000000000002</v>
      </c>
      <c r="CH149" s="20" t="str">
        <f>_xlfn.XLOOKUP(CG149, 'Normative data'!$S$9:$S$15,'Normative data'!$T$9:$T$15, "Not Found", -1)</f>
        <v>Excellent</v>
      </c>
      <c r="CI149" s="20">
        <v>16.7</v>
      </c>
      <c r="CJ149" s="20" t="str">
        <f>_xlfn.XLOOKUP(CI149, 'Normative data'!$S$9:$S$15, 'Normative data'!$T$9:$T$15, "Not Found", -1)</f>
        <v>Excellent</v>
      </c>
      <c r="CK149" s="21"/>
      <c r="CL149" s="21"/>
      <c r="CM149" s="21"/>
      <c r="CN149" s="21"/>
      <c r="CO149" s="21"/>
      <c r="CQ149" s="20"/>
      <c r="CR149" s="20" t="str" cm="1">
        <f t="array" ref="CR149">IF(OR(ISBLANK(E149),ISBLANK(CQ149)),"Incomplete",_xlfn.XLOOKUP(CQ149,_xlfn.XLOOKUP(E149,'Normative data'!$Y$3:$Y$6,'Normative data'!$Z$3:$AG$6,,-1),'Normative data'!$Z$2:$AG$2,"Not Found",-1))</f>
        <v>Incomplete</v>
      </c>
      <c r="CS149" s="20"/>
      <c r="CT149" s="20"/>
      <c r="CU149" s="20" t="str" cm="1">
        <f t="array" ref="CU149">_xlfn.XLOOKUP(CS149&amp;CT149,(VLOOKUP!$A$3:$A$250)&amp;(VLOOKUP!$B$3:$B$250),VLOOKUP!$C$3:$C$250,"Incomplete",-1)</f>
        <v>Incomplete</v>
      </c>
      <c r="CV149" s="20" t="str" cm="1">
        <f t="array" ref="CV149">_xlfn.XLOOKUP(CU149, _xlfn.XLOOKUP(E149, 'Normative data'!$Y$11:$Y$14, 'Normative data'!$Z$11:$AG$14, ,-1), 'Normative data'!$Z$10:$AG$10, "Not Found", -1)</f>
        <v>Excellent</v>
      </c>
      <c r="CW149" s="20" t="str" cm="1">
        <f t="array" ref="CW149">IF(OR(ISBLANK(CS149),ISBLANK(CT149)),"Incomplete",_xlfn.XLOOKUP(CS149&amp;CT149,VLOOKUP!$A$4:$A$250&amp;VLOOKUP!$B$4:$B$250,VLOOKUP!$D$4:$D$250,"0"))</f>
        <v>Incomplete</v>
      </c>
    </row>
    <row r="150" spans="1:101">
      <c r="A150" s="17" t="s">
        <v>455</v>
      </c>
      <c r="B150" s="17" t="s">
        <v>94</v>
      </c>
      <c r="C150" s="17" t="s">
        <v>86</v>
      </c>
      <c r="D150" s="23">
        <v>40863</v>
      </c>
      <c r="G150" s="17">
        <v>2025</v>
      </c>
      <c r="H150" s="20" t="s">
        <v>124</v>
      </c>
      <c r="I150" s="17">
        <v>3</v>
      </c>
      <c r="J150" s="17" t="s">
        <v>122</v>
      </c>
      <c r="S150" s="20"/>
      <c r="T150" s="20" t="s">
        <v>456</v>
      </c>
      <c r="U150" s="20" t="s">
        <v>457</v>
      </c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41" t="str">
        <f>IF(OR(ISBLANK(#REF!), ISBLANK(AQ150)), "Incomplete", (60.7*AQ150)+(45.3*#REF!)-2055)</f>
        <v>Incomplete</v>
      </c>
      <c r="AZ150" s="20"/>
      <c r="BA150" s="20" t="str">
        <f>IF(OR(ISBLANK(#REF!), ISBLANK(AS150)), "Incomplete", (60.7*AS150)+(45.3*#REF!)-2055)</f>
        <v>Incomplete</v>
      </c>
      <c r="BB150" s="20"/>
      <c r="BC150" s="20" t="str">
        <f>IF(OR(ISBLANK(#REF!), ISBLANK(AU150)), "Incomplete", (60.7*AU150)+(45.3*#REF!)-2055)</f>
        <v>Incomplete</v>
      </c>
      <c r="BD150" s="20"/>
      <c r="BE150" s="20" t="str">
        <f>IF(OR(ISBLANK(#REF!), ISBLANK(AW150)), "Incomplete", (60.7*AW150)+(45.3*#REF!)-2055)</f>
        <v>Incomplete</v>
      </c>
      <c r="BF150" s="20"/>
      <c r="BG150" s="20"/>
      <c r="BH150" s="20"/>
      <c r="BI150" s="20" t="str">
        <f>IF(OR(ISBLANK(BG150), ISBLANK(BH150)),"Incomplete",(SUM(BH150-BG150)))</f>
        <v>Incomplete</v>
      </c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91" t="str">
        <f>IFERROR(SUM(BQ150+BR150+BS150)/(3*(#REF!-S150))*100, "Incomplete")</f>
        <v>Incomplete</v>
      </c>
      <c r="BX150" s="91" t="str">
        <f>_xlfn.XLOOKUP(BW150,'Normative data'!$V$3:$V$6,'Normative data'!$W$3:$W$6,"Not Found",-1)</f>
        <v>Very low risk</v>
      </c>
      <c r="BY150" s="91" t="str">
        <f>IFERROR(SUM(BT150+BU150+BV150)/(3*(#REF!-S150))*100, "Incomplete")</f>
        <v>Incomplete</v>
      </c>
      <c r="BZ150" s="91" t="str">
        <f>_xlfn.XLOOKUP(BY150,'Normative data'!$V$3:$V$6,'Normative data'!$W$3:$W$6,"Not Found",-1)</f>
        <v>Very low risk</v>
      </c>
      <c r="CA150" s="20"/>
      <c r="CC150" s="20"/>
      <c r="CE150" s="20"/>
      <c r="CG150" s="20">
        <v>16.71</v>
      </c>
      <c r="CH150" s="20" t="str">
        <f>_xlfn.XLOOKUP(CG150, 'Normative data'!$S$9:$S$15,'Normative data'!$T$9:$T$15, "Not Found", -1)</f>
        <v>Excellent</v>
      </c>
      <c r="CI150" s="20">
        <v>16.37</v>
      </c>
      <c r="CJ150" s="20" t="str">
        <f>_xlfn.XLOOKUP(CI150, 'Normative data'!$S$9:$S$15, 'Normative data'!$T$9:$T$15, "Not Found", -1)</f>
        <v>Excellent</v>
      </c>
      <c r="CK150" s="21"/>
      <c r="CL150" s="21"/>
      <c r="CM150" s="21"/>
      <c r="CN150" s="21"/>
      <c r="CO150" s="21"/>
      <c r="CQ150" s="20"/>
      <c r="CR150" s="20" t="str" cm="1">
        <f t="array" ref="CR150">IF(OR(ISBLANK(E150),ISBLANK(CQ150)),"Incomplete",_xlfn.XLOOKUP(CQ150,_xlfn.XLOOKUP(E150,'Normative data'!$Y$3:$Y$6,'Normative data'!$Z$3:$AG$6,,-1),'Normative data'!$Z$2:$AG$2,"Not Found",-1))</f>
        <v>Incomplete</v>
      </c>
      <c r="CS150" s="20"/>
      <c r="CT150" s="20"/>
      <c r="CU150" s="20" t="str" cm="1">
        <f t="array" ref="CU150">_xlfn.XLOOKUP(CS150&amp;CT150,(VLOOKUP!$A$3:$A$250)&amp;(VLOOKUP!$B$3:$B$250),VLOOKUP!$C$3:$C$250,"Incomplete",-1)</f>
        <v>Incomplete</v>
      </c>
      <c r="CV150" s="20" t="str" cm="1">
        <f t="array" ref="CV150">_xlfn.XLOOKUP(CU150, _xlfn.XLOOKUP(E150, 'Normative data'!$Y$11:$Y$14, 'Normative data'!$Z$11:$AG$14, ,-1), 'Normative data'!$Z$10:$AG$10, "Not Found", -1)</f>
        <v>Excellent</v>
      </c>
      <c r="CW150" s="20" t="str" cm="1">
        <f t="array" ref="CW150">IF(OR(ISBLANK(CS150),ISBLANK(CT150)),"Incomplete",_xlfn.XLOOKUP(CS150&amp;CT150,VLOOKUP!$A$4:$A$250&amp;VLOOKUP!$B$4:$B$250,VLOOKUP!$D$4:$D$250,"0"))</f>
        <v>Incomplete</v>
      </c>
    </row>
    <row r="151" spans="1:101">
      <c r="A151" s="22" t="s">
        <v>455</v>
      </c>
      <c r="B151" s="22" t="s">
        <v>94</v>
      </c>
      <c r="C151" s="17" t="s">
        <v>86</v>
      </c>
      <c r="D151" s="23">
        <v>40863</v>
      </c>
      <c r="F151" s="17">
        <v>8</v>
      </c>
      <c r="G151" s="17">
        <v>2025</v>
      </c>
      <c r="J151" s="17" t="s">
        <v>122</v>
      </c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41" t="str">
        <f t="shared" ref="AY151:AY159" si="36">IF(OR(ISBLANK(U151), ISBLANK(AQ151)), "Incomplete", (60.7*AQ151)+(45.3*U151)-2055)</f>
        <v>Incomplete</v>
      </c>
      <c r="AZ151" s="20"/>
      <c r="BA151" s="20" t="str">
        <f t="shared" ref="BA151:BA159" si="37">IF(OR(ISBLANK(U151), ISBLANK(AS151)), "Incomplete", (60.7*AS151)+(45.3*U151)-2055)</f>
        <v>Incomplete</v>
      </c>
      <c r="BB151" s="20"/>
      <c r="BC151" s="20" t="str">
        <f t="shared" ref="BC151:BC159" si="38">IF(OR(ISBLANK(U151), ISBLANK(AU151)), "Incomplete", (60.7*AU151)+(45.3*U151)-2055)</f>
        <v>Incomplete</v>
      </c>
      <c r="BD151" s="20"/>
      <c r="BE151" s="20" t="str">
        <f t="shared" ref="BE151:BE159" si="39">IF(OR(ISBLANK(U151), ISBLANK(AW151)), "Incomplete", (60.7*AW151)+(45.3*U151)-2055)</f>
        <v>Incomplete</v>
      </c>
      <c r="BF151" s="20"/>
      <c r="BG151" s="20">
        <v>9</v>
      </c>
      <c r="BH151" s="20">
        <v>35</v>
      </c>
      <c r="BI151" s="20" t="e">
        <f>IF(OR(ISBLANK(#REF!), ISBLANK(#REF!)),"Incomplete",(SUM(#REF!-#REF!)))</f>
        <v>#REF!</v>
      </c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91" t="str">
        <f t="shared" ref="BW151:BW159" si="40">IFERROR(SUM(BQ151+BR151+BS151)/(3*(T151-S151))*100, "Incomplete")</f>
        <v>Incomplete</v>
      </c>
      <c r="BX151" s="91" t="str">
        <f>_xlfn.XLOOKUP(BW151,'Normative data'!$V$3:$V$6,'Normative data'!$W$3:$W$6,"Not Found",-1)</f>
        <v>Very low risk</v>
      </c>
      <c r="BY151" s="91" t="str">
        <f t="shared" ref="BY151:BY159" si="41">IFERROR(SUM(BT151+BU151+BV151)/(3*(T151-S151))*100, "Incomplete")</f>
        <v>Incomplete</v>
      </c>
      <c r="BZ151" s="91" t="str">
        <f>_xlfn.XLOOKUP(BY151,'Normative data'!$V$3:$V$6,'Normative data'!$W$3:$W$6,"Not Found",-1)</f>
        <v>Very low risk</v>
      </c>
      <c r="CA151" s="20"/>
      <c r="CC151" s="20"/>
      <c r="CE151" s="20">
        <v>7</v>
      </c>
      <c r="CG151" s="20">
        <v>18.170000000000002</v>
      </c>
      <c r="CH151" s="20" t="e">
        <f>_xlfn.XLOOKUP(#REF!, 'Normative data'!$S$9:$S$15,'Normative data'!$T$9:$T$15, "Not Found", -1)</f>
        <v>#REF!</v>
      </c>
      <c r="CI151" s="20">
        <v>17.32</v>
      </c>
      <c r="CJ151" s="20" t="e">
        <f>_xlfn.XLOOKUP(#REF!, 'Normative data'!$S$9:$S$15, 'Normative data'!$T$9:$T$15, "Not Found", -1)</f>
        <v>#REF!</v>
      </c>
      <c r="CK151" s="24">
        <v>2.17</v>
      </c>
      <c r="CL151" s="24">
        <v>4.6100000000000003</v>
      </c>
      <c r="CM151" s="24"/>
      <c r="CN151" s="24">
        <v>6.59</v>
      </c>
      <c r="CO151" s="24">
        <v>7.59</v>
      </c>
      <c r="CP151" s="24"/>
      <c r="CQ151" s="20"/>
      <c r="CR151" s="20" t="str" cm="1">
        <f t="array" ref="CR151">IF(OR(ISBLANK(E151),ISBLANK(CQ151)),"Incomplete",_xlfn.XLOOKUP(CQ151,_xlfn.XLOOKUP(E151,'Normative data'!$Y$3:$Y$6,'Normative data'!$Z$3:$AG$6,,-1),'Normative data'!$Z$2:$AG$2,"Not Found",-1))</f>
        <v>Incomplete</v>
      </c>
      <c r="CS151" s="20"/>
      <c r="CT151" s="20"/>
      <c r="CU151" s="20" t="str" cm="1">
        <f t="array" ref="CU151">_xlfn.XLOOKUP(CS151&amp;CT151,(VLOOKUP!$A$3:$A$250)&amp;(VLOOKUP!$B$3:$B$250),VLOOKUP!$C$3:$C$250,"Incomplete",-1)</f>
        <v>Incomplete</v>
      </c>
      <c r="CV151" s="20" t="str" cm="1">
        <f t="array" ref="CV151">_xlfn.XLOOKUP(CU151, _xlfn.XLOOKUP(E151, 'Normative data'!$Y$11:$Y$14, 'Normative data'!$Z$11:$AG$14, ,-1), 'Normative data'!$Z$10:$AG$10, "Not Found", -1)</f>
        <v>Excellent</v>
      </c>
      <c r="CW151" s="20" t="str" cm="1">
        <f t="array" ref="CW151">IF(OR(ISBLANK(CS151),ISBLANK(CT151)),"Incomplete",_xlfn.XLOOKUP(CS151&amp;CT151,VLOOKUP!$A$4:$A$250&amp;VLOOKUP!$B$4:$B$250,VLOOKUP!$D$4:$D$250,"0"))</f>
        <v>Incomplete</v>
      </c>
    </row>
    <row r="152" spans="1:101">
      <c r="A152" s="17" t="s">
        <v>458</v>
      </c>
      <c r="B152" s="17" t="s">
        <v>94</v>
      </c>
      <c r="C152" s="17" t="s">
        <v>86</v>
      </c>
      <c r="D152" s="23">
        <v>40863</v>
      </c>
      <c r="G152" s="17">
        <v>2026</v>
      </c>
      <c r="H152" s="20" t="s">
        <v>114</v>
      </c>
      <c r="I152" s="17">
        <v>1</v>
      </c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 t="s">
        <v>459</v>
      </c>
      <c r="AR152" s="20" t="s">
        <v>460</v>
      </c>
      <c r="AS152" s="20" t="s">
        <v>461</v>
      </c>
      <c r="AT152" s="20" t="s">
        <v>462</v>
      </c>
      <c r="AU152" s="20" t="s">
        <v>463</v>
      </c>
      <c r="AV152" s="20" t="s">
        <v>464</v>
      </c>
      <c r="AW152" s="20" t="s">
        <v>465</v>
      </c>
      <c r="AX152" s="20" t="s">
        <v>466</v>
      </c>
      <c r="AY152" s="41" t="str">
        <f t="shared" si="36"/>
        <v>Incomplete</v>
      </c>
      <c r="AZ152" s="20"/>
      <c r="BA152" s="20" t="str">
        <f t="shared" si="37"/>
        <v>Incomplete</v>
      </c>
      <c r="BB152" s="20"/>
      <c r="BC152" s="20" t="str">
        <f t="shared" si="38"/>
        <v>Incomplete</v>
      </c>
      <c r="BD152" s="20"/>
      <c r="BE152" s="20" t="str">
        <f t="shared" si="39"/>
        <v>Incomplete</v>
      </c>
      <c r="BF152" s="20"/>
      <c r="BG152" s="20">
        <v>13</v>
      </c>
      <c r="BH152" s="20">
        <v>34</v>
      </c>
      <c r="BI152" s="20">
        <f>IF(OR(ISBLANK(BG152), ISBLANK(BH152)),"Incomplete",(SUM(BH152-BG152)))</f>
        <v>21</v>
      </c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91" t="str">
        <f t="shared" si="40"/>
        <v>Incomplete</v>
      </c>
      <c r="BX152" s="91" t="str">
        <f>_xlfn.XLOOKUP(BW152,'Normative data'!$V$3:$V$6,'Normative data'!$W$3:$W$6,"Not Found",-1)</f>
        <v>Very low risk</v>
      </c>
      <c r="BY152" s="91" t="str">
        <f t="shared" si="41"/>
        <v>Incomplete</v>
      </c>
      <c r="BZ152" s="91" t="str">
        <f>_xlfn.XLOOKUP(BY152,'Normative data'!$V$3:$V$6,'Normative data'!$W$3:$W$6,"Not Found",-1)</f>
        <v>Very low risk</v>
      </c>
      <c r="CA152" s="20"/>
      <c r="CC152" s="20">
        <v>48</v>
      </c>
      <c r="CE152" s="20">
        <v>15</v>
      </c>
      <c r="CG152" s="20" t="s">
        <v>467</v>
      </c>
      <c r="CH152" s="20" t="str">
        <f>_xlfn.XLOOKUP(CG152, 'Normative data'!$S$9:$S$15,'Normative data'!$T$9:$T$15, "Not Found", -1)</f>
        <v>Poor</v>
      </c>
      <c r="CI152" s="20" t="s">
        <v>468</v>
      </c>
      <c r="CJ152" s="20" t="str">
        <f>_xlfn.XLOOKUP(CI152, 'Normative data'!$S$9:$S$15, 'Normative data'!$T$9:$T$15, "Not Found", -1)</f>
        <v>Poor</v>
      </c>
      <c r="CK152" s="21"/>
      <c r="CL152" s="21"/>
      <c r="CM152" s="21"/>
      <c r="CN152" s="21"/>
      <c r="CO152" s="21"/>
      <c r="CQ152" s="20" t="s">
        <v>469</v>
      </c>
      <c r="CR152" s="20" t="str" cm="1">
        <f t="array" ref="CR152">IF(OR(ISBLANK(E152),ISBLANK(CQ152)),"Incomplete",_xlfn.XLOOKUP(CQ152,_xlfn.XLOOKUP(E152,'Normative data'!$Y$3:$Y$6,'Normative data'!$Z$3:$AG$6,,-1),'Normative data'!$Z$2:$AG$2,"Not Found",-1))</f>
        <v>Incomplete</v>
      </c>
      <c r="CS152" s="20">
        <v>12</v>
      </c>
      <c r="CT152" s="20">
        <v>1</v>
      </c>
      <c r="CU152" s="20" cm="1">
        <f t="array" ref="CU152">_xlfn.XLOOKUP(CS152&amp;CT152,(VLOOKUP!$A$3:$A$250)&amp;(VLOOKUP!$B$3:$B$250),VLOOKUP!$C$3:$C$250,"Incomplete",-1)</f>
        <v>2140</v>
      </c>
      <c r="CV152" s="20" t="str" cm="1">
        <f t="array" ref="CV152">_xlfn.XLOOKUP(CU152, _xlfn.XLOOKUP(E152, 'Normative data'!$Y$11:$Y$14, 'Normative data'!$Z$11:$AG$14, ,-1), 'Normative data'!$Z$10:$AG$10, "Not Found", -1)</f>
        <v xml:space="preserve">Good </v>
      </c>
      <c r="CW152" s="20" cm="1">
        <f t="array" ref="CW152">IF(OR(ISBLANK(CS152),ISBLANK(CT152)),"Incomplete",_xlfn.XLOOKUP(CS152&amp;CT152,VLOOKUP!$A$4:$A$250&amp;VLOOKUP!$B$4:$B$250,VLOOKUP!$D$4:$D$250,"0"))</f>
        <v>54</v>
      </c>
    </row>
    <row r="153" spans="1:101">
      <c r="A153" s="18" t="s">
        <v>470</v>
      </c>
      <c r="B153" s="18" t="s">
        <v>94</v>
      </c>
      <c r="C153" s="17" t="s">
        <v>86</v>
      </c>
      <c r="D153" s="19">
        <v>40261</v>
      </c>
      <c r="F153" s="17">
        <v>9</v>
      </c>
      <c r="G153" s="17">
        <v>2025</v>
      </c>
      <c r="H153" s="20" t="s">
        <v>114</v>
      </c>
      <c r="I153" s="17">
        <v>1</v>
      </c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41" t="str">
        <f t="shared" si="36"/>
        <v>Incomplete</v>
      </c>
      <c r="AZ153" s="20"/>
      <c r="BA153" s="20" t="str">
        <f t="shared" si="37"/>
        <v>Incomplete</v>
      </c>
      <c r="BB153" s="20"/>
      <c r="BC153" s="20" t="str">
        <f t="shared" si="38"/>
        <v>Incomplete</v>
      </c>
      <c r="BD153" s="20"/>
      <c r="BE153" s="20" t="str">
        <f t="shared" si="39"/>
        <v>Incomplete</v>
      </c>
      <c r="BF153" s="20"/>
      <c r="BG153" s="20">
        <v>16</v>
      </c>
      <c r="BH153" s="20">
        <v>39</v>
      </c>
      <c r="BI153" s="20" t="e">
        <f>IF(OR(ISBLANK(#REF!), ISBLANK(#REF!)),"Incomplete",(SUM(#REF!-#REF!)))</f>
        <v>#REF!</v>
      </c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91" t="str">
        <f t="shared" si="40"/>
        <v>Incomplete</v>
      </c>
      <c r="BX153" s="91" t="str">
        <f>_xlfn.XLOOKUP(BW153,'Normative data'!$V$3:$V$6,'Normative data'!$W$3:$W$6,"Not Found",-1)</f>
        <v>Very low risk</v>
      </c>
      <c r="BY153" s="91" t="str">
        <f t="shared" si="41"/>
        <v>Incomplete</v>
      </c>
      <c r="BZ153" s="91" t="str">
        <f>_xlfn.XLOOKUP(BY153,'Normative data'!$V$3:$V$6,'Normative data'!$W$3:$W$6,"Not Found",-1)</f>
        <v>Very low risk</v>
      </c>
      <c r="CA153" s="20"/>
      <c r="CC153" s="20"/>
      <c r="CE153" s="20"/>
      <c r="CG153" s="20"/>
      <c r="CH153" s="20" t="str">
        <f>_xlfn.XLOOKUP(CG153, 'Normative data'!$S$9:$S$15,'Normative data'!$T$9:$T$15, "Not Found", -1)</f>
        <v>not completed</v>
      </c>
      <c r="CI153" s="20"/>
      <c r="CJ153" s="20" t="str">
        <f>_xlfn.XLOOKUP(CI153, 'Normative data'!$S$9:$S$15, 'Normative data'!$T$9:$T$15, "Not Found", -1)</f>
        <v>not completed</v>
      </c>
      <c r="CK153" s="21">
        <v>2.34</v>
      </c>
      <c r="CL153" s="21">
        <v>4.2699999999999996</v>
      </c>
      <c r="CM153" s="21"/>
      <c r="CN153" s="21">
        <v>7.33</v>
      </c>
      <c r="CO153" s="21">
        <v>6.82</v>
      </c>
      <c r="CP153" s="21"/>
      <c r="CQ153" s="20"/>
      <c r="CR153" s="20" t="str" cm="1">
        <f t="array" ref="CR153">IF(OR(ISBLANK(E153),ISBLANK(CQ153)),"Incomplete",_xlfn.XLOOKUP(CQ153,_xlfn.XLOOKUP(E153,'Normative data'!$Y$3:$Y$6,'Normative data'!$Z$3:$AG$6,,-1),'Normative data'!$Z$2:$AG$2,"Not Found",-1))</f>
        <v>Incomplete</v>
      </c>
      <c r="CS153" s="20"/>
      <c r="CT153" s="20"/>
      <c r="CU153" s="20" t="str" cm="1">
        <f t="array" ref="CU153">_xlfn.XLOOKUP(CS153&amp;CT153,(VLOOKUP!$A$3:$A$250)&amp;(VLOOKUP!$B$3:$B$250),VLOOKUP!$C$3:$C$250,"Incomplete",-1)</f>
        <v>Incomplete</v>
      </c>
      <c r="CV153" s="20" t="str" cm="1">
        <f t="array" ref="CV153">_xlfn.XLOOKUP(CU153, _xlfn.XLOOKUP(E153, 'Normative data'!$Y$11:$Y$14, 'Normative data'!$Z$11:$AG$14, ,-1), 'Normative data'!$Z$10:$AG$10, "Not Found", -1)</f>
        <v>Excellent</v>
      </c>
      <c r="CW153" s="20" t="str" cm="1">
        <f t="array" ref="CW153">IF(OR(ISBLANK(CS153),ISBLANK(CT153)),"Incomplete",_xlfn.XLOOKUP(CS153&amp;CT153,VLOOKUP!$A$4:$A$250&amp;VLOOKUP!$B$4:$B$250,VLOOKUP!$D$4:$D$250,"0"))</f>
        <v>Incomplete</v>
      </c>
    </row>
    <row r="154" spans="1:101">
      <c r="A154" s="17" t="s">
        <v>470</v>
      </c>
      <c r="B154" s="17" t="s">
        <v>94</v>
      </c>
      <c r="C154" s="17" t="s">
        <v>86</v>
      </c>
      <c r="D154" s="19">
        <v>40261</v>
      </c>
      <c r="F154" s="17">
        <v>9</v>
      </c>
      <c r="G154" s="17">
        <v>2025</v>
      </c>
      <c r="H154" s="20" t="s">
        <v>124</v>
      </c>
      <c r="I154" s="17">
        <v>3</v>
      </c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41" t="str">
        <f t="shared" si="36"/>
        <v>Incomplete</v>
      </c>
      <c r="AZ154" s="20"/>
      <c r="BA154" s="20" t="str">
        <f t="shared" si="37"/>
        <v>Incomplete</v>
      </c>
      <c r="BB154" s="20"/>
      <c r="BC154" s="20" t="str">
        <f t="shared" si="38"/>
        <v>Incomplete</v>
      </c>
      <c r="BD154" s="20"/>
      <c r="BE154" s="20" t="str">
        <f t="shared" si="39"/>
        <v>Incomplete</v>
      </c>
      <c r="BF154" s="20"/>
      <c r="BG154" s="20"/>
      <c r="BH154" s="20"/>
      <c r="BI154" s="20" t="str">
        <f t="shared" ref="BI154:BI161" si="42">IF(OR(ISBLANK(BG154), ISBLANK(BH154)),"Incomplete",(SUM(BH154-BG154)))</f>
        <v>Incomplete</v>
      </c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91" t="str">
        <f t="shared" si="40"/>
        <v>Incomplete</v>
      </c>
      <c r="BX154" s="91" t="str">
        <f>_xlfn.XLOOKUP(BW154,'Normative data'!$V$3:$V$6,'Normative data'!$W$3:$W$6,"Not Found",-1)</f>
        <v>Very low risk</v>
      </c>
      <c r="BY154" s="91" t="str">
        <f t="shared" si="41"/>
        <v>Incomplete</v>
      </c>
      <c r="BZ154" s="91" t="str">
        <f>_xlfn.XLOOKUP(BY154,'Normative data'!$V$3:$V$6,'Normative data'!$W$3:$W$6,"Not Found",-1)</f>
        <v>Very low risk</v>
      </c>
      <c r="CA154" s="20"/>
      <c r="CC154" s="20"/>
      <c r="CE154" s="20"/>
      <c r="CG154" s="20"/>
      <c r="CH154" s="20" t="str">
        <f>_xlfn.XLOOKUP(CG154, 'Normative data'!$S$9:$S$15,'Normative data'!$T$9:$T$15, "Not Found", -1)</f>
        <v>not completed</v>
      </c>
      <c r="CI154" s="20"/>
      <c r="CJ154" s="20" t="str">
        <f>_xlfn.XLOOKUP(CI154, 'Normative data'!$S$9:$S$15, 'Normative data'!$T$9:$T$15, "Not Found", -1)</f>
        <v>not completed</v>
      </c>
      <c r="CK154" s="20" t="s">
        <v>471</v>
      </c>
      <c r="CL154" s="20" t="s">
        <v>472</v>
      </c>
      <c r="CN154" s="20" t="s">
        <v>473</v>
      </c>
      <c r="CO154" s="20" t="s">
        <v>474</v>
      </c>
      <c r="CQ154" s="20"/>
      <c r="CR154" s="20" t="str" cm="1">
        <f t="array" ref="CR154">IF(OR(ISBLANK(E154),ISBLANK(CQ154)),"Incomplete",_xlfn.XLOOKUP(CQ154,_xlfn.XLOOKUP(E154,'Normative data'!$Y$3:$Y$6,'Normative data'!$Z$3:$AG$6,,-1),'Normative data'!$Z$2:$AG$2,"Not Found",-1))</f>
        <v>Incomplete</v>
      </c>
      <c r="CS154" s="20"/>
      <c r="CT154" s="20"/>
      <c r="CU154" s="20" t="str" cm="1">
        <f t="array" ref="CU154">_xlfn.XLOOKUP(CS154&amp;CT154,(VLOOKUP!$A$3:$A$250)&amp;(VLOOKUP!$B$3:$B$250),VLOOKUP!$C$3:$C$250,"Incomplete",-1)</f>
        <v>Incomplete</v>
      </c>
      <c r="CV154" s="20" t="str" cm="1">
        <f t="array" ref="CV154">_xlfn.XLOOKUP(CU154, _xlfn.XLOOKUP(E154, 'Normative data'!$Y$11:$Y$14, 'Normative data'!$Z$11:$AG$14, ,-1), 'Normative data'!$Z$10:$AG$10, "Not Found", -1)</f>
        <v>Excellent</v>
      </c>
      <c r="CW154" s="20" t="str" cm="1">
        <f t="array" ref="CW154">IF(OR(ISBLANK(CS154),ISBLANK(CT154)),"Incomplete",_xlfn.XLOOKUP(CS154&amp;CT154,VLOOKUP!$A$4:$A$250&amp;VLOOKUP!$B$4:$B$250,VLOOKUP!$D$4:$D$250,"0"))</f>
        <v>Incomplete</v>
      </c>
    </row>
    <row r="155" spans="1:101">
      <c r="A155" s="18" t="s">
        <v>475</v>
      </c>
      <c r="B155" s="18" t="s">
        <v>94</v>
      </c>
      <c r="C155" s="17" t="s">
        <v>86</v>
      </c>
      <c r="D155" s="19">
        <v>39948</v>
      </c>
      <c r="F155" s="17">
        <v>10</v>
      </c>
      <c r="G155" s="17">
        <v>2025</v>
      </c>
      <c r="H155" s="20" t="s">
        <v>114</v>
      </c>
      <c r="I155" s="17">
        <v>1</v>
      </c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41" t="str">
        <f t="shared" si="36"/>
        <v>Incomplete</v>
      </c>
      <c r="AZ155" s="20"/>
      <c r="BA155" s="20" t="str">
        <f t="shared" si="37"/>
        <v>Incomplete</v>
      </c>
      <c r="BB155" s="20"/>
      <c r="BC155" s="20" t="str">
        <f t="shared" si="38"/>
        <v>Incomplete</v>
      </c>
      <c r="BD155" s="20"/>
      <c r="BE155" s="20" t="str">
        <f t="shared" si="39"/>
        <v>Incomplete</v>
      </c>
      <c r="BF155" s="20"/>
      <c r="BG155" s="20"/>
      <c r="BH155" s="20"/>
      <c r="BI155" s="20" t="str">
        <f t="shared" si="42"/>
        <v>Incomplete</v>
      </c>
      <c r="BJ155" s="20"/>
      <c r="BK155" s="20">
        <v>8</v>
      </c>
      <c r="BL155" s="20"/>
      <c r="BM155" s="20">
        <v>7</v>
      </c>
      <c r="BN155" s="20"/>
      <c r="BO155" s="20"/>
      <c r="BP155" s="20"/>
      <c r="BQ155" s="20"/>
      <c r="BR155" s="20"/>
      <c r="BS155" s="20"/>
      <c r="BT155" s="20"/>
      <c r="BU155" s="20"/>
      <c r="BV155" s="20"/>
      <c r="BW155" s="91" t="str">
        <f t="shared" si="40"/>
        <v>Incomplete</v>
      </c>
      <c r="BX155" s="91" t="str">
        <f>_xlfn.XLOOKUP(BW155,'Normative data'!$V$3:$V$6,'Normative data'!$W$3:$W$6,"Not Found",-1)</f>
        <v>Very low risk</v>
      </c>
      <c r="BY155" s="91" t="str">
        <f t="shared" si="41"/>
        <v>Incomplete</v>
      </c>
      <c r="BZ155" s="91" t="str">
        <f>_xlfn.XLOOKUP(BY155,'Normative data'!$V$3:$V$6,'Normative data'!$W$3:$W$6,"Not Found",-1)</f>
        <v>Very low risk</v>
      </c>
      <c r="CA155" s="20"/>
      <c r="CC155" s="20"/>
      <c r="CE155" s="20"/>
      <c r="CG155" s="20"/>
      <c r="CH155" s="20" t="str">
        <f>_xlfn.XLOOKUP(CG155, 'Normative data'!$S$9:$S$15,'Normative data'!$T$9:$T$15, "Not Found", -1)</f>
        <v>not completed</v>
      </c>
      <c r="CI155" s="20"/>
      <c r="CJ155" s="20" t="str">
        <f>_xlfn.XLOOKUP(CI155, 'Normative data'!$S$9:$S$15, 'Normative data'!$T$9:$T$15, "Not Found", -1)</f>
        <v>not completed</v>
      </c>
      <c r="CK155" s="21">
        <v>2.33</v>
      </c>
      <c r="CL155" s="21">
        <v>4.29</v>
      </c>
      <c r="CM155" s="21"/>
      <c r="CN155" s="21">
        <v>7.58</v>
      </c>
      <c r="CO155" s="21">
        <v>6.6</v>
      </c>
      <c r="CP155" s="21"/>
      <c r="CQ155" s="20"/>
      <c r="CR155" s="20" t="str" cm="1">
        <f t="array" ref="CR155">IF(OR(ISBLANK(E155),ISBLANK(CQ155)),"Incomplete",_xlfn.XLOOKUP(CQ155,_xlfn.XLOOKUP(E155,'Normative data'!$Y$3:$Y$6,'Normative data'!$Z$3:$AG$6,,-1),'Normative data'!$Z$2:$AG$2,"Not Found",-1))</f>
        <v>Incomplete</v>
      </c>
      <c r="CS155" s="20"/>
      <c r="CT155" s="20"/>
      <c r="CU155" s="20" t="str" cm="1">
        <f t="array" ref="CU155">_xlfn.XLOOKUP(CS155&amp;CT155,(VLOOKUP!$A$3:$A$250)&amp;(VLOOKUP!$B$3:$B$250),VLOOKUP!$C$3:$C$250,"Incomplete",-1)</f>
        <v>Incomplete</v>
      </c>
      <c r="CV155" s="20" t="str" cm="1">
        <f t="array" ref="CV155">_xlfn.XLOOKUP(CU155, _xlfn.XLOOKUP(E155, 'Normative data'!$Y$11:$Y$14, 'Normative data'!$Z$11:$AG$14, ,-1), 'Normative data'!$Z$10:$AG$10, "Not Found", -1)</f>
        <v>Excellent</v>
      </c>
      <c r="CW155" s="20" t="str" cm="1">
        <f t="array" ref="CW155">IF(OR(ISBLANK(CS155),ISBLANK(CT155)),"Incomplete",_xlfn.XLOOKUP(CS155&amp;CT155,VLOOKUP!$A$4:$A$250&amp;VLOOKUP!$B$4:$B$250,VLOOKUP!$D$4:$D$250,"0"))</f>
        <v>Incomplete</v>
      </c>
    </row>
    <row r="156" spans="1:101">
      <c r="A156" s="17" t="s">
        <v>476</v>
      </c>
      <c r="B156" s="17" t="s">
        <v>94</v>
      </c>
      <c r="C156" s="17" t="s">
        <v>86</v>
      </c>
      <c r="D156" s="19">
        <v>39948</v>
      </c>
      <c r="F156" s="17">
        <v>10</v>
      </c>
      <c r="G156" s="17">
        <v>2025</v>
      </c>
      <c r="H156" s="20" t="s">
        <v>124</v>
      </c>
      <c r="I156" s="17">
        <v>3</v>
      </c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41" t="str">
        <f t="shared" si="36"/>
        <v>Incomplete</v>
      </c>
      <c r="AZ156" s="20"/>
      <c r="BA156" s="20" t="str">
        <f t="shared" si="37"/>
        <v>Incomplete</v>
      </c>
      <c r="BB156" s="20"/>
      <c r="BC156" s="20" t="str">
        <f t="shared" si="38"/>
        <v>Incomplete</v>
      </c>
      <c r="BD156" s="20"/>
      <c r="BE156" s="20" t="str">
        <f t="shared" si="39"/>
        <v>Incomplete</v>
      </c>
      <c r="BF156" s="20"/>
      <c r="BG156" s="20"/>
      <c r="BH156" s="20"/>
      <c r="BI156" s="20" t="str">
        <f t="shared" si="42"/>
        <v>Incomplete</v>
      </c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91" t="str">
        <f t="shared" si="40"/>
        <v>Incomplete</v>
      </c>
      <c r="BX156" s="91" t="str">
        <f>_xlfn.XLOOKUP(BW156,'Normative data'!$V$3:$V$6,'Normative data'!$W$3:$W$6,"Not Found",-1)</f>
        <v>Very low risk</v>
      </c>
      <c r="BY156" s="91" t="str">
        <f t="shared" si="41"/>
        <v>Incomplete</v>
      </c>
      <c r="BZ156" s="91" t="str">
        <f>_xlfn.XLOOKUP(BY156,'Normative data'!$V$3:$V$6,'Normative data'!$W$3:$W$6,"Not Found",-1)</f>
        <v>Very low risk</v>
      </c>
      <c r="CA156" s="20"/>
      <c r="CC156" s="20"/>
      <c r="CE156" s="20"/>
      <c r="CG156" s="20"/>
      <c r="CH156" s="20" t="str">
        <f>_xlfn.XLOOKUP(CG156, 'Normative data'!$S$9:$S$15,'Normative data'!$T$9:$T$15, "Not Found", -1)</f>
        <v>not completed</v>
      </c>
      <c r="CI156" s="20"/>
      <c r="CJ156" s="20" t="str">
        <f>_xlfn.XLOOKUP(CI156, 'Normative data'!$S$9:$S$15, 'Normative data'!$T$9:$T$15, "Not Found", -1)</f>
        <v>not completed</v>
      </c>
      <c r="CK156" s="20" t="s">
        <v>477</v>
      </c>
      <c r="CL156" s="20" t="s">
        <v>354</v>
      </c>
      <c r="CN156" s="20" t="s">
        <v>478</v>
      </c>
      <c r="CO156" s="20" t="s">
        <v>479</v>
      </c>
      <c r="CQ156" s="20"/>
      <c r="CR156" s="20" t="str" cm="1">
        <f t="array" ref="CR156">IF(OR(ISBLANK(E156),ISBLANK(CQ156)),"Incomplete",_xlfn.XLOOKUP(CQ156,_xlfn.XLOOKUP(E156,'Normative data'!$Y$3:$Y$6,'Normative data'!$Z$3:$AG$6,,-1),'Normative data'!$Z$2:$AG$2,"Not Found",-1))</f>
        <v>Incomplete</v>
      </c>
      <c r="CS156" s="20"/>
      <c r="CT156" s="20"/>
      <c r="CU156" s="20" t="str" cm="1">
        <f t="array" ref="CU156">_xlfn.XLOOKUP(CS156&amp;CT156,(VLOOKUP!$A$3:$A$250)&amp;(VLOOKUP!$B$3:$B$250),VLOOKUP!$C$3:$C$250,"Incomplete",-1)</f>
        <v>Incomplete</v>
      </c>
      <c r="CV156" s="20" t="str" cm="1">
        <f t="array" ref="CV156">_xlfn.XLOOKUP(CU156, _xlfn.XLOOKUP(E156, 'Normative data'!$Y$11:$Y$14, 'Normative data'!$Z$11:$AG$14, ,-1), 'Normative data'!$Z$10:$AG$10, "Not Found", -1)</f>
        <v>Excellent</v>
      </c>
      <c r="CW156" s="20" t="str" cm="1">
        <f t="array" ref="CW156">IF(OR(ISBLANK(CS156),ISBLANK(CT156)),"Incomplete",_xlfn.XLOOKUP(CS156&amp;CT156,VLOOKUP!$A$4:$A$250&amp;VLOOKUP!$B$4:$B$250,VLOOKUP!$D$4:$D$250,"0"))</f>
        <v>Incomplete</v>
      </c>
    </row>
    <row r="157" spans="1:101">
      <c r="A157" s="17" t="s">
        <v>480</v>
      </c>
      <c r="B157" s="17" t="s">
        <v>481</v>
      </c>
      <c r="C157" s="17" t="s">
        <v>86</v>
      </c>
      <c r="D157" s="26"/>
      <c r="F157" s="17">
        <v>10</v>
      </c>
      <c r="G157" s="17">
        <v>2025</v>
      </c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41" t="str">
        <f t="shared" si="36"/>
        <v>Incomplete</v>
      </c>
      <c r="AZ157" s="20"/>
      <c r="BA157" s="20" t="str">
        <f t="shared" si="37"/>
        <v>Incomplete</v>
      </c>
      <c r="BB157" s="20"/>
      <c r="BC157" s="20" t="str">
        <f t="shared" si="38"/>
        <v>Incomplete</v>
      </c>
      <c r="BD157" s="20"/>
      <c r="BE157" s="20" t="str">
        <f t="shared" si="39"/>
        <v>Incomplete</v>
      </c>
      <c r="BF157" s="20"/>
      <c r="BG157" s="20"/>
      <c r="BH157" s="20"/>
      <c r="BI157" s="20" t="str">
        <f t="shared" si="42"/>
        <v>Incomplete</v>
      </c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91" t="str">
        <f t="shared" si="40"/>
        <v>Incomplete</v>
      </c>
      <c r="BX157" s="91" t="str">
        <f>_xlfn.XLOOKUP(BW157,'Normative data'!$V$3:$V$6,'Normative data'!$W$3:$W$6,"Not Found",-1)</f>
        <v>Very low risk</v>
      </c>
      <c r="BY157" s="91" t="str">
        <f t="shared" si="41"/>
        <v>Incomplete</v>
      </c>
      <c r="BZ157" s="91" t="str">
        <f>_xlfn.XLOOKUP(BY157,'Normative data'!$V$3:$V$6,'Normative data'!$W$3:$W$6,"Not Found",-1)</f>
        <v>Very low risk</v>
      </c>
      <c r="CA157" s="20"/>
      <c r="CC157" s="20"/>
      <c r="CE157" s="20"/>
      <c r="CG157" s="20"/>
      <c r="CH157" s="20" t="str">
        <f>_xlfn.XLOOKUP(CG157, 'Normative data'!$S$9:$S$15,'Normative data'!$T$9:$T$15, "Not Found", -1)</f>
        <v>not completed</v>
      </c>
      <c r="CI157" s="20"/>
      <c r="CJ157" s="20" t="str">
        <f>_xlfn.XLOOKUP(CI157, 'Normative data'!$S$9:$S$15, 'Normative data'!$T$9:$T$15, "Not Found", -1)</f>
        <v>not completed</v>
      </c>
      <c r="CK157" s="20" t="s">
        <v>245</v>
      </c>
      <c r="CL157" s="20" t="s">
        <v>246</v>
      </c>
      <c r="CN157" s="20" t="s">
        <v>482</v>
      </c>
      <c r="CO157" s="20" t="s">
        <v>483</v>
      </c>
      <c r="CQ157" s="20"/>
      <c r="CR157" s="20" t="str" cm="1">
        <f t="array" ref="CR157">IF(OR(ISBLANK(E157),ISBLANK(CQ157)),"Incomplete",_xlfn.XLOOKUP(CQ157,_xlfn.XLOOKUP(E157,'Normative data'!$Y$3:$Y$6,'Normative data'!$Z$3:$AG$6,,-1),'Normative data'!$Z$2:$AG$2,"Not Found",-1))</f>
        <v>Incomplete</v>
      </c>
      <c r="CS157" s="20"/>
      <c r="CT157" s="20"/>
      <c r="CU157" s="20" t="str" cm="1">
        <f t="array" ref="CU157">_xlfn.XLOOKUP(CS157&amp;CT157,(VLOOKUP!$A$3:$A$250)&amp;(VLOOKUP!$B$3:$B$250),VLOOKUP!$C$3:$C$250,"Incomplete",-1)</f>
        <v>Incomplete</v>
      </c>
      <c r="CV157" s="20" t="str" cm="1">
        <f t="array" ref="CV157">_xlfn.XLOOKUP(CU157, _xlfn.XLOOKUP(E157, 'Normative data'!$Y$11:$Y$14, 'Normative data'!$Z$11:$AG$14, ,-1), 'Normative data'!$Z$10:$AG$10, "Not Found", -1)</f>
        <v>Excellent</v>
      </c>
      <c r="CW157" s="20" t="str" cm="1">
        <f t="array" ref="CW157">IF(OR(ISBLANK(CS157),ISBLANK(CT157)),"Incomplete",_xlfn.XLOOKUP(CS157&amp;CT157,VLOOKUP!$A$4:$A$250&amp;VLOOKUP!$B$4:$B$250,VLOOKUP!$D$4:$D$250,"0"))</f>
        <v>Incomplete</v>
      </c>
    </row>
    <row r="158" spans="1:101">
      <c r="A158" s="22" t="s">
        <v>484</v>
      </c>
      <c r="B158" s="22" t="s">
        <v>485</v>
      </c>
      <c r="C158" s="17" t="s">
        <v>86</v>
      </c>
      <c r="D158" s="23"/>
      <c r="F158" s="17">
        <v>8</v>
      </c>
      <c r="G158" s="17">
        <v>2025</v>
      </c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41" t="str">
        <f t="shared" si="36"/>
        <v>Incomplete</v>
      </c>
      <c r="AZ158" s="20"/>
      <c r="BA158" s="20" t="str">
        <f t="shared" si="37"/>
        <v>Incomplete</v>
      </c>
      <c r="BB158" s="20"/>
      <c r="BC158" s="20" t="str">
        <f t="shared" si="38"/>
        <v>Incomplete</v>
      </c>
      <c r="BD158" s="20"/>
      <c r="BE158" s="20" t="str">
        <f t="shared" si="39"/>
        <v>Incomplete</v>
      </c>
      <c r="BF158" s="20"/>
      <c r="BG158" s="20"/>
      <c r="BH158" s="20"/>
      <c r="BI158" s="20" t="str">
        <f t="shared" si="42"/>
        <v>Incomplete</v>
      </c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91" t="str">
        <f t="shared" si="40"/>
        <v>Incomplete</v>
      </c>
      <c r="BX158" s="91" t="str">
        <f>_xlfn.XLOOKUP(BW158,'Normative data'!$V$3:$V$6,'Normative data'!$W$3:$W$6,"Not Found",-1)</f>
        <v>Very low risk</v>
      </c>
      <c r="BY158" s="91" t="str">
        <f t="shared" si="41"/>
        <v>Incomplete</v>
      </c>
      <c r="BZ158" s="91" t="str">
        <f>_xlfn.XLOOKUP(BY158,'Normative data'!$V$3:$V$6,'Normative data'!$W$3:$W$6,"Not Found",-1)</f>
        <v>Very low risk</v>
      </c>
      <c r="CA158" s="20"/>
      <c r="CC158" s="20"/>
      <c r="CE158" s="20">
        <v>2</v>
      </c>
      <c r="CG158" s="20"/>
      <c r="CH158" s="20" t="str">
        <f>_xlfn.XLOOKUP(CG158, 'Normative data'!$S$9:$S$15,'Normative data'!$T$9:$T$15, "Not Found", -1)</f>
        <v>not completed</v>
      </c>
      <c r="CI158" s="20"/>
      <c r="CJ158" s="20" t="str">
        <f>_xlfn.XLOOKUP(CI158, 'Normative data'!$S$9:$S$15, 'Normative data'!$T$9:$T$15, "Not Found", -1)</f>
        <v>not completed</v>
      </c>
      <c r="CK158" s="21"/>
      <c r="CL158" s="21"/>
      <c r="CM158" s="21"/>
      <c r="CN158" s="21"/>
      <c r="CO158" s="21"/>
      <c r="CP158" s="24"/>
      <c r="CQ158" s="20"/>
      <c r="CR158" s="20" t="str" cm="1">
        <f t="array" ref="CR158">IF(OR(ISBLANK(E158),ISBLANK(CQ158)),"Incomplete",_xlfn.XLOOKUP(CQ158,_xlfn.XLOOKUP(E158,'Normative data'!$Y$3:$Y$6,'Normative data'!$Z$3:$AG$6,,-1),'Normative data'!$Z$2:$AG$2,"Not Found",-1))</f>
        <v>Incomplete</v>
      </c>
      <c r="CS158" s="20"/>
      <c r="CT158" s="20"/>
      <c r="CU158" s="20" t="str" cm="1">
        <f t="array" ref="CU158">_xlfn.XLOOKUP(CS158&amp;CT158,(VLOOKUP!$A$3:$A$250)&amp;(VLOOKUP!$B$3:$B$250),VLOOKUP!$C$3:$C$250,"Incomplete",-1)</f>
        <v>Incomplete</v>
      </c>
      <c r="CV158" s="20" t="str" cm="1">
        <f t="array" ref="CV158">_xlfn.XLOOKUP(CU158, _xlfn.XLOOKUP(E158, 'Normative data'!$Y$11:$Y$14, 'Normative data'!$Z$11:$AG$14, ,-1), 'Normative data'!$Z$10:$AG$10, "Not Found", -1)</f>
        <v>Excellent</v>
      </c>
      <c r="CW158" s="20" t="str" cm="1">
        <f t="array" ref="CW158">IF(OR(ISBLANK(CS158),ISBLANK(CT158)),"Incomplete",_xlfn.XLOOKUP(CS158&amp;CT158,VLOOKUP!$A$4:$A$250&amp;VLOOKUP!$B$4:$B$250,VLOOKUP!$D$4:$D$250,"0"))</f>
        <v>Incomplete</v>
      </c>
    </row>
    <row r="159" spans="1:101">
      <c r="A159" s="22" t="s">
        <v>486</v>
      </c>
      <c r="B159" s="22" t="s">
        <v>487</v>
      </c>
      <c r="C159" s="17" t="s">
        <v>86</v>
      </c>
      <c r="D159" s="23">
        <v>40432</v>
      </c>
      <c r="F159" s="17">
        <v>9</v>
      </c>
      <c r="G159" s="17">
        <v>2025</v>
      </c>
      <c r="H159" s="20" t="s">
        <v>114</v>
      </c>
      <c r="I159" s="17">
        <v>1</v>
      </c>
      <c r="J159" s="17" t="s">
        <v>122</v>
      </c>
      <c r="S159" s="20"/>
      <c r="T159" s="20">
        <v>164</v>
      </c>
      <c r="U159" s="20">
        <v>57.2</v>
      </c>
      <c r="V159" s="20"/>
      <c r="W159" s="20">
        <v>12.5</v>
      </c>
      <c r="X159" s="20">
        <f>SUM(T159-W159)</f>
        <v>151.5</v>
      </c>
      <c r="Y159" s="20">
        <v>24.8</v>
      </c>
      <c r="Z159" s="20">
        <v>21.3</v>
      </c>
      <c r="AA159" s="20">
        <v>21.8</v>
      </c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41" t="str">
        <f t="shared" si="36"/>
        <v>Incomplete</v>
      </c>
      <c r="AZ159" s="20"/>
      <c r="BA159" s="20" t="str">
        <f t="shared" si="37"/>
        <v>Incomplete</v>
      </c>
      <c r="BB159" s="20"/>
      <c r="BC159" s="20" t="str">
        <f t="shared" si="38"/>
        <v>Incomplete</v>
      </c>
      <c r="BD159" s="20"/>
      <c r="BE159" s="20" t="str">
        <f t="shared" si="39"/>
        <v>Incomplete</v>
      </c>
      <c r="BF159" s="20"/>
      <c r="BG159" s="20"/>
      <c r="BH159" s="20"/>
      <c r="BI159" s="20" t="str">
        <f t="shared" si="42"/>
        <v>Incomplete</v>
      </c>
      <c r="BJ159" s="20"/>
      <c r="BK159" s="20">
        <v>9</v>
      </c>
      <c r="BL159" s="20"/>
      <c r="BM159" s="20">
        <v>8</v>
      </c>
      <c r="BN159" s="20"/>
      <c r="BO159" s="20"/>
      <c r="BP159" s="20"/>
      <c r="BQ159" s="20"/>
      <c r="BR159" s="20"/>
      <c r="BS159" s="20"/>
      <c r="BT159" s="20"/>
      <c r="BU159" s="20"/>
      <c r="BV159" s="20"/>
      <c r="BW159" s="91">
        <f t="shared" si="40"/>
        <v>0</v>
      </c>
      <c r="BX159" s="91" t="str">
        <f>_xlfn.XLOOKUP(BW159,'Normative data'!$V$3:$V$6,'Normative data'!$W$3:$W$6,"Not Found",-1)</f>
        <v>Not completed</v>
      </c>
      <c r="BY159" s="91">
        <f t="shared" si="41"/>
        <v>0</v>
      </c>
      <c r="BZ159" s="91" t="str">
        <f>_xlfn.XLOOKUP(BY159,'Normative data'!$V$3:$V$6,'Normative data'!$W$3:$W$6,"Not Found",-1)</f>
        <v>Not completed</v>
      </c>
      <c r="CA159" s="20"/>
      <c r="CC159" s="20"/>
      <c r="CE159" s="20"/>
      <c r="CG159" s="20">
        <v>17.54</v>
      </c>
      <c r="CH159" s="20" t="e">
        <f>_xlfn.XLOOKUP(#REF!, 'Normative data'!$S$9:$S$15,'Normative data'!$T$9:$T$15, "Not Found", -1)</f>
        <v>#REF!</v>
      </c>
      <c r="CI159" s="20">
        <v>17.52</v>
      </c>
      <c r="CJ159" s="20" t="e">
        <f>_xlfn.XLOOKUP(#REF!, 'Normative data'!$S$9:$S$15, 'Normative data'!$T$9:$T$15, "Not Found", -1)</f>
        <v>#REF!</v>
      </c>
      <c r="CK159" s="24">
        <v>2.2000000000000002</v>
      </c>
      <c r="CL159" s="24">
        <v>4.55</v>
      </c>
      <c r="CM159" s="21"/>
      <c r="CN159" s="24">
        <v>6.55</v>
      </c>
      <c r="CO159" s="24">
        <v>7.63</v>
      </c>
      <c r="CP159" s="24"/>
      <c r="CQ159" s="20"/>
      <c r="CR159" s="20" t="str" cm="1">
        <f t="array" ref="CR159">IF(OR(ISBLANK(E159),ISBLANK(CQ159)),"Incomplete",_xlfn.XLOOKUP(CQ159,_xlfn.XLOOKUP(E159,'Normative data'!$Y$3:$Y$6,'Normative data'!$Z$3:$AG$6,,-1),'Normative data'!$Z$2:$AG$2,"Not Found",-1))</f>
        <v>Incomplete</v>
      </c>
      <c r="CS159" s="20"/>
      <c r="CT159" s="20"/>
      <c r="CU159" s="20" t="str" cm="1">
        <f t="array" ref="CU159">_xlfn.XLOOKUP(CS159&amp;CT159,(VLOOKUP!$A$3:$A$250)&amp;(VLOOKUP!$B$3:$B$250),VLOOKUP!$C$3:$C$250,"Incomplete",-1)</f>
        <v>Incomplete</v>
      </c>
      <c r="CV159" s="20" t="str" cm="1">
        <f t="array" ref="CV159">_xlfn.XLOOKUP(CU159, _xlfn.XLOOKUP(E159, 'Normative data'!$Y$11:$Y$14, 'Normative data'!$Z$11:$AG$14, ,-1), 'Normative data'!$Z$10:$AG$10, "Not Found", -1)</f>
        <v>Excellent</v>
      </c>
      <c r="CW159" s="20" t="str" cm="1">
        <f t="array" ref="CW159">IF(OR(ISBLANK(CS159),ISBLANK(CT159)),"Incomplete",_xlfn.XLOOKUP(CS159&amp;CT159,VLOOKUP!$A$4:$A$250&amp;VLOOKUP!$B$4:$B$250,VLOOKUP!$D$4:$D$250,"0"))</f>
        <v>Incomplete</v>
      </c>
    </row>
    <row r="160" spans="1:101">
      <c r="A160" s="17" t="s">
        <v>486</v>
      </c>
      <c r="B160" s="17" t="s">
        <v>487</v>
      </c>
      <c r="C160" s="17" t="s">
        <v>86</v>
      </c>
      <c r="D160" s="23">
        <v>40432</v>
      </c>
      <c r="G160" s="17">
        <v>2025</v>
      </c>
      <c r="H160" s="20" t="s">
        <v>124</v>
      </c>
      <c r="I160" s="17">
        <v>3</v>
      </c>
      <c r="J160" s="17" t="s">
        <v>122</v>
      </c>
      <c r="S160" s="20"/>
      <c r="T160" s="20" t="s">
        <v>488</v>
      </c>
      <c r="U160" s="20" t="s">
        <v>489</v>
      </c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>
        <v>23.8</v>
      </c>
      <c r="AR160" s="20">
        <v>0.441</v>
      </c>
      <c r="AS160" s="20">
        <v>28.7</v>
      </c>
      <c r="AT160" s="20">
        <v>0.48699999999999999</v>
      </c>
      <c r="AU160" s="20">
        <v>17.2</v>
      </c>
      <c r="AV160" s="20">
        <v>0.375</v>
      </c>
      <c r="AW160" s="20">
        <v>16.2</v>
      </c>
      <c r="AX160" s="20">
        <v>0.36399999999999999</v>
      </c>
      <c r="AY160" s="41" t="e">
        <f>IF(OR(ISBLANK(#REF!), ISBLANK(AQ160)), "Incomplete", (60.7*AQ160)+(45.3*#REF!)-2055)</f>
        <v>#REF!</v>
      </c>
      <c r="AZ160" s="20"/>
      <c r="BA160" s="20" t="e">
        <f>IF(OR(ISBLANK(#REF!), ISBLANK(AS160)), "Incomplete", (60.7*AS160)+(45.3*#REF!)-2055)</f>
        <v>#REF!</v>
      </c>
      <c r="BB160" s="20"/>
      <c r="BC160" s="20" t="e">
        <f>IF(OR(ISBLANK(#REF!), ISBLANK(AU160)), "Incomplete", (60.7*AU160)+(45.3*#REF!)-2055)</f>
        <v>#REF!</v>
      </c>
      <c r="BD160" s="20"/>
      <c r="BE160" s="20" t="e">
        <f>IF(OR(ISBLANK(#REF!), ISBLANK(AW160)), "Incomplete", (60.7*AW160)+(45.3*#REF!)-2055)</f>
        <v>#REF!</v>
      </c>
      <c r="BF160" s="20"/>
      <c r="BG160" s="20"/>
      <c r="BH160" s="20"/>
      <c r="BI160" s="20" t="str">
        <f t="shared" si="42"/>
        <v>Incomplete</v>
      </c>
      <c r="BJ160" s="20"/>
      <c r="BK160" s="20">
        <v>4</v>
      </c>
      <c r="BL160" s="20"/>
      <c r="BM160" s="20">
        <v>6</v>
      </c>
      <c r="BN160" s="20"/>
      <c r="BO160" s="20"/>
      <c r="BP160" s="20"/>
      <c r="BQ160" s="20"/>
      <c r="BR160" s="20"/>
      <c r="BS160" s="20"/>
      <c r="BT160" s="20"/>
      <c r="BU160" s="20"/>
      <c r="BV160" s="20"/>
      <c r="BW160" s="91" t="str">
        <f>IFERROR(SUM(BQ160+BR160+BS160)/(3*(#REF!-S160))*100, "Incomplete")</f>
        <v>Incomplete</v>
      </c>
      <c r="BX160" s="91" t="str">
        <f>_xlfn.XLOOKUP(BW160,'Normative data'!$V$3:$V$6,'Normative data'!$W$3:$W$6,"Not Found",-1)</f>
        <v>Very low risk</v>
      </c>
      <c r="BY160" s="91" t="str">
        <f>IFERROR(SUM(BT160+BU160+BV160)/(3*(#REF!-S160))*100, "Incomplete")</f>
        <v>Incomplete</v>
      </c>
      <c r="BZ160" s="91" t="str">
        <f>_xlfn.XLOOKUP(BY160,'Normative data'!$V$3:$V$6,'Normative data'!$W$3:$W$6,"Not Found",-1)</f>
        <v>Very low risk</v>
      </c>
      <c r="CA160" s="20"/>
      <c r="CC160" s="20"/>
      <c r="CE160" s="20">
        <v>10</v>
      </c>
      <c r="CG160" s="20">
        <v>17.7</v>
      </c>
      <c r="CH160" s="20" t="e">
        <f>_xlfn.XLOOKUP(#REF!, 'Normative data'!$S$9:$S$15,'Normative data'!$T$9:$T$15, "Not Found", -1)</f>
        <v>#REF!</v>
      </c>
      <c r="CI160" s="20">
        <v>17.62</v>
      </c>
      <c r="CJ160" s="20" t="e">
        <f>_xlfn.XLOOKUP(#REF!, 'Normative data'!$S$9:$S$15, 'Normative data'!$T$9:$T$15, "Not Found", -1)</f>
        <v>#REF!</v>
      </c>
      <c r="CK160" s="20" t="s">
        <v>490</v>
      </c>
      <c r="CL160" s="20" t="s">
        <v>491</v>
      </c>
      <c r="CM160" s="21"/>
      <c r="CN160" s="20" t="s">
        <v>492</v>
      </c>
      <c r="CO160" s="20" t="s">
        <v>493</v>
      </c>
      <c r="CQ160" s="20"/>
      <c r="CR160" s="20" t="str" cm="1">
        <f t="array" ref="CR160">IF(OR(ISBLANK(E160),ISBLANK(CQ160)),"Incomplete",_xlfn.XLOOKUP(CQ160,_xlfn.XLOOKUP(E160,'Normative data'!$Y$3:$Y$6,'Normative data'!$Z$3:$AG$6,,-1),'Normative data'!$Z$2:$AG$2,"Not Found",-1))</f>
        <v>Incomplete</v>
      </c>
      <c r="CS160" s="20"/>
      <c r="CT160" s="20"/>
      <c r="CU160" s="20" t="str" cm="1">
        <f t="array" ref="CU160">_xlfn.XLOOKUP(CS160&amp;CT160,(VLOOKUP!$A$3:$A$250)&amp;(VLOOKUP!$B$3:$B$250),VLOOKUP!$C$3:$C$250,"Incomplete",-1)</f>
        <v>Incomplete</v>
      </c>
      <c r="CV160" s="20" t="str" cm="1">
        <f t="array" ref="CV160">_xlfn.XLOOKUP(CU160, _xlfn.XLOOKUP(E160, 'Normative data'!$Y$11:$Y$14, 'Normative data'!$Z$11:$AG$14, ,-1), 'Normative data'!$Z$10:$AG$10, "Not Found", -1)</f>
        <v>Excellent</v>
      </c>
      <c r="CW160" s="20" t="str" cm="1">
        <f t="array" ref="CW160">IF(OR(ISBLANK(CS160),ISBLANK(CT160)),"Incomplete",_xlfn.XLOOKUP(CS160&amp;CT160,VLOOKUP!$A$4:$A$250&amp;VLOOKUP!$B$4:$B$250,VLOOKUP!$D$4:$D$250,"0"))</f>
        <v>Incomplete</v>
      </c>
    </row>
    <row r="161" spans="1:101">
      <c r="A161" s="18" t="s">
        <v>494</v>
      </c>
      <c r="B161" s="18" t="s">
        <v>495</v>
      </c>
      <c r="C161" s="17" t="s">
        <v>86</v>
      </c>
      <c r="D161" s="19">
        <v>40869</v>
      </c>
      <c r="F161" s="17">
        <v>8</v>
      </c>
      <c r="G161" s="17">
        <v>2025</v>
      </c>
      <c r="H161" s="20" t="s">
        <v>124</v>
      </c>
      <c r="I161" s="17">
        <v>3</v>
      </c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41" t="str">
        <f t="shared" ref="AY161:AY177" si="43">IF(OR(ISBLANK(U161), ISBLANK(AQ161)), "Incomplete", (60.7*AQ161)+(45.3*U161)-2055)</f>
        <v>Incomplete</v>
      </c>
      <c r="AZ161" s="20"/>
      <c r="BA161" s="20" t="str">
        <f t="shared" ref="BA161:BA177" si="44">IF(OR(ISBLANK(U161), ISBLANK(AS161)), "Incomplete", (60.7*AS161)+(45.3*U161)-2055)</f>
        <v>Incomplete</v>
      </c>
      <c r="BB161" s="20"/>
      <c r="BC161" s="20" t="str">
        <f t="shared" ref="BC161:BC177" si="45">IF(OR(ISBLANK(U161), ISBLANK(AU161)), "Incomplete", (60.7*AU161)+(45.3*U161)-2055)</f>
        <v>Incomplete</v>
      </c>
      <c r="BD161" s="20"/>
      <c r="BE161" s="20" t="str">
        <f t="shared" ref="BE161:BE177" si="46">IF(OR(ISBLANK(U161), ISBLANK(AW161)), "Incomplete", (60.7*AW161)+(45.3*U161)-2055)</f>
        <v>Incomplete</v>
      </c>
      <c r="BF161" s="20"/>
      <c r="BG161" s="20">
        <v>18</v>
      </c>
      <c r="BH161" s="20">
        <v>35</v>
      </c>
      <c r="BI161" s="20">
        <f t="shared" si="42"/>
        <v>17</v>
      </c>
      <c r="BJ161" s="20"/>
      <c r="BK161" s="20">
        <v>5</v>
      </c>
      <c r="BL161" s="20"/>
      <c r="BM161" s="20">
        <v>6</v>
      </c>
      <c r="BN161" s="20"/>
      <c r="BO161" s="20"/>
      <c r="BP161" s="20"/>
      <c r="BQ161" s="20"/>
      <c r="BR161" s="20"/>
      <c r="BS161" s="20"/>
      <c r="BT161" s="20"/>
      <c r="BU161" s="20"/>
      <c r="BV161" s="20"/>
      <c r="BW161" s="91" t="str">
        <f t="shared" ref="BW161:BW177" si="47">IFERROR(SUM(BQ161+BR161+BS161)/(3*(T161-S161))*100, "Incomplete")</f>
        <v>Incomplete</v>
      </c>
      <c r="BX161" s="91" t="str">
        <f>_xlfn.XLOOKUP(BW161,'Normative data'!$V$3:$V$6,'Normative data'!$W$3:$W$6,"Not Found",-1)</f>
        <v>Very low risk</v>
      </c>
      <c r="BY161" s="91" t="str">
        <f t="shared" ref="BY161:BY177" si="48">IFERROR(SUM(BT161+BU161+BV161)/(3*(T161-S161))*100, "Incomplete")</f>
        <v>Incomplete</v>
      </c>
      <c r="BZ161" s="91" t="str">
        <f>_xlfn.XLOOKUP(BY161,'Normative data'!$V$3:$V$6,'Normative data'!$W$3:$W$6,"Not Found",-1)</f>
        <v>Very low risk</v>
      </c>
      <c r="CA161" s="20"/>
      <c r="CC161" s="20"/>
      <c r="CE161" s="20">
        <v>7</v>
      </c>
      <c r="CG161" s="20"/>
      <c r="CH161" s="20" t="str">
        <f>_xlfn.XLOOKUP(CG161, 'Normative data'!$S$9:$S$15,'Normative data'!$T$9:$T$15, "Not Found", -1)</f>
        <v>not completed</v>
      </c>
      <c r="CI161" s="20"/>
      <c r="CJ161" s="20" t="str">
        <f>_xlfn.XLOOKUP(CI161, 'Normative data'!$S$9:$S$15, 'Normative data'!$T$9:$T$15, "Not Found", -1)</f>
        <v>not completed</v>
      </c>
      <c r="CK161" s="21">
        <v>2.34</v>
      </c>
      <c r="CL161" s="21">
        <v>4.2699999999999996</v>
      </c>
      <c r="CM161" s="21"/>
      <c r="CN161" s="21">
        <v>7.16</v>
      </c>
      <c r="CO161" s="21">
        <v>6.98</v>
      </c>
      <c r="CP161" s="21"/>
      <c r="CQ161" s="20"/>
      <c r="CR161" s="20" t="str" cm="1">
        <f t="array" ref="CR161">IF(OR(ISBLANK(E161),ISBLANK(CQ161)),"Incomplete",_xlfn.XLOOKUP(CQ161,_xlfn.XLOOKUP(E161,'Normative data'!$Y$3:$Y$6,'Normative data'!$Z$3:$AG$6,,-1),'Normative data'!$Z$2:$AG$2,"Not Found",-1))</f>
        <v>Incomplete</v>
      </c>
      <c r="CS161" s="20"/>
      <c r="CT161" s="20"/>
      <c r="CU161" s="20" t="str" cm="1">
        <f t="array" ref="CU161">_xlfn.XLOOKUP(CS161&amp;CT161,(VLOOKUP!$A$3:$A$250)&amp;(VLOOKUP!$B$3:$B$250),VLOOKUP!$C$3:$C$250,"Incomplete",-1)</f>
        <v>Incomplete</v>
      </c>
      <c r="CV161" s="20" t="str" cm="1">
        <f t="array" ref="CV161">_xlfn.XLOOKUP(CU161, _xlfn.XLOOKUP(E161, 'Normative data'!$Y$11:$Y$14, 'Normative data'!$Z$11:$AG$14, ,-1), 'Normative data'!$Z$10:$AG$10, "Not Found", -1)</f>
        <v>Excellent</v>
      </c>
      <c r="CW161" s="20" t="str" cm="1">
        <f t="array" ref="CW161">IF(OR(ISBLANK(CS161),ISBLANK(CT161)),"Incomplete",_xlfn.XLOOKUP(CS161&amp;CT161,VLOOKUP!$A$4:$A$250&amp;VLOOKUP!$B$4:$B$250,VLOOKUP!$D$4:$D$250,"0"))</f>
        <v>Incomplete</v>
      </c>
    </row>
    <row r="162" spans="1:101">
      <c r="A162" s="22" t="s">
        <v>496</v>
      </c>
      <c r="B162" s="22" t="s">
        <v>495</v>
      </c>
      <c r="C162" s="17" t="s">
        <v>86</v>
      </c>
      <c r="D162" s="23"/>
      <c r="F162" s="17">
        <v>10</v>
      </c>
      <c r="G162" s="17">
        <v>2025</v>
      </c>
      <c r="H162" s="20" t="s">
        <v>114</v>
      </c>
      <c r="I162" s="17">
        <v>1</v>
      </c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41" t="str">
        <f t="shared" si="43"/>
        <v>Incomplete</v>
      </c>
      <c r="AZ162" s="20"/>
      <c r="BA162" s="20" t="str">
        <f t="shared" si="44"/>
        <v>Incomplete</v>
      </c>
      <c r="BB162" s="20"/>
      <c r="BC162" s="20" t="str">
        <f t="shared" si="45"/>
        <v>Incomplete</v>
      </c>
      <c r="BD162" s="20"/>
      <c r="BE162" s="20" t="str">
        <f t="shared" si="46"/>
        <v>Incomplete</v>
      </c>
      <c r="BF162" s="20"/>
      <c r="BG162" s="20">
        <v>12.5</v>
      </c>
      <c r="BH162" s="20">
        <v>28</v>
      </c>
      <c r="BI162" s="20" t="e">
        <f>IF(OR(ISBLANK(#REF!), ISBLANK(#REF!)),"Incomplete",(SUM(#REF!-#REF!)))</f>
        <v>#REF!</v>
      </c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91" t="str">
        <f t="shared" si="47"/>
        <v>Incomplete</v>
      </c>
      <c r="BX162" s="91" t="str">
        <f>_xlfn.XLOOKUP(BW162,'Normative data'!$V$3:$V$6,'Normative data'!$W$3:$W$6,"Not Found",-1)</f>
        <v>Very low risk</v>
      </c>
      <c r="BY162" s="91" t="str">
        <f t="shared" si="48"/>
        <v>Incomplete</v>
      </c>
      <c r="BZ162" s="91" t="str">
        <f>_xlfn.XLOOKUP(BY162,'Normative data'!$V$3:$V$6,'Normative data'!$W$3:$W$6,"Not Found",-1)</f>
        <v>Very low risk</v>
      </c>
      <c r="CA162" s="20"/>
      <c r="CC162" s="20"/>
      <c r="CE162" s="20">
        <v>1</v>
      </c>
      <c r="CG162" s="20"/>
      <c r="CH162" s="20" t="str">
        <f>_xlfn.XLOOKUP(CG162, 'Normative data'!$S$9:$S$15,'Normative data'!$T$9:$T$15, "Not Found", -1)</f>
        <v>not completed</v>
      </c>
      <c r="CI162" s="20"/>
      <c r="CJ162" s="20" t="str">
        <f>_xlfn.XLOOKUP(CI162, 'Normative data'!$S$9:$S$15, 'Normative data'!$T$9:$T$15, "Not Found", -1)</f>
        <v>not completed</v>
      </c>
      <c r="CK162" s="24">
        <v>2.23</v>
      </c>
      <c r="CL162" s="24">
        <v>4.4800000000000004</v>
      </c>
      <c r="CM162" s="24"/>
      <c r="CN162" s="24">
        <v>7.06</v>
      </c>
      <c r="CO162" s="24">
        <v>7.08</v>
      </c>
      <c r="CP162" s="24"/>
      <c r="CQ162" s="20"/>
      <c r="CR162" s="20" t="str" cm="1">
        <f t="array" ref="CR162">IF(OR(ISBLANK(E162),ISBLANK(CQ162)),"Incomplete",_xlfn.XLOOKUP(CQ162,_xlfn.XLOOKUP(E162,'Normative data'!$Y$3:$Y$6,'Normative data'!$Z$3:$AG$6,,-1),'Normative data'!$Z$2:$AG$2,"Not Found",-1))</f>
        <v>Incomplete</v>
      </c>
      <c r="CS162" s="20"/>
      <c r="CT162" s="20"/>
      <c r="CU162" s="20" t="str" cm="1">
        <f t="array" ref="CU162">_xlfn.XLOOKUP(CS162&amp;CT162,(VLOOKUP!$A$3:$A$250)&amp;(VLOOKUP!$B$3:$B$250),VLOOKUP!$C$3:$C$250,"Incomplete",-1)</f>
        <v>Incomplete</v>
      </c>
      <c r="CV162" s="20" t="str" cm="1">
        <f t="array" ref="CV162">_xlfn.XLOOKUP(CU162, _xlfn.XLOOKUP(E162, 'Normative data'!$Y$11:$Y$14, 'Normative data'!$Z$11:$AG$14, ,-1), 'Normative data'!$Z$10:$AG$10, "Not Found", -1)</f>
        <v>Excellent</v>
      </c>
      <c r="CW162" s="20" t="str" cm="1">
        <f t="array" ref="CW162">IF(OR(ISBLANK(CS162),ISBLANK(CT162)),"Incomplete",_xlfn.XLOOKUP(CS162&amp;CT162,VLOOKUP!$A$4:$A$250&amp;VLOOKUP!$B$4:$B$250,VLOOKUP!$D$4:$D$250,"0"))</f>
        <v>Incomplete</v>
      </c>
    </row>
    <row r="163" spans="1:101">
      <c r="A163" s="17" t="s">
        <v>496</v>
      </c>
      <c r="B163" s="17" t="s">
        <v>495</v>
      </c>
      <c r="C163" s="17" t="s">
        <v>86</v>
      </c>
      <c r="D163" s="26"/>
      <c r="F163" s="17">
        <v>10</v>
      </c>
      <c r="G163" s="17">
        <v>2025</v>
      </c>
      <c r="H163" s="20" t="s">
        <v>124</v>
      </c>
      <c r="I163" s="17">
        <v>3</v>
      </c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41" t="str">
        <f t="shared" si="43"/>
        <v>Incomplete</v>
      </c>
      <c r="AZ163" s="20"/>
      <c r="BA163" s="20" t="str">
        <f t="shared" si="44"/>
        <v>Incomplete</v>
      </c>
      <c r="BB163" s="20"/>
      <c r="BC163" s="20" t="str">
        <f t="shared" si="45"/>
        <v>Incomplete</v>
      </c>
      <c r="BD163" s="20"/>
      <c r="BE163" s="20" t="str">
        <f t="shared" si="46"/>
        <v>Incomplete</v>
      </c>
      <c r="BF163" s="20"/>
      <c r="BG163" s="20"/>
      <c r="BH163" s="20"/>
      <c r="BI163" s="20" t="str">
        <f>IF(OR(ISBLANK(BG163), ISBLANK(BH163)),"Incomplete",(SUM(BH163-BG163)))</f>
        <v>Incomplete</v>
      </c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91" t="str">
        <f t="shared" si="47"/>
        <v>Incomplete</v>
      </c>
      <c r="BX163" s="91" t="str">
        <f>_xlfn.XLOOKUP(BW163,'Normative data'!$V$3:$V$6,'Normative data'!$W$3:$W$6,"Not Found",-1)</f>
        <v>Very low risk</v>
      </c>
      <c r="BY163" s="91" t="str">
        <f t="shared" si="48"/>
        <v>Incomplete</v>
      </c>
      <c r="BZ163" s="91" t="str">
        <f>_xlfn.XLOOKUP(BY163,'Normative data'!$V$3:$V$6,'Normative data'!$W$3:$W$6,"Not Found",-1)</f>
        <v>Very low risk</v>
      </c>
      <c r="CA163" s="20"/>
      <c r="CC163" s="20"/>
      <c r="CE163" s="20"/>
      <c r="CG163" s="20"/>
      <c r="CH163" s="20" t="str">
        <f>_xlfn.XLOOKUP(CG163, 'Normative data'!$S$9:$S$15,'Normative data'!$T$9:$T$15, "Not Found", -1)</f>
        <v>not completed</v>
      </c>
      <c r="CI163" s="20"/>
      <c r="CJ163" s="20" t="str">
        <f>_xlfn.XLOOKUP(CI163, 'Normative data'!$S$9:$S$15, 'Normative data'!$T$9:$T$15, "Not Found", -1)</f>
        <v>not completed</v>
      </c>
      <c r="CK163" s="20" t="s">
        <v>497</v>
      </c>
      <c r="CL163" s="20" t="s">
        <v>498</v>
      </c>
      <c r="CN163" s="20" t="s">
        <v>499</v>
      </c>
      <c r="CO163" s="20" t="s">
        <v>500</v>
      </c>
      <c r="CQ163" s="20"/>
      <c r="CR163" s="20" t="str" cm="1">
        <f t="array" ref="CR163">IF(OR(ISBLANK(E163),ISBLANK(CQ163)),"Incomplete",_xlfn.XLOOKUP(CQ163,_xlfn.XLOOKUP(E163,'Normative data'!$Y$3:$Y$6,'Normative data'!$Z$3:$AG$6,,-1),'Normative data'!$Z$2:$AG$2,"Not Found",-1))</f>
        <v>Incomplete</v>
      </c>
      <c r="CS163" s="20"/>
      <c r="CT163" s="20"/>
      <c r="CU163" s="20" t="str" cm="1">
        <f t="array" ref="CU163">_xlfn.XLOOKUP(CS163&amp;CT163,(VLOOKUP!$A$3:$A$250)&amp;(VLOOKUP!$B$3:$B$250),VLOOKUP!$C$3:$C$250,"Incomplete",-1)</f>
        <v>Incomplete</v>
      </c>
      <c r="CV163" s="20" t="str" cm="1">
        <f t="array" ref="CV163">_xlfn.XLOOKUP(CU163, _xlfn.XLOOKUP(E163, 'Normative data'!$Y$11:$Y$14, 'Normative data'!$Z$11:$AG$14, ,-1), 'Normative data'!$Z$10:$AG$10, "Not Found", -1)</f>
        <v>Excellent</v>
      </c>
      <c r="CW163" s="20" t="str" cm="1">
        <f t="array" ref="CW163">IF(OR(ISBLANK(CS163),ISBLANK(CT163)),"Incomplete",_xlfn.XLOOKUP(CS163&amp;CT163,VLOOKUP!$A$4:$A$250&amp;VLOOKUP!$B$4:$B$250,VLOOKUP!$D$4:$D$250,"0"))</f>
        <v>Incomplete</v>
      </c>
    </row>
    <row r="164" spans="1:101">
      <c r="A164" s="22" t="s">
        <v>501</v>
      </c>
      <c r="B164" s="22" t="s">
        <v>502</v>
      </c>
      <c r="C164" s="17" t="s">
        <v>86</v>
      </c>
      <c r="D164" s="23"/>
      <c r="F164" s="17">
        <v>10</v>
      </c>
      <c r="G164" s="17">
        <v>2025</v>
      </c>
      <c r="H164" s="20" t="s">
        <v>124</v>
      </c>
      <c r="I164" s="17">
        <v>3</v>
      </c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41" t="str">
        <f t="shared" si="43"/>
        <v>Incomplete</v>
      </c>
      <c r="AZ164" s="20"/>
      <c r="BA164" s="20" t="str">
        <f t="shared" si="44"/>
        <v>Incomplete</v>
      </c>
      <c r="BB164" s="20"/>
      <c r="BC164" s="20" t="str">
        <f t="shared" si="45"/>
        <v>Incomplete</v>
      </c>
      <c r="BD164" s="20"/>
      <c r="BE164" s="20" t="str">
        <f t="shared" si="46"/>
        <v>Incomplete</v>
      </c>
      <c r="BF164" s="20"/>
      <c r="BG164" s="20">
        <v>16.5</v>
      </c>
      <c r="BH164" s="20">
        <v>39.5</v>
      </c>
      <c r="BI164" s="20" t="e">
        <f>IF(OR(ISBLANK(#REF!), ISBLANK(#REF!)),"Incomplete",(SUM(#REF!-#REF!)))</f>
        <v>#REF!</v>
      </c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91" t="str">
        <f t="shared" si="47"/>
        <v>Incomplete</v>
      </c>
      <c r="BX164" s="91" t="str">
        <f>_xlfn.XLOOKUP(BW164,'Normative data'!$V$3:$V$6,'Normative data'!$W$3:$W$6,"Not Found",-1)</f>
        <v>Very low risk</v>
      </c>
      <c r="BY164" s="91" t="str">
        <f t="shared" si="48"/>
        <v>Incomplete</v>
      </c>
      <c r="BZ164" s="91" t="str">
        <f>_xlfn.XLOOKUP(BY164,'Normative data'!$V$3:$V$6,'Normative data'!$W$3:$W$6,"Not Found",-1)</f>
        <v>Very low risk</v>
      </c>
      <c r="CA164" s="20"/>
      <c r="CC164" s="20"/>
      <c r="CE164" s="20">
        <v>5</v>
      </c>
      <c r="CG164" s="20"/>
      <c r="CH164" s="20" t="str">
        <f>_xlfn.XLOOKUP(CG164, 'Normative data'!$S$9:$S$15,'Normative data'!$T$9:$T$15, "Not Found", -1)</f>
        <v>not completed</v>
      </c>
      <c r="CI164" s="20"/>
      <c r="CJ164" s="20" t="str">
        <f>_xlfn.XLOOKUP(CI164, 'Normative data'!$S$9:$S$15, 'Normative data'!$T$9:$T$15, "Not Found", -1)</f>
        <v>not completed</v>
      </c>
      <c r="CK164" s="24">
        <v>2.17</v>
      </c>
      <c r="CL164" s="24">
        <v>4.6100000000000003</v>
      </c>
      <c r="CM164" s="24"/>
      <c r="CN164" s="24">
        <v>6.46</v>
      </c>
      <c r="CO164" s="24">
        <v>7.74</v>
      </c>
      <c r="CP164" s="24"/>
      <c r="CQ164" s="20"/>
      <c r="CR164" s="20" t="str" cm="1">
        <f t="array" ref="CR164">IF(OR(ISBLANK(E164),ISBLANK(CQ164)),"Incomplete",_xlfn.XLOOKUP(CQ164,_xlfn.XLOOKUP(E164,'Normative data'!$Y$3:$Y$6,'Normative data'!$Z$3:$AG$6,,-1),'Normative data'!$Z$2:$AG$2,"Not Found",-1))</f>
        <v>Incomplete</v>
      </c>
      <c r="CS164" s="20"/>
      <c r="CT164" s="20"/>
      <c r="CU164" s="20" t="str" cm="1">
        <f t="array" ref="CU164">_xlfn.XLOOKUP(CS164&amp;CT164,(VLOOKUP!$A$3:$A$250)&amp;(VLOOKUP!$B$3:$B$250),VLOOKUP!$C$3:$C$250,"Incomplete",-1)</f>
        <v>Incomplete</v>
      </c>
      <c r="CV164" s="20" t="str" cm="1">
        <f t="array" ref="CV164">_xlfn.XLOOKUP(CU164, _xlfn.XLOOKUP(E164, 'Normative data'!$Y$11:$Y$14, 'Normative data'!$Z$11:$AG$14, ,-1), 'Normative data'!$Z$10:$AG$10, "Not Found", -1)</f>
        <v>Excellent</v>
      </c>
      <c r="CW164" s="20" t="str" cm="1">
        <f t="array" ref="CW164">IF(OR(ISBLANK(CS164),ISBLANK(CT164)),"Incomplete",_xlfn.XLOOKUP(CS164&amp;CT164,VLOOKUP!$A$4:$A$250&amp;VLOOKUP!$B$4:$B$250,VLOOKUP!$D$4:$D$250,"0"))</f>
        <v>Incomplete</v>
      </c>
    </row>
    <row r="165" spans="1:101">
      <c r="A165" s="17" t="s">
        <v>503</v>
      </c>
      <c r="B165" s="17" t="s">
        <v>504</v>
      </c>
      <c r="C165" s="17" t="s">
        <v>86</v>
      </c>
      <c r="D165" s="26">
        <v>40733</v>
      </c>
      <c r="F165" s="17">
        <v>8</v>
      </c>
      <c r="G165" s="17">
        <v>2025</v>
      </c>
      <c r="H165" s="20" t="s">
        <v>114</v>
      </c>
      <c r="I165" s="17">
        <v>1</v>
      </c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41" t="str">
        <f t="shared" si="43"/>
        <v>Incomplete</v>
      </c>
      <c r="AZ165" s="20"/>
      <c r="BA165" s="20" t="str">
        <f t="shared" si="44"/>
        <v>Incomplete</v>
      </c>
      <c r="BB165" s="20"/>
      <c r="BC165" s="20" t="str">
        <f t="shared" si="45"/>
        <v>Incomplete</v>
      </c>
      <c r="BD165" s="20"/>
      <c r="BE165" s="20" t="str">
        <f t="shared" si="46"/>
        <v>Incomplete</v>
      </c>
      <c r="BF165" s="20"/>
      <c r="BG165" s="20">
        <v>19</v>
      </c>
      <c r="BH165" s="20">
        <v>39.5</v>
      </c>
      <c r="BI165" s="20" t="e">
        <f>IF(OR(ISBLANK(#REF!), ISBLANK(#REF!)),"Incomplete",(SUM(#REF!-#REF!)))</f>
        <v>#REF!</v>
      </c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91" t="str">
        <f t="shared" si="47"/>
        <v>Incomplete</v>
      </c>
      <c r="BX165" s="91" t="str">
        <f>_xlfn.XLOOKUP(BW165,'Normative data'!$V$3:$V$6,'Normative data'!$W$3:$W$6,"Not Found",-1)</f>
        <v>Very low risk</v>
      </c>
      <c r="BY165" s="91" t="str">
        <f t="shared" si="48"/>
        <v>Incomplete</v>
      </c>
      <c r="BZ165" s="91" t="str">
        <f>_xlfn.XLOOKUP(BY165,'Normative data'!$V$3:$V$6,'Normative data'!$W$3:$W$6,"Not Found",-1)</f>
        <v>Very low risk</v>
      </c>
      <c r="CA165" s="20"/>
      <c r="CC165" s="20"/>
      <c r="CE165" s="20"/>
      <c r="CG165" s="20"/>
      <c r="CH165" s="20" t="str">
        <f>_xlfn.XLOOKUP(CG165, 'Normative data'!$S$9:$S$15,'Normative data'!$T$9:$T$15, "Not Found", -1)</f>
        <v>not completed</v>
      </c>
      <c r="CI165" s="20"/>
      <c r="CJ165" s="20" t="str">
        <f>_xlfn.XLOOKUP(CI165, 'Normative data'!$S$9:$S$15, 'Normative data'!$T$9:$T$15, "Not Found", -1)</f>
        <v>not completed</v>
      </c>
      <c r="CK165" s="25">
        <v>2.34</v>
      </c>
      <c r="CL165" s="25">
        <v>4.2699999999999996</v>
      </c>
      <c r="CM165" s="25"/>
      <c r="CN165" s="25">
        <v>7.27</v>
      </c>
      <c r="CO165" s="25">
        <v>6.88</v>
      </c>
      <c r="CP165" s="25"/>
      <c r="CQ165" s="20"/>
      <c r="CR165" s="20" t="str" cm="1">
        <f t="array" ref="CR165">IF(OR(ISBLANK(E165),ISBLANK(CQ165)),"Incomplete",_xlfn.XLOOKUP(CQ165,_xlfn.XLOOKUP(E165,'Normative data'!$Y$3:$Y$6,'Normative data'!$Z$3:$AG$6,,-1),'Normative data'!$Z$2:$AG$2,"Not Found",-1))</f>
        <v>Incomplete</v>
      </c>
      <c r="CS165" s="20"/>
      <c r="CT165" s="20"/>
      <c r="CU165" s="20" t="str" cm="1">
        <f t="array" ref="CU165">_xlfn.XLOOKUP(CS165&amp;CT165,(VLOOKUP!$A$3:$A$250)&amp;(VLOOKUP!$B$3:$B$250),VLOOKUP!$C$3:$C$250,"Incomplete",-1)</f>
        <v>Incomplete</v>
      </c>
      <c r="CV165" s="20" t="str" cm="1">
        <f t="array" ref="CV165">_xlfn.XLOOKUP(CU165, _xlfn.XLOOKUP(E165, 'Normative data'!$Y$11:$Y$14, 'Normative data'!$Z$11:$AG$14, ,-1), 'Normative data'!$Z$10:$AG$10, "Not Found", -1)</f>
        <v>Excellent</v>
      </c>
      <c r="CW165" s="20" t="str" cm="1">
        <f t="array" ref="CW165">IF(OR(ISBLANK(CS165),ISBLANK(CT165)),"Incomplete",_xlfn.XLOOKUP(CS165&amp;CT165,VLOOKUP!$A$4:$A$250&amp;VLOOKUP!$B$4:$B$250,VLOOKUP!$D$4:$D$250,"0"))</f>
        <v>Incomplete</v>
      </c>
    </row>
    <row r="166" spans="1:101">
      <c r="A166" s="17" t="s">
        <v>505</v>
      </c>
      <c r="B166" s="17" t="s">
        <v>504</v>
      </c>
      <c r="C166" s="17" t="s">
        <v>86</v>
      </c>
      <c r="D166" s="26">
        <v>40733</v>
      </c>
      <c r="F166" s="17">
        <v>8</v>
      </c>
      <c r="G166" s="17">
        <v>2025</v>
      </c>
      <c r="H166" s="20" t="s">
        <v>124</v>
      </c>
      <c r="I166" s="17">
        <v>3</v>
      </c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41" t="str">
        <f t="shared" si="43"/>
        <v>Incomplete</v>
      </c>
      <c r="AZ166" s="20"/>
      <c r="BA166" s="20" t="str">
        <f t="shared" si="44"/>
        <v>Incomplete</v>
      </c>
      <c r="BB166" s="20"/>
      <c r="BC166" s="20" t="str">
        <f t="shared" si="45"/>
        <v>Incomplete</v>
      </c>
      <c r="BD166" s="20"/>
      <c r="BE166" s="20" t="str">
        <f t="shared" si="46"/>
        <v>Incomplete</v>
      </c>
      <c r="BF166" s="20"/>
      <c r="BG166" s="20"/>
      <c r="BH166" s="20"/>
      <c r="BI166" s="20" t="str">
        <f>IF(OR(ISBLANK(BG166), ISBLANK(BH166)),"Incomplete",(SUM(BH166-BG166)))</f>
        <v>Incomplete</v>
      </c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91" t="str">
        <f t="shared" si="47"/>
        <v>Incomplete</v>
      </c>
      <c r="BX166" s="91" t="str">
        <f>_xlfn.XLOOKUP(BW166,'Normative data'!$V$3:$V$6,'Normative data'!$W$3:$W$6,"Not Found",-1)</f>
        <v>Very low risk</v>
      </c>
      <c r="BY166" s="91" t="str">
        <f t="shared" si="48"/>
        <v>Incomplete</v>
      </c>
      <c r="BZ166" s="91" t="str">
        <f>_xlfn.XLOOKUP(BY166,'Normative data'!$V$3:$V$6,'Normative data'!$W$3:$W$6,"Not Found",-1)</f>
        <v>Very low risk</v>
      </c>
      <c r="CA166" s="20"/>
      <c r="CC166" s="20"/>
      <c r="CE166" s="20"/>
      <c r="CG166" s="20"/>
      <c r="CH166" s="20" t="str">
        <f>_xlfn.XLOOKUP(CG166, 'Normative data'!$S$9:$S$15,'Normative data'!$T$9:$T$15, "Not Found", -1)</f>
        <v>not completed</v>
      </c>
      <c r="CI166" s="20"/>
      <c r="CJ166" s="20" t="str">
        <f>_xlfn.XLOOKUP(CI166, 'Normative data'!$S$9:$S$15, 'Normative data'!$T$9:$T$15, "Not Found", -1)</f>
        <v>not completed</v>
      </c>
      <c r="CK166" s="20" t="s">
        <v>506</v>
      </c>
      <c r="CL166" s="20" t="s">
        <v>507</v>
      </c>
      <c r="CN166" s="20" t="s">
        <v>380</v>
      </c>
      <c r="CO166" s="20" t="s">
        <v>379</v>
      </c>
      <c r="CQ166" s="20"/>
      <c r="CR166" s="20" t="str" cm="1">
        <f t="array" ref="CR166">IF(OR(ISBLANK(E166),ISBLANK(CQ166)),"Incomplete",_xlfn.XLOOKUP(CQ166,_xlfn.XLOOKUP(E166,'Normative data'!$Y$3:$Y$6,'Normative data'!$Z$3:$AG$6,,-1),'Normative data'!$Z$2:$AG$2,"Not Found",-1))</f>
        <v>Incomplete</v>
      </c>
      <c r="CS166" s="20"/>
      <c r="CT166" s="20"/>
      <c r="CU166" s="20" t="str" cm="1">
        <f t="array" ref="CU166">_xlfn.XLOOKUP(CS166&amp;CT166,(VLOOKUP!$A$3:$A$250)&amp;(VLOOKUP!$B$3:$B$250),VLOOKUP!$C$3:$C$250,"Incomplete",-1)</f>
        <v>Incomplete</v>
      </c>
      <c r="CV166" s="20" t="str" cm="1">
        <f t="array" ref="CV166">_xlfn.XLOOKUP(CU166, _xlfn.XLOOKUP(E166, 'Normative data'!$Y$11:$Y$14, 'Normative data'!$Z$11:$AG$14, ,-1), 'Normative data'!$Z$10:$AG$10, "Not Found", -1)</f>
        <v>Excellent</v>
      </c>
      <c r="CW166" s="20" t="str" cm="1">
        <f t="array" ref="CW166">IF(OR(ISBLANK(CS166),ISBLANK(CT166)),"Incomplete",_xlfn.XLOOKUP(CS166&amp;CT166,VLOOKUP!$A$4:$A$250&amp;VLOOKUP!$B$4:$B$250,VLOOKUP!$D$4:$D$250,"0"))</f>
        <v>Incomplete</v>
      </c>
    </row>
    <row r="167" spans="1:101">
      <c r="A167" s="17" t="s">
        <v>508</v>
      </c>
      <c r="B167" s="17" t="s">
        <v>509</v>
      </c>
      <c r="C167" s="17" t="s">
        <v>86</v>
      </c>
      <c r="D167" s="26"/>
      <c r="F167" s="17">
        <v>11</v>
      </c>
      <c r="G167" s="17">
        <v>2025</v>
      </c>
      <c r="H167" s="20" t="s">
        <v>124</v>
      </c>
      <c r="I167" s="17">
        <v>3</v>
      </c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41" t="str">
        <f t="shared" si="43"/>
        <v>Incomplete</v>
      </c>
      <c r="AZ167" s="20"/>
      <c r="BA167" s="20" t="str">
        <f t="shared" si="44"/>
        <v>Incomplete</v>
      </c>
      <c r="BB167" s="20"/>
      <c r="BC167" s="20" t="str">
        <f t="shared" si="45"/>
        <v>Incomplete</v>
      </c>
      <c r="BD167" s="20"/>
      <c r="BE167" s="20" t="str">
        <f t="shared" si="46"/>
        <v>Incomplete</v>
      </c>
      <c r="BF167" s="20"/>
      <c r="BG167" s="20">
        <v>18</v>
      </c>
      <c r="BH167" s="20">
        <v>44</v>
      </c>
      <c r="BI167" s="20">
        <f>IF(OR(ISBLANK(BG167), ISBLANK(BH167)),"Incomplete",(SUM(BH167-BG167)))</f>
        <v>26</v>
      </c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91" t="str">
        <f t="shared" si="47"/>
        <v>Incomplete</v>
      </c>
      <c r="BX167" s="91" t="str">
        <f>_xlfn.XLOOKUP(BW167,'Normative data'!$V$3:$V$6,'Normative data'!$W$3:$W$6,"Not Found",-1)</f>
        <v>Very low risk</v>
      </c>
      <c r="BY167" s="91" t="str">
        <f t="shared" si="48"/>
        <v>Incomplete</v>
      </c>
      <c r="BZ167" s="91" t="str">
        <f>_xlfn.XLOOKUP(BY167,'Normative data'!$V$3:$V$6,'Normative data'!$W$3:$W$6,"Not Found",-1)</f>
        <v>Very low risk</v>
      </c>
      <c r="CA167" s="20"/>
      <c r="CC167" s="20"/>
      <c r="CE167" s="20">
        <v>1</v>
      </c>
      <c r="CG167" s="20"/>
      <c r="CH167" s="20" t="str">
        <f>_xlfn.XLOOKUP(CG167, 'Normative data'!$S$9:$S$15,'Normative data'!$T$9:$T$15, "Not Found", -1)</f>
        <v>not completed</v>
      </c>
      <c r="CI167" s="20"/>
      <c r="CJ167" s="20" t="str">
        <f>_xlfn.XLOOKUP(CI167, 'Normative data'!$S$9:$S$15, 'Normative data'!$T$9:$T$15, "Not Found", -1)</f>
        <v>not completed</v>
      </c>
      <c r="CK167" s="21"/>
      <c r="CL167" s="21"/>
      <c r="CM167" s="21"/>
      <c r="CN167" s="21"/>
      <c r="CO167" s="21"/>
      <c r="CP167" s="21"/>
      <c r="CQ167" s="20"/>
      <c r="CR167" s="20" t="str" cm="1">
        <f t="array" ref="CR167">IF(OR(ISBLANK(E167),ISBLANK(CQ167)),"Incomplete",_xlfn.XLOOKUP(CQ167,_xlfn.XLOOKUP(E167,'Normative data'!$Y$3:$Y$6,'Normative data'!$Z$3:$AG$6,,-1),'Normative data'!$Z$2:$AG$2,"Not Found",-1))</f>
        <v>Incomplete</v>
      </c>
      <c r="CS167" s="20"/>
      <c r="CT167" s="20"/>
      <c r="CU167" s="20" t="str" cm="1">
        <f t="array" ref="CU167">_xlfn.XLOOKUP(CS167&amp;CT167,(VLOOKUP!$A$3:$A$250)&amp;(VLOOKUP!$B$3:$B$250),VLOOKUP!$C$3:$C$250,"Incomplete",-1)</f>
        <v>Incomplete</v>
      </c>
      <c r="CV167" s="20" t="str" cm="1">
        <f t="array" ref="CV167">_xlfn.XLOOKUP(CU167, _xlfn.XLOOKUP(E167, 'Normative data'!$Y$11:$Y$14, 'Normative data'!$Z$11:$AG$14, ,-1), 'Normative data'!$Z$10:$AG$10, "Not Found", -1)</f>
        <v>Excellent</v>
      </c>
      <c r="CW167" s="20" t="str" cm="1">
        <f t="array" ref="CW167">IF(OR(ISBLANK(CS167),ISBLANK(CT167)),"Incomplete",_xlfn.XLOOKUP(CS167&amp;CT167,VLOOKUP!$A$4:$A$250&amp;VLOOKUP!$B$4:$B$250,VLOOKUP!$D$4:$D$250,"0"))</f>
        <v>Incomplete</v>
      </c>
    </row>
    <row r="168" spans="1:101">
      <c r="A168" s="22" t="s">
        <v>510</v>
      </c>
      <c r="B168" s="22" t="s">
        <v>511</v>
      </c>
      <c r="C168" s="17" t="s">
        <v>86</v>
      </c>
      <c r="D168" s="23">
        <v>39559</v>
      </c>
      <c r="F168" s="17">
        <v>11</v>
      </c>
      <c r="G168" s="17">
        <v>2025</v>
      </c>
      <c r="H168" s="20" t="s">
        <v>114</v>
      </c>
      <c r="I168" s="17">
        <v>1</v>
      </c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41" t="str">
        <f t="shared" si="43"/>
        <v>Incomplete</v>
      </c>
      <c r="AZ168" s="20"/>
      <c r="BA168" s="20" t="str">
        <f t="shared" si="44"/>
        <v>Incomplete</v>
      </c>
      <c r="BB168" s="20"/>
      <c r="BC168" s="20" t="str">
        <f t="shared" si="45"/>
        <v>Incomplete</v>
      </c>
      <c r="BD168" s="20"/>
      <c r="BE168" s="20" t="str">
        <f t="shared" si="46"/>
        <v>Incomplete</v>
      </c>
      <c r="BF168" s="20"/>
      <c r="BG168" s="20">
        <v>21</v>
      </c>
      <c r="BH168" s="20">
        <v>51</v>
      </c>
      <c r="BI168" s="20">
        <f>IF(OR(ISBLANK(BG168), ISBLANK(BH168)),"Incomplete",(SUM(BH168-BG168)))</f>
        <v>30</v>
      </c>
      <c r="BJ168" s="20"/>
      <c r="BK168" s="20">
        <v>9</v>
      </c>
      <c r="BL168" s="20"/>
      <c r="BM168" s="20">
        <v>10</v>
      </c>
      <c r="BN168" s="20"/>
      <c r="BO168" s="20"/>
      <c r="BP168" s="20"/>
      <c r="BQ168" s="20"/>
      <c r="BR168" s="20"/>
      <c r="BS168" s="20"/>
      <c r="BT168" s="20"/>
      <c r="BU168" s="20"/>
      <c r="BV168" s="20"/>
      <c r="BW168" s="91" t="str">
        <f t="shared" si="47"/>
        <v>Incomplete</v>
      </c>
      <c r="BX168" s="91" t="str">
        <f>_xlfn.XLOOKUP(BW168,'Normative data'!$V$3:$V$6,'Normative data'!$W$3:$W$6,"Not Found",-1)</f>
        <v>Very low risk</v>
      </c>
      <c r="BY168" s="91" t="str">
        <f t="shared" si="48"/>
        <v>Incomplete</v>
      </c>
      <c r="BZ168" s="91" t="str">
        <f>_xlfn.XLOOKUP(BY168,'Normative data'!$V$3:$V$6,'Normative data'!$W$3:$W$6,"Not Found",-1)</f>
        <v>Very low risk</v>
      </c>
      <c r="CA168" s="20"/>
      <c r="CC168" s="20"/>
      <c r="CE168" s="20"/>
      <c r="CG168" s="20"/>
      <c r="CH168" s="20" t="str">
        <f>_xlfn.XLOOKUP(CG168, 'Normative data'!$S$9:$S$15,'Normative data'!$T$9:$T$15, "Not Found", -1)</f>
        <v>not completed</v>
      </c>
      <c r="CI168" s="20"/>
      <c r="CJ168" s="20" t="str">
        <f>_xlfn.XLOOKUP(CI168, 'Normative data'!$S$9:$S$15, 'Normative data'!$T$9:$T$15, "Not Found", -1)</f>
        <v>not completed</v>
      </c>
      <c r="CK168" s="24">
        <v>2.04</v>
      </c>
      <c r="CL168" s="24">
        <v>4.9000000000000004</v>
      </c>
      <c r="CM168" s="21"/>
      <c r="CN168" s="24">
        <v>6.54</v>
      </c>
      <c r="CO168" s="24">
        <v>7.65</v>
      </c>
      <c r="CP168" s="24"/>
      <c r="CQ168" s="20"/>
      <c r="CR168" s="20" t="str" cm="1">
        <f t="array" ref="CR168">IF(OR(ISBLANK(E168),ISBLANK(CQ168)),"Incomplete",_xlfn.XLOOKUP(CQ168,_xlfn.XLOOKUP(E168,'Normative data'!$Y$3:$Y$6,'Normative data'!$Z$3:$AG$6,,-1),'Normative data'!$Z$2:$AG$2,"Not Found",-1))</f>
        <v>Incomplete</v>
      </c>
      <c r="CS168" s="20"/>
      <c r="CT168" s="20"/>
      <c r="CU168" s="20" t="str" cm="1">
        <f t="array" ref="CU168">_xlfn.XLOOKUP(CS168&amp;CT168,(VLOOKUP!$A$3:$A$250)&amp;(VLOOKUP!$B$3:$B$250),VLOOKUP!$C$3:$C$250,"Incomplete",-1)</f>
        <v>Incomplete</v>
      </c>
      <c r="CV168" s="20" t="str" cm="1">
        <f t="array" ref="CV168">_xlfn.XLOOKUP(CU168, _xlfn.XLOOKUP(E168, 'Normative data'!$Y$11:$Y$14, 'Normative data'!$Z$11:$AG$14, ,-1), 'Normative data'!$Z$10:$AG$10, "Not Found", -1)</f>
        <v>Excellent</v>
      </c>
      <c r="CW168" s="20" t="str" cm="1">
        <f t="array" ref="CW168">IF(OR(ISBLANK(CS168),ISBLANK(CT168)),"Incomplete",_xlfn.XLOOKUP(CS168&amp;CT168,VLOOKUP!$A$4:$A$250&amp;VLOOKUP!$B$4:$B$250,VLOOKUP!$D$4:$D$250,"0"))</f>
        <v>Incomplete</v>
      </c>
    </row>
    <row r="169" spans="1:101">
      <c r="A169" s="17" t="s">
        <v>512</v>
      </c>
      <c r="B169" s="17" t="s">
        <v>511</v>
      </c>
      <c r="C169" s="17" t="s">
        <v>86</v>
      </c>
      <c r="D169" s="23">
        <v>39559</v>
      </c>
      <c r="F169" s="17">
        <v>11</v>
      </c>
      <c r="G169" s="17">
        <v>2025</v>
      </c>
      <c r="H169" s="20" t="s">
        <v>124</v>
      </c>
      <c r="I169" s="17">
        <v>3</v>
      </c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41" t="str">
        <f t="shared" si="43"/>
        <v>Incomplete</v>
      </c>
      <c r="AZ169" s="20"/>
      <c r="BA169" s="20" t="str">
        <f t="shared" si="44"/>
        <v>Incomplete</v>
      </c>
      <c r="BB169" s="20"/>
      <c r="BC169" s="20" t="str">
        <f t="shared" si="45"/>
        <v>Incomplete</v>
      </c>
      <c r="BD169" s="20"/>
      <c r="BE169" s="20" t="str">
        <f t="shared" si="46"/>
        <v>Incomplete</v>
      </c>
      <c r="BF169" s="20"/>
      <c r="BG169" s="20"/>
      <c r="BH169" s="20"/>
      <c r="BI169" s="20" t="str">
        <f>IF(OR(ISBLANK(BG169), ISBLANK(BH169)),"Incomplete",(SUM(BH169-BG169)))</f>
        <v>Incomplete</v>
      </c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91" t="str">
        <f t="shared" si="47"/>
        <v>Incomplete</v>
      </c>
      <c r="BX169" s="91" t="str">
        <f>_xlfn.XLOOKUP(BW169,'Normative data'!$V$3:$V$6,'Normative data'!$W$3:$W$6,"Not Found",-1)</f>
        <v>Very low risk</v>
      </c>
      <c r="BY169" s="91" t="str">
        <f t="shared" si="48"/>
        <v>Incomplete</v>
      </c>
      <c r="BZ169" s="91" t="str">
        <f>_xlfn.XLOOKUP(BY169,'Normative data'!$V$3:$V$6,'Normative data'!$W$3:$W$6,"Not Found",-1)</f>
        <v>Very low risk</v>
      </c>
      <c r="CA169" s="20"/>
      <c r="CC169" s="20"/>
      <c r="CE169" s="20"/>
      <c r="CG169" s="20"/>
      <c r="CH169" s="20" t="str">
        <f>_xlfn.XLOOKUP(CG169, 'Normative data'!$S$9:$S$15,'Normative data'!$T$9:$T$15, "Not Found", -1)</f>
        <v>not completed</v>
      </c>
      <c r="CI169" s="20"/>
      <c r="CJ169" s="20" t="str">
        <f>_xlfn.XLOOKUP(CI169, 'Normative data'!$S$9:$S$15, 'Normative data'!$T$9:$T$15, "Not Found", -1)</f>
        <v>not completed</v>
      </c>
      <c r="CK169" s="20" t="s">
        <v>386</v>
      </c>
      <c r="CL169" s="20" t="s">
        <v>513</v>
      </c>
      <c r="CN169" s="20" t="s">
        <v>514</v>
      </c>
      <c r="CO169" s="20" t="s">
        <v>515</v>
      </c>
      <c r="CQ169" s="20"/>
      <c r="CR169" s="20" t="str" cm="1">
        <f t="array" ref="CR169">IF(OR(ISBLANK(E169),ISBLANK(CQ169)),"Incomplete",_xlfn.XLOOKUP(CQ169,_xlfn.XLOOKUP(E169,'Normative data'!$Y$3:$Y$6,'Normative data'!$Z$3:$AG$6,,-1),'Normative data'!$Z$2:$AG$2,"Not Found",-1))</f>
        <v>Incomplete</v>
      </c>
      <c r="CS169" s="20"/>
      <c r="CT169" s="20"/>
      <c r="CU169" s="20" t="str" cm="1">
        <f t="array" ref="CU169">_xlfn.XLOOKUP(CS169&amp;CT169,(VLOOKUP!$A$3:$A$250)&amp;(VLOOKUP!$B$3:$B$250),VLOOKUP!$C$3:$C$250,"Incomplete",-1)</f>
        <v>Incomplete</v>
      </c>
      <c r="CV169" s="20" t="str" cm="1">
        <f t="array" ref="CV169">_xlfn.XLOOKUP(CU169, _xlfn.XLOOKUP(E169, 'Normative data'!$Y$11:$Y$14, 'Normative data'!$Z$11:$AG$14, ,-1), 'Normative data'!$Z$10:$AG$10, "Not Found", -1)</f>
        <v>Excellent</v>
      </c>
      <c r="CW169" s="20" t="str" cm="1">
        <f t="array" ref="CW169">IF(OR(ISBLANK(CS169),ISBLANK(CT169)),"Incomplete",_xlfn.XLOOKUP(CS169&amp;CT169,VLOOKUP!$A$4:$A$250&amp;VLOOKUP!$B$4:$B$250,VLOOKUP!$D$4:$D$250,"0"))</f>
        <v>Incomplete</v>
      </c>
    </row>
    <row r="170" spans="1:101">
      <c r="A170" s="17" t="s">
        <v>198</v>
      </c>
      <c r="B170" s="17" t="s">
        <v>197</v>
      </c>
      <c r="C170" s="17" t="s">
        <v>86</v>
      </c>
      <c r="D170" s="26"/>
      <c r="F170" s="17">
        <v>11</v>
      </c>
      <c r="G170" s="17">
        <v>2025</v>
      </c>
      <c r="H170" s="20" t="s">
        <v>124</v>
      </c>
      <c r="I170" s="17">
        <v>3</v>
      </c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41" t="str">
        <f t="shared" si="43"/>
        <v>Incomplete</v>
      </c>
      <c r="AZ170" s="20"/>
      <c r="BA170" s="20" t="str">
        <f t="shared" si="44"/>
        <v>Incomplete</v>
      </c>
      <c r="BB170" s="20"/>
      <c r="BC170" s="20" t="str">
        <f t="shared" si="45"/>
        <v>Incomplete</v>
      </c>
      <c r="BD170" s="20"/>
      <c r="BE170" s="20" t="str">
        <f t="shared" si="46"/>
        <v>Incomplete</v>
      </c>
      <c r="BF170" s="20"/>
      <c r="BG170" s="20">
        <v>23.4</v>
      </c>
      <c r="BH170" s="20">
        <v>33.200000000000003</v>
      </c>
      <c r="BI170" s="20">
        <f>IF(OR(ISBLANK(BG170), ISBLANK(BH170)),"Incomplete",(SUM(BH170-BG170)))</f>
        <v>9.8000000000000043</v>
      </c>
      <c r="BJ170" s="20"/>
      <c r="BK170" s="20">
        <v>11</v>
      </c>
      <c r="BL170" s="20"/>
      <c r="BM170" s="20">
        <v>8</v>
      </c>
      <c r="BN170" s="20"/>
      <c r="BO170" s="20"/>
      <c r="BP170" s="20"/>
      <c r="BQ170" s="20"/>
      <c r="BR170" s="20"/>
      <c r="BS170" s="20"/>
      <c r="BT170" s="20"/>
      <c r="BU170" s="20"/>
      <c r="BV170" s="20"/>
      <c r="BW170" s="91" t="str">
        <f t="shared" si="47"/>
        <v>Incomplete</v>
      </c>
      <c r="BX170" s="91" t="str">
        <f>_xlfn.XLOOKUP(BW170,'Normative data'!$V$3:$V$6,'Normative data'!$W$3:$W$6,"Not Found",-1)</f>
        <v>Very low risk</v>
      </c>
      <c r="BY170" s="91" t="str">
        <f t="shared" si="48"/>
        <v>Incomplete</v>
      </c>
      <c r="BZ170" s="91" t="str">
        <f>_xlfn.XLOOKUP(BY170,'Normative data'!$V$3:$V$6,'Normative data'!$W$3:$W$6,"Not Found",-1)</f>
        <v>Very low risk</v>
      </c>
      <c r="CA170" s="20"/>
      <c r="CC170" s="20"/>
      <c r="CE170" s="20"/>
      <c r="CG170" s="20"/>
      <c r="CH170" s="20" t="str">
        <f>_xlfn.XLOOKUP(CG170, 'Normative data'!$S$9:$S$15,'Normative data'!$T$9:$T$15, "Not Found", -1)</f>
        <v>not completed</v>
      </c>
      <c r="CI170" s="20"/>
      <c r="CJ170" s="20" t="str">
        <f>_xlfn.XLOOKUP(CI170, 'Normative data'!$S$9:$S$15, 'Normative data'!$T$9:$T$15, "Not Found", -1)</f>
        <v>not completed</v>
      </c>
      <c r="CK170" s="21"/>
      <c r="CL170" s="21"/>
      <c r="CM170" s="21"/>
      <c r="CN170" s="21"/>
      <c r="CO170" s="21"/>
      <c r="CQ170" s="20"/>
      <c r="CR170" s="20" t="str" cm="1">
        <f t="array" ref="CR170">IF(OR(ISBLANK(E170),ISBLANK(CQ170)),"Incomplete",_xlfn.XLOOKUP(CQ170,_xlfn.XLOOKUP(E170,'Normative data'!$Y$3:$Y$6,'Normative data'!$Z$3:$AG$6,,-1),'Normative data'!$Z$2:$AG$2,"Not Found",-1))</f>
        <v>Incomplete</v>
      </c>
      <c r="CS170" s="20"/>
      <c r="CT170" s="20"/>
      <c r="CU170" s="20" t="str" cm="1">
        <f t="array" ref="CU170">_xlfn.XLOOKUP(CS170&amp;CT170,(VLOOKUP!$A$3:$A$250)&amp;(VLOOKUP!$B$3:$B$250),VLOOKUP!$C$3:$C$250,"Incomplete",-1)</f>
        <v>Incomplete</v>
      </c>
      <c r="CV170" s="20" t="str" cm="1">
        <f t="array" ref="CV170">_xlfn.XLOOKUP(CU170, _xlfn.XLOOKUP(E170, 'Normative data'!$Y$11:$Y$14, 'Normative data'!$Z$11:$AG$14, ,-1), 'Normative data'!$Z$10:$AG$10, "Not Found", -1)</f>
        <v>Excellent</v>
      </c>
      <c r="CW170" s="20" t="str" cm="1">
        <f t="array" ref="CW170">IF(OR(ISBLANK(CS170),ISBLANK(CT170)),"Incomplete",_xlfn.XLOOKUP(CS170&amp;CT170,VLOOKUP!$A$4:$A$250&amp;VLOOKUP!$B$4:$B$250,VLOOKUP!$D$4:$D$250,"0"))</f>
        <v>Incomplete</v>
      </c>
    </row>
    <row r="171" spans="1:101">
      <c r="A171" s="18" t="s">
        <v>516</v>
      </c>
      <c r="B171" s="18" t="s">
        <v>517</v>
      </c>
      <c r="C171" s="17" t="s">
        <v>86</v>
      </c>
      <c r="D171" s="19">
        <v>40488</v>
      </c>
      <c r="F171" s="17">
        <v>9</v>
      </c>
      <c r="G171" s="17">
        <v>2025</v>
      </c>
      <c r="H171" s="20" t="s">
        <v>114</v>
      </c>
      <c r="I171" s="17">
        <v>1</v>
      </c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41" t="str">
        <f t="shared" si="43"/>
        <v>Incomplete</v>
      </c>
      <c r="AZ171" s="20"/>
      <c r="BA171" s="20" t="str">
        <f t="shared" si="44"/>
        <v>Incomplete</v>
      </c>
      <c r="BB171" s="20"/>
      <c r="BC171" s="20" t="str">
        <f t="shared" si="45"/>
        <v>Incomplete</v>
      </c>
      <c r="BD171" s="20"/>
      <c r="BE171" s="20" t="str">
        <f t="shared" si="46"/>
        <v>Incomplete</v>
      </c>
      <c r="BF171" s="20"/>
      <c r="BG171" s="20">
        <v>17.5</v>
      </c>
      <c r="BH171" s="20">
        <v>33.4</v>
      </c>
      <c r="BI171" s="20" t="e">
        <f>IF(OR(ISBLANK(#REF!), ISBLANK(#REF!)),"Incomplete",(SUM(#REF!-#REF!)))</f>
        <v>#REF!</v>
      </c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91" t="str">
        <f t="shared" si="47"/>
        <v>Incomplete</v>
      </c>
      <c r="BX171" s="91" t="str">
        <f>_xlfn.XLOOKUP(BW171,'Normative data'!$V$3:$V$6,'Normative data'!$W$3:$W$6,"Not Found",-1)</f>
        <v>Very low risk</v>
      </c>
      <c r="BY171" s="91" t="str">
        <f t="shared" si="48"/>
        <v>Incomplete</v>
      </c>
      <c r="BZ171" s="91" t="str">
        <f>_xlfn.XLOOKUP(BY171,'Normative data'!$V$3:$V$6,'Normative data'!$W$3:$W$6,"Not Found",-1)</f>
        <v>Very low risk</v>
      </c>
      <c r="CA171" s="20"/>
      <c r="CC171" s="20"/>
      <c r="CE171" s="20"/>
      <c r="CG171" s="20"/>
      <c r="CH171" s="20" t="str">
        <f>_xlfn.XLOOKUP(CG171, 'Normative data'!$S$9:$S$15,'Normative data'!$T$9:$T$15, "Not Found", -1)</f>
        <v>not completed</v>
      </c>
      <c r="CI171" s="20"/>
      <c r="CJ171" s="20" t="str">
        <f>_xlfn.XLOOKUP(CI171, 'Normative data'!$S$9:$S$15, 'Normative data'!$T$9:$T$15, "Not Found", -1)</f>
        <v>not completed</v>
      </c>
      <c r="CK171" s="21">
        <v>2.04</v>
      </c>
      <c r="CL171" s="21">
        <v>4.9000000000000004</v>
      </c>
      <c r="CM171" s="21"/>
      <c r="CN171" s="21">
        <v>6.9</v>
      </c>
      <c r="CO171" s="21">
        <v>7.25</v>
      </c>
      <c r="CP171" s="21"/>
      <c r="CQ171" s="20"/>
      <c r="CR171" s="20" t="str" cm="1">
        <f t="array" ref="CR171">IF(OR(ISBLANK(E171),ISBLANK(CQ171)),"Incomplete",_xlfn.XLOOKUP(CQ171,_xlfn.XLOOKUP(E171,'Normative data'!$Y$3:$Y$6,'Normative data'!$Z$3:$AG$6,,-1),'Normative data'!$Z$2:$AG$2,"Not Found",-1))</f>
        <v>Incomplete</v>
      </c>
      <c r="CS171" s="20"/>
      <c r="CT171" s="20"/>
      <c r="CU171" s="20" t="str" cm="1">
        <f t="array" ref="CU171">_xlfn.XLOOKUP(CS171&amp;CT171,(VLOOKUP!$A$3:$A$250)&amp;(VLOOKUP!$B$3:$B$250),VLOOKUP!$C$3:$C$250,"Incomplete",-1)</f>
        <v>Incomplete</v>
      </c>
      <c r="CV171" s="20" t="str" cm="1">
        <f t="array" ref="CV171">_xlfn.XLOOKUP(CU171, _xlfn.XLOOKUP(E171, 'Normative data'!$Y$11:$Y$14, 'Normative data'!$Z$11:$AG$14, ,-1), 'Normative data'!$Z$10:$AG$10, "Not Found", -1)</f>
        <v>Excellent</v>
      </c>
      <c r="CW171" s="20" t="str" cm="1">
        <f t="array" ref="CW171">IF(OR(ISBLANK(CS171),ISBLANK(CT171)),"Incomplete",_xlfn.XLOOKUP(CS171&amp;CT171,VLOOKUP!$A$4:$A$250&amp;VLOOKUP!$B$4:$B$250,VLOOKUP!$D$4:$D$250,"0"))</f>
        <v>Incomplete</v>
      </c>
    </row>
    <row r="172" spans="1:101">
      <c r="A172" s="17" t="s">
        <v>516</v>
      </c>
      <c r="B172" s="17" t="s">
        <v>517</v>
      </c>
      <c r="C172" s="17" t="s">
        <v>86</v>
      </c>
      <c r="D172" s="26"/>
      <c r="F172" s="17">
        <v>9</v>
      </c>
      <c r="G172" s="17">
        <v>2025</v>
      </c>
      <c r="H172" s="20" t="s">
        <v>124</v>
      </c>
      <c r="I172" s="17">
        <v>3</v>
      </c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41" t="str">
        <f t="shared" si="43"/>
        <v>Incomplete</v>
      </c>
      <c r="AZ172" s="20"/>
      <c r="BA172" s="20" t="str">
        <f t="shared" si="44"/>
        <v>Incomplete</v>
      </c>
      <c r="BB172" s="20"/>
      <c r="BC172" s="20" t="str">
        <f t="shared" si="45"/>
        <v>Incomplete</v>
      </c>
      <c r="BD172" s="20"/>
      <c r="BE172" s="20" t="str">
        <f t="shared" si="46"/>
        <v>Incomplete</v>
      </c>
      <c r="BF172" s="20"/>
      <c r="BG172" s="20"/>
      <c r="BH172" s="20"/>
      <c r="BI172" s="20" t="str">
        <f>IF(OR(ISBLANK(BG172), ISBLANK(BH172)),"Incomplete",(SUM(BH172-BG172)))</f>
        <v>Incomplete</v>
      </c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91" t="str">
        <f t="shared" si="47"/>
        <v>Incomplete</v>
      </c>
      <c r="BX172" s="91" t="str">
        <f>_xlfn.XLOOKUP(BW172,'Normative data'!$V$3:$V$6,'Normative data'!$W$3:$W$6,"Not Found",-1)</f>
        <v>Very low risk</v>
      </c>
      <c r="BY172" s="91" t="str">
        <f t="shared" si="48"/>
        <v>Incomplete</v>
      </c>
      <c r="BZ172" s="91" t="str">
        <f>_xlfn.XLOOKUP(BY172,'Normative data'!$V$3:$V$6,'Normative data'!$W$3:$W$6,"Not Found",-1)</f>
        <v>Very low risk</v>
      </c>
      <c r="CA172" s="20"/>
      <c r="CC172" s="20"/>
      <c r="CE172" s="20">
        <v>25</v>
      </c>
      <c r="CG172" s="20"/>
      <c r="CH172" s="20" t="str">
        <f>_xlfn.XLOOKUP(CG172, 'Normative data'!$S$9:$S$15,'Normative data'!$T$9:$T$15, "Not Found", -1)</f>
        <v>not completed</v>
      </c>
      <c r="CI172" s="20"/>
      <c r="CJ172" s="20" t="str">
        <f>_xlfn.XLOOKUP(CI172, 'Normative data'!$S$9:$S$15, 'Normative data'!$T$9:$T$15, "Not Found", -1)</f>
        <v>not completed</v>
      </c>
      <c r="CK172" s="20" t="s">
        <v>518</v>
      </c>
      <c r="CL172" s="20" t="s">
        <v>519</v>
      </c>
      <c r="CN172" s="20" t="s">
        <v>520</v>
      </c>
      <c r="CO172" s="20" t="s">
        <v>521</v>
      </c>
      <c r="CQ172" s="20"/>
      <c r="CR172" s="20" t="str" cm="1">
        <f t="array" ref="CR172">IF(OR(ISBLANK(E172),ISBLANK(CQ172)),"Incomplete",_xlfn.XLOOKUP(CQ172,_xlfn.XLOOKUP(E172,'Normative data'!$Y$3:$Y$6,'Normative data'!$Z$3:$AG$6,,-1),'Normative data'!$Z$2:$AG$2,"Not Found",-1))</f>
        <v>Incomplete</v>
      </c>
      <c r="CS172" s="20"/>
      <c r="CT172" s="20"/>
      <c r="CU172" s="20" t="str" cm="1">
        <f t="array" ref="CU172">_xlfn.XLOOKUP(CS172&amp;CT172,(VLOOKUP!$A$3:$A$250)&amp;(VLOOKUP!$B$3:$B$250),VLOOKUP!$C$3:$C$250,"Incomplete",-1)</f>
        <v>Incomplete</v>
      </c>
      <c r="CV172" s="20" t="str" cm="1">
        <f t="array" ref="CV172">_xlfn.XLOOKUP(CU172, _xlfn.XLOOKUP(E172, 'Normative data'!$Y$11:$Y$14, 'Normative data'!$Z$11:$AG$14, ,-1), 'Normative data'!$Z$10:$AG$10, "Not Found", -1)</f>
        <v>Excellent</v>
      </c>
      <c r="CW172" s="20" t="str" cm="1">
        <f t="array" ref="CW172">IF(OR(ISBLANK(CS172),ISBLANK(CT172)),"Incomplete",_xlfn.XLOOKUP(CS172&amp;CT172,VLOOKUP!$A$4:$A$250&amp;VLOOKUP!$B$4:$B$250,VLOOKUP!$D$4:$D$250,"0"))</f>
        <v>Incomplete</v>
      </c>
    </row>
    <row r="173" spans="1:101">
      <c r="A173" s="17" t="s">
        <v>522</v>
      </c>
      <c r="B173" s="17" t="s">
        <v>523</v>
      </c>
      <c r="C173" s="17" t="s">
        <v>86</v>
      </c>
      <c r="D173" s="26"/>
      <c r="F173" s="20" t="s">
        <v>181</v>
      </c>
      <c r="G173" s="17">
        <v>2026</v>
      </c>
      <c r="I173" s="20">
        <v>2</v>
      </c>
      <c r="J173" s="20"/>
      <c r="K173" s="20"/>
      <c r="L173" s="20"/>
      <c r="S173" s="20"/>
      <c r="T173" s="20"/>
      <c r="AY173" s="41" t="str">
        <f t="shared" si="43"/>
        <v>Incomplete</v>
      </c>
      <c r="BA173" s="20" t="str">
        <f t="shared" si="44"/>
        <v>Incomplete</v>
      </c>
      <c r="BC173" s="20" t="str">
        <f t="shared" si="45"/>
        <v>Incomplete</v>
      </c>
      <c r="BE173" s="20" t="str">
        <f t="shared" si="46"/>
        <v>Incomplete</v>
      </c>
      <c r="BH173" s="20"/>
      <c r="BI173" s="20" t="str">
        <f>IF(OR(ISBLANK(BG173), ISBLANK(BH173)),"Incomplete",(SUM(BH173-BG173)))</f>
        <v>Incomplete</v>
      </c>
      <c r="BJ173" s="20"/>
      <c r="BL173" s="20"/>
      <c r="BM173" s="20"/>
      <c r="BN173" s="20"/>
      <c r="BW173" s="91" t="str">
        <f t="shared" si="47"/>
        <v>Incomplete</v>
      </c>
      <c r="BX173" s="91" t="str">
        <f>_xlfn.XLOOKUP(BW173,'Normative data'!$V$3:$V$6,'Normative data'!$W$3:$W$6,"Not Found",-1)</f>
        <v>Very low risk</v>
      </c>
      <c r="BY173" s="91" t="str">
        <f t="shared" si="48"/>
        <v>Incomplete</v>
      </c>
      <c r="BZ173" s="91" t="str">
        <f>_xlfn.XLOOKUP(BY173,'Normative data'!$V$3:$V$6,'Normative data'!$W$3:$W$6,"Not Found",-1)</f>
        <v>Very low risk</v>
      </c>
      <c r="CA173" s="17">
        <v>40</v>
      </c>
      <c r="CC173" s="20"/>
      <c r="CE173" s="17">
        <v>33</v>
      </c>
      <c r="CG173" s="20"/>
      <c r="CH173" s="20" t="str">
        <f>_xlfn.XLOOKUP(CG173, 'Normative data'!$S$9:$S$15,'Normative data'!$T$9:$T$15, "Not Found", -1)</f>
        <v>not completed</v>
      </c>
      <c r="CI173" s="20"/>
      <c r="CJ173" s="20" t="str">
        <f>_xlfn.XLOOKUP(CI173, 'Normative data'!$S$9:$S$15, 'Normative data'!$T$9:$T$15, "Not Found", -1)</f>
        <v>not completed</v>
      </c>
      <c r="CK173" s="17">
        <v>2.14</v>
      </c>
      <c r="CL173" s="17">
        <v>4.67</v>
      </c>
      <c r="CN173" s="17">
        <v>7.26</v>
      </c>
      <c r="CO173" s="17">
        <v>6.89</v>
      </c>
      <c r="CR173" s="20" t="str" cm="1">
        <f t="array" ref="CR173">IF(OR(ISBLANK(E173),ISBLANK(CQ173)),"Incomplete",_xlfn.XLOOKUP(CQ173,_xlfn.XLOOKUP(E173,'Normative data'!$Y$3:$Y$6,'Normative data'!$Z$3:$AG$6,,-1),'Normative data'!$Z$2:$AG$2,"Not Found",-1))</f>
        <v>Incomplete</v>
      </c>
      <c r="CS173" s="20"/>
      <c r="CT173" s="20"/>
      <c r="CU173" s="20" t="str" cm="1">
        <f t="array" ref="CU173">_xlfn.XLOOKUP(CS173&amp;CT173,(VLOOKUP!$A$3:$A$250)&amp;(VLOOKUP!$B$3:$B$250),VLOOKUP!$C$3:$C$250,"Incomplete",-1)</f>
        <v>Incomplete</v>
      </c>
      <c r="CV173" s="20" t="str" cm="1">
        <f t="array" ref="CV173">_xlfn.XLOOKUP(CU173, _xlfn.XLOOKUP(E173, 'Normative data'!$Y$11:$Y$14, 'Normative data'!$Z$11:$AG$14, ,-1), 'Normative data'!$Z$10:$AG$10, "Not Found", -1)</f>
        <v>Excellent</v>
      </c>
      <c r="CW173" s="20" t="str" cm="1">
        <f t="array" ref="CW173">IF(OR(ISBLANK(CS173),ISBLANK(CT173)),"Incomplete",_xlfn.XLOOKUP(CS173&amp;CT173,VLOOKUP!$A$4:$A$250&amp;VLOOKUP!$B$4:$B$250,VLOOKUP!$D$4:$D$250,"0"))</f>
        <v>Incomplete</v>
      </c>
    </row>
    <row r="174" spans="1:101">
      <c r="A174" s="17" t="s">
        <v>524</v>
      </c>
      <c r="B174" s="17" t="s">
        <v>525</v>
      </c>
      <c r="C174" s="17" t="s">
        <v>86</v>
      </c>
      <c r="D174" s="26">
        <v>40822</v>
      </c>
      <c r="E174" s="17">
        <v>14.8</v>
      </c>
      <c r="F174" s="20" t="s">
        <v>104</v>
      </c>
      <c r="G174" s="17">
        <v>2026</v>
      </c>
      <c r="I174" s="20">
        <v>2</v>
      </c>
      <c r="J174" s="20"/>
      <c r="K174" s="20"/>
      <c r="L174" s="20"/>
      <c r="S174" s="20">
        <v>85</v>
      </c>
      <c r="T174" s="20">
        <v>162.9</v>
      </c>
      <c r="U174" s="17">
        <v>61.1</v>
      </c>
      <c r="V174" s="17">
        <v>33.299999999999997</v>
      </c>
      <c r="W174" s="17">
        <v>15.5</v>
      </c>
      <c r="X174" s="17">
        <v>45.6</v>
      </c>
      <c r="Y174" s="17">
        <v>25.1</v>
      </c>
      <c r="Z174" s="17">
        <v>23</v>
      </c>
      <c r="AA174" s="17">
        <v>25.3</v>
      </c>
      <c r="AB174" s="17">
        <v>6.84</v>
      </c>
      <c r="AC174" s="17">
        <v>101.8</v>
      </c>
      <c r="AD174" s="17">
        <v>6.76</v>
      </c>
      <c r="AE174" s="17">
        <v>100.6</v>
      </c>
      <c r="AF174" s="17">
        <v>2.4</v>
      </c>
      <c r="AG174" s="17">
        <v>100.4</v>
      </c>
      <c r="AH174" s="17">
        <v>2.4</v>
      </c>
      <c r="AI174" s="17">
        <v>100.1</v>
      </c>
      <c r="AJ174" s="17">
        <v>286.3</v>
      </c>
      <c r="AK174" s="17">
        <v>293.89999999999998</v>
      </c>
      <c r="AL174" s="17">
        <v>253.8</v>
      </c>
      <c r="AM174" s="17">
        <v>259.89999999999998</v>
      </c>
      <c r="AN174" s="17">
        <v>103</v>
      </c>
      <c r="AO174" s="17">
        <v>0.84</v>
      </c>
      <c r="AP174" s="17">
        <v>6.8</v>
      </c>
      <c r="AY174" s="41" t="str">
        <f t="shared" si="43"/>
        <v>Incomplete</v>
      </c>
      <c r="BA174" s="20" t="str">
        <f t="shared" si="44"/>
        <v>Incomplete</v>
      </c>
      <c r="BC174" s="20" t="str">
        <f t="shared" si="45"/>
        <v>Incomplete</v>
      </c>
      <c r="BE174" s="20" t="str">
        <f t="shared" si="46"/>
        <v>Incomplete</v>
      </c>
      <c r="BG174" s="17">
        <v>10.5</v>
      </c>
      <c r="BH174" s="17">
        <v>50.6</v>
      </c>
      <c r="BI174" s="20">
        <f>IF(OR(ISBLANK(BG174), ISBLANK(BH174)),"Incomplete",(SUM(BH174-BG174)))</f>
        <v>40.1</v>
      </c>
      <c r="BJ174" s="20"/>
      <c r="BL174" s="20"/>
      <c r="BM174" s="20"/>
      <c r="BN174" s="20"/>
      <c r="BO174" s="17">
        <v>47</v>
      </c>
      <c r="BP174" s="17">
        <v>48.5</v>
      </c>
      <c r="BQ174" s="17">
        <v>75</v>
      </c>
      <c r="BR174" s="17">
        <v>77</v>
      </c>
      <c r="BS174" s="17">
        <v>78</v>
      </c>
      <c r="BT174" s="17">
        <v>77</v>
      </c>
      <c r="BU174" s="17">
        <v>79</v>
      </c>
      <c r="BV174" s="17">
        <v>72</v>
      </c>
      <c r="BW174" s="91">
        <f t="shared" si="47"/>
        <v>98.416773641420619</v>
      </c>
      <c r="BX174" s="91" t="str">
        <f>_xlfn.XLOOKUP(BW174,'Normative data'!$V$3:$V$6,'Normative data'!$W$3:$W$6,"Not Found",-1)</f>
        <v>Low risk</v>
      </c>
      <c r="BY174" s="91">
        <f t="shared" si="48"/>
        <v>97.560975609756099</v>
      </c>
      <c r="BZ174" s="91" t="str">
        <f>_xlfn.XLOOKUP(BY174,'Normative data'!$V$3:$V$6,'Normative data'!$W$3:$W$6,"Not Found",-1)</f>
        <v>Low risk</v>
      </c>
      <c r="CG174" s="20"/>
      <c r="CH174" s="20" t="str">
        <f>_xlfn.XLOOKUP(CG174, 'Normative data'!$S$9:$S$15,'Normative data'!$T$9:$T$15, "Not Found", -1)</f>
        <v>not completed</v>
      </c>
      <c r="CI174" s="20"/>
      <c r="CJ174" s="20" t="str">
        <f>_xlfn.XLOOKUP(CI174, 'Normative data'!$S$9:$S$15, 'Normative data'!$T$9:$T$15, "Not Found", -1)</f>
        <v>not completed</v>
      </c>
      <c r="CK174" s="21"/>
      <c r="CL174" s="21"/>
      <c r="CM174" s="21"/>
      <c r="CN174" s="21"/>
      <c r="CO174" s="21"/>
      <c r="CR174" s="20" t="str" cm="1">
        <f t="array" ref="CR174">IF(OR(ISBLANK(E174),ISBLANK(CQ174)),"Incomplete",_xlfn.XLOOKUP(CQ174,_xlfn.XLOOKUP(E174,'Normative data'!$Y$3:$Y$6,'Normative data'!$Z$3:$AG$6,,-1),'Normative data'!$Z$2:$AG$2,"Not Found",-1))</f>
        <v>Incomplete</v>
      </c>
      <c r="CS174" s="20"/>
      <c r="CT174" s="20"/>
      <c r="CU174" s="20" t="str" cm="1">
        <f t="array" ref="CU174">_xlfn.XLOOKUP(CS174&amp;CT174,(VLOOKUP!$A$3:$A$250)&amp;(VLOOKUP!$B$3:$B$250),VLOOKUP!$C$3:$C$250,"Incomplete",-1)</f>
        <v>Incomplete</v>
      </c>
      <c r="CV174" s="20" t="str" cm="1">
        <f t="array" ref="CV174">_xlfn.XLOOKUP(CU174, _xlfn.XLOOKUP(E174, 'Normative data'!$Y$11:$Y$14, 'Normative data'!$Z$11:$AG$14, ,-1), 'Normative data'!$Z$10:$AG$10, "Not Found", -1)</f>
        <v>Excellent</v>
      </c>
      <c r="CW174" s="20" t="str" cm="1">
        <f t="array" ref="CW174">IF(OR(ISBLANK(CS174),ISBLANK(CT174)),"Incomplete",_xlfn.XLOOKUP(CS174&amp;CT174,VLOOKUP!$A$4:$A$250&amp;VLOOKUP!$B$4:$B$250,VLOOKUP!$D$4:$D$250,"0"))</f>
        <v>Incomplete</v>
      </c>
    </row>
    <row r="175" spans="1:101">
      <c r="A175" s="18" t="s">
        <v>526</v>
      </c>
      <c r="B175" s="18" t="s">
        <v>527</v>
      </c>
      <c r="C175" s="17" t="s">
        <v>86</v>
      </c>
      <c r="D175" s="19">
        <v>40779</v>
      </c>
      <c r="F175" s="17">
        <v>8</v>
      </c>
      <c r="G175" s="17">
        <v>2025</v>
      </c>
      <c r="H175" s="20" t="s">
        <v>124</v>
      </c>
      <c r="I175" s="17">
        <v>3</v>
      </c>
      <c r="J175" s="17" t="s">
        <v>122</v>
      </c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41" t="str">
        <f t="shared" si="43"/>
        <v>Incomplete</v>
      </c>
      <c r="AZ175" s="20"/>
      <c r="BA175" s="20" t="str">
        <f t="shared" si="44"/>
        <v>Incomplete</v>
      </c>
      <c r="BB175" s="20"/>
      <c r="BC175" s="20" t="str">
        <f t="shared" si="45"/>
        <v>Incomplete</v>
      </c>
      <c r="BD175" s="20"/>
      <c r="BE175" s="20" t="str">
        <f t="shared" si="46"/>
        <v>Incomplete</v>
      </c>
      <c r="BF175" s="20"/>
      <c r="BG175" s="20">
        <v>9</v>
      </c>
      <c r="BH175" s="20">
        <v>42</v>
      </c>
      <c r="BI175" s="20" t="e">
        <f>IF(OR(ISBLANK(#REF!), ISBLANK(#REF!)),"Incomplete",(SUM(#REF!-#REF!)))</f>
        <v>#REF!</v>
      </c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91" t="str">
        <f t="shared" si="47"/>
        <v>Incomplete</v>
      </c>
      <c r="BX175" s="91" t="str">
        <f>_xlfn.XLOOKUP(BW175,'Normative data'!$V$3:$V$6,'Normative data'!$W$3:$W$6,"Not Found",-1)</f>
        <v>Very low risk</v>
      </c>
      <c r="BY175" s="91" t="str">
        <f t="shared" si="48"/>
        <v>Incomplete</v>
      </c>
      <c r="BZ175" s="91" t="str">
        <f>_xlfn.XLOOKUP(BY175,'Normative data'!$V$3:$V$6,'Normative data'!$W$3:$W$6,"Not Found",-1)</f>
        <v>Very low risk</v>
      </c>
      <c r="CA175" s="20"/>
      <c r="CC175" s="20"/>
      <c r="CE175" s="20">
        <v>4</v>
      </c>
      <c r="CG175" s="20">
        <v>19.34</v>
      </c>
      <c r="CH175" s="20" t="e">
        <f>_xlfn.XLOOKUP(#REF!, 'Normative data'!$S$9:$S$15,'Normative data'!$T$9:$T$15, "Not Found", -1)</f>
        <v>#REF!</v>
      </c>
      <c r="CI175" s="20">
        <v>18.54</v>
      </c>
      <c r="CJ175" s="20" t="e">
        <f>_xlfn.XLOOKUP(#REF!, 'Normative data'!$S$9:$S$15, 'Normative data'!$T$9:$T$15, "Not Found", -1)</f>
        <v>#REF!</v>
      </c>
      <c r="CK175" s="21">
        <v>2.44</v>
      </c>
      <c r="CL175" s="21">
        <v>4.0999999999999996</v>
      </c>
      <c r="CM175" s="21"/>
      <c r="CN175" s="21">
        <v>7.08</v>
      </c>
      <c r="CO175" s="21">
        <v>7.06</v>
      </c>
      <c r="CP175" s="21"/>
      <c r="CQ175" s="20"/>
      <c r="CR175" s="20" t="str" cm="1">
        <f t="array" ref="CR175">IF(OR(ISBLANK(E175),ISBLANK(CQ175)),"Incomplete",_xlfn.XLOOKUP(CQ175,_xlfn.XLOOKUP(E175,'Normative data'!$Y$3:$Y$6,'Normative data'!$Z$3:$AG$6,,-1),'Normative data'!$Z$2:$AG$2,"Not Found",-1))</f>
        <v>Incomplete</v>
      </c>
      <c r="CS175" s="20"/>
      <c r="CT175" s="20"/>
      <c r="CU175" s="20" t="str" cm="1">
        <f t="array" ref="CU175">_xlfn.XLOOKUP(CS175&amp;CT175,(VLOOKUP!$A$3:$A$250)&amp;(VLOOKUP!$B$3:$B$250),VLOOKUP!$C$3:$C$250,"Incomplete",-1)</f>
        <v>Incomplete</v>
      </c>
      <c r="CV175" s="20" t="str" cm="1">
        <f t="array" ref="CV175">_xlfn.XLOOKUP(CU175, _xlfn.XLOOKUP(E175, 'Normative data'!$Y$11:$Y$14, 'Normative data'!$Z$11:$AG$14, ,-1), 'Normative data'!$Z$10:$AG$10, "Not Found", -1)</f>
        <v>Excellent</v>
      </c>
      <c r="CW175" s="20" t="str" cm="1">
        <f t="array" ref="CW175">IF(OR(ISBLANK(CS175),ISBLANK(CT175)),"Incomplete",_xlfn.XLOOKUP(CS175&amp;CT175,VLOOKUP!$A$4:$A$250&amp;VLOOKUP!$B$4:$B$250,VLOOKUP!$D$4:$D$250,"0"))</f>
        <v>Incomplete</v>
      </c>
    </row>
    <row r="176" spans="1:101">
      <c r="A176" s="18" t="s">
        <v>528</v>
      </c>
      <c r="B176" s="18" t="s">
        <v>529</v>
      </c>
      <c r="C176" s="17" t="s">
        <v>86</v>
      </c>
      <c r="D176" s="19">
        <v>39856</v>
      </c>
      <c r="F176" s="17">
        <v>10</v>
      </c>
      <c r="G176" s="17">
        <v>2025</v>
      </c>
      <c r="H176" s="20" t="s">
        <v>114</v>
      </c>
      <c r="I176" s="17">
        <v>1</v>
      </c>
      <c r="S176" s="20"/>
      <c r="T176" s="20">
        <v>167</v>
      </c>
      <c r="U176" s="20">
        <v>60.1</v>
      </c>
      <c r="V176" s="20"/>
      <c r="W176" s="20">
        <v>13.7</v>
      </c>
      <c r="X176" s="20">
        <f>SUM(T176-W176)</f>
        <v>153.30000000000001</v>
      </c>
      <c r="Y176" s="20">
        <v>25.6</v>
      </c>
      <c r="Z176" s="20">
        <v>21.5</v>
      </c>
      <c r="AA176" s="20">
        <v>22.7</v>
      </c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41" t="str">
        <f t="shared" si="43"/>
        <v>Incomplete</v>
      </c>
      <c r="AZ176" s="20"/>
      <c r="BA176" s="20" t="str">
        <f t="shared" si="44"/>
        <v>Incomplete</v>
      </c>
      <c r="BB176" s="20"/>
      <c r="BC176" s="20" t="str">
        <f t="shared" si="45"/>
        <v>Incomplete</v>
      </c>
      <c r="BD176" s="20"/>
      <c r="BE176" s="20" t="str">
        <f t="shared" si="46"/>
        <v>Incomplete</v>
      </c>
      <c r="BF176" s="20"/>
      <c r="BG176" s="20"/>
      <c r="BH176" s="20"/>
      <c r="BI176" s="20" t="str">
        <f>IF(OR(ISBLANK(BG176), ISBLANK(BH176)),"Incomplete",(SUM(BH176-BG176)))</f>
        <v>Incomplete</v>
      </c>
      <c r="BJ176" s="20"/>
      <c r="BK176" s="20">
        <v>9</v>
      </c>
      <c r="BL176" s="20"/>
      <c r="BM176" s="20">
        <v>7</v>
      </c>
      <c r="BN176" s="20"/>
      <c r="BO176" s="20"/>
      <c r="BP176" s="20"/>
      <c r="BQ176" s="20"/>
      <c r="BR176" s="20"/>
      <c r="BS176" s="20"/>
      <c r="BT176" s="20"/>
      <c r="BU176" s="20"/>
      <c r="BV176" s="20"/>
      <c r="BW176" s="91">
        <f t="shared" si="47"/>
        <v>0</v>
      </c>
      <c r="BX176" s="91" t="str">
        <f>_xlfn.XLOOKUP(BW176,'Normative data'!$V$3:$V$6,'Normative data'!$W$3:$W$6,"Not Found",-1)</f>
        <v>Not completed</v>
      </c>
      <c r="BY176" s="91">
        <f t="shared" si="48"/>
        <v>0</v>
      </c>
      <c r="BZ176" s="91" t="str">
        <f>_xlfn.XLOOKUP(BY176,'Normative data'!$V$3:$V$6,'Normative data'!$W$3:$W$6,"Not Found",-1)</f>
        <v>Not completed</v>
      </c>
      <c r="CA176" s="20"/>
      <c r="CC176" s="20"/>
      <c r="CE176" s="20"/>
      <c r="CG176" s="20"/>
      <c r="CH176" s="20" t="str">
        <f>_xlfn.XLOOKUP(CG176, 'Normative data'!$S$9:$S$15,'Normative data'!$T$9:$T$15, "Not Found", -1)</f>
        <v>not completed</v>
      </c>
      <c r="CI176" s="20"/>
      <c r="CJ176" s="20" t="str">
        <f>_xlfn.XLOOKUP(CI176, 'Normative data'!$S$9:$S$15, 'Normative data'!$T$9:$T$15, "Not Found", -1)</f>
        <v>not completed</v>
      </c>
      <c r="CK176" s="21">
        <v>2.2400000000000002</v>
      </c>
      <c r="CL176" s="21">
        <v>4.46</v>
      </c>
      <c r="CM176" s="21"/>
      <c r="CN176" s="21">
        <v>6.81</v>
      </c>
      <c r="CO176" s="21">
        <v>7.34</v>
      </c>
      <c r="CP176" s="21"/>
      <c r="CQ176" s="20"/>
      <c r="CR176" s="20" t="str" cm="1">
        <f t="array" ref="CR176">IF(OR(ISBLANK(E176),ISBLANK(CQ176)),"Incomplete",_xlfn.XLOOKUP(CQ176,_xlfn.XLOOKUP(E176,'Normative data'!$Y$3:$Y$6,'Normative data'!$Z$3:$AG$6,,-1),'Normative data'!$Z$2:$AG$2,"Not Found",-1))</f>
        <v>Incomplete</v>
      </c>
      <c r="CS176" s="20"/>
      <c r="CT176" s="20"/>
      <c r="CU176" s="20" t="str" cm="1">
        <f t="array" ref="CU176">_xlfn.XLOOKUP(CS176&amp;CT176,(VLOOKUP!$A$3:$A$250)&amp;(VLOOKUP!$B$3:$B$250),VLOOKUP!$C$3:$C$250,"Incomplete",-1)</f>
        <v>Incomplete</v>
      </c>
      <c r="CV176" s="20" t="str" cm="1">
        <f t="array" ref="CV176">_xlfn.XLOOKUP(CU176, _xlfn.XLOOKUP(E176, 'Normative data'!$Y$11:$Y$14, 'Normative data'!$Z$11:$AG$14, ,-1), 'Normative data'!$Z$10:$AG$10, "Not Found", -1)</f>
        <v>Excellent</v>
      </c>
      <c r="CW176" s="20" t="str" cm="1">
        <f t="array" ref="CW176">IF(OR(ISBLANK(CS176),ISBLANK(CT176)),"Incomplete",_xlfn.XLOOKUP(CS176&amp;CT176,VLOOKUP!$A$4:$A$250&amp;VLOOKUP!$B$4:$B$250,VLOOKUP!$D$4:$D$250,"0"))</f>
        <v>Incomplete</v>
      </c>
    </row>
    <row r="177" spans="1:101">
      <c r="A177" s="17" t="s">
        <v>528</v>
      </c>
      <c r="B177" s="17" t="s">
        <v>529</v>
      </c>
      <c r="C177" s="17" t="s">
        <v>86</v>
      </c>
      <c r="D177" s="33"/>
      <c r="G177" s="17">
        <v>2026</v>
      </c>
      <c r="H177" s="20" t="s">
        <v>114</v>
      </c>
      <c r="I177" s="17">
        <v>1</v>
      </c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 t="s">
        <v>530</v>
      </c>
      <c r="AR177" s="20" t="s">
        <v>531</v>
      </c>
      <c r="AS177" s="20" t="s">
        <v>532</v>
      </c>
      <c r="AT177" s="20" t="s">
        <v>533</v>
      </c>
      <c r="AU177" s="20" t="s">
        <v>534</v>
      </c>
      <c r="AV177" s="20" t="s">
        <v>535</v>
      </c>
      <c r="AW177" s="20" t="s">
        <v>536</v>
      </c>
      <c r="AX177" s="20" t="s">
        <v>537</v>
      </c>
      <c r="AY177" s="41" t="str">
        <f t="shared" si="43"/>
        <v>Incomplete</v>
      </c>
      <c r="AZ177" s="20"/>
      <c r="BA177" s="20" t="str">
        <f t="shared" si="44"/>
        <v>Incomplete</v>
      </c>
      <c r="BB177" s="20"/>
      <c r="BC177" s="20" t="str">
        <f t="shared" si="45"/>
        <v>Incomplete</v>
      </c>
      <c r="BD177" s="20"/>
      <c r="BE177" s="20" t="str">
        <f t="shared" si="46"/>
        <v>Incomplete</v>
      </c>
      <c r="BF177" s="20"/>
      <c r="BG177" s="20">
        <v>14</v>
      </c>
      <c r="BH177" s="20">
        <v>36</v>
      </c>
      <c r="BI177" s="20">
        <f>IF(OR(ISBLANK(BG177), ISBLANK(BH177)),"Incomplete",(SUM(BH177-BG177)))</f>
        <v>22</v>
      </c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91" t="str">
        <f t="shared" si="47"/>
        <v>Incomplete</v>
      </c>
      <c r="BX177" s="91" t="str">
        <f>_xlfn.XLOOKUP(BW177,'Normative data'!$V$3:$V$6,'Normative data'!$W$3:$W$6,"Not Found",-1)</f>
        <v>Very low risk</v>
      </c>
      <c r="BY177" s="91" t="str">
        <f t="shared" si="48"/>
        <v>Incomplete</v>
      </c>
      <c r="BZ177" s="91" t="str">
        <f>_xlfn.XLOOKUP(BY177,'Normative data'!$V$3:$V$6,'Normative data'!$W$3:$W$6,"Not Found",-1)</f>
        <v>Very low risk</v>
      </c>
      <c r="CA177" s="20"/>
      <c r="CC177" s="20">
        <v>50</v>
      </c>
      <c r="CE177" s="20">
        <v>12</v>
      </c>
      <c r="CG177" s="20"/>
      <c r="CH177" s="20" t="str">
        <f>_xlfn.XLOOKUP(CG177, 'Normative data'!$S$9:$S$15,'Normative data'!$T$9:$T$15, "Not Found", -1)</f>
        <v>not completed</v>
      </c>
      <c r="CI177" s="20"/>
      <c r="CJ177" s="20" t="str">
        <f>_xlfn.XLOOKUP(CI177, 'Normative data'!$S$9:$S$15, 'Normative data'!$T$9:$T$15, "Not Found", -1)</f>
        <v>not completed</v>
      </c>
      <c r="CK177" s="20" t="s">
        <v>538</v>
      </c>
      <c r="CL177" s="20" t="s">
        <v>539</v>
      </c>
      <c r="CN177" s="20" t="s">
        <v>540</v>
      </c>
      <c r="CO177" s="20" t="s">
        <v>541</v>
      </c>
      <c r="CQ177" s="20"/>
      <c r="CR177" s="20" t="str" cm="1">
        <f t="array" ref="CR177">IF(OR(ISBLANK(E177),ISBLANK(CQ177)),"Incomplete",_xlfn.XLOOKUP(CQ177,_xlfn.XLOOKUP(E177,'Normative data'!$Y$3:$Y$6,'Normative data'!$Z$3:$AG$6,,-1),'Normative data'!$Z$2:$AG$2,"Not Found",-1))</f>
        <v>Incomplete</v>
      </c>
      <c r="CS177" s="20"/>
      <c r="CT177" s="20"/>
      <c r="CU177" s="20" t="str" cm="1">
        <f t="array" ref="CU177">_xlfn.XLOOKUP(CS177&amp;CT177,(VLOOKUP!$A$3:$A$250)&amp;(VLOOKUP!$B$3:$B$250),VLOOKUP!$C$3:$C$250,"Incomplete",-1)</f>
        <v>Incomplete</v>
      </c>
      <c r="CV177" s="20" t="str" cm="1">
        <f t="array" ref="CV177">_xlfn.XLOOKUP(CU177, _xlfn.XLOOKUP(E177, 'Normative data'!$Y$11:$Y$14, 'Normative data'!$Z$11:$AG$14, ,-1), 'Normative data'!$Z$10:$AG$10, "Not Found", -1)</f>
        <v>Excellent</v>
      </c>
      <c r="CW177" s="20" t="str" cm="1">
        <f t="array" ref="CW177">IF(OR(ISBLANK(CS177),ISBLANK(CT177)),"Incomplete",_xlfn.XLOOKUP(CS177&amp;CT177,VLOOKUP!$A$4:$A$250&amp;VLOOKUP!$B$4:$B$250,VLOOKUP!$D$4:$D$250,"0"))</f>
        <v>Incomplete</v>
      </c>
    </row>
    <row r="178" spans="1:101">
      <c r="A178" s="17" t="s">
        <v>542</v>
      </c>
      <c r="B178" s="17" t="s">
        <v>529</v>
      </c>
      <c r="C178" s="17" t="s">
        <v>86</v>
      </c>
      <c r="D178" s="26"/>
      <c r="G178" s="17">
        <v>2025</v>
      </c>
      <c r="H178" s="20" t="s">
        <v>124</v>
      </c>
      <c r="I178" s="17">
        <v>3</v>
      </c>
      <c r="S178" s="20"/>
      <c r="T178" s="20" t="s">
        <v>456</v>
      </c>
      <c r="U178" s="20" t="s">
        <v>393</v>
      </c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 t="s">
        <v>532</v>
      </c>
      <c r="AT178" s="20" t="s">
        <v>533</v>
      </c>
      <c r="AU178" s="20" t="s">
        <v>534</v>
      </c>
      <c r="AV178" s="20" t="s">
        <v>535</v>
      </c>
      <c r="AW178" s="20" t="s">
        <v>536</v>
      </c>
      <c r="AX178" s="20" t="s">
        <v>537</v>
      </c>
      <c r="AY178" s="41" t="str">
        <f>IF(OR(ISBLANK(#REF!), ISBLANK(AQ178)), "Incomplete", (60.7*AQ178)+(45.3*#REF!)-2055)</f>
        <v>Incomplete</v>
      </c>
      <c r="AZ178" s="20"/>
      <c r="BA178" s="20" t="e">
        <f>IF(OR(ISBLANK(#REF!), ISBLANK(#REF!)), "Incomplete", (60.7*#REF!)+(45.3*#REF!)-2055)</f>
        <v>#REF!</v>
      </c>
      <c r="BB178" s="20"/>
      <c r="BC178" s="20" t="e">
        <f>IF(OR(ISBLANK(#REF!), ISBLANK(#REF!)), "Incomplete", (60.7*#REF!)+(45.3*#REF!)-2055)</f>
        <v>#REF!</v>
      </c>
      <c r="BD178" s="20"/>
      <c r="BE178" s="20" t="e">
        <f>IF(OR(ISBLANK(#REF!), ISBLANK(#REF!)), "Incomplete", (60.7*#REF!)+(45.3*#REF!)-2055)</f>
        <v>#REF!</v>
      </c>
      <c r="BF178" s="20"/>
      <c r="BG178" s="20">
        <v>13.5</v>
      </c>
      <c r="BH178" s="20">
        <v>37</v>
      </c>
      <c r="BI178" s="20" t="e">
        <f>IF(OR(ISBLANK(#REF!), ISBLANK(#REF!)),"Incomplete",(SUM(#REF!-#REF!)))</f>
        <v>#REF!</v>
      </c>
      <c r="BJ178" s="20"/>
      <c r="BK178" s="20">
        <v>7</v>
      </c>
      <c r="BL178" s="20"/>
      <c r="BM178" s="20">
        <v>4</v>
      </c>
      <c r="BN178" s="20"/>
      <c r="BO178" s="20"/>
      <c r="BP178" s="20"/>
      <c r="BQ178" s="20"/>
      <c r="BR178" s="20"/>
      <c r="BS178" s="20"/>
      <c r="BT178" s="20"/>
      <c r="BU178" s="20"/>
      <c r="BV178" s="20"/>
      <c r="BW178" s="91" t="str">
        <f>IFERROR(SUM(BQ178+BR178+BS178)/(3*(#REF!-S178))*100, "Incomplete")</f>
        <v>Incomplete</v>
      </c>
      <c r="BX178" s="91" t="str">
        <f>_xlfn.XLOOKUP(BW178,'Normative data'!$V$3:$V$6,'Normative data'!$W$3:$W$6,"Not Found",-1)</f>
        <v>Very low risk</v>
      </c>
      <c r="BY178" s="91" t="str">
        <f>IFERROR(SUM(BT178+BU178+BV178)/(3*(#REF!-S178))*100, "Incomplete")</f>
        <v>Incomplete</v>
      </c>
      <c r="BZ178" s="91" t="str">
        <f>_xlfn.XLOOKUP(BY178,'Normative data'!$V$3:$V$6,'Normative data'!$W$3:$W$6,"Not Found",-1)</f>
        <v>Very low risk</v>
      </c>
      <c r="CA178" s="20"/>
      <c r="CC178" s="20"/>
      <c r="CE178" s="20">
        <v>10</v>
      </c>
      <c r="CG178" s="20"/>
      <c r="CH178" s="20" t="str">
        <f>_xlfn.XLOOKUP(CG178, 'Normative data'!$S$9:$S$15,'Normative data'!$T$9:$T$15, "Not Found", -1)</f>
        <v>not completed</v>
      </c>
      <c r="CI178" s="20"/>
      <c r="CJ178" s="20" t="str">
        <f>_xlfn.XLOOKUP(CI178, 'Normative data'!$S$9:$S$15, 'Normative data'!$T$9:$T$15, "Not Found", -1)</f>
        <v>not completed</v>
      </c>
      <c r="CK178" s="20" t="s">
        <v>538</v>
      </c>
      <c r="CL178" s="20" t="s">
        <v>539</v>
      </c>
      <c r="CN178" s="20" t="s">
        <v>540</v>
      </c>
      <c r="CO178" s="20" t="s">
        <v>541</v>
      </c>
      <c r="CQ178" s="20"/>
      <c r="CR178" s="20" t="str" cm="1">
        <f t="array" ref="CR178">IF(OR(ISBLANK(E178),ISBLANK(CQ178)),"Incomplete",_xlfn.XLOOKUP(CQ178,_xlfn.XLOOKUP(E178,'Normative data'!$Y$3:$Y$6,'Normative data'!$Z$3:$AG$6,,-1),'Normative data'!$Z$2:$AG$2,"Not Found",-1))</f>
        <v>Incomplete</v>
      </c>
      <c r="CS178" s="20"/>
      <c r="CT178" s="20"/>
      <c r="CU178" s="20" t="str" cm="1">
        <f t="array" ref="CU178">_xlfn.XLOOKUP(CS178&amp;CT178,(VLOOKUP!$A$3:$A$250)&amp;(VLOOKUP!$B$3:$B$250),VLOOKUP!$C$3:$C$250,"Incomplete",-1)</f>
        <v>Incomplete</v>
      </c>
      <c r="CV178" s="20" t="str" cm="1">
        <f t="array" ref="CV178">_xlfn.XLOOKUP(CU178, _xlfn.XLOOKUP(E178, 'Normative data'!$Y$11:$Y$14, 'Normative data'!$Z$11:$AG$14, ,-1), 'Normative data'!$Z$10:$AG$10, "Not Found", -1)</f>
        <v>Excellent</v>
      </c>
      <c r="CW178" s="20" t="str" cm="1">
        <f t="array" ref="CW178">IF(OR(ISBLANK(CS178),ISBLANK(CT178)),"Incomplete",_xlfn.XLOOKUP(CS178&amp;CT178,VLOOKUP!$A$4:$A$250&amp;VLOOKUP!$B$4:$B$250,VLOOKUP!$D$4:$D$250,"0"))</f>
        <v>Incomplete</v>
      </c>
    </row>
    <row r="179" spans="1:101">
      <c r="A179" s="17" t="s">
        <v>542</v>
      </c>
      <c r="B179" s="17" t="s">
        <v>529</v>
      </c>
      <c r="C179" s="17" t="s">
        <v>86</v>
      </c>
      <c r="D179" s="26"/>
      <c r="G179" s="17">
        <v>2025</v>
      </c>
      <c r="H179" s="20" t="s">
        <v>124</v>
      </c>
      <c r="I179" s="17">
        <v>3</v>
      </c>
      <c r="S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Y179" s="41" t="str">
        <f>IF(OR(ISBLANK(U178), ISBLANK(AQ179)), "Incomplete", (60.7*AQ179)+(45.3*U178)-2055)</f>
        <v>Incomplete</v>
      </c>
      <c r="AZ179" s="20"/>
      <c r="BA179" s="20" t="e">
        <f>IF(OR(ISBLANK(U178), ISBLANK(#REF!)), "Incomplete", (60.7*#REF!)+(45.3*U178)-2055)</f>
        <v>#REF!</v>
      </c>
      <c r="BB179" s="20"/>
      <c r="BC179" s="20" t="e">
        <f>IF(OR(ISBLANK(U178), ISBLANK(#REF!)), "Incomplete", (60.7*#REF!)+(45.3*U178)-2055)</f>
        <v>#REF!</v>
      </c>
      <c r="BD179" s="20"/>
      <c r="BE179" s="20" t="e">
        <f>IF(OR(ISBLANK(U178), ISBLANK(#REF!)), "Incomplete", (60.7*#REF!)+(45.3*U178)-2055)</f>
        <v>#REF!</v>
      </c>
      <c r="BF179" s="20"/>
      <c r="BG179" s="20"/>
      <c r="BH179" s="20"/>
      <c r="BI179" s="20" t="str">
        <f>IF(OR(ISBLANK(BG179), ISBLANK(BH179)),"Incomplete",(SUM(BH179-BG179)))</f>
        <v>Incomplete</v>
      </c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91" t="str">
        <f>IFERROR(SUM(BQ179+BR179+BS179)/(3*(T178-S179))*100, "Incomplete")</f>
        <v>Incomplete</v>
      </c>
      <c r="BX179" s="91" t="str">
        <f>_xlfn.XLOOKUP(BW179,'Normative data'!$V$3:$V$6,'Normative data'!$W$3:$W$6,"Not Found",-1)</f>
        <v>Very low risk</v>
      </c>
      <c r="BY179" s="91" t="str">
        <f>IFERROR(SUM(BT179+BU179+BV179)/(3*(T178-S179))*100, "Incomplete")</f>
        <v>Incomplete</v>
      </c>
      <c r="BZ179" s="91" t="str">
        <f>_xlfn.XLOOKUP(BY179,'Normative data'!$V$3:$V$6,'Normative data'!$W$3:$W$6,"Not Found",-1)</f>
        <v>Very low risk</v>
      </c>
      <c r="CA179" s="20"/>
      <c r="CC179" s="20"/>
      <c r="CE179" s="20"/>
      <c r="CG179" s="20"/>
      <c r="CH179" s="20" t="str">
        <f>_xlfn.XLOOKUP(CG179, 'Normative data'!$S$9:$S$15,'Normative data'!$T$9:$T$15, "Not Found", -1)</f>
        <v>not completed</v>
      </c>
      <c r="CI179" s="20"/>
      <c r="CJ179" s="20" t="str">
        <f>_xlfn.XLOOKUP(CI179, 'Normative data'!$S$9:$S$15, 'Normative data'!$T$9:$T$15, "Not Found", -1)</f>
        <v>not completed</v>
      </c>
      <c r="CK179" s="20" t="s">
        <v>543</v>
      </c>
      <c r="CL179" s="20" t="s">
        <v>544</v>
      </c>
      <c r="CM179" s="21"/>
      <c r="CN179" s="20" t="s">
        <v>379</v>
      </c>
      <c r="CO179" s="20" t="s">
        <v>380</v>
      </c>
      <c r="CQ179" s="20"/>
      <c r="CR179" s="20" t="str" cm="1">
        <f t="array" ref="CR179">IF(OR(ISBLANK(E179),ISBLANK(CQ179)),"Incomplete",_xlfn.XLOOKUP(CQ179,_xlfn.XLOOKUP(E179,'Normative data'!$Y$3:$Y$6,'Normative data'!$Z$3:$AG$6,,-1),'Normative data'!$Z$2:$AG$2,"Not Found",-1))</f>
        <v>Incomplete</v>
      </c>
      <c r="CS179" s="20"/>
      <c r="CT179" s="20"/>
      <c r="CU179" s="20" t="str" cm="1">
        <f t="array" ref="CU179">_xlfn.XLOOKUP(CS179&amp;CT179,(VLOOKUP!$A$3:$A$250)&amp;(VLOOKUP!$B$3:$B$250),VLOOKUP!$C$3:$C$250,"Incomplete",-1)</f>
        <v>Incomplete</v>
      </c>
      <c r="CV179" s="20" t="str" cm="1">
        <f t="array" ref="CV179">_xlfn.XLOOKUP(CU179, _xlfn.XLOOKUP(E179, 'Normative data'!$Y$11:$Y$14, 'Normative data'!$Z$11:$AG$14, ,-1), 'Normative data'!$Z$10:$AG$10, "Not Found", -1)</f>
        <v>Excellent</v>
      </c>
      <c r="CW179" s="20" t="str" cm="1">
        <f t="array" ref="CW179">IF(OR(ISBLANK(CS179),ISBLANK(CT179)),"Incomplete",_xlfn.XLOOKUP(CS179&amp;CT179,VLOOKUP!$A$4:$A$250&amp;VLOOKUP!$B$4:$B$250,VLOOKUP!$D$4:$D$250,"0"))</f>
        <v>Incomplete</v>
      </c>
    </row>
    <row r="180" spans="1:101" ht="13.15" customHeight="1">
      <c r="A180" s="17" t="s">
        <v>542</v>
      </c>
      <c r="B180" s="17" t="s">
        <v>545</v>
      </c>
      <c r="C180" s="17" t="s">
        <v>86</v>
      </c>
      <c r="D180" s="33"/>
      <c r="G180" s="17">
        <v>2026</v>
      </c>
      <c r="H180" s="20" t="s">
        <v>114</v>
      </c>
      <c r="I180" s="17">
        <v>1</v>
      </c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>
        <v>27</v>
      </c>
      <c r="AR180" s="20">
        <v>0.46899999999999997</v>
      </c>
      <c r="AS180" s="20"/>
      <c r="AT180" s="20"/>
      <c r="AU180" s="20">
        <v>17.600000000000001</v>
      </c>
      <c r="AV180" s="20">
        <v>0.379</v>
      </c>
      <c r="AW180" s="20">
        <v>21.6</v>
      </c>
      <c r="AX180" s="20">
        <v>0.42</v>
      </c>
      <c r="AY180" s="41" t="str">
        <f t="shared" ref="AY180:AY215" si="49">IF(OR(ISBLANK(U180), ISBLANK(AQ180)), "Incomplete", (60.7*AQ180)+(45.3*U180)-2055)</f>
        <v>Incomplete</v>
      </c>
      <c r="AZ180" s="20"/>
      <c r="BA180" s="20" t="str">
        <f t="shared" ref="BA180:BA215" si="50">IF(OR(ISBLANK(U180), ISBLANK(AS180)), "Incomplete", (60.7*AS180)+(45.3*U180)-2055)</f>
        <v>Incomplete</v>
      </c>
      <c r="BB180" s="20"/>
      <c r="BC180" s="20" t="str">
        <f t="shared" ref="BC180:BC215" si="51">IF(OR(ISBLANK(U180), ISBLANK(AU180)), "Incomplete", (60.7*AU180)+(45.3*U180)-2055)</f>
        <v>Incomplete</v>
      </c>
      <c r="BD180" s="20"/>
      <c r="BE180" s="20" t="str">
        <f t="shared" ref="BE180:BE215" si="52">IF(OR(ISBLANK(U180), ISBLANK(AW180)), "Incomplete", (60.7*AW180)+(45.3*U180)-2055)</f>
        <v>Incomplete</v>
      </c>
      <c r="BF180" s="20"/>
      <c r="BG180" s="20">
        <v>14</v>
      </c>
      <c r="BH180" s="20">
        <v>44</v>
      </c>
      <c r="BI180" s="20">
        <f>IF(OR(ISBLANK(BG180), ISBLANK(BH180)),"Incomplete",(SUM(BH180-BG180)))</f>
        <v>30</v>
      </c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91" t="str">
        <f t="shared" ref="BW180:BW215" si="53">IFERROR(SUM(BQ180+BR180+BS180)/(3*(T180-S180))*100, "Incomplete")</f>
        <v>Incomplete</v>
      </c>
      <c r="BX180" s="91" t="str">
        <f>_xlfn.XLOOKUP(BW180,'Normative data'!$V$3:$V$6,'Normative data'!$W$3:$W$6,"Not Found",-1)</f>
        <v>Very low risk</v>
      </c>
      <c r="BY180" s="91" t="str">
        <f t="shared" ref="BY180:BY215" si="54">IFERROR(SUM(BT180+BU180+BV180)/(3*(T180-S180))*100, "Incomplete")</f>
        <v>Incomplete</v>
      </c>
      <c r="BZ180" s="91" t="str">
        <f>_xlfn.XLOOKUP(BY180,'Normative data'!$V$3:$V$6,'Normative data'!$W$3:$W$6,"Not Found",-1)</f>
        <v>Very low risk</v>
      </c>
      <c r="CA180" s="20"/>
      <c r="CC180" s="20">
        <v>52</v>
      </c>
      <c r="CE180" s="20">
        <v>18</v>
      </c>
      <c r="CG180" s="20"/>
      <c r="CH180" s="20" t="str">
        <f>_xlfn.XLOOKUP(CG180, 'Normative data'!$S$9:$S$15,'Normative data'!$T$9:$T$15, "Not Found", -1)</f>
        <v>not completed</v>
      </c>
      <c r="CI180" s="20"/>
      <c r="CJ180" s="20" t="str">
        <f>_xlfn.XLOOKUP(CI180, 'Normative data'!$S$9:$S$15, 'Normative data'!$T$9:$T$15, "Not Found", -1)</f>
        <v>not completed</v>
      </c>
      <c r="CK180" s="20">
        <v>1.94</v>
      </c>
      <c r="CL180" s="20">
        <v>5.15</v>
      </c>
      <c r="CN180" s="20">
        <v>6.6</v>
      </c>
      <c r="CO180" s="20">
        <v>7.58</v>
      </c>
      <c r="CQ180" s="37" t="s">
        <v>546</v>
      </c>
      <c r="CR180" s="20" t="str" cm="1">
        <f t="array" ref="CR180">IF(OR(ISBLANK(E180),ISBLANK(CQ180)),"Incomplete",_xlfn.XLOOKUP(CQ180,_xlfn.XLOOKUP(E180,'Normative data'!$Y$3:$Y$6,'Normative data'!$Z$3:$AG$6,,-1),'Normative data'!$Z$2:$AG$2,"Not Found",-1))</f>
        <v>Incomplete</v>
      </c>
      <c r="CS180" s="20">
        <v>6</v>
      </c>
      <c r="CT180" s="20">
        <v>8</v>
      </c>
      <c r="CU180" s="20" cm="1">
        <f t="array" ref="CU180">_xlfn.XLOOKUP(CS180&amp;CT180,(VLOOKUP!$A$3:$A$250)&amp;(VLOOKUP!$B$3:$B$250),VLOOKUP!$C$3:$C$250,"Incomplete",-1)</f>
        <v>980</v>
      </c>
      <c r="CV180" s="20" t="str" cm="1">
        <f t="array" ref="CV180">_xlfn.XLOOKUP(CU180, _xlfn.XLOOKUP(E180, 'Normative data'!$Y$11:$Y$14, 'Normative data'!$Z$11:$AG$14, ,-1), 'Normative data'!$Z$10:$AG$10, "Not Found", -1)</f>
        <v xml:space="preserve">Fair </v>
      </c>
      <c r="CW180" s="20" cm="1">
        <f t="array" ref="CW180">IF(OR(ISBLANK(CS180),ISBLANK(CT180)),"Incomplete",_xlfn.XLOOKUP(CS180&amp;CT180,VLOOKUP!$A$4:$A$250&amp;VLOOKUP!$B$4:$B$250,VLOOKUP!$D$4:$D$250,"0"))</f>
        <v>36</v>
      </c>
    </row>
    <row r="181" spans="1:101">
      <c r="A181" s="22" t="s">
        <v>547</v>
      </c>
      <c r="B181" s="22" t="s">
        <v>548</v>
      </c>
      <c r="C181" s="17" t="s">
        <v>86</v>
      </c>
      <c r="D181" s="23">
        <v>40193</v>
      </c>
      <c r="F181" s="17">
        <v>9</v>
      </c>
      <c r="G181" s="17">
        <v>2025</v>
      </c>
      <c r="H181" s="20" t="s">
        <v>114</v>
      </c>
      <c r="I181" s="17">
        <v>1</v>
      </c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41" t="str">
        <f t="shared" si="49"/>
        <v>Incomplete</v>
      </c>
      <c r="AZ181" s="20"/>
      <c r="BA181" s="20" t="str">
        <f t="shared" si="50"/>
        <v>Incomplete</v>
      </c>
      <c r="BB181" s="20"/>
      <c r="BC181" s="20" t="str">
        <f t="shared" si="51"/>
        <v>Incomplete</v>
      </c>
      <c r="BD181" s="20"/>
      <c r="BE181" s="20" t="str">
        <f t="shared" si="52"/>
        <v>Incomplete</v>
      </c>
      <c r="BF181" s="20"/>
      <c r="BG181" s="20">
        <v>9.5</v>
      </c>
      <c r="BH181" s="20">
        <v>31.2</v>
      </c>
      <c r="BI181" s="20" t="e">
        <f>IF(OR(ISBLANK(#REF!), ISBLANK(#REF!)),"Incomplete",(SUM(#REF!-#REF!)))</f>
        <v>#REF!</v>
      </c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91" t="str">
        <f t="shared" si="53"/>
        <v>Incomplete</v>
      </c>
      <c r="BX181" s="91" t="str">
        <f>_xlfn.XLOOKUP(BW181,'Normative data'!$V$3:$V$6,'Normative data'!$W$3:$W$6,"Not Found",-1)</f>
        <v>Very low risk</v>
      </c>
      <c r="BY181" s="91" t="str">
        <f t="shared" si="54"/>
        <v>Incomplete</v>
      </c>
      <c r="BZ181" s="91" t="str">
        <f>_xlfn.XLOOKUP(BY181,'Normative data'!$V$3:$V$6,'Normative data'!$W$3:$W$6,"Not Found",-1)</f>
        <v>Very low risk</v>
      </c>
      <c r="CA181" s="20"/>
      <c r="CC181" s="20"/>
      <c r="CE181" s="20"/>
      <c r="CG181" s="20"/>
      <c r="CH181" s="20" t="str">
        <f>_xlfn.XLOOKUP(CG181, 'Normative data'!$S$9:$S$15,'Normative data'!$T$9:$T$15, "Not Found", -1)</f>
        <v>not completed</v>
      </c>
      <c r="CI181" s="20"/>
      <c r="CJ181" s="20" t="str">
        <f>_xlfn.XLOOKUP(CI181, 'Normative data'!$S$9:$S$15, 'Normative data'!$T$9:$T$15, "Not Found", -1)</f>
        <v>not completed</v>
      </c>
      <c r="CK181" s="25">
        <v>2.4300000000000002</v>
      </c>
      <c r="CL181" s="25">
        <v>4.12</v>
      </c>
      <c r="CM181" s="25"/>
      <c r="CN181" s="25">
        <v>7.75</v>
      </c>
      <c r="CO181" s="25">
        <v>6.45</v>
      </c>
      <c r="CP181" s="25"/>
      <c r="CQ181" s="20"/>
      <c r="CR181" s="20" t="str" cm="1">
        <f t="array" ref="CR181">IF(OR(ISBLANK(E181),ISBLANK(CQ181)),"Incomplete",_xlfn.XLOOKUP(CQ181,_xlfn.XLOOKUP(E181,'Normative data'!$Y$3:$Y$6,'Normative data'!$Z$3:$AG$6,,-1),'Normative data'!$Z$2:$AG$2,"Not Found",-1))</f>
        <v>Incomplete</v>
      </c>
      <c r="CS181" s="20"/>
      <c r="CT181" s="20"/>
      <c r="CU181" s="20" t="str" cm="1">
        <f t="array" ref="CU181">_xlfn.XLOOKUP(CS181&amp;CT181,(VLOOKUP!$A$3:$A$250)&amp;(VLOOKUP!$B$3:$B$250),VLOOKUP!$C$3:$C$250,"Incomplete",-1)</f>
        <v>Incomplete</v>
      </c>
      <c r="CV181" s="20" t="str" cm="1">
        <f t="array" ref="CV181">_xlfn.XLOOKUP(CU181, _xlfn.XLOOKUP(E181, 'Normative data'!$Y$11:$Y$14, 'Normative data'!$Z$11:$AG$14, ,-1), 'Normative data'!$Z$10:$AG$10, "Not Found", -1)</f>
        <v>Excellent</v>
      </c>
      <c r="CW181" s="20" t="str" cm="1">
        <f t="array" ref="CW181">IF(OR(ISBLANK(CS181),ISBLANK(CT181)),"Incomplete",_xlfn.XLOOKUP(CS181&amp;CT181,VLOOKUP!$A$4:$A$250&amp;VLOOKUP!$B$4:$B$250,VLOOKUP!$D$4:$D$250,"0"))</f>
        <v>Incomplete</v>
      </c>
    </row>
    <row r="182" spans="1:101">
      <c r="A182" s="17" t="s">
        <v>549</v>
      </c>
      <c r="B182" s="17" t="s">
        <v>550</v>
      </c>
      <c r="C182" s="17" t="s">
        <v>86</v>
      </c>
      <c r="D182" s="23">
        <v>40193</v>
      </c>
      <c r="F182" s="17">
        <v>9</v>
      </c>
      <c r="G182" s="17">
        <v>2025</v>
      </c>
      <c r="H182" s="20" t="s">
        <v>124</v>
      </c>
      <c r="I182" s="17">
        <v>3</v>
      </c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41" t="str">
        <f t="shared" si="49"/>
        <v>Incomplete</v>
      </c>
      <c r="AZ182" s="20"/>
      <c r="BA182" s="20" t="str">
        <f t="shared" si="50"/>
        <v>Incomplete</v>
      </c>
      <c r="BB182" s="20"/>
      <c r="BC182" s="20" t="str">
        <f t="shared" si="51"/>
        <v>Incomplete</v>
      </c>
      <c r="BD182" s="20"/>
      <c r="BE182" s="20" t="str">
        <f t="shared" si="52"/>
        <v>Incomplete</v>
      </c>
      <c r="BF182" s="20"/>
      <c r="BG182" s="20"/>
      <c r="BH182" s="20"/>
      <c r="BI182" s="20" t="str">
        <f>IF(OR(ISBLANK(BG182), ISBLANK(BH182)),"Incomplete",(SUM(BH182-BG182)))</f>
        <v>Incomplete</v>
      </c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91" t="str">
        <f t="shared" si="53"/>
        <v>Incomplete</v>
      </c>
      <c r="BX182" s="91" t="str">
        <f>_xlfn.XLOOKUP(BW182,'Normative data'!$V$3:$V$6,'Normative data'!$W$3:$W$6,"Not Found",-1)</f>
        <v>Very low risk</v>
      </c>
      <c r="BY182" s="91" t="str">
        <f t="shared" si="54"/>
        <v>Incomplete</v>
      </c>
      <c r="BZ182" s="91" t="str">
        <f>_xlfn.XLOOKUP(BY182,'Normative data'!$V$3:$V$6,'Normative data'!$W$3:$W$6,"Not Found",-1)</f>
        <v>Very low risk</v>
      </c>
      <c r="CA182" s="20"/>
      <c r="CC182" s="20"/>
      <c r="CE182" s="20"/>
      <c r="CG182" s="20"/>
      <c r="CH182" s="20" t="str">
        <f>_xlfn.XLOOKUP(CG182, 'Normative data'!$S$9:$S$15,'Normative data'!$T$9:$T$15, "Not Found", -1)</f>
        <v>not completed</v>
      </c>
      <c r="CI182" s="20"/>
      <c r="CJ182" s="20" t="str">
        <f>_xlfn.XLOOKUP(CI182, 'Normative data'!$S$9:$S$15, 'Normative data'!$T$9:$T$15, "Not Found", -1)</f>
        <v>not completed</v>
      </c>
      <c r="CK182" s="20" t="s">
        <v>490</v>
      </c>
      <c r="CL182" s="20" t="s">
        <v>491</v>
      </c>
      <c r="CN182" s="20" t="s">
        <v>551</v>
      </c>
      <c r="CO182" s="20" t="s">
        <v>379</v>
      </c>
      <c r="CQ182" s="20"/>
      <c r="CR182" s="20" t="str" cm="1">
        <f t="array" ref="CR182">IF(OR(ISBLANK(E182),ISBLANK(CQ182)),"Incomplete",_xlfn.XLOOKUP(CQ182,_xlfn.XLOOKUP(E182,'Normative data'!$Y$3:$Y$6,'Normative data'!$Z$3:$AG$6,,-1),'Normative data'!$Z$2:$AG$2,"Not Found",-1))</f>
        <v>Incomplete</v>
      </c>
      <c r="CS182" s="20"/>
      <c r="CT182" s="20"/>
      <c r="CU182" s="20" t="str" cm="1">
        <f t="array" ref="CU182">_xlfn.XLOOKUP(CS182&amp;CT182,(VLOOKUP!$A$3:$A$250)&amp;(VLOOKUP!$B$3:$B$250),VLOOKUP!$C$3:$C$250,"Incomplete",-1)</f>
        <v>Incomplete</v>
      </c>
      <c r="CV182" s="20" t="str" cm="1">
        <f t="array" ref="CV182">_xlfn.XLOOKUP(CU182, _xlfn.XLOOKUP(E182, 'Normative data'!$Y$11:$Y$14, 'Normative data'!$Z$11:$AG$14, ,-1), 'Normative data'!$Z$10:$AG$10, "Not Found", -1)</f>
        <v>Excellent</v>
      </c>
      <c r="CW182" s="20" t="str" cm="1">
        <f t="array" ref="CW182">IF(OR(ISBLANK(CS182),ISBLANK(CT182)),"Incomplete",_xlfn.XLOOKUP(CS182&amp;CT182,VLOOKUP!$A$4:$A$250&amp;VLOOKUP!$B$4:$B$250,VLOOKUP!$D$4:$D$250,"0"))</f>
        <v>Incomplete</v>
      </c>
    </row>
    <row r="183" spans="1:101">
      <c r="A183" s="22" t="s">
        <v>552</v>
      </c>
      <c r="B183" s="22" t="s">
        <v>553</v>
      </c>
      <c r="C183" s="17" t="s">
        <v>86</v>
      </c>
      <c r="D183" s="23">
        <v>40625</v>
      </c>
      <c r="F183" s="17">
        <v>8</v>
      </c>
      <c r="G183" s="17">
        <v>2025</v>
      </c>
      <c r="H183" s="20" t="s">
        <v>124</v>
      </c>
      <c r="I183" s="17">
        <v>3</v>
      </c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41" t="str">
        <f t="shared" si="49"/>
        <v>Incomplete</v>
      </c>
      <c r="AZ183" s="20"/>
      <c r="BA183" s="20" t="str">
        <f t="shared" si="50"/>
        <v>Incomplete</v>
      </c>
      <c r="BB183" s="20"/>
      <c r="BC183" s="20" t="str">
        <f t="shared" si="51"/>
        <v>Incomplete</v>
      </c>
      <c r="BD183" s="20"/>
      <c r="BE183" s="20" t="str">
        <f t="shared" si="52"/>
        <v>Incomplete</v>
      </c>
      <c r="BF183" s="20"/>
      <c r="BG183" s="20">
        <v>11</v>
      </c>
      <c r="BH183" s="20">
        <v>25</v>
      </c>
      <c r="BI183" s="20" t="e">
        <f>IF(OR(ISBLANK(#REF!), ISBLANK(#REF!)),"Incomplete",(SUM(#REF!-#REF!)))</f>
        <v>#REF!</v>
      </c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91" t="str">
        <f t="shared" si="53"/>
        <v>Incomplete</v>
      </c>
      <c r="BX183" s="91" t="str">
        <f>_xlfn.XLOOKUP(BW183,'Normative data'!$V$3:$V$6,'Normative data'!$W$3:$W$6,"Not Found",-1)</f>
        <v>Very low risk</v>
      </c>
      <c r="BY183" s="91" t="str">
        <f t="shared" si="54"/>
        <v>Incomplete</v>
      </c>
      <c r="BZ183" s="91" t="str">
        <f>_xlfn.XLOOKUP(BY183,'Normative data'!$V$3:$V$6,'Normative data'!$W$3:$W$6,"Not Found",-1)</f>
        <v>Very low risk</v>
      </c>
      <c r="CA183" s="20"/>
      <c r="CC183" s="20"/>
      <c r="CE183" s="20"/>
      <c r="CG183" s="20"/>
      <c r="CH183" s="20" t="str">
        <f>_xlfn.XLOOKUP(CG183, 'Normative data'!$S$9:$S$15,'Normative data'!$T$9:$T$15, "Not Found", -1)</f>
        <v>not completed</v>
      </c>
      <c r="CI183" s="20"/>
      <c r="CJ183" s="20" t="str">
        <f>_xlfn.XLOOKUP(CI183, 'Normative data'!$S$9:$S$15, 'Normative data'!$T$9:$T$15, "Not Found", -1)</f>
        <v>not completed</v>
      </c>
      <c r="CK183" s="24">
        <v>2.44</v>
      </c>
      <c r="CL183" s="24">
        <v>4.0999999999999996</v>
      </c>
      <c r="CM183" s="24"/>
      <c r="CN183" s="24">
        <v>8.0299999999999994</v>
      </c>
      <c r="CO183" s="24">
        <v>6.23</v>
      </c>
      <c r="CP183" s="24"/>
      <c r="CQ183" s="20"/>
      <c r="CR183" s="20" t="str" cm="1">
        <f t="array" ref="CR183">IF(OR(ISBLANK(E183),ISBLANK(CQ183)),"Incomplete",_xlfn.XLOOKUP(CQ183,_xlfn.XLOOKUP(E183,'Normative data'!$Y$3:$Y$6,'Normative data'!$Z$3:$AG$6,,-1),'Normative data'!$Z$2:$AG$2,"Not Found",-1))</f>
        <v>Incomplete</v>
      </c>
      <c r="CS183" s="20"/>
      <c r="CT183" s="20"/>
      <c r="CU183" s="20" t="str" cm="1">
        <f t="array" ref="CU183">_xlfn.XLOOKUP(CS183&amp;CT183,(VLOOKUP!$A$3:$A$250)&amp;(VLOOKUP!$B$3:$B$250),VLOOKUP!$C$3:$C$250,"Incomplete",-1)</f>
        <v>Incomplete</v>
      </c>
      <c r="CV183" s="20" t="str" cm="1">
        <f t="array" ref="CV183">_xlfn.XLOOKUP(CU183, _xlfn.XLOOKUP(E183, 'Normative data'!$Y$11:$Y$14, 'Normative data'!$Z$11:$AG$14, ,-1), 'Normative data'!$Z$10:$AG$10, "Not Found", -1)</f>
        <v>Excellent</v>
      </c>
      <c r="CW183" s="20" t="str" cm="1">
        <f t="array" ref="CW183">IF(OR(ISBLANK(CS183),ISBLANK(CT183)),"Incomplete",_xlfn.XLOOKUP(CS183&amp;CT183,VLOOKUP!$A$4:$A$250&amp;VLOOKUP!$B$4:$B$250,VLOOKUP!$D$4:$D$250,"0"))</f>
        <v>Incomplete</v>
      </c>
    </row>
    <row r="184" spans="1:101">
      <c r="A184" s="17" t="s">
        <v>554</v>
      </c>
      <c r="B184" s="17" t="s">
        <v>555</v>
      </c>
      <c r="C184" s="17" t="s">
        <v>86</v>
      </c>
      <c r="D184" s="26">
        <v>39867</v>
      </c>
      <c r="E184" s="17">
        <v>17.2</v>
      </c>
      <c r="F184" s="20" t="s">
        <v>192</v>
      </c>
      <c r="G184" s="17">
        <v>2026</v>
      </c>
      <c r="I184" s="20">
        <v>2</v>
      </c>
      <c r="J184" s="20" t="s">
        <v>88</v>
      </c>
      <c r="K184" s="20" t="s">
        <v>101</v>
      </c>
      <c r="L184" s="20"/>
      <c r="S184" s="20">
        <v>83.7</v>
      </c>
      <c r="T184" s="20">
        <v>165.6</v>
      </c>
      <c r="U184" s="17">
        <v>59.2</v>
      </c>
      <c r="V184" s="17">
        <v>33</v>
      </c>
      <c r="W184" s="17">
        <v>14</v>
      </c>
      <c r="X184" s="17">
        <v>45.2</v>
      </c>
      <c r="Y184" s="17">
        <v>24.9</v>
      </c>
      <c r="Z184" s="17">
        <v>21.6</v>
      </c>
      <c r="AA184" s="17">
        <v>23.6</v>
      </c>
      <c r="AB184" s="17">
        <v>7.23</v>
      </c>
      <c r="AC184" s="17">
        <v>106</v>
      </c>
      <c r="AD184" s="17">
        <v>7.22</v>
      </c>
      <c r="AE184" s="17">
        <v>105.9</v>
      </c>
      <c r="AF184" s="17">
        <v>2.4</v>
      </c>
      <c r="AG184" s="17">
        <v>95.3</v>
      </c>
      <c r="AH184" s="17">
        <v>2.4</v>
      </c>
      <c r="AI184" s="17">
        <v>94.9</v>
      </c>
      <c r="AJ184" s="17">
        <v>281.89999999999998</v>
      </c>
      <c r="AK184" s="17">
        <v>281.10000000000002</v>
      </c>
      <c r="AL184" s="17">
        <v>248.8</v>
      </c>
      <c r="AM184" s="17">
        <v>248.8</v>
      </c>
      <c r="AN184" s="17">
        <v>103</v>
      </c>
      <c r="AO184" s="17">
        <v>0.79</v>
      </c>
      <c r="AP184" s="17">
        <v>6.8</v>
      </c>
      <c r="AQ184" s="17">
        <v>27.9</v>
      </c>
      <c r="AR184" s="17">
        <v>0.47699999999999998</v>
      </c>
      <c r="AS184" s="17">
        <v>32</v>
      </c>
      <c r="AT184" s="17">
        <v>0.51100000000000001</v>
      </c>
      <c r="AU184" s="17">
        <v>14.3</v>
      </c>
      <c r="AV184" s="17">
        <v>0.34100000000000003</v>
      </c>
      <c r="AW184" s="17">
        <v>17.600000000000001</v>
      </c>
      <c r="AX184" s="17">
        <v>0.379</v>
      </c>
      <c r="AY184" s="41">
        <f t="shared" si="49"/>
        <v>2320.29</v>
      </c>
      <c r="BA184" s="20">
        <f t="shared" si="50"/>
        <v>2569.16</v>
      </c>
      <c r="BC184" s="20">
        <f t="shared" si="51"/>
        <v>1494.77</v>
      </c>
      <c r="BE184" s="20">
        <f t="shared" si="52"/>
        <v>1695.08</v>
      </c>
      <c r="BG184" s="17">
        <v>9.5</v>
      </c>
      <c r="BH184" s="17">
        <v>30.5</v>
      </c>
      <c r="BI184" s="20">
        <f t="shared" ref="BI184:BI214" si="55">IF(OR(ISBLANK(BG184), ISBLANK(BH184)),"Incomplete",(SUM(BH184-BG184)))</f>
        <v>21</v>
      </c>
      <c r="BJ184" s="20"/>
      <c r="BK184" s="17">
        <v>12.8</v>
      </c>
      <c r="BL184" s="20"/>
      <c r="BM184" s="17">
        <v>12</v>
      </c>
      <c r="BN184" s="20"/>
      <c r="BO184" s="17">
        <v>48.5</v>
      </c>
      <c r="BP184" s="17">
        <v>47</v>
      </c>
      <c r="BQ184" s="17">
        <v>82</v>
      </c>
      <c r="BR184" s="17">
        <v>81</v>
      </c>
      <c r="BS184" s="17">
        <v>79</v>
      </c>
      <c r="BT184" s="17">
        <v>79</v>
      </c>
      <c r="BU184" s="17">
        <v>87</v>
      </c>
      <c r="BV184" s="17">
        <v>72</v>
      </c>
      <c r="BW184" s="91">
        <f t="shared" si="53"/>
        <v>98.494098494098509</v>
      </c>
      <c r="BX184" s="91" t="str">
        <f>_xlfn.XLOOKUP(BW184,'Normative data'!$V$3:$V$6,'Normative data'!$W$3:$W$6,"Not Found",-1)</f>
        <v>Low risk</v>
      </c>
      <c r="BY184" s="91">
        <f t="shared" si="54"/>
        <v>96.866096866096868</v>
      </c>
      <c r="BZ184" s="91" t="str">
        <f>_xlfn.XLOOKUP(BY184,'Normative data'!$V$3:$V$6,'Normative data'!$W$3:$W$6,"Not Found",-1)</f>
        <v>Low risk</v>
      </c>
      <c r="CA184" s="17">
        <v>40</v>
      </c>
      <c r="CC184" s="20"/>
      <c r="CE184" s="17">
        <v>10</v>
      </c>
      <c r="CG184" s="17">
        <v>16.87</v>
      </c>
      <c r="CH184" s="20" t="str">
        <f>_xlfn.XLOOKUP(CG184, 'Normative data'!$S$9:$S$15,'Normative data'!$T$9:$T$15, "Not Found", -1)</f>
        <v>Excellent</v>
      </c>
      <c r="CI184" s="17">
        <v>16.87</v>
      </c>
      <c r="CJ184" s="20" t="str">
        <f>_xlfn.XLOOKUP(CI184, 'Normative data'!$S$9:$S$15, 'Normative data'!$T$9:$T$15, "Not Found", -1)</f>
        <v>Excellent</v>
      </c>
      <c r="CK184" s="21"/>
      <c r="CL184" s="21"/>
      <c r="CM184" s="21"/>
      <c r="CN184" s="21"/>
      <c r="CO184" s="21"/>
      <c r="CQ184" s="17">
        <v>6.3</v>
      </c>
      <c r="CR184" s="20" t="str" cm="1">
        <f t="array" ref="CR184">IF(OR(ISBLANK(E184),ISBLANK(CQ184)),"Incomplete",_xlfn.XLOOKUP(CQ184,_xlfn.XLOOKUP(E184,'Normative data'!$Y$3:$Y$6,'Normative data'!$Z$3:$AG$6,,-1),'Normative data'!$Z$2:$AG$2,"Not Found",-1))</f>
        <v>Fair</v>
      </c>
      <c r="CS184" s="20">
        <v>6</v>
      </c>
      <c r="CT184" s="20">
        <v>3</v>
      </c>
      <c r="CU184" s="20" cm="1">
        <f t="array" ref="CU184">_xlfn.XLOOKUP(CS184&amp;CT184,(VLOOKUP!$A$3:$A$250)&amp;(VLOOKUP!$B$3:$B$250),VLOOKUP!$C$3:$C$250,"Incomplete",-1)</f>
        <v>880</v>
      </c>
      <c r="CV184" s="20" t="str" cm="1">
        <f t="array" ref="CV184">_xlfn.XLOOKUP(CU184, _xlfn.XLOOKUP(E184, 'Normative data'!$Y$11:$Y$14, 'Normative data'!$Z$11:$AG$14, ,-1), 'Normative data'!$Z$10:$AG$10, "Not Found", -1)</f>
        <v xml:space="preserve">Fair </v>
      </c>
      <c r="CW184" s="20" cm="1">
        <f t="array" ref="CW184">IF(OR(ISBLANK(CS184),ISBLANK(CT184)),"Incomplete",_xlfn.XLOOKUP(CS184&amp;CT184,VLOOKUP!$A$4:$A$250&amp;VLOOKUP!$B$4:$B$250,VLOOKUP!$D$4:$D$250,"0"))</f>
        <v>34</v>
      </c>
    </row>
    <row r="185" spans="1:101">
      <c r="A185" s="17" t="s">
        <v>487</v>
      </c>
      <c r="B185" s="17" t="s">
        <v>486</v>
      </c>
      <c r="C185" s="17" t="s">
        <v>86</v>
      </c>
      <c r="D185" s="26">
        <v>40432</v>
      </c>
      <c r="F185" s="20" t="s">
        <v>178</v>
      </c>
      <c r="G185" s="17">
        <v>2026</v>
      </c>
      <c r="I185" s="20">
        <v>2</v>
      </c>
      <c r="J185" s="20" t="s">
        <v>100</v>
      </c>
      <c r="K185" s="20" t="s">
        <v>556</v>
      </c>
      <c r="L185" s="20"/>
      <c r="S185" s="20">
        <v>86.9</v>
      </c>
      <c r="T185" s="20">
        <v>164.8</v>
      </c>
      <c r="U185" s="17">
        <v>60.2</v>
      </c>
      <c r="V185" s="17">
        <v>33.200000000000003</v>
      </c>
      <c r="W185" s="17">
        <v>14.8</v>
      </c>
      <c r="X185" s="17">
        <v>45.4</v>
      </c>
      <c r="Y185" s="17">
        <v>25.1</v>
      </c>
      <c r="Z185" s="17">
        <v>22</v>
      </c>
      <c r="AA185" s="17">
        <v>24.6</v>
      </c>
      <c r="AB185" s="17">
        <v>6.62</v>
      </c>
      <c r="AC185" s="17">
        <v>96.8</v>
      </c>
      <c r="AD185" s="17">
        <v>6.6</v>
      </c>
      <c r="AE185" s="17">
        <v>96.3</v>
      </c>
      <c r="AF185" s="17">
        <v>2.1</v>
      </c>
      <c r="AG185" s="17">
        <v>85.1</v>
      </c>
      <c r="AH185" s="17">
        <v>2.1</v>
      </c>
      <c r="AI185" s="17">
        <v>85</v>
      </c>
      <c r="AJ185" s="17">
        <v>354.3</v>
      </c>
      <c r="AK185" s="17">
        <v>358.7</v>
      </c>
      <c r="AL185" s="17">
        <v>311.89999999999998</v>
      </c>
      <c r="AM185" s="17">
        <v>316</v>
      </c>
      <c r="AN185" s="17">
        <v>108</v>
      </c>
      <c r="AO185" s="17">
        <v>0.91</v>
      </c>
      <c r="AP185" s="17">
        <v>6.6</v>
      </c>
      <c r="AQ185" s="20"/>
      <c r="AR185" s="20"/>
      <c r="AS185" s="20"/>
      <c r="AT185" s="20"/>
      <c r="AU185" s="20"/>
      <c r="AV185" s="20"/>
      <c r="AW185" s="20"/>
      <c r="AX185" s="20"/>
      <c r="AY185" s="41" t="str">
        <f t="shared" si="49"/>
        <v>Incomplete</v>
      </c>
      <c r="BA185" s="20" t="str">
        <f t="shared" si="50"/>
        <v>Incomplete</v>
      </c>
      <c r="BC185" s="20" t="str">
        <f t="shared" si="51"/>
        <v>Incomplete</v>
      </c>
      <c r="BE185" s="20" t="str">
        <f t="shared" si="52"/>
        <v>Incomplete</v>
      </c>
      <c r="BG185" s="17">
        <v>12.5</v>
      </c>
      <c r="BH185" s="17">
        <v>41</v>
      </c>
      <c r="BI185" s="20">
        <f t="shared" si="55"/>
        <v>28.5</v>
      </c>
      <c r="BJ185" s="20"/>
      <c r="BL185" s="20"/>
      <c r="BM185" s="20"/>
      <c r="BN185" s="20"/>
      <c r="BQ185" s="17">
        <v>72</v>
      </c>
      <c r="BR185" s="17">
        <v>64</v>
      </c>
      <c r="BS185" s="17">
        <v>63</v>
      </c>
      <c r="BT185" s="17">
        <v>71</v>
      </c>
      <c r="BU185" s="17">
        <v>70</v>
      </c>
      <c r="BV185" s="17">
        <v>57</v>
      </c>
      <c r="BW185" s="91">
        <f t="shared" si="53"/>
        <v>85.151904150620453</v>
      </c>
      <c r="BX185" s="91" t="str">
        <f>_xlfn.XLOOKUP(BW185,'Normative data'!$V$3:$V$6,'Normative data'!$W$3:$W$6,"Not Found",-1)</f>
        <v>High risk</v>
      </c>
      <c r="BY185" s="91">
        <f t="shared" si="54"/>
        <v>84.724005134788186</v>
      </c>
      <c r="BZ185" s="91" t="str">
        <f>_xlfn.XLOOKUP(BY185,'Normative data'!$V$3:$V$6,'Normative data'!$W$3:$W$6,"Not Found",-1)</f>
        <v>High risk</v>
      </c>
      <c r="CA185" s="17">
        <v>30</v>
      </c>
      <c r="CC185" s="20"/>
      <c r="CE185" s="17">
        <v>15</v>
      </c>
      <c r="CG185" s="17">
        <v>18.37</v>
      </c>
      <c r="CH185" s="20" t="str">
        <f>_xlfn.XLOOKUP(CG185, 'Normative data'!$S$9:$S$15,'Normative data'!$T$9:$T$15, "Not Found", -1)</f>
        <v>Average</v>
      </c>
      <c r="CI185" s="17">
        <v>18.22</v>
      </c>
      <c r="CJ185" s="20" t="str">
        <f>_xlfn.XLOOKUP(CI185, 'Normative data'!$S$9:$S$15, 'Normative data'!$T$9:$T$15, "Not Found", -1)</f>
        <v>Average</v>
      </c>
      <c r="CK185" s="17">
        <v>2.3199999999999998</v>
      </c>
      <c r="CL185" s="17">
        <v>4.3099999999999996</v>
      </c>
      <c r="CN185" s="17">
        <v>7.04</v>
      </c>
      <c r="CO185" s="17">
        <v>7.1</v>
      </c>
      <c r="CQ185" s="17">
        <v>7.1</v>
      </c>
      <c r="CR185" s="20" t="str" cm="1">
        <f t="array" ref="CR185">IF(OR(ISBLANK(E185),ISBLANK(CQ185)),"Incomplete",_xlfn.XLOOKUP(CQ185,_xlfn.XLOOKUP(E185,'Normative data'!$Y$3:$Y$6,'Normative data'!$Z$3:$AG$6,,-1),'Normative data'!$Z$2:$AG$2,"Not Found",-1))</f>
        <v>Incomplete</v>
      </c>
      <c r="CS185" s="20">
        <v>7</v>
      </c>
      <c r="CT185" s="20">
        <v>1</v>
      </c>
      <c r="CU185" s="20" cm="1">
        <f t="array" ref="CU185">_xlfn.XLOOKUP(CS185&amp;CT185,(VLOOKUP!$A$3:$A$250)&amp;(VLOOKUP!$B$3:$B$250),VLOOKUP!$C$3:$C$250,"Incomplete",-1)</f>
        <v>1040</v>
      </c>
      <c r="CV185" s="20" t="str" cm="1">
        <f t="array" ref="CV185">_xlfn.XLOOKUP(CU185, _xlfn.XLOOKUP(E185, 'Normative data'!$Y$11:$Y$14, 'Normative data'!$Z$11:$AG$14, ,-1), 'Normative data'!$Z$10:$AG$10, "Not Found", -1)</f>
        <v xml:space="preserve">Fair </v>
      </c>
      <c r="CW185" s="20" cm="1">
        <f t="array" ref="CW185">IF(OR(ISBLANK(CS185),ISBLANK(CT185)),"Incomplete",_xlfn.XLOOKUP(CS185&amp;CT185,VLOOKUP!$A$4:$A$250&amp;VLOOKUP!$B$4:$B$250,VLOOKUP!$D$4:$D$250,"0"))</f>
        <v>37</v>
      </c>
    </row>
    <row r="186" spans="1:101">
      <c r="A186" s="17" t="s">
        <v>557</v>
      </c>
      <c r="B186" s="17" t="s">
        <v>558</v>
      </c>
      <c r="C186" s="17" t="s">
        <v>86</v>
      </c>
      <c r="D186" s="26"/>
      <c r="F186" s="20" t="s">
        <v>99</v>
      </c>
      <c r="G186" s="17">
        <v>2026</v>
      </c>
      <c r="I186" s="20">
        <v>2</v>
      </c>
      <c r="J186" s="20" t="s">
        <v>88</v>
      </c>
      <c r="K186" s="20" t="s">
        <v>556</v>
      </c>
      <c r="L186" s="20"/>
      <c r="S186" s="20">
        <v>80.7</v>
      </c>
      <c r="T186" s="20">
        <v>157.19999999999999</v>
      </c>
      <c r="AQ186" s="20"/>
      <c r="AR186" s="20"/>
      <c r="AS186" s="20"/>
      <c r="AT186" s="20"/>
      <c r="AU186" s="20"/>
      <c r="AV186" s="20"/>
      <c r="AW186" s="20"/>
      <c r="AX186" s="20"/>
      <c r="AY186" s="41" t="str">
        <f t="shared" si="49"/>
        <v>Incomplete</v>
      </c>
      <c r="BA186" s="20" t="str">
        <f t="shared" si="50"/>
        <v>Incomplete</v>
      </c>
      <c r="BC186" s="20" t="str">
        <f t="shared" si="51"/>
        <v>Incomplete</v>
      </c>
      <c r="BE186" s="20" t="str">
        <f t="shared" si="52"/>
        <v>Incomplete</v>
      </c>
      <c r="BG186" s="17">
        <v>13.9</v>
      </c>
      <c r="BH186" s="17">
        <v>47.7</v>
      </c>
      <c r="BI186" s="20">
        <f t="shared" si="55"/>
        <v>33.800000000000004</v>
      </c>
      <c r="BJ186" s="20"/>
      <c r="BL186" s="20"/>
      <c r="BM186" s="20"/>
      <c r="BN186" s="20"/>
      <c r="BQ186" s="17">
        <v>73</v>
      </c>
      <c r="BR186" s="17">
        <v>59</v>
      </c>
      <c r="BS186" s="17">
        <v>59</v>
      </c>
      <c r="BT186" s="17">
        <v>77</v>
      </c>
      <c r="BU186" s="17">
        <v>77</v>
      </c>
      <c r="BV186" s="17">
        <v>61</v>
      </c>
      <c r="BW186" s="91">
        <f t="shared" si="53"/>
        <v>83.224400871459707</v>
      </c>
      <c r="BX186" s="91" t="str">
        <f>_xlfn.XLOOKUP(BW186,'Normative data'!$V$3:$V$6,'Normative data'!$W$3:$W$6,"Not Found",-1)</f>
        <v>High risk</v>
      </c>
      <c r="BY186" s="91">
        <f t="shared" si="54"/>
        <v>93.681917211329008</v>
      </c>
      <c r="BZ186" s="91" t="str">
        <f>_xlfn.XLOOKUP(BY186,'Normative data'!$V$3:$V$6,'Normative data'!$W$3:$W$6,"Not Found",-1)</f>
        <v>High risk</v>
      </c>
      <c r="CA186" s="17">
        <v>16</v>
      </c>
      <c r="CC186" s="20"/>
      <c r="CE186" s="17">
        <v>20</v>
      </c>
      <c r="CG186" s="17">
        <v>19.75</v>
      </c>
      <c r="CH186" s="20" t="str">
        <f>_xlfn.XLOOKUP(CG186, 'Normative data'!$S$9:$S$15,'Normative data'!$T$9:$T$15, "Not Found", -1)</f>
        <v>Average</v>
      </c>
      <c r="CI186" s="17">
        <v>19.989999999999998</v>
      </c>
      <c r="CJ186" s="20" t="str">
        <f>_xlfn.XLOOKUP(CI186, 'Normative data'!$S$9:$S$15, 'Normative data'!$T$9:$T$15, "Not Found", -1)</f>
        <v>Average</v>
      </c>
      <c r="CK186" s="17">
        <v>2.54</v>
      </c>
      <c r="CL186" s="17">
        <v>3.94</v>
      </c>
      <c r="CN186" s="17">
        <v>4.83</v>
      </c>
      <c r="CO186" s="17">
        <v>10.35</v>
      </c>
      <c r="CR186" s="20" t="str" cm="1">
        <f t="array" ref="CR186">IF(OR(ISBLANK(E186),ISBLANK(CQ186)),"Incomplete",_xlfn.XLOOKUP(CQ186,_xlfn.XLOOKUP(E186,'Normative data'!$Y$3:$Y$6,'Normative data'!$Z$3:$AG$6,,-1),'Normative data'!$Z$2:$AG$2,"Not Found",-1))</f>
        <v>Incomplete</v>
      </c>
      <c r="CS186" s="20"/>
      <c r="CT186" s="20"/>
      <c r="CU186" s="20" t="str" cm="1">
        <f t="array" ref="CU186">_xlfn.XLOOKUP(CS186&amp;CT186,(VLOOKUP!$A$3:$A$250)&amp;(VLOOKUP!$B$3:$B$250),VLOOKUP!$C$3:$C$250,"Incomplete",-1)</f>
        <v>Incomplete</v>
      </c>
      <c r="CV186" s="20" t="str" cm="1">
        <f t="array" ref="CV186">_xlfn.XLOOKUP(CU186, _xlfn.XLOOKUP(E186, 'Normative data'!$Y$11:$Y$14, 'Normative data'!$Z$11:$AG$14, ,-1), 'Normative data'!$Z$10:$AG$10, "Not Found", -1)</f>
        <v>Excellent</v>
      </c>
      <c r="CW186" s="20" t="str" cm="1">
        <f t="array" ref="CW186">IF(OR(ISBLANK(CS186),ISBLANK(CT186)),"Incomplete",_xlfn.XLOOKUP(CS186&amp;CT186,VLOOKUP!$A$4:$A$250&amp;VLOOKUP!$B$4:$B$250,VLOOKUP!$D$4:$D$250,"0"))</f>
        <v>Incomplete</v>
      </c>
    </row>
    <row r="187" spans="1:101">
      <c r="A187" s="17" t="s">
        <v>559</v>
      </c>
      <c r="B187" s="17" t="s">
        <v>560</v>
      </c>
      <c r="C187" s="17" t="s">
        <v>86</v>
      </c>
      <c r="D187" s="26">
        <v>39788</v>
      </c>
      <c r="E187" s="17">
        <v>17.399999999999999</v>
      </c>
      <c r="F187" s="20">
        <v>11</v>
      </c>
      <c r="G187" s="17">
        <v>2026</v>
      </c>
      <c r="I187" s="20">
        <v>2</v>
      </c>
      <c r="J187" s="20" t="s">
        <v>88</v>
      </c>
      <c r="K187" s="20" t="s">
        <v>111</v>
      </c>
      <c r="L187" s="20"/>
      <c r="S187" s="20">
        <v>87.4</v>
      </c>
      <c r="T187" s="20">
        <v>167.1</v>
      </c>
      <c r="U187" s="17">
        <v>51.7</v>
      </c>
      <c r="V187" s="17">
        <v>28.1</v>
      </c>
      <c r="W187" s="17">
        <v>13.3</v>
      </c>
      <c r="X187" s="17">
        <v>38.4</v>
      </c>
      <c r="Y187" s="17">
        <v>20.7</v>
      </c>
      <c r="Z187" s="17">
        <v>18.5</v>
      </c>
      <c r="AA187" s="17">
        <v>25.8</v>
      </c>
      <c r="AB187" s="17">
        <v>6.24</v>
      </c>
      <c r="AC187" s="17">
        <v>104.4</v>
      </c>
      <c r="AD187" s="17">
        <v>6.09</v>
      </c>
      <c r="AE187" s="17">
        <v>101.9</v>
      </c>
      <c r="AF187" s="17">
        <v>2.2000000000000002</v>
      </c>
      <c r="AG187" s="17">
        <v>85.6</v>
      </c>
      <c r="AH187" s="17">
        <v>2.2000000000000002</v>
      </c>
      <c r="AI187" s="17">
        <v>85</v>
      </c>
      <c r="AJ187" s="17">
        <v>349.6</v>
      </c>
      <c r="AK187" s="17">
        <v>370.9</v>
      </c>
      <c r="AL187" s="17">
        <v>314.3</v>
      </c>
      <c r="AM187" s="17">
        <v>334.2</v>
      </c>
      <c r="AN187" s="17">
        <v>93</v>
      </c>
      <c r="AO187" s="17">
        <v>0.85</v>
      </c>
      <c r="AP187" s="17">
        <v>5.6</v>
      </c>
      <c r="AQ187" s="17">
        <v>18.600000000000001</v>
      </c>
      <c r="AR187" s="17">
        <v>0.39</v>
      </c>
      <c r="AS187" s="17">
        <v>20.2</v>
      </c>
      <c r="AT187" s="17">
        <v>0.40600000000000003</v>
      </c>
      <c r="AU187" s="17">
        <v>10.8</v>
      </c>
      <c r="AV187" s="17">
        <v>0.29699999999999999</v>
      </c>
      <c r="AW187" s="17">
        <v>10.1</v>
      </c>
      <c r="AX187" s="17">
        <v>0.28699999999999998</v>
      </c>
      <c r="AY187" s="41">
        <f t="shared" si="49"/>
        <v>1416.0299999999997</v>
      </c>
      <c r="BA187" s="20">
        <f t="shared" si="50"/>
        <v>1513.1499999999996</v>
      </c>
      <c r="BC187" s="20">
        <f t="shared" si="51"/>
        <v>942.56999999999971</v>
      </c>
      <c r="BE187" s="20">
        <f t="shared" si="52"/>
        <v>900.07999999999993</v>
      </c>
      <c r="BG187" s="17">
        <v>17</v>
      </c>
      <c r="BH187" s="17">
        <v>39</v>
      </c>
      <c r="BI187" s="20">
        <f t="shared" si="55"/>
        <v>22</v>
      </c>
      <c r="BJ187" s="20"/>
      <c r="BK187" s="17">
        <v>11</v>
      </c>
      <c r="BL187" s="20"/>
      <c r="BM187" s="17">
        <v>11.5</v>
      </c>
      <c r="BN187" s="20"/>
      <c r="BQ187" s="17">
        <v>79</v>
      </c>
      <c r="BR187" s="17">
        <v>86</v>
      </c>
      <c r="BS187" s="17">
        <v>84</v>
      </c>
      <c r="BT187" s="17">
        <v>86</v>
      </c>
      <c r="BU187" s="17">
        <v>92</v>
      </c>
      <c r="BV187" s="17">
        <v>81</v>
      </c>
      <c r="BW187" s="91">
        <f t="shared" si="53"/>
        <v>104.1405269761606</v>
      </c>
      <c r="BX187" s="91" t="str">
        <f>_xlfn.XLOOKUP(BW187,'Normative data'!$V$3:$V$6,'Normative data'!$W$3:$W$6,"Not Found",-1)</f>
        <v>Low risk</v>
      </c>
      <c r="BY187" s="91">
        <f t="shared" si="54"/>
        <v>108.32287745713091</v>
      </c>
      <c r="BZ187" s="91" t="str">
        <f>_xlfn.XLOOKUP(BY187,'Normative data'!$V$3:$V$6,'Normative data'!$W$3:$W$6,"Not Found",-1)</f>
        <v>Low risk</v>
      </c>
      <c r="CG187" s="20"/>
      <c r="CH187" s="20" t="str">
        <f>_xlfn.XLOOKUP(CG187, 'Normative data'!$S$9:$S$15,'Normative data'!$T$9:$T$15, "Not Found", -1)</f>
        <v>not completed</v>
      </c>
      <c r="CI187" s="20"/>
      <c r="CJ187" s="20" t="str">
        <f>_xlfn.XLOOKUP(CI187, 'Normative data'!$S$9:$S$15, 'Normative data'!$T$9:$T$15, "Not Found", -1)</f>
        <v>not completed</v>
      </c>
      <c r="CK187" s="21"/>
      <c r="CL187" s="21"/>
      <c r="CM187" s="21"/>
      <c r="CN187" s="21"/>
      <c r="CO187" s="21"/>
      <c r="CQ187" s="17">
        <v>2.7</v>
      </c>
      <c r="CR187" s="20" t="str" cm="1">
        <f t="array" ref="CR187">IF(OR(ISBLANK(E187),ISBLANK(CQ187)),"Incomplete",_xlfn.XLOOKUP(CQ187,_xlfn.XLOOKUP(E187,'Normative data'!$Y$3:$Y$6,'Normative data'!$Z$3:$AG$6,,-1),'Normative data'!$Z$2:$AG$2,"Not Found",-1))</f>
        <v>Very poor</v>
      </c>
      <c r="CS187" s="20">
        <v>2</v>
      </c>
      <c r="CT187" s="20">
        <v>7</v>
      </c>
      <c r="CU187" s="20" cm="1">
        <f t="array" ref="CU187">_xlfn.XLOOKUP(CS187&amp;CT187,(VLOOKUP!$A$3:$A$250)&amp;(VLOOKUP!$B$3:$B$250),VLOOKUP!$C$3:$C$250,"Incomplete",-1)</f>
        <v>280</v>
      </c>
      <c r="CV187" s="20" t="str" cm="1">
        <f t="array" ref="CV187">_xlfn.XLOOKUP(CU187, _xlfn.XLOOKUP(E187, 'Normative data'!$Y$11:$Y$14, 'Normative data'!$Z$11:$AG$14, ,-1), 'Normative data'!$Z$10:$AG$10, "Not Found", -1)</f>
        <v xml:space="preserve">Very poor </v>
      </c>
      <c r="CW187" s="20" cm="1">
        <f t="array" ref="CW187">IF(OR(ISBLANK(CS187),ISBLANK(CT187)),"Incomplete",_xlfn.XLOOKUP(CS187&amp;CT187,VLOOKUP!$A$4:$A$250&amp;VLOOKUP!$B$4:$B$250,VLOOKUP!$D$4:$D$250,"0"))</f>
        <v>22</v>
      </c>
    </row>
    <row r="188" spans="1:101">
      <c r="A188" s="17" t="s">
        <v>161</v>
      </c>
      <c r="B188" s="17" t="s">
        <v>561</v>
      </c>
      <c r="C188" s="17" t="s">
        <v>86</v>
      </c>
      <c r="D188" s="26">
        <v>41029</v>
      </c>
      <c r="E188" s="17">
        <v>13.9</v>
      </c>
      <c r="F188" s="20" t="s">
        <v>235</v>
      </c>
      <c r="G188" s="17">
        <v>2026</v>
      </c>
      <c r="I188" s="20">
        <v>2</v>
      </c>
      <c r="J188" s="20"/>
      <c r="K188" s="20"/>
      <c r="L188" s="20"/>
      <c r="S188" s="20">
        <v>83</v>
      </c>
      <c r="T188" s="20">
        <v>163.9</v>
      </c>
      <c r="U188" s="17">
        <v>48.8</v>
      </c>
      <c r="V188" s="17">
        <v>29.4</v>
      </c>
      <c r="W188" s="17">
        <v>8.6</v>
      </c>
      <c r="X188" s="17">
        <v>40.200000000000003</v>
      </c>
      <c r="Y188" s="17">
        <v>21.7</v>
      </c>
      <c r="Z188" s="17">
        <v>18.2</v>
      </c>
      <c r="AA188" s="17">
        <v>17.600000000000001</v>
      </c>
      <c r="AB188" s="17">
        <v>6.08</v>
      </c>
      <c r="AC188" s="17">
        <v>107.8</v>
      </c>
      <c r="AD188" s="17">
        <v>6.07</v>
      </c>
      <c r="AE188" s="17">
        <v>107.7</v>
      </c>
      <c r="AF188" s="17">
        <v>1.5</v>
      </c>
      <c r="AG188" s="17">
        <v>60.9</v>
      </c>
      <c r="AH188" s="17">
        <v>1.5</v>
      </c>
      <c r="AI188" s="17">
        <v>61</v>
      </c>
      <c r="AJ188" s="17">
        <v>315.2</v>
      </c>
      <c r="AK188" s="17">
        <v>316.10000000000002</v>
      </c>
      <c r="AL188" s="17">
        <v>284.5</v>
      </c>
      <c r="AM188" s="17">
        <v>284.3</v>
      </c>
      <c r="AN188" s="17">
        <v>97</v>
      </c>
      <c r="AO188" s="17">
        <v>0.79</v>
      </c>
      <c r="AP188" s="17">
        <v>5.8</v>
      </c>
      <c r="AY188" s="41" t="str">
        <f t="shared" si="49"/>
        <v>Incomplete</v>
      </c>
      <c r="BA188" s="20" t="str">
        <f t="shared" si="50"/>
        <v>Incomplete</v>
      </c>
      <c r="BC188" s="20" t="str">
        <f t="shared" si="51"/>
        <v>Incomplete</v>
      </c>
      <c r="BE188" s="20" t="str">
        <f t="shared" si="52"/>
        <v>Incomplete</v>
      </c>
      <c r="BH188" s="17">
        <v>27</v>
      </c>
      <c r="BI188" s="20" t="str">
        <f t="shared" si="55"/>
        <v>Incomplete</v>
      </c>
      <c r="BJ188" s="20"/>
      <c r="BK188" s="17">
        <v>11</v>
      </c>
      <c r="BL188" s="20"/>
      <c r="BM188" s="17">
        <v>11</v>
      </c>
      <c r="BN188" s="20"/>
      <c r="BW188" s="91">
        <f t="shared" si="53"/>
        <v>0</v>
      </c>
      <c r="BX188" s="91" t="str">
        <f>_xlfn.XLOOKUP(BW188,'Normative data'!$V$3:$V$6,'Normative data'!$W$3:$W$6,"Not Found",-1)</f>
        <v>Not completed</v>
      </c>
      <c r="BY188" s="91">
        <f t="shared" si="54"/>
        <v>0</v>
      </c>
      <c r="BZ188" s="91" t="str">
        <f>_xlfn.XLOOKUP(BY188,'Normative data'!$V$3:$V$6,'Normative data'!$W$3:$W$6,"Not Found",-1)</f>
        <v>Not completed</v>
      </c>
      <c r="CA188" s="20"/>
      <c r="CC188" s="20"/>
      <c r="CE188" s="17">
        <v>22</v>
      </c>
      <c r="CH188" s="20" t="str">
        <f>_xlfn.XLOOKUP(CG188, 'Normative data'!$S$9:$S$15,'Normative data'!$T$9:$T$15, "Not Found", -1)</f>
        <v>not completed</v>
      </c>
      <c r="CI188" s="17">
        <v>18.690000000000001</v>
      </c>
      <c r="CJ188" s="20" t="str">
        <f>_xlfn.XLOOKUP(CI188, 'Normative data'!$S$9:$S$15, 'Normative data'!$T$9:$T$15, "Not Found", -1)</f>
        <v>Average</v>
      </c>
      <c r="CK188" s="17">
        <v>2.23</v>
      </c>
      <c r="CL188" s="17">
        <v>4.4800000000000004</v>
      </c>
      <c r="CN188" s="17">
        <v>7.45</v>
      </c>
      <c r="CO188" s="17">
        <v>6.71</v>
      </c>
      <c r="CQ188" s="17">
        <v>7.3</v>
      </c>
      <c r="CR188" s="20" t="str" cm="1">
        <f t="array" ref="CR188">IF(OR(ISBLANK(E188),ISBLANK(CQ188)),"Incomplete",_xlfn.XLOOKUP(CQ188,_xlfn.XLOOKUP(E188,'Normative data'!$Y$3:$Y$6,'Normative data'!$Z$3:$AG$6,,-1),'Normative data'!$Z$2:$AG$2,"Not Found",-1))</f>
        <v>Good</v>
      </c>
      <c r="CS188" s="20">
        <v>7</v>
      </c>
      <c r="CT188" s="20">
        <v>3</v>
      </c>
      <c r="CU188" s="20" cm="1">
        <f t="array" ref="CU188">_xlfn.XLOOKUP(CS188&amp;CT188,(VLOOKUP!$A$3:$A$250)&amp;(VLOOKUP!$B$3:$B$250),VLOOKUP!$C$3:$C$250,"Incomplete",-1)</f>
        <v>1080</v>
      </c>
      <c r="CV188" s="20" t="str" cm="1">
        <f t="array" ref="CV188">_xlfn.XLOOKUP(CU188, _xlfn.XLOOKUP(E188, 'Normative data'!$Y$11:$Y$14, 'Normative data'!$Z$11:$AG$14, ,-1), 'Normative data'!$Z$10:$AG$10, "Not Found", -1)</f>
        <v xml:space="preserve">Good </v>
      </c>
      <c r="CW188" s="20" cm="1">
        <f t="array" ref="CW188">IF(OR(ISBLANK(CS188),ISBLANK(CT188)),"Incomplete",_xlfn.XLOOKUP(CS188&amp;CT188,VLOOKUP!$A$4:$A$250&amp;VLOOKUP!$B$4:$B$250,VLOOKUP!$D$4:$D$250,"0"))</f>
        <v>37</v>
      </c>
    </row>
    <row r="189" spans="1:101">
      <c r="A189" s="17" t="s">
        <v>213</v>
      </c>
      <c r="B189" s="17" t="s">
        <v>562</v>
      </c>
      <c r="C189" s="17" t="s">
        <v>86</v>
      </c>
      <c r="D189" s="26">
        <v>40207</v>
      </c>
      <c r="F189" s="20" t="s">
        <v>186</v>
      </c>
      <c r="G189" s="17">
        <v>2026</v>
      </c>
      <c r="I189" s="20">
        <v>2</v>
      </c>
      <c r="J189" s="20"/>
      <c r="K189" s="20"/>
      <c r="L189" s="20"/>
      <c r="S189" s="20"/>
      <c r="T189" s="20"/>
      <c r="AY189" s="41" t="str">
        <f t="shared" si="49"/>
        <v>Incomplete</v>
      </c>
      <c r="BA189" s="20" t="str">
        <f t="shared" si="50"/>
        <v>Incomplete</v>
      </c>
      <c r="BC189" s="20" t="str">
        <f t="shared" si="51"/>
        <v>Incomplete</v>
      </c>
      <c r="BE189" s="20" t="str">
        <f t="shared" si="52"/>
        <v>Incomplete</v>
      </c>
      <c r="BH189" s="20"/>
      <c r="BI189" s="20" t="str">
        <f t="shared" si="55"/>
        <v>Incomplete</v>
      </c>
      <c r="BJ189" s="20"/>
      <c r="BK189" s="17">
        <v>7.5</v>
      </c>
      <c r="BL189" s="20"/>
      <c r="BM189" s="17">
        <v>7</v>
      </c>
      <c r="BN189" s="20"/>
      <c r="BQ189" s="17">
        <v>79</v>
      </c>
      <c r="BR189" s="17">
        <v>77</v>
      </c>
      <c r="BS189" s="17">
        <v>76</v>
      </c>
      <c r="BT189" s="17">
        <v>83</v>
      </c>
      <c r="BU189" s="17">
        <v>78</v>
      </c>
      <c r="BV189" s="17">
        <v>69</v>
      </c>
      <c r="BW189" s="91" t="str">
        <f t="shared" si="53"/>
        <v>Incomplete</v>
      </c>
      <c r="BX189" s="91" t="str">
        <f>_xlfn.XLOOKUP(BW189,'Normative data'!$V$3:$V$6,'Normative data'!$W$3:$W$6,"Not Found",-1)</f>
        <v>Very low risk</v>
      </c>
      <c r="BY189" s="91" t="str">
        <f t="shared" si="54"/>
        <v>Incomplete</v>
      </c>
      <c r="BZ189" s="91" t="str">
        <f>_xlfn.XLOOKUP(BY189,'Normative data'!$V$3:$V$6,'Normative data'!$W$3:$W$6,"Not Found",-1)</f>
        <v>Very low risk</v>
      </c>
      <c r="CA189" s="17">
        <v>17</v>
      </c>
      <c r="CC189" s="20"/>
      <c r="CE189" s="17">
        <v>11</v>
      </c>
      <c r="CG189" s="17">
        <v>21.18</v>
      </c>
      <c r="CH189" s="20" t="str">
        <f>_xlfn.XLOOKUP(CG189, 'Normative data'!$S$9:$S$15,'Normative data'!$T$9:$T$15, "Not Found", -1)</f>
        <v>Average</v>
      </c>
      <c r="CI189" s="17">
        <v>20.61</v>
      </c>
      <c r="CJ189" s="20" t="str">
        <f>_xlfn.XLOOKUP(CI189, 'Normative data'!$S$9:$S$15, 'Normative data'!$T$9:$T$15, "Not Found", -1)</f>
        <v>Average</v>
      </c>
      <c r="CK189" s="17">
        <v>2.58</v>
      </c>
      <c r="CL189" s="17">
        <v>3.88</v>
      </c>
      <c r="CN189" s="17">
        <v>7.99</v>
      </c>
      <c r="CO189" s="17">
        <v>6.26</v>
      </c>
      <c r="CR189" s="20" t="str" cm="1">
        <f t="array" ref="CR189">IF(OR(ISBLANK(E189),ISBLANK(CQ189)),"Incomplete",_xlfn.XLOOKUP(CQ189,_xlfn.XLOOKUP(E189,'Normative data'!$Y$3:$Y$6,'Normative data'!$Z$3:$AG$6,,-1),'Normative data'!$Z$2:$AG$2,"Not Found",-1))</f>
        <v>Incomplete</v>
      </c>
      <c r="CS189" s="20"/>
      <c r="CT189" s="20"/>
      <c r="CU189" s="20" t="str" cm="1">
        <f t="array" ref="CU189">_xlfn.XLOOKUP(CS189&amp;CT189,(VLOOKUP!$A$3:$A$250)&amp;(VLOOKUP!$B$3:$B$250),VLOOKUP!$C$3:$C$250,"Incomplete",-1)</f>
        <v>Incomplete</v>
      </c>
      <c r="CV189" s="20" t="str" cm="1">
        <f t="array" ref="CV189">_xlfn.XLOOKUP(CU189, _xlfn.XLOOKUP(E189, 'Normative data'!$Y$11:$Y$14, 'Normative data'!$Z$11:$AG$14, ,-1), 'Normative data'!$Z$10:$AG$10, "Not Found", -1)</f>
        <v>Excellent</v>
      </c>
      <c r="CW189" s="20" t="str" cm="1">
        <f t="array" ref="CW189">IF(OR(ISBLANK(CS189),ISBLANK(CT189)),"Incomplete",_xlfn.XLOOKUP(CS189&amp;CT189,VLOOKUP!$A$4:$A$250&amp;VLOOKUP!$B$4:$B$250,VLOOKUP!$D$4:$D$250,"0"))</f>
        <v>Incomplete</v>
      </c>
    </row>
    <row r="190" spans="1:101">
      <c r="A190" s="18" t="s">
        <v>563</v>
      </c>
      <c r="B190" s="18" t="s">
        <v>564</v>
      </c>
      <c r="C190" s="17" t="s">
        <v>86</v>
      </c>
      <c r="D190" s="19">
        <v>40122</v>
      </c>
      <c r="F190" s="17">
        <v>10</v>
      </c>
      <c r="G190" s="17">
        <v>2025</v>
      </c>
      <c r="H190" s="20" t="s">
        <v>124</v>
      </c>
      <c r="I190" s="17">
        <v>3</v>
      </c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41" t="str">
        <f t="shared" si="49"/>
        <v>Incomplete</v>
      </c>
      <c r="AZ190" s="20"/>
      <c r="BA190" s="20" t="str">
        <f t="shared" si="50"/>
        <v>Incomplete</v>
      </c>
      <c r="BB190" s="20"/>
      <c r="BC190" s="20" t="str">
        <f t="shared" si="51"/>
        <v>Incomplete</v>
      </c>
      <c r="BD190" s="20"/>
      <c r="BE190" s="20" t="str">
        <f t="shared" si="52"/>
        <v>Incomplete</v>
      </c>
      <c r="BF190" s="20"/>
      <c r="BG190" s="20">
        <v>14.5</v>
      </c>
      <c r="BH190" s="20">
        <v>35</v>
      </c>
      <c r="BI190" s="20">
        <f t="shared" si="55"/>
        <v>20.5</v>
      </c>
      <c r="BJ190" s="20"/>
      <c r="BK190" s="20">
        <v>10</v>
      </c>
      <c r="BL190" s="20"/>
      <c r="BM190" s="20">
        <v>11</v>
      </c>
      <c r="BN190" s="20"/>
      <c r="BO190" s="20"/>
      <c r="BP190" s="20"/>
      <c r="BQ190" s="20"/>
      <c r="BR190" s="20"/>
      <c r="BS190" s="20"/>
      <c r="BT190" s="20"/>
      <c r="BU190" s="20"/>
      <c r="BV190" s="20"/>
      <c r="BW190" s="91" t="str">
        <f t="shared" si="53"/>
        <v>Incomplete</v>
      </c>
      <c r="BX190" s="91" t="str">
        <f>_xlfn.XLOOKUP(BW190,'Normative data'!$V$3:$V$6,'Normative data'!$W$3:$W$6,"Not Found",-1)</f>
        <v>Very low risk</v>
      </c>
      <c r="BY190" s="91" t="str">
        <f t="shared" si="54"/>
        <v>Incomplete</v>
      </c>
      <c r="BZ190" s="91" t="str">
        <f>_xlfn.XLOOKUP(BY190,'Normative data'!$V$3:$V$6,'Normative data'!$W$3:$W$6,"Not Found",-1)</f>
        <v>Very low risk</v>
      </c>
      <c r="CA190" s="20"/>
      <c r="CC190" s="20"/>
      <c r="CE190" s="20"/>
      <c r="CG190" s="20"/>
      <c r="CH190" s="20" t="str">
        <f>_xlfn.XLOOKUP(CG190, 'Normative data'!$S$9:$S$15,'Normative data'!$T$9:$T$15, "Not Found", -1)</f>
        <v>not completed</v>
      </c>
      <c r="CI190" s="20"/>
      <c r="CJ190" s="20" t="str">
        <f>_xlfn.XLOOKUP(CI190, 'Normative data'!$S$9:$S$15, 'Normative data'!$T$9:$T$15, "Not Found", -1)</f>
        <v>not completed</v>
      </c>
      <c r="CK190" s="21">
        <v>2.4</v>
      </c>
      <c r="CL190" s="21">
        <v>4.17</v>
      </c>
      <c r="CM190" s="21"/>
      <c r="CN190" s="21">
        <v>7.82</v>
      </c>
      <c r="CO190" s="21">
        <v>6.39</v>
      </c>
      <c r="CP190" s="21"/>
      <c r="CQ190" s="20"/>
      <c r="CR190" s="20" t="str" cm="1">
        <f t="array" ref="CR190">IF(OR(ISBLANK(E190),ISBLANK(CQ190)),"Incomplete",_xlfn.XLOOKUP(CQ190,_xlfn.XLOOKUP(E190,'Normative data'!$Y$3:$Y$6,'Normative data'!$Z$3:$AG$6,,-1),'Normative data'!$Z$2:$AG$2,"Not Found",-1))</f>
        <v>Incomplete</v>
      </c>
      <c r="CS190" s="20"/>
      <c r="CT190" s="20"/>
      <c r="CU190" s="20" t="str" cm="1">
        <f t="array" ref="CU190">_xlfn.XLOOKUP(CS190&amp;CT190,(VLOOKUP!$A$3:$A$250)&amp;(VLOOKUP!$B$3:$B$250),VLOOKUP!$C$3:$C$250,"Incomplete",-1)</f>
        <v>Incomplete</v>
      </c>
      <c r="CV190" s="20" t="str" cm="1">
        <f t="array" ref="CV190">_xlfn.XLOOKUP(CU190, _xlfn.XLOOKUP(E190, 'Normative data'!$Y$11:$Y$14, 'Normative data'!$Z$11:$AG$14, ,-1), 'Normative data'!$Z$10:$AG$10, "Not Found", -1)</f>
        <v>Excellent</v>
      </c>
      <c r="CW190" s="20" t="str" cm="1">
        <f t="array" ref="CW190">IF(OR(ISBLANK(CS190),ISBLANK(CT190)),"Incomplete",_xlfn.XLOOKUP(CS190&amp;CT190,VLOOKUP!$A$4:$A$250&amp;VLOOKUP!$B$4:$B$250,VLOOKUP!$D$4:$D$250,"0"))</f>
        <v>Incomplete</v>
      </c>
    </row>
    <row r="191" spans="1:101">
      <c r="A191" s="17" t="s">
        <v>565</v>
      </c>
      <c r="B191" s="17" t="s">
        <v>566</v>
      </c>
      <c r="C191" s="17" t="s">
        <v>86</v>
      </c>
      <c r="D191" s="26">
        <v>40716</v>
      </c>
      <c r="E191" s="17">
        <v>14.8</v>
      </c>
      <c r="F191" s="20" t="s">
        <v>92</v>
      </c>
      <c r="G191" s="17">
        <v>2026</v>
      </c>
      <c r="I191" s="20">
        <v>2</v>
      </c>
      <c r="J191" s="20" t="s">
        <v>122</v>
      </c>
      <c r="K191" s="20" t="s">
        <v>297</v>
      </c>
      <c r="L191" s="20" t="s">
        <v>567</v>
      </c>
      <c r="S191" s="20">
        <v>82.8</v>
      </c>
      <c r="T191" s="20">
        <v>159</v>
      </c>
      <c r="U191" s="17">
        <v>48</v>
      </c>
      <c r="V191" s="17">
        <v>30.2</v>
      </c>
      <c r="W191" s="17">
        <v>6.5</v>
      </c>
      <c r="X191" s="17">
        <v>41.9</v>
      </c>
      <c r="Y191" s="17">
        <v>23.1</v>
      </c>
      <c r="Z191" s="17">
        <v>19.100000000000001</v>
      </c>
      <c r="AA191" s="17">
        <v>13.5</v>
      </c>
      <c r="AB191" s="17">
        <v>6.49</v>
      </c>
      <c r="AC191" s="17">
        <v>116</v>
      </c>
      <c r="AD191" s="17">
        <v>6.32</v>
      </c>
      <c r="AE191" s="17">
        <v>113</v>
      </c>
      <c r="AF191" s="17">
        <v>1.3</v>
      </c>
      <c r="AG191" s="17">
        <v>59</v>
      </c>
      <c r="AH191" s="17">
        <v>1.2</v>
      </c>
      <c r="AI191" s="17">
        <v>58</v>
      </c>
      <c r="AJ191" s="17">
        <v>284.3</v>
      </c>
      <c r="AK191" s="17">
        <v>292.7</v>
      </c>
      <c r="AL191" s="17">
        <v>246</v>
      </c>
      <c r="AM191" s="17">
        <v>254</v>
      </c>
      <c r="AN191" s="17">
        <v>91</v>
      </c>
      <c r="AO191" s="17">
        <v>0.76</v>
      </c>
      <c r="AP191" s="17">
        <v>6.6</v>
      </c>
      <c r="AQ191" s="17">
        <v>22</v>
      </c>
      <c r="AR191" s="17">
        <v>0.42399999999999999</v>
      </c>
      <c r="AS191" s="17">
        <v>26.2</v>
      </c>
      <c r="AT191" s="17">
        <v>0.46200000000000002</v>
      </c>
      <c r="AU191" s="17">
        <v>13.7</v>
      </c>
      <c r="AV191" s="17">
        <v>0.33400000000000002</v>
      </c>
      <c r="AW191" s="17">
        <v>14.2</v>
      </c>
      <c r="AX191" s="17">
        <v>0.34</v>
      </c>
      <c r="AY191" s="41">
        <f t="shared" si="49"/>
        <v>1454.7999999999997</v>
      </c>
      <c r="BA191" s="20">
        <f t="shared" si="50"/>
        <v>1709.7399999999998</v>
      </c>
      <c r="BC191" s="20">
        <f t="shared" si="51"/>
        <v>950.98999999999978</v>
      </c>
      <c r="BE191" s="20">
        <f t="shared" si="52"/>
        <v>981.33999999999969</v>
      </c>
      <c r="BG191" s="17">
        <v>11.5</v>
      </c>
      <c r="BH191" s="17">
        <v>49.2</v>
      </c>
      <c r="BI191" s="20">
        <f t="shared" si="55"/>
        <v>37.700000000000003</v>
      </c>
      <c r="BJ191" s="20"/>
      <c r="BK191" s="17">
        <v>14</v>
      </c>
      <c r="BL191" s="20"/>
      <c r="BM191" s="17">
        <v>14</v>
      </c>
      <c r="BN191" s="20"/>
      <c r="BO191" s="17">
        <v>45.5</v>
      </c>
      <c r="BP191" s="17">
        <v>45</v>
      </c>
      <c r="BQ191" s="17">
        <v>79</v>
      </c>
      <c r="BR191" s="17">
        <v>79</v>
      </c>
      <c r="BS191" s="17">
        <v>81</v>
      </c>
      <c r="BT191" s="17">
        <v>82</v>
      </c>
      <c r="BU191" s="17">
        <v>80</v>
      </c>
      <c r="BV191" s="17">
        <v>88</v>
      </c>
      <c r="BW191" s="91">
        <f t="shared" si="53"/>
        <v>104.54943132108485</v>
      </c>
      <c r="BX191" s="91" t="str">
        <f>_xlfn.XLOOKUP(BW191,'Normative data'!$V$3:$V$6,'Normative data'!$W$3:$W$6,"Not Found",-1)</f>
        <v>Low risk</v>
      </c>
      <c r="BY191" s="91">
        <f t="shared" si="54"/>
        <v>109.36132983377075</v>
      </c>
      <c r="BZ191" s="91" t="str">
        <f>_xlfn.XLOOKUP(BY191,'Normative data'!$V$3:$V$6,'Normative data'!$W$3:$W$6,"Not Found",-1)</f>
        <v>Low risk</v>
      </c>
      <c r="CA191" s="17">
        <v>40</v>
      </c>
      <c r="CC191" s="20"/>
      <c r="CE191" s="17">
        <v>36</v>
      </c>
      <c r="CG191" s="17">
        <v>16.739999999999998</v>
      </c>
      <c r="CH191" s="20" t="str">
        <f>_xlfn.XLOOKUP(CG191, 'Normative data'!$S$9:$S$15,'Normative data'!$T$9:$T$15, "Not Found", -1)</f>
        <v>Excellent</v>
      </c>
      <c r="CI191" s="17">
        <v>17.079999999999998</v>
      </c>
      <c r="CJ191" s="20" t="str">
        <f>_xlfn.XLOOKUP(CI191, 'Normative data'!$S$9:$S$15, 'Normative data'!$T$9:$T$15, "Not Found", -1)</f>
        <v>Above Average</v>
      </c>
      <c r="CK191" s="17">
        <v>2.76</v>
      </c>
      <c r="CL191" s="17">
        <v>3.62</v>
      </c>
      <c r="CN191" s="17">
        <v>7.12</v>
      </c>
      <c r="CO191" s="17">
        <v>7.02</v>
      </c>
      <c r="CQ191" s="17">
        <v>10.1</v>
      </c>
      <c r="CR191" s="20" t="str" cm="1">
        <f t="array" ref="CR191">IF(OR(ISBLANK(E191),ISBLANK(CQ191)),"Incomplete",_xlfn.XLOOKUP(CQ191,_xlfn.XLOOKUP(E191,'Normative data'!$Y$3:$Y$6,'Normative data'!$Z$3:$AG$6,,-1),'Normative data'!$Z$2:$AG$2,"Not Found",-1))</f>
        <v>Very good</v>
      </c>
      <c r="CS191" s="20">
        <v>10</v>
      </c>
      <c r="CT191" s="20">
        <v>1</v>
      </c>
      <c r="CU191" s="20" cm="1">
        <f t="array" ref="CU191">_xlfn.XLOOKUP(CS191&amp;CT191,(VLOOKUP!$A$3:$A$250)&amp;(VLOOKUP!$B$3:$B$250),VLOOKUP!$C$3:$C$250,"Incomplete",-1)</f>
        <v>1680</v>
      </c>
      <c r="CV191" s="20" t="str" cm="1">
        <f t="array" ref="CV191">_xlfn.XLOOKUP(CU191, _xlfn.XLOOKUP(E191, 'Normative data'!$Y$11:$Y$14, 'Normative data'!$Z$11:$AG$14, ,-1), 'Normative data'!$Z$10:$AG$10, "Not Found", -1)</f>
        <v xml:space="preserve">Good </v>
      </c>
      <c r="CW191" s="20" cm="1">
        <f t="array" ref="CW191">IF(OR(ISBLANK(CS191),ISBLANK(CT191)),"Incomplete",_xlfn.XLOOKUP(CS191&amp;CT191,VLOOKUP!$A$4:$A$250&amp;VLOOKUP!$B$4:$B$250,VLOOKUP!$D$4:$D$250,"0"))</f>
        <v>47</v>
      </c>
    </row>
    <row r="192" spans="1:101">
      <c r="A192" s="17" t="s">
        <v>568</v>
      </c>
      <c r="B192" s="17" t="s">
        <v>510</v>
      </c>
      <c r="C192" s="17" t="s">
        <v>86</v>
      </c>
      <c r="D192" s="26">
        <v>41000</v>
      </c>
      <c r="E192" s="17">
        <v>14.2</v>
      </c>
      <c r="F192" s="20" t="s">
        <v>157</v>
      </c>
      <c r="G192" s="17">
        <v>2026</v>
      </c>
      <c r="I192" s="20">
        <v>2</v>
      </c>
      <c r="J192" s="20" t="s">
        <v>100</v>
      </c>
      <c r="K192" s="20" t="s">
        <v>236</v>
      </c>
      <c r="L192" s="20"/>
      <c r="S192" s="20">
        <v>83.5</v>
      </c>
      <c r="T192" s="20">
        <v>161.4</v>
      </c>
      <c r="U192" s="17">
        <v>61.8</v>
      </c>
      <c r="V192" s="17">
        <v>30.9</v>
      </c>
      <c r="W192" s="17">
        <v>19.5</v>
      </c>
      <c r="X192" s="17">
        <v>42.3</v>
      </c>
      <c r="Y192" s="17">
        <v>23.1</v>
      </c>
      <c r="Z192" s="17">
        <v>23.7</v>
      </c>
      <c r="AA192" s="17">
        <v>31.6</v>
      </c>
      <c r="AB192" s="17">
        <v>6.38</v>
      </c>
      <c r="AC192" s="17">
        <v>99.7</v>
      </c>
      <c r="AD192" s="17">
        <v>6.48</v>
      </c>
      <c r="AE192" s="17">
        <v>101.3</v>
      </c>
      <c r="AF192" s="17">
        <v>3</v>
      </c>
      <c r="AG192" s="17">
        <v>135.1</v>
      </c>
      <c r="AH192" s="17">
        <v>3.1</v>
      </c>
      <c r="AI192" s="17">
        <v>135.5</v>
      </c>
      <c r="AJ192" s="17">
        <v>302.3</v>
      </c>
      <c r="AK192" s="17">
        <v>291.60000000000002</v>
      </c>
      <c r="AL192" s="17">
        <v>267.60000000000002</v>
      </c>
      <c r="AM192" s="17">
        <v>257.89999999999998</v>
      </c>
      <c r="AN192" s="17">
        <v>86</v>
      </c>
      <c r="AO192" s="17">
        <v>0.87</v>
      </c>
      <c r="AP192" s="17">
        <v>6.5</v>
      </c>
      <c r="AQ192" s="17">
        <v>19.5</v>
      </c>
      <c r="AR192" s="17">
        <v>0.39900000000000002</v>
      </c>
      <c r="AS192" s="17">
        <v>19</v>
      </c>
      <c r="AT192" s="17">
        <v>0.39400000000000002</v>
      </c>
      <c r="AU192" s="17">
        <v>7.8</v>
      </c>
      <c r="AV192" s="17">
        <v>0.253</v>
      </c>
      <c r="AW192" s="17">
        <v>10.6</v>
      </c>
      <c r="AX192" s="17">
        <v>0.29399999999999998</v>
      </c>
      <c r="AY192" s="41">
        <f t="shared" si="49"/>
        <v>1928.1899999999996</v>
      </c>
      <c r="BA192" s="20">
        <f t="shared" si="50"/>
        <v>1897.8399999999992</v>
      </c>
      <c r="BC192" s="20">
        <f t="shared" si="51"/>
        <v>1217.9999999999995</v>
      </c>
      <c r="BE192" s="20">
        <f t="shared" si="52"/>
        <v>1387.9599999999996</v>
      </c>
      <c r="BH192" s="17">
        <v>32.5</v>
      </c>
      <c r="BI192" s="20" t="str">
        <f t="shared" si="55"/>
        <v>Incomplete</v>
      </c>
      <c r="BJ192" s="20"/>
      <c r="BK192" s="17">
        <v>6</v>
      </c>
      <c r="BL192" s="20"/>
      <c r="BM192" s="17">
        <v>5</v>
      </c>
      <c r="BN192" s="20"/>
      <c r="BO192" s="17">
        <v>54</v>
      </c>
      <c r="BP192" s="17">
        <v>53.5</v>
      </c>
      <c r="BQ192" s="17">
        <v>81</v>
      </c>
      <c r="BR192" s="17">
        <v>83</v>
      </c>
      <c r="BS192" s="17">
        <v>68</v>
      </c>
      <c r="BT192" s="17">
        <v>83</v>
      </c>
      <c r="BU192" s="17">
        <v>73</v>
      </c>
      <c r="BV192" s="17">
        <v>71</v>
      </c>
      <c r="BW192" s="91">
        <f t="shared" si="53"/>
        <v>99.272571673085139</v>
      </c>
      <c r="BX192" s="91" t="str">
        <f>_xlfn.XLOOKUP(BW192,'Normative data'!$V$3:$V$6,'Normative data'!$W$3:$W$6,"Not Found",-1)</f>
        <v>Low risk</v>
      </c>
      <c r="BY192" s="91">
        <f t="shared" si="54"/>
        <v>97.133076593923832</v>
      </c>
      <c r="BZ192" s="91" t="str">
        <f>_xlfn.XLOOKUP(BY192,'Normative data'!$V$3:$V$6,'Normative data'!$W$3:$W$6,"Not Found",-1)</f>
        <v>Low risk</v>
      </c>
      <c r="CA192" s="17">
        <v>30</v>
      </c>
      <c r="CC192" s="20"/>
      <c r="CE192" s="17">
        <v>14</v>
      </c>
      <c r="CG192" s="17">
        <v>18.88</v>
      </c>
      <c r="CH192" s="20" t="str">
        <f>_xlfn.XLOOKUP(CG192, 'Normative data'!$S$9:$S$15,'Normative data'!$T$9:$T$15, "Not Found", -1)</f>
        <v>Average</v>
      </c>
      <c r="CI192" s="17">
        <v>18.88</v>
      </c>
      <c r="CJ192" s="20" t="str">
        <f>_xlfn.XLOOKUP(CI192, 'Normative data'!$S$9:$S$15, 'Normative data'!$T$9:$T$15, "Not Found", -1)</f>
        <v>Average</v>
      </c>
      <c r="CK192" s="17">
        <v>2.23</v>
      </c>
      <c r="CL192" s="17">
        <v>4.4800000000000004</v>
      </c>
      <c r="CN192" s="17">
        <v>7.08</v>
      </c>
      <c r="CO192" s="17">
        <v>7.06</v>
      </c>
      <c r="CQ192" s="17">
        <v>7.1</v>
      </c>
      <c r="CR192" s="20" t="str" cm="1">
        <f t="array" ref="CR192">IF(OR(ISBLANK(E192),ISBLANK(CQ192)),"Incomplete",_xlfn.XLOOKUP(CQ192,_xlfn.XLOOKUP(E192,'Normative data'!$Y$3:$Y$6,'Normative data'!$Z$3:$AG$6,,-1),'Normative data'!$Z$2:$AG$2,"Not Found",-1))</f>
        <v>Average</v>
      </c>
      <c r="CS192" s="20">
        <v>7</v>
      </c>
      <c r="CT192" s="20">
        <v>1</v>
      </c>
      <c r="CU192" s="20" cm="1">
        <f t="array" ref="CU192">_xlfn.XLOOKUP(CS192&amp;CT192,(VLOOKUP!$A$3:$A$250)&amp;(VLOOKUP!$B$3:$B$250),VLOOKUP!$C$3:$C$250,"Incomplete",-1)</f>
        <v>1040</v>
      </c>
      <c r="CV192" s="20" t="str" cm="1">
        <f t="array" ref="CV192">_xlfn.XLOOKUP(CU192, _xlfn.XLOOKUP(E192, 'Normative data'!$Y$11:$Y$14, 'Normative data'!$Z$11:$AG$14, ,-1), 'Normative data'!$Z$10:$AG$10, "Not Found", -1)</f>
        <v>Average</v>
      </c>
      <c r="CW192" s="20" cm="1">
        <f t="array" ref="CW192">IF(OR(ISBLANK(CS192),ISBLANK(CT192)),"Incomplete",_xlfn.XLOOKUP(CS192&amp;CT192,VLOOKUP!$A$4:$A$250&amp;VLOOKUP!$B$4:$B$250,VLOOKUP!$D$4:$D$250,"0"))</f>
        <v>37</v>
      </c>
    </row>
    <row r="193" spans="1:101">
      <c r="A193" s="17" t="s">
        <v>569</v>
      </c>
      <c r="B193" s="17" t="s">
        <v>570</v>
      </c>
      <c r="C193" s="17" t="s">
        <v>86</v>
      </c>
      <c r="D193" s="26">
        <v>40838</v>
      </c>
      <c r="F193" s="20" t="s">
        <v>92</v>
      </c>
      <c r="G193" s="17">
        <v>2026</v>
      </c>
      <c r="I193" s="20">
        <v>2</v>
      </c>
      <c r="J193" s="20" t="s">
        <v>100</v>
      </c>
      <c r="K193" s="20" t="s">
        <v>173</v>
      </c>
      <c r="L193" s="20"/>
      <c r="S193" s="20">
        <v>83.4</v>
      </c>
      <c r="T193" s="20">
        <v>163.80000000000001</v>
      </c>
      <c r="AY193" s="41" t="str">
        <f t="shared" si="49"/>
        <v>Incomplete</v>
      </c>
      <c r="BA193" s="20" t="str">
        <f t="shared" si="50"/>
        <v>Incomplete</v>
      </c>
      <c r="BC193" s="20" t="str">
        <f t="shared" si="51"/>
        <v>Incomplete</v>
      </c>
      <c r="BE193" s="20" t="str">
        <f t="shared" si="52"/>
        <v>Incomplete</v>
      </c>
      <c r="BG193" s="17">
        <v>9</v>
      </c>
      <c r="BH193" s="17">
        <v>48</v>
      </c>
      <c r="BI193" s="20">
        <f t="shared" si="55"/>
        <v>39</v>
      </c>
      <c r="BJ193" s="20"/>
      <c r="BK193" s="17">
        <v>8.5</v>
      </c>
      <c r="BL193" s="20"/>
      <c r="BM193" s="17">
        <v>6.5</v>
      </c>
      <c r="BN193" s="20"/>
      <c r="BW193" s="91">
        <f t="shared" si="53"/>
        <v>0</v>
      </c>
      <c r="BX193" s="91" t="str">
        <f>_xlfn.XLOOKUP(BW193,'Normative data'!$V$3:$V$6,'Normative data'!$W$3:$W$6,"Not Found",-1)</f>
        <v>Not completed</v>
      </c>
      <c r="BY193" s="91">
        <f t="shared" si="54"/>
        <v>0</v>
      </c>
      <c r="BZ193" s="91" t="str">
        <f>_xlfn.XLOOKUP(BY193,'Normative data'!$V$3:$V$6,'Normative data'!$W$3:$W$6,"Not Found",-1)</f>
        <v>Not completed</v>
      </c>
      <c r="CA193" s="17">
        <v>30</v>
      </c>
      <c r="CC193" s="20"/>
      <c r="CE193" s="17">
        <v>17</v>
      </c>
      <c r="CG193" s="17">
        <v>19.66</v>
      </c>
      <c r="CH193" s="20" t="str">
        <f>_xlfn.XLOOKUP(CG193, 'Normative data'!$S$9:$S$15,'Normative data'!$T$9:$T$15, "Not Found", -1)</f>
        <v>Average</v>
      </c>
      <c r="CI193" s="17">
        <v>18.7</v>
      </c>
      <c r="CJ193" s="20" t="str">
        <f>_xlfn.XLOOKUP(CI193, 'Normative data'!$S$9:$S$15, 'Normative data'!$T$9:$T$15, "Not Found", -1)</f>
        <v>Average</v>
      </c>
      <c r="CK193" s="17">
        <v>2.31</v>
      </c>
      <c r="CL193" s="17">
        <v>4.33</v>
      </c>
      <c r="CN193" s="17">
        <v>7.34</v>
      </c>
      <c r="CO193" s="17">
        <v>6.81</v>
      </c>
      <c r="CR193" s="20" t="str" cm="1">
        <f t="array" ref="CR193">IF(OR(ISBLANK(E193),ISBLANK(CQ193)),"Incomplete",_xlfn.XLOOKUP(CQ193,_xlfn.XLOOKUP(E193,'Normative data'!$Y$3:$Y$6,'Normative data'!$Z$3:$AG$6,,-1),'Normative data'!$Z$2:$AG$2,"Not Found",-1))</f>
        <v>Incomplete</v>
      </c>
      <c r="CS193" s="20"/>
      <c r="CT193" s="20"/>
      <c r="CU193" s="20" t="str" cm="1">
        <f t="array" ref="CU193">_xlfn.XLOOKUP(CS193&amp;CT193,(VLOOKUP!$A$3:$A$250)&amp;(VLOOKUP!$B$3:$B$250),VLOOKUP!$C$3:$C$250,"Incomplete",-1)</f>
        <v>Incomplete</v>
      </c>
      <c r="CV193" s="20" t="str" cm="1">
        <f t="array" ref="CV193">_xlfn.XLOOKUP(CU193, _xlfn.XLOOKUP(E193, 'Normative data'!$Y$11:$Y$14, 'Normative data'!$Z$11:$AG$14, ,-1), 'Normative data'!$Z$10:$AG$10, "Not Found", -1)</f>
        <v>Excellent</v>
      </c>
      <c r="CW193" s="20" t="str" cm="1">
        <f t="array" ref="CW193">IF(OR(ISBLANK(CS193),ISBLANK(CT193)),"Incomplete",_xlfn.XLOOKUP(CS193&amp;CT193,VLOOKUP!$A$4:$A$250&amp;VLOOKUP!$B$4:$B$250,VLOOKUP!$D$4:$D$250,"0"))</f>
        <v>Incomplete</v>
      </c>
    </row>
    <row r="194" spans="1:101">
      <c r="A194" s="17" t="s">
        <v>571</v>
      </c>
      <c r="B194" s="17" t="s">
        <v>572</v>
      </c>
      <c r="C194" s="17" t="s">
        <v>86</v>
      </c>
      <c r="D194" s="26"/>
      <c r="F194" s="20" t="s">
        <v>110</v>
      </c>
      <c r="G194" s="17">
        <v>2026</v>
      </c>
      <c r="I194" s="20">
        <v>2</v>
      </c>
      <c r="J194" s="20"/>
      <c r="K194" s="20"/>
      <c r="L194" s="20"/>
      <c r="S194" s="20"/>
      <c r="T194" s="20"/>
      <c r="AY194" s="41" t="str">
        <f t="shared" si="49"/>
        <v>Incomplete</v>
      </c>
      <c r="BA194" s="20" t="str">
        <f t="shared" si="50"/>
        <v>Incomplete</v>
      </c>
      <c r="BC194" s="20" t="str">
        <f t="shared" si="51"/>
        <v>Incomplete</v>
      </c>
      <c r="BE194" s="20" t="str">
        <f t="shared" si="52"/>
        <v>Incomplete</v>
      </c>
      <c r="BH194" s="20"/>
      <c r="BI194" s="20" t="str">
        <f t="shared" si="55"/>
        <v>Incomplete</v>
      </c>
      <c r="BJ194" s="20"/>
      <c r="BL194" s="20"/>
      <c r="BM194" s="20"/>
      <c r="BN194" s="20"/>
      <c r="BQ194" s="17">
        <v>83</v>
      </c>
      <c r="BR194" s="17">
        <v>93</v>
      </c>
      <c r="BS194" s="17">
        <v>71</v>
      </c>
      <c r="BT194" s="17">
        <v>79</v>
      </c>
      <c r="BU194" s="17">
        <v>90</v>
      </c>
      <c r="BV194" s="17">
        <v>80</v>
      </c>
      <c r="BW194" s="91" t="str">
        <f t="shared" si="53"/>
        <v>Incomplete</v>
      </c>
      <c r="BX194" s="91" t="str">
        <f>_xlfn.XLOOKUP(BW194,'Normative data'!$V$3:$V$6,'Normative data'!$W$3:$W$6,"Not Found",-1)</f>
        <v>Very low risk</v>
      </c>
      <c r="BY194" s="91" t="str">
        <f t="shared" si="54"/>
        <v>Incomplete</v>
      </c>
      <c r="BZ194" s="91" t="str">
        <f>_xlfn.XLOOKUP(BY194,'Normative data'!$V$3:$V$6,'Normative data'!$W$3:$W$6,"Not Found",-1)</f>
        <v>Very low risk</v>
      </c>
      <c r="CG194" s="17">
        <v>19.78</v>
      </c>
      <c r="CH194" s="20" t="str">
        <f>_xlfn.XLOOKUP(CG194, 'Normative data'!$S$9:$S$15,'Normative data'!$T$9:$T$15, "Not Found", -1)</f>
        <v>Average</v>
      </c>
      <c r="CI194" s="17">
        <v>19.71</v>
      </c>
      <c r="CJ194" s="20" t="str">
        <f>_xlfn.XLOOKUP(CI194, 'Normative data'!$S$9:$S$15, 'Normative data'!$T$9:$T$15, "Not Found", -1)</f>
        <v>Average</v>
      </c>
      <c r="CK194" s="21"/>
      <c r="CL194" s="21"/>
      <c r="CM194" s="21"/>
      <c r="CN194" s="21"/>
      <c r="CO194" s="21"/>
      <c r="CR194" s="20" t="str" cm="1">
        <f t="array" ref="CR194">IF(OR(ISBLANK(E194),ISBLANK(CQ194)),"Incomplete",_xlfn.XLOOKUP(CQ194,_xlfn.XLOOKUP(E194,'Normative data'!$Y$3:$Y$6,'Normative data'!$Z$3:$AG$6,,-1),'Normative data'!$Z$2:$AG$2,"Not Found",-1))</f>
        <v>Incomplete</v>
      </c>
      <c r="CS194" s="20"/>
      <c r="CT194" s="20"/>
      <c r="CU194" s="20" t="str" cm="1">
        <f t="array" ref="CU194">_xlfn.XLOOKUP(CS194&amp;CT194,(VLOOKUP!$A$3:$A$250)&amp;(VLOOKUP!$B$3:$B$250),VLOOKUP!$C$3:$C$250,"Incomplete",-1)</f>
        <v>Incomplete</v>
      </c>
      <c r="CV194" s="20" t="str" cm="1">
        <f t="array" ref="CV194">_xlfn.XLOOKUP(CU194, _xlfn.XLOOKUP(E194, 'Normative data'!$Y$11:$Y$14, 'Normative data'!$Z$11:$AG$14, ,-1), 'Normative data'!$Z$10:$AG$10, "Not Found", -1)</f>
        <v>Excellent</v>
      </c>
      <c r="CW194" s="20" t="str" cm="1">
        <f t="array" ref="CW194">IF(OR(ISBLANK(CS194),ISBLANK(CT194)),"Incomplete",_xlfn.XLOOKUP(CS194&amp;CT194,VLOOKUP!$A$4:$A$250&amp;VLOOKUP!$B$4:$B$250,VLOOKUP!$D$4:$D$250,"0"))</f>
        <v>Incomplete</v>
      </c>
    </row>
    <row r="195" spans="1:101">
      <c r="A195" s="22" t="s">
        <v>264</v>
      </c>
      <c r="B195" s="22" t="s">
        <v>263</v>
      </c>
      <c r="C195" s="17" t="s">
        <v>86</v>
      </c>
      <c r="D195" s="23"/>
      <c r="F195" s="17">
        <v>8</v>
      </c>
      <c r="G195" s="17">
        <v>2025</v>
      </c>
      <c r="H195" s="20" t="s">
        <v>124</v>
      </c>
      <c r="I195" s="17">
        <v>3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41" t="str">
        <f t="shared" si="49"/>
        <v>Incomplete</v>
      </c>
      <c r="AZ195" s="20"/>
      <c r="BA195" s="20" t="str">
        <f t="shared" si="50"/>
        <v>Incomplete</v>
      </c>
      <c r="BB195" s="20"/>
      <c r="BC195" s="20" t="str">
        <f t="shared" si="51"/>
        <v>Incomplete</v>
      </c>
      <c r="BD195" s="20"/>
      <c r="BE195" s="20" t="str">
        <f t="shared" si="52"/>
        <v>Incomplete</v>
      </c>
      <c r="BF195" s="20"/>
      <c r="BG195" s="20">
        <v>11</v>
      </c>
      <c r="BH195" s="20">
        <v>30.8</v>
      </c>
      <c r="BI195" s="20">
        <f t="shared" si="55"/>
        <v>19.8</v>
      </c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91" t="str">
        <f t="shared" si="53"/>
        <v>Incomplete</v>
      </c>
      <c r="BX195" s="91" t="str">
        <f>_xlfn.XLOOKUP(BW195,'Normative data'!$V$3:$V$6,'Normative data'!$W$3:$W$6,"Not Found",-1)</f>
        <v>Very low risk</v>
      </c>
      <c r="BY195" s="91" t="str">
        <f t="shared" si="54"/>
        <v>Incomplete</v>
      </c>
      <c r="BZ195" s="91" t="str">
        <f>_xlfn.XLOOKUP(BY195,'Normative data'!$V$3:$V$6,'Normative data'!$W$3:$W$6,"Not Found",-1)</f>
        <v>Very low risk</v>
      </c>
      <c r="CA195" s="20"/>
      <c r="CC195" s="20"/>
      <c r="CE195" s="20"/>
      <c r="CG195" s="20"/>
      <c r="CH195" s="20" t="str">
        <f>_xlfn.XLOOKUP(CG195, 'Normative data'!$S$9:$S$15,'Normative data'!$T$9:$T$15, "Not Found", -1)</f>
        <v>not completed</v>
      </c>
      <c r="CI195" s="20"/>
      <c r="CJ195" s="20" t="str">
        <f>_xlfn.XLOOKUP(CI195, 'Normative data'!$S$9:$S$15, 'Normative data'!$T$9:$T$15, "Not Found", -1)</f>
        <v>not completed</v>
      </c>
      <c r="CK195" s="21"/>
      <c r="CL195" s="21"/>
      <c r="CM195" s="21"/>
      <c r="CN195" s="21"/>
      <c r="CO195" s="21"/>
      <c r="CP195" s="24"/>
      <c r="CQ195" s="20"/>
      <c r="CR195" s="20" t="str" cm="1">
        <f t="array" ref="CR195">IF(OR(ISBLANK(E195),ISBLANK(CQ195)),"Incomplete",_xlfn.XLOOKUP(CQ195,_xlfn.XLOOKUP(E195,'Normative data'!$Y$3:$Y$6,'Normative data'!$Z$3:$AG$6,,-1),'Normative data'!$Z$2:$AG$2,"Not Found",-1))</f>
        <v>Incomplete</v>
      </c>
      <c r="CS195" s="20"/>
      <c r="CT195" s="20"/>
      <c r="CU195" s="20" t="str" cm="1">
        <f t="array" ref="CU195">_xlfn.XLOOKUP(CS195&amp;CT195,(VLOOKUP!$A$3:$A$250)&amp;(VLOOKUP!$B$3:$B$250),VLOOKUP!$C$3:$C$250,"Incomplete",-1)</f>
        <v>Incomplete</v>
      </c>
      <c r="CV195" s="20" t="str" cm="1">
        <f t="array" ref="CV195">_xlfn.XLOOKUP(CU195, _xlfn.XLOOKUP(E195, 'Normative data'!$Y$11:$Y$14, 'Normative data'!$Z$11:$AG$14, ,-1), 'Normative data'!$Z$10:$AG$10, "Not Found", -1)</f>
        <v>Excellent</v>
      </c>
      <c r="CW195" s="20" t="str" cm="1">
        <f t="array" ref="CW195">IF(OR(ISBLANK(CS195),ISBLANK(CT195)),"Incomplete",_xlfn.XLOOKUP(CS195&amp;CT195,VLOOKUP!$A$4:$A$250&amp;VLOOKUP!$B$4:$B$250,VLOOKUP!$D$4:$D$250,"0"))</f>
        <v>Incomplete</v>
      </c>
    </row>
    <row r="196" spans="1:101">
      <c r="A196" s="18" t="s">
        <v>573</v>
      </c>
      <c r="B196" s="18" t="s">
        <v>574</v>
      </c>
      <c r="C196" s="17" t="s">
        <v>86</v>
      </c>
      <c r="D196" s="19">
        <v>40180</v>
      </c>
      <c r="F196" s="17">
        <v>9</v>
      </c>
      <c r="G196" s="17">
        <v>2025</v>
      </c>
      <c r="H196" s="20" t="s">
        <v>124</v>
      </c>
      <c r="I196" s="17">
        <v>3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41" t="str">
        <f t="shared" si="49"/>
        <v>Incomplete</v>
      </c>
      <c r="AZ196" s="20"/>
      <c r="BA196" s="20" t="str">
        <f t="shared" si="50"/>
        <v>Incomplete</v>
      </c>
      <c r="BB196" s="20"/>
      <c r="BC196" s="20" t="str">
        <f t="shared" si="51"/>
        <v>Incomplete</v>
      </c>
      <c r="BD196" s="20"/>
      <c r="BE196" s="20" t="str">
        <f t="shared" si="52"/>
        <v>Incomplete</v>
      </c>
      <c r="BF196" s="20"/>
      <c r="BG196" s="20">
        <v>14.5</v>
      </c>
      <c r="BH196" s="20">
        <v>40</v>
      </c>
      <c r="BI196" s="20">
        <f t="shared" si="55"/>
        <v>25.5</v>
      </c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91" t="str">
        <f t="shared" si="53"/>
        <v>Incomplete</v>
      </c>
      <c r="BX196" s="91" t="str">
        <f>_xlfn.XLOOKUP(BW196,'Normative data'!$V$3:$V$6,'Normative data'!$W$3:$W$6,"Not Found",-1)</f>
        <v>Very low risk</v>
      </c>
      <c r="BY196" s="91" t="str">
        <f t="shared" si="54"/>
        <v>Incomplete</v>
      </c>
      <c r="BZ196" s="91" t="str">
        <f>_xlfn.XLOOKUP(BY196,'Normative data'!$V$3:$V$6,'Normative data'!$W$3:$W$6,"Not Found",-1)</f>
        <v>Very low risk</v>
      </c>
      <c r="CA196" s="20"/>
      <c r="CC196" s="20"/>
      <c r="CE196" s="20">
        <v>1</v>
      </c>
      <c r="CG196" s="20"/>
      <c r="CH196" s="20" t="str">
        <f>_xlfn.XLOOKUP(CG196, 'Normative data'!$S$9:$S$15,'Normative data'!$T$9:$T$15, "Not Found", -1)</f>
        <v>not completed</v>
      </c>
      <c r="CI196" s="20"/>
      <c r="CJ196" s="20" t="str">
        <f>_xlfn.XLOOKUP(CI196, 'Normative data'!$S$9:$S$15, 'Normative data'!$T$9:$T$15, "Not Found", -1)</f>
        <v>not completed</v>
      </c>
      <c r="CK196" s="21">
        <v>2.3199999999999998</v>
      </c>
      <c r="CL196" s="21">
        <v>4.3099999999999996</v>
      </c>
      <c r="CM196" s="21"/>
      <c r="CN196" s="21">
        <v>7.37</v>
      </c>
      <c r="CO196" s="21">
        <v>6.78</v>
      </c>
      <c r="CP196" s="21"/>
      <c r="CQ196" s="20"/>
      <c r="CR196" s="20" t="str" cm="1">
        <f t="array" ref="CR196">IF(OR(ISBLANK(E196),ISBLANK(CQ196)),"Incomplete",_xlfn.XLOOKUP(CQ196,_xlfn.XLOOKUP(E196,'Normative data'!$Y$3:$Y$6,'Normative data'!$Z$3:$AG$6,,-1),'Normative data'!$Z$2:$AG$2,"Not Found",-1))</f>
        <v>Incomplete</v>
      </c>
      <c r="CS196" s="20"/>
      <c r="CT196" s="20"/>
      <c r="CU196" s="20" t="str" cm="1">
        <f t="array" ref="CU196">_xlfn.XLOOKUP(CS196&amp;CT196,(VLOOKUP!$A$3:$A$250)&amp;(VLOOKUP!$B$3:$B$250),VLOOKUP!$C$3:$C$250,"Incomplete",-1)</f>
        <v>Incomplete</v>
      </c>
      <c r="CV196" s="20" t="str" cm="1">
        <f t="array" ref="CV196">_xlfn.XLOOKUP(CU196, _xlfn.XLOOKUP(E196, 'Normative data'!$Y$11:$Y$14, 'Normative data'!$Z$11:$AG$14, ,-1), 'Normative data'!$Z$10:$AG$10, "Not Found", -1)</f>
        <v>Excellent</v>
      </c>
      <c r="CW196" s="20" t="str" cm="1">
        <f t="array" ref="CW196">IF(OR(ISBLANK(CS196),ISBLANK(CT196)),"Incomplete",_xlfn.XLOOKUP(CS196&amp;CT196,VLOOKUP!$A$4:$A$250&amp;VLOOKUP!$B$4:$B$250,VLOOKUP!$D$4:$D$250,"0"))</f>
        <v>Incomplete</v>
      </c>
    </row>
    <row r="197" spans="1:101">
      <c r="A197" s="17" t="s">
        <v>575</v>
      </c>
      <c r="B197" s="17" t="s">
        <v>576</v>
      </c>
      <c r="C197" s="17" t="s">
        <v>86</v>
      </c>
      <c r="D197" s="26"/>
      <c r="F197" s="20" t="s">
        <v>235</v>
      </c>
      <c r="G197" s="17">
        <v>2026</v>
      </c>
      <c r="I197" s="20">
        <v>2</v>
      </c>
      <c r="J197" s="20" t="s">
        <v>88</v>
      </c>
      <c r="K197" s="20" t="s">
        <v>196</v>
      </c>
      <c r="L197" s="20"/>
      <c r="S197" s="20">
        <v>78</v>
      </c>
      <c r="T197" s="20">
        <v>165</v>
      </c>
      <c r="AY197" s="41" t="str">
        <f t="shared" si="49"/>
        <v>Incomplete</v>
      </c>
      <c r="BA197" s="20" t="str">
        <f t="shared" si="50"/>
        <v>Incomplete</v>
      </c>
      <c r="BC197" s="20" t="str">
        <f t="shared" si="51"/>
        <v>Incomplete</v>
      </c>
      <c r="BE197" s="20" t="str">
        <f t="shared" si="52"/>
        <v>Incomplete</v>
      </c>
      <c r="BH197" s="17">
        <v>24.2</v>
      </c>
      <c r="BI197" s="20" t="str">
        <f t="shared" si="55"/>
        <v>Incomplete</v>
      </c>
      <c r="BJ197" s="20"/>
      <c r="BK197" s="17">
        <v>7.5</v>
      </c>
      <c r="BL197" s="20"/>
      <c r="BM197" s="17">
        <v>5</v>
      </c>
      <c r="BN197" s="20"/>
      <c r="BW197" s="91">
        <f t="shared" si="53"/>
        <v>0</v>
      </c>
      <c r="BX197" s="91" t="str">
        <f>_xlfn.XLOOKUP(BW197,'Normative data'!$V$3:$V$6,'Normative data'!$W$3:$W$6,"Not Found",-1)</f>
        <v>Not completed</v>
      </c>
      <c r="BY197" s="91">
        <f t="shared" si="54"/>
        <v>0</v>
      </c>
      <c r="BZ197" s="91" t="str">
        <f>_xlfn.XLOOKUP(BY197,'Normative data'!$V$3:$V$6,'Normative data'!$W$3:$W$6,"Not Found",-1)</f>
        <v>Not completed</v>
      </c>
      <c r="CH197" s="20" t="str">
        <f>_xlfn.XLOOKUP(CG197, 'Normative data'!$S$9:$S$15,'Normative data'!$T$9:$T$15, "Not Found", -1)</f>
        <v>not completed</v>
      </c>
      <c r="CI197" s="17">
        <v>20.02</v>
      </c>
      <c r="CJ197" s="20" t="str">
        <f>_xlfn.XLOOKUP(CI197, 'Normative data'!$S$9:$S$15, 'Normative data'!$T$9:$T$15, "Not Found", -1)</f>
        <v>Average</v>
      </c>
      <c r="CK197" s="21"/>
      <c r="CL197" s="21"/>
      <c r="CM197" s="21"/>
      <c r="CN197" s="21"/>
      <c r="CO197" s="21"/>
      <c r="CR197" s="20" t="str" cm="1">
        <f t="array" ref="CR197">IF(OR(ISBLANK(E197),ISBLANK(CQ197)),"Incomplete",_xlfn.XLOOKUP(CQ197,_xlfn.XLOOKUP(E197,'Normative data'!$Y$3:$Y$6,'Normative data'!$Z$3:$AG$6,,-1),'Normative data'!$Z$2:$AG$2,"Not Found",-1))</f>
        <v>Incomplete</v>
      </c>
      <c r="CS197" s="20"/>
      <c r="CT197" s="20"/>
      <c r="CU197" s="20" t="str" cm="1">
        <f t="array" ref="CU197">_xlfn.XLOOKUP(CS197&amp;CT197,(VLOOKUP!$A$3:$A$250)&amp;(VLOOKUP!$B$3:$B$250),VLOOKUP!$C$3:$C$250,"Incomplete",-1)</f>
        <v>Incomplete</v>
      </c>
      <c r="CV197" s="20" t="str" cm="1">
        <f t="array" ref="CV197">_xlfn.XLOOKUP(CU197, _xlfn.XLOOKUP(E197, 'Normative data'!$Y$11:$Y$14, 'Normative data'!$Z$11:$AG$14, ,-1), 'Normative data'!$Z$10:$AG$10, "Not Found", -1)</f>
        <v>Excellent</v>
      </c>
      <c r="CW197" s="20" t="str" cm="1">
        <f t="array" ref="CW197">IF(OR(ISBLANK(CS197),ISBLANK(CT197)),"Incomplete",_xlfn.XLOOKUP(CS197&amp;CT197,VLOOKUP!$A$4:$A$250&amp;VLOOKUP!$B$4:$B$250,VLOOKUP!$D$4:$D$250,"0"))</f>
        <v>Incomplete</v>
      </c>
    </row>
    <row r="198" spans="1:101">
      <c r="A198" s="17" t="s">
        <v>577</v>
      </c>
      <c r="B198" s="17" t="s">
        <v>578</v>
      </c>
      <c r="C198" s="17" t="s">
        <v>86</v>
      </c>
      <c r="D198" s="26">
        <v>40919</v>
      </c>
      <c r="E198" s="17">
        <v>13.4</v>
      </c>
      <c r="F198" s="20" t="s">
        <v>97</v>
      </c>
      <c r="G198" s="17">
        <v>2026</v>
      </c>
      <c r="I198" s="20">
        <v>2</v>
      </c>
      <c r="J198" s="20" t="s">
        <v>100</v>
      </c>
      <c r="K198" s="20" t="s">
        <v>170</v>
      </c>
      <c r="L198" s="20"/>
      <c r="S198" s="20">
        <v>78.599999999999994</v>
      </c>
      <c r="T198" s="20">
        <v>153.5</v>
      </c>
      <c r="U198" s="17">
        <v>52.1</v>
      </c>
      <c r="V198" s="17">
        <v>28.4</v>
      </c>
      <c r="W198" s="17">
        <v>13.3</v>
      </c>
      <c r="X198" s="17">
        <v>38.799999999999997</v>
      </c>
      <c r="Y198" s="17">
        <v>21.1</v>
      </c>
      <c r="Z198" s="17">
        <v>22</v>
      </c>
      <c r="AA198" s="17">
        <v>25.5</v>
      </c>
      <c r="AB198" s="17">
        <v>5.51</v>
      </c>
      <c r="AC198" s="17">
        <v>99.8</v>
      </c>
      <c r="AD198" s="17">
        <v>5.52</v>
      </c>
      <c r="AE198" s="17">
        <v>100</v>
      </c>
      <c r="AF198" s="17">
        <v>2.1</v>
      </c>
      <c r="AG198" s="17">
        <v>121.9</v>
      </c>
      <c r="AH198" s="17">
        <v>2.1</v>
      </c>
      <c r="AI198" s="17">
        <v>122.2</v>
      </c>
      <c r="AJ198" s="17">
        <v>295.3</v>
      </c>
      <c r="AK198" s="17">
        <v>293.7</v>
      </c>
      <c r="AL198" s="17">
        <v>261.8</v>
      </c>
      <c r="AM198" s="17">
        <v>258.89999999999998</v>
      </c>
      <c r="AN198" s="17">
        <v>92</v>
      </c>
      <c r="AO198" s="17">
        <v>0.83</v>
      </c>
      <c r="AP198" s="17">
        <v>6.2</v>
      </c>
      <c r="AQ198" s="17">
        <v>20.3</v>
      </c>
      <c r="AR198" s="17">
        <v>0.41</v>
      </c>
      <c r="AS198" s="17">
        <v>22.9</v>
      </c>
      <c r="AT198" s="17">
        <v>0.432</v>
      </c>
      <c r="AU198" s="17">
        <v>15.2</v>
      </c>
      <c r="AV198" s="17">
        <v>0.35199999999999998</v>
      </c>
      <c r="AW198" s="17">
        <v>10.8</v>
      </c>
      <c r="AX198" s="17">
        <v>0.29699999999999999</v>
      </c>
      <c r="AY198" s="41">
        <f t="shared" si="49"/>
        <v>1537.3400000000001</v>
      </c>
      <c r="BA198" s="20">
        <f t="shared" si="50"/>
        <v>1695.1599999999999</v>
      </c>
      <c r="BC198" s="20">
        <f t="shared" si="51"/>
        <v>1227.77</v>
      </c>
      <c r="BE198" s="20">
        <f t="shared" si="52"/>
        <v>960.69</v>
      </c>
      <c r="BG198" s="17">
        <v>15.5</v>
      </c>
      <c r="BH198" s="17">
        <v>52.5</v>
      </c>
      <c r="BI198" s="20">
        <f t="shared" si="55"/>
        <v>37</v>
      </c>
      <c r="BJ198" s="20"/>
      <c r="BK198" s="17">
        <v>7</v>
      </c>
      <c r="BL198" s="20"/>
      <c r="BM198" s="17">
        <v>7</v>
      </c>
      <c r="BN198" s="20"/>
      <c r="BO198" s="17">
        <v>42.6</v>
      </c>
      <c r="BP198" s="17">
        <v>45.5</v>
      </c>
      <c r="BQ198" s="17">
        <v>68</v>
      </c>
      <c r="BR198" s="17">
        <v>74</v>
      </c>
      <c r="BS198" s="17">
        <v>75</v>
      </c>
      <c r="BT198" s="17">
        <v>67</v>
      </c>
      <c r="BU198" s="17">
        <v>75</v>
      </c>
      <c r="BV198" s="17">
        <v>63</v>
      </c>
      <c r="BW198" s="91">
        <f t="shared" si="53"/>
        <v>96.573208722741427</v>
      </c>
      <c r="BX198" s="91" t="str">
        <f>_xlfn.XLOOKUP(BW198,'Normative data'!$V$3:$V$6,'Normative data'!$W$3:$W$6,"Not Found",-1)</f>
        <v>Low risk</v>
      </c>
      <c r="BY198" s="91">
        <f t="shared" si="54"/>
        <v>91.23275478415664</v>
      </c>
      <c r="BZ198" s="91" t="str">
        <f>_xlfn.XLOOKUP(BY198,'Normative data'!$V$3:$V$6,'Normative data'!$W$3:$W$6,"Not Found",-1)</f>
        <v>High risk</v>
      </c>
      <c r="CA198" s="17">
        <v>36</v>
      </c>
      <c r="CC198" s="20"/>
      <c r="CE198" s="17">
        <v>39</v>
      </c>
      <c r="CG198" s="17">
        <v>17.63</v>
      </c>
      <c r="CH198" s="20" t="str">
        <f>_xlfn.XLOOKUP(CG198, 'Normative data'!$S$9:$S$15,'Normative data'!$T$9:$T$15, "Not Found", -1)</f>
        <v>Above Average</v>
      </c>
      <c r="CI198" s="17">
        <v>17.84</v>
      </c>
      <c r="CJ198" s="20" t="str">
        <f>_xlfn.XLOOKUP(CI198, 'Normative data'!$S$9:$S$15, 'Normative data'!$T$9:$T$15, "Not Found", -1)</f>
        <v>Above Average</v>
      </c>
      <c r="CK198" s="21"/>
      <c r="CL198" s="21"/>
      <c r="CM198" s="21"/>
      <c r="CN198" s="21"/>
      <c r="CO198" s="21"/>
      <c r="CQ198" s="17">
        <v>6.4</v>
      </c>
      <c r="CR198" s="20" t="str" cm="1">
        <f t="array" ref="CR198">IF(OR(ISBLANK(E198),ISBLANK(CQ198)),"Incomplete",_xlfn.XLOOKUP(CQ198,_xlfn.XLOOKUP(E198,'Normative data'!$Y$3:$Y$6,'Normative data'!$Z$3:$AG$6,,-1),'Normative data'!$Z$2:$AG$2,"Not Found",-1))</f>
        <v>Good</v>
      </c>
      <c r="CS198" s="20">
        <v>6</v>
      </c>
      <c r="CT198" s="20">
        <v>4</v>
      </c>
      <c r="CU198" s="20" cm="1">
        <f t="array" ref="CU198">_xlfn.XLOOKUP(CS198&amp;CT198,(VLOOKUP!$A$3:$A$250)&amp;(VLOOKUP!$B$3:$B$250),VLOOKUP!$C$3:$C$250,"Incomplete",-1)</f>
        <v>900</v>
      </c>
      <c r="CV198" s="20" t="str" cm="1">
        <f t="array" ref="CV198">_xlfn.XLOOKUP(CU198, _xlfn.XLOOKUP(E198, 'Normative data'!$Y$11:$Y$14, 'Normative data'!$Z$11:$AG$14, ,-1), 'Normative data'!$Z$10:$AG$10, "Not Found", -1)</f>
        <v xml:space="preserve">Good </v>
      </c>
      <c r="CW198" s="20" cm="1">
        <f t="array" ref="CW198">IF(OR(ISBLANK(CS198),ISBLANK(CT198)),"Incomplete",_xlfn.XLOOKUP(CS198&amp;CT198,VLOOKUP!$A$4:$A$250&amp;VLOOKUP!$B$4:$B$250,VLOOKUP!$D$4:$D$250,"0"))</f>
        <v>34</v>
      </c>
    </row>
    <row r="199" spans="1:101">
      <c r="A199" s="17" t="s">
        <v>98</v>
      </c>
      <c r="B199" s="17" t="s">
        <v>578</v>
      </c>
      <c r="C199" s="17" t="s">
        <v>86</v>
      </c>
      <c r="D199" s="26"/>
      <c r="F199" s="20">
        <v>12</v>
      </c>
      <c r="G199" s="17">
        <v>2026</v>
      </c>
      <c r="I199" s="20">
        <v>2</v>
      </c>
      <c r="J199" s="20" t="s">
        <v>100</v>
      </c>
      <c r="K199" s="20" t="s">
        <v>95</v>
      </c>
      <c r="L199" s="20"/>
      <c r="S199" s="20"/>
      <c r="T199" s="20"/>
      <c r="AQ199" s="20"/>
      <c r="AR199" s="20"/>
      <c r="AS199" s="20"/>
      <c r="AT199" s="20"/>
      <c r="AU199" s="20"/>
      <c r="AV199" s="20"/>
      <c r="AW199" s="20"/>
      <c r="AX199" s="20"/>
      <c r="AY199" s="41" t="str">
        <f t="shared" si="49"/>
        <v>Incomplete</v>
      </c>
      <c r="BA199" s="20" t="str">
        <f t="shared" si="50"/>
        <v>Incomplete</v>
      </c>
      <c r="BC199" s="20" t="str">
        <f t="shared" si="51"/>
        <v>Incomplete</v>
      </c>
      <c r="BE199" s="20" t="str">
        <f t="shared" si="52"/>
        <v>Incomplete</v>
      </c>
      <c r="BH199" s="20"/>
      <c r="BI199" s="20" t="str">
        <f t="shared" si="55"/>
        <v>Incomplete</v>
      </c>
      <c r="BJ199" s="20"/>
      <c r="BL199" s="20"/>
      <c r="BM199" s="20"/>
      <c r="BN199" s="20"/>
      <c r="BW199" s="91" t="str">
        <f t="shared" si="53"/>
        <v>Incomplete</v>
      </c>
      <c r="BX199" s="91" t="str">
        <f>_xlfn.XLOOKUP(BW199,'Normative data'!$V$3:$V$6,'Normative data'!$W$3:$W$6,"Not Found",-1)</f>
        <v>Very low risk</v>
      </c>
      <c r="BY199" s="91" t="str">
        <f t="shared" si="54"/>
        <v>Incomplete</v>
      </c>
      <c r="BZ199" s="91" t="str">
        <f>_xlfn.XLOOKUP(BY199,'Normative data'!$V$3:$V$6,'Normative data'!$W$3:$W$6,"Not Found",-1)</f>
        <v>Very low risk</v>
      </c>
      <c r="CG199" s="20"/>
      <c r="CH199" s="20" t="str">
        <f>_xlfn.XLOOKUP(CG199, 'Normative data'!$S$9:$S$15,'Normative data'!$T$9:$T$15, "Not Found", -1)</f>
        <v>not completed</v>
      </c>
      <c r="CI199" s="20"/>
      <c r="CJ199" s="20" t="str">
        <f>_xlfn.XLOOKUP(CI199, 'Normative data'!$S$9:$S$15, 'Normative data'!$T$9:$T$15, "Not Found", -1)</f>
        <v>not completed</v>
      </c>
      <c r="CK199" s="21"/>
      <c r="CL199" s="21"/>
      <c r="CM199" s="21"/>
      <c r="CN199" s="21"/>
      <c r="CO199" s="21"/>
      <c r="CR199" s="20" t="str" cm="1">
        <f t="array" ref="CR199">IF(OR(ISBLANK(E199),ISBLANK(CQ199)),"Incomplete",_xlfn.XLOOKUP(CQ199,_xlfn.XLOOKUP(E199,'Normative data'!$Y$3:$Y$6,'Normative data'!$Z$3:$AG$6,,-1),'Normative data'!$Z$2:$AG$2,"Not Found",-1))</f>
        <v>Incomplete</v>
      </c>
      <c r="CS199" s="20"/>
      <c r="CT199" s="20"/>
      <c r="CU199" s="20" t="str" cm="1">
        <f t="array" ref="CU199">_xlfn.XLOOKUP(CS199&amp;CT199,(VLOOKUP!$A$3:$A$250)&amp;(VLOOKUP!$B$3:$B$250),VLOOKUP!$C$3:$C$250,"Incomplete",-1)</f>
        <v>Incomplete</v>
      </c>
      <c r="CV199" s="20" t="str" cm="1">
        <f t="array" ref="CV199">_xlfn.XLOOKUP(CU199, _xlfn.XLOOKUP(E199, 'Normative data'!$Y$11:$Y$14, 'Normative data'!$Z$11:$AG$14, ,-1), 'Normative data'!$Z$10:$AG$10, "Not Found", -1)</f>
        <v>Excellent</v>
      </c>
      <c r="CW199" s="20" t="str" cm="1">
        <f t="array" ref="CW199">IF(OR(ISBLANK(CS199),ISBLANK(CT199)),"Incomplete",_xlfn.XLOOKUP(CS199&amp;CT199,VLOOKUP!$A$4:$A$250&amp;VLOOKUP!$B$4:$B$250,VLOOKUP!$D$4:$D$250,"0"))</f>
        <v>Incomplete</v>
      </c>
    </row>
    <row r="200" spans="1:101">
      <c r="A200" s="17" t="s">
        <v>579</v>
      </c>
      <c r="B200" s="17" t="s">
        <v>578</v>
      </c>
      <c r="C200" s="17" t="s">
        <v>86</v>
      </c>
      <c r="D200" s="20"/>
      <c r="F200" s="20" t="s">
        <v>251</v>
      </c>
      <c r="G200" s="17">
        <v>2026</v>
      </c>
      <c r="I200" s="20">
        <v>2</v>
      </c>
      <c r="J200" s="20"/>
      <c r="K200" s="20"/>
      <c r="L200" s="20"/>
      <c r="S200" s="20">
        <v>89.5</v>
      </c>
      <c r="T200" s="20">
        <v>169.9</v>
      </c>
      <c r="AQ200" s="20"/>
      <c r="AR200" s="20"/>
      <c r="AS200" s="20"/>
      <c r="AT200" s="20"/>
      <c r="AU200" s="20"/>
      <c r="AV200" s="20"/>
      <c r="AW200" s="20"/>
      <c r="AX200" s="20"/>
      <c r="AY200" s="41" t="str">
        <f t="shared" si="49"/>
        <v>Incomplete</v>
      </c>
      <c r="BA200" s="20" t="str">
        <f t="shared" si="50"/>
        <v>Incomplete</v>
      </c>
      <c r="BC200" s="20" t="str">
        <f t="shared" si="51"/>
        <v>Incomplete</v>
      </c>
      <c r="BE200" s="20" t="str">
        <f t="shared" si="52"/>
        <v>Incomplete</v>
      </c>
      <c r="BH200" s="17">
        <v>40.799999999999997</v>
      </c>
      <c r="BI200" s="20" t="str">
        <f t="shared" si="55"/>
        <v>Incomplete</v>
      </c>
      <c r="BJ200" s="20"/>
      <c r="BK200" s="17">
        <v>16</v>
      </c>
      <c r="BL200" s="20"/>
      <c r="BM200" s="17">
        <v>16</v>
      </c>
      <c r="BN200" s="20"/>
      <c r="BW200" s="91">
        <f t="shared" si="53"/>
        <v>0</v>
      </c>
      <c r="BX200" s="91" t="str">
        <f>_xlfn.XLOOKUP(BW200,'Normative data'!$V$3:$V$6,'Normative data'!$W$3:$W$6,"Not Found",-1)</f>
        <v>Not completed</v>
      </c>
      <c r="BY200" s="91">
        <f t="shared" si="54"/>
        <v>0</v>
      </c>
      <c r="BZ200" s="91" t="str">
        <f>_xlfn.XLOOKUP(BY200,'Normative data'!$V$3:$V$6,'Normative data'!$W$3:$W$6,"Not Found",-1)</f>
        <v>Not completed</v>
      </c>
      <c r="CG200" s="20"/>
      <c r="CH200" s="20" t="str">
        <f>_xlfn.XLOOKUP(CG200, 'Normative data'!$S$9:$S$15,'Normative data'!$T$9:$T$15, "Not Found", -1)</f>
        <v>not completed</v>
      </c>
      <c r="CI200" s="20"/>
      <c r="CJ200" s="20" t="str">
        <f>_xlfn.XLOOKUP(CI200, 'Normative data'!$S$9:$S$15, 'Normative data'!$T$9:$T$15, "Not Found", -1)</f>
        <v>not completed</v>
      </c>
      <c r="CK200" s="21"/>
      <c r="CL200" s="21"/>
      <c r="CM200" s="21"/>
      <c r="CN200" s="21"/>
      <c r="CO200" s="21"/>
      <c r="CR200" s="20" t="str" cm="1">
        <f t="array" ref="CR200">IF(OR(ISBLANK(E200),ISBLANK(CQ200)),"Incomplete",_xlfn.XLOOKUP(CQ200,_xlfn.XLOOKUP(E200,'Normative data'!$Y$3:$Y$6,'Normative data'!$Z$3:$AG$6,,-1),'Normative data'!$Z$2:$AG$2,"Not Found",-1))</f>
        <v>Incomplete</v>
      </c>
      <c r="CS200" s="20"/>
      <c r="CT200" s="20"/>
      <c r="CU200" s="20" t="str" cm="1">
        <f t="array" ref="CU200">_xlfn.XLOOKUP(CS200&amp;CT200,(VLOOKUP!$A$3:$A$250)&amp;(VLOOKUP!$B$3:$B$250),VLOOKUP!$C$3:$C$250,"Incomplete",-1)</f>
        <v>Incomplete</v>
      </c>
      <c r="CV200" s="20" t="str" cm="1">
        <f t="array" ref="CV200">_xlfn.XLOOKUP(CU200, _xlfn.XLOOKUP(E200, 'Normative data'!$Y$11:$Y$14, 'Normative data'!$Z$11:$AG$14, ,-1), 'Normative data'!$Z$10:$AG$10, "Not Found", -1)</f>
        <v>Excellent</v>
      </c>
      <c r="CW200" s="20" t="str" cm="1">
        <f t="array" ref="CW200">IF(OR(ISBLANK(CS200),ISBLANK(CT200)),"Incomplete",_xlfn.XLOOKUP(CS200&amp;CT200,VLOOKUP!$A$4:$A$250&amp;VLOOKUP!$B$4:$B$250,VLOOKUP!$D$4:$D$250,"0"))</f>
        <v>Incomplete</v>
      </c>
    </row>
    <row r="201" spans="1:101">
      <c r="A201" s="17" t="s">
        <v>580</v>
      </c>
      <c r="B201" s="17" t="s">
        <v>578</v>
      </c>
      <c r="C201" s="17" t="s">
        <v>86</v>
      </c>
      <c r="D201" s="26">
        <v>40855</v>
      </c>
      <c r="F201" s="20" t="s">
        <v>87</v>
      </c>
      <c r="G201" s="17">
        <v>2026</v>
      </c>
      <c r="I201" s="20">
        <v>2</v>
      </c>
      <c r="J201" s="20" t="s">
        <v>88</v>
      </c>
      <c r="K201" s="20" t="s">
        <v>89</v>
      </c>
      <c r="L201" s="20"/>
      <c r="S201" s="20">
        <v>88.3</v>
      </c>
      <c r="T201" s="20">
        <v>165.9</v>
      </c>
      <c r="U201" s="17">
        <v>64.900000000000006</v>
      </c>
      <c r="V201" s="17">
        <v>32</v>
      </c>
      <c r="W201" s="17">
        <v>21.1</v>
      </c>
      <c r="X201" s="17">
        <v>43.8</v>
      </c>
      <c r="Y201" s="17">
        <v>23.8</v>
      </c>
      <c r="AA201" s="17">
        <v>32.6</v>
      </c>
      <c r="AB201" s="17">
        <v>6.73</v>
      </c>
      <c r="AC201" s="17">
        <v>95.7</v>
      </c>
      <c r="AD201" s="17">
        <v>6.74</v>
      </c>
      <c r="AE201" s="17">
        <v>95.7</v>
      </c>
      <c r="AF201" s="17">
        <v>3.2</v>
      </c>
      <c r="AG201" s="17">
        <v>128.4</v>
      </c>
      <c r="AH201" s="17">
        <v>3.2</v>
      </c>
      <c r="AI201" s="17">
        <v>127.6</v>
      </c>
      <c r="AJ201" s="17">
        <v>285.7</v>
      </c>
      <c r="AK201" s="17">
        <v>283.3</v>
      </c>
      <c r="AL201" s="17">
        <v>258</v>
      </c>
      <c r="AM201" s="17">
        <v>257.7</v>
      </c>
      <c r="AN201" s="17">
        <v>90</v>
      </c>
      <c r="AQ201" s="17">
        <v>16.2</v>
      </c>
      <c r="AR201" s="17">
        <v>0.36399999999999999</v>
      </c>
      <c r="AS201" s="17">
        <v>18</v>
      </c>
      <c r="AT201" s="17">
        <v>0.38300000000000001</v>
      </c>
      <c r="AU201" s="17">
        <v>8.6999999999999993</v>
      </c>
      <c r="AV201" s="17">
        <v>0.26700000000000002</v>
      </c>
      <c r="AW201" s="17">
        <v>8.6999999999999993</v>
      </c>
      <c r="AX201" s="17">
        <v>0.26600000000000001</v>
      </c>
      <c r="AY201" s="41">
        <f t="shared" si="49"/>
        <v>1868.3100000000004</v>
      </c>
      <c r="BA201" s="20">
        <f t="shared" si="50"/>
        <v>1977.5700000000006</v>
      </c>
      <c r="BC201" s="20">
        <f t="shared" si="51"/>
        <v>1413.0600000000004</v>
      </c>
      <c r="BE201" s="20">
        <f t="shared" si="52"/>
        <v>1413.0600000000004</v>
      </c>
      <c r="BG201" s="17">
        <v>9</v>
      </c>
      <c r="BH201" s="17">
        <v>25</v>
      </c>
      <c r="BI201" s="20">
        <f t="shared" si="55"/>
        <v>16</v>
      </c>
      <c r="BJ201" s="20"/>
      <c r="BK201" s="17">
        <v>6</v>
      </c>
      <c r="BL201" s="20"/>
      <c r="BM201" s="17">
        <v>7</v>
      </c>
      <c r="BN201" s="20"/>
      <c r="BO201" s="17">
        <v>52</v>
      </c>
      <c r="BP201" s="17">
        <v>52</v>
      </c>
      <c r="BQ201" s="17">
        <v>75</v>
      </c>
      <c r="BR201" s="17">
        <v>65</v>
      </c>
      <c r="BS201" s="17">
        <v>78</v>
      </c>
      <c r="BT201" s="17">
        <v>77</v>
      </c>
      <c r="BU201" s="17">
        <v>61</v>
      </c>
      <c r="BV201" s="17">
        <v>51</v>
      </c>
      <c r="BW201" s="91">
        <f t="shared" si="53"/>
        <v>93.642611683848799</v>
      </c>
      <c r="BX201" s="91" t="str">
        <f>_xlfn.XLOOKUP(BW201,'Normative data'!$V$3:$V$6,'Normative data'!$W$3:$W$6,"Not Found",-1)</f>
        <v>High risk</v>
      </c>
      <c r="BY201" s="91">
        <f t="shared" si="54"/>
        <v>81.185567010309285</v>
      </c>
      <c r="BZ201" s="91" t="str">
        <f>_xlfn.XLOOKUP(BY201,'Normative data'!$V$3:$V$6,'Normative data'!$W$3:$W$6,"Not Found",-1)</f>
        <v>High risk</v>
      </c>
      <c r="CA201" s="17">
        <v>24</v>
      </c>
      <c r="CC201" s="20"/>
      <c r="CE201" s="17">
        <v>5</v>
      </c>
      <c r="CG201" s="17">
        <v>19.440000000000001</v>
      </c>
      <c r="CH201" s="20" t="str">
        <f>_xlfn.XLOOKUP(CG201, 'Normative data'!$S$9:$S$15,'Normative data'!$T$9:$T$15, "Not Found", -1)</f>
        <v>Average</v>
      </c>
      <c r="CI201" s="17">
        <v>20.12</v>
      </c>
      <c r="CJ201" s="20" t="str">
        <f>_xlfn.XLOOKUP(CI201, 'Normative data'!$S$9:$S$15, 'Normative data'!$T$9:$T$15, "Not Found", -1)</f>
        <v>Average</v>
      </c>
      <c r="CK201" s="21"/>
      <c r="CL201" s="21"/>
      <c r="CM201" s="21"/>
      <c r="CN201" s="21"/>
      <c r="CO201" s="21"/>
      <c r="CQ201" s="17">
        <v>3.2</v>
      </c>
      <c r="CR201" s="20" t="str" cm="1">
        <f t="array" ref="CR201">IF(OR(ISBLANK(E201),ISBLANK(CQ201)),"Incomplete",_xlfn.XLOOKUP(CQ201,_xlfn.XLOOKUP(E201,'Normative data'!$Y$3:$Y$6,'Normative data'!$Z$3:$AG$6,,-1),'Normative data'!$Z$2:$AG$2,"Not Found",-1))</f>
        <v>Incomplete</v>
      </c>
      <c r="CS201" s="20">
        <v>3</v>
      </c>
      <c r="CT201" s="20">
        <v>2</v>
      </c>
      <c r="CU201" s="20" cm="1">
        <f t="array" ref="CU201">_xlfn.XLOOKUP(CS201&amp;CT201,(VLOOKUP!$A$3:$A$250)&amp;(VLOOKUP!$B$3:$B$250),VLOOKUP!$C$3:$C$250,"Incomplete",-1)</f>
        <v>340</v>
      </c>
      <c r="CV201" s="20" t="str" cm="1">
        <f t="array" ref="CV201">_xlfn.XLOOKUP(CU201, _xlfn.XLOOKUP(E201, 'Normative data'!$Y$11:$Y$14, 'Normative data'!$Z$11:$AG$14, ,-1), 'Normative data'!$Z$10:$AG$10, "Not Found", -1)</f>
        <v xml:space="preserve">Very poor </v>
      </c>
      <c r="CW201" s="20" cm="1">
        <f t="array" ref="CW201">IF(OR(ISBLANK(CS201),ISBLANK(CT201)),"Incomplete",_xlfn.XLOOKUP(CS201&amp;CT201,VLOOKUP!$A$4:$A$250&amp;VLOOKUP!$B$4:$B$250,VLOOKUP!$D$4:$D$250,"0"))</f>
        <v>23</v>
      </c>
    </row>
    <row r="202" spans="1:101">
      <c r="A202" s="17" t="s">
        <v>581</v>
      </c>
      <c r="B202" s="17" t="s">
        <v>578</v>
      </c>
      <c r="C202" s="17" t="s">
        <v>86</v>
      </c>
      <c r="D202" s="26"/>
      <c r="F202" s="20" t="s">
        <v>99</v>
      </c>
      <c r="G202" s="17">
        <v>2026</v>
      </c>
      <c r="I202" s="20">
        <v>2</v>
      </c>
      <c r="J202" s="20" t="s">
        <v>100</v>
      </c>
      <c r="K202" s="20" t="s">
        <v>105</v>
      </c>
      <c r="L202" s="20"/>
      <c r="S202" s="20">
        <v>82.5</v>
      </c>
      <c r="T202" s="20">
        <v>160.80000000000001</v>
      </c>
      <c r="AQ202" s="20"/>
      <c r="AR202" s="20"/>
      <c r="AS202" s="20"/>
      <c r="AT202" s="20"/>
      <c r="AU202" s="20"/>
      <c r="AV202" s="20"/>
      <c r="AW202" s="20"/>
      <c r="AX202" s="20"/>
      <c r="AY202" s="41" t="str">
        <f t="shared" si="49"/>
        <v>Incomplete</v>
      </c>
      <c r="BA202" s="20" t="str">
        <f t="shared" si="50"/>
        <v>Incomplete</v>
      </c>
      <c r="BC202" s="20" t="str">
        <f t="shared" si="51"/>
        <v>Incomplete</v>
      </c>
      <c r="BE202" s="20" t="str">
        <f t="shared" si="52"/>
        <v>Incomplete</v>
      </c>
      <c r="BG202" s="17">
        <v>13</v>
      </c>
      <c r="BH202" s="17">
        <v>40</v>
      </c>
      <c r="BI202" s="20">
        <f t="shared" si="55"/>
        <v>27</v>
      </c>
      <c r="BJ202" s="20"/>
      <c r="BL202" s="20"/>
      <c r="BM202" s="20"/>
      <c r="BN202" s="20"/>
      <c r="BQ202" s="17">
        <v>67</v>
      </c>
      <c r="BR202" s="17">
        <v>73</v>
      </c>
      <c r="BS202" s="17">
        <v>70</v>
      </c>
      <c r="BT202" s="17">
        <v>71</v>
      </c>
      <c r="BU202" s="17">
        <v>77</v>
      </c>
      <c r="BV202" s="17">
        <v>70</v>
      </c>
      <c r="BW202" s="91">
        <f t="shared" si="53"/>
        <v>89.399744572158355</v>
      </c>
      <c r="BX202" s="91" t="str">
        <f>_xlfn.XLOOKUP(BW202,'Normative data'!$V$3:$V$6,'Normative data'!$W$3:$W$6,"Not Found",-1)</f>
        <v>High risk</v>
      </c>
      <c r="BY202" s="91">
        <f t="shared" si="54"/>
        <v>92.805449127288199</v>
      </c>
      <c r="BZ202" s="91" t="str">
        <f>_xlfn.XLOOKUP(BY202,'Normative data'!$V$3:$V$6,'Normative data'!$W$3:$W$6,"Not Found",-1)</f>
        <v>High risk</v>
      </c>
      <c r="CA202" s="17">
        <v>17</v>
      </c>
      <c r="CC202" s="20"/>
      <c r="CE202" s="17">
        <v>13</v>
      </c>
      <c r="CG202" s="17">
        <v>19.02</v>
      </c>
      <c r="CH202" s="20" t="str">
        <f>_xlfn.XLOOKUP(CG202, 'Normative data'!$S$9:$S$15,'Normative data'!$T$9:$T$15, "Not Found", -1)</f>
        <v>Average</v>
      </c>
      <c r="CI202" s="17">
        <v>18.649999999999999</v>
      </c>
      <c r="CJ202" s="20" t="str">
        <f>_xlfn.XLOOKUP(CI202, 'Normative data'!$S$9:$S$15, 'Normative data'!$T$9:$T$15, "Not Found", -1)</f>
        <v>Average</v>
      </c>
      <c r="CK202" s="17">
        <v>2.42</v>
      </c>
      <c r="CL202" s="17">
        <v>4.13</v>
      </c>
      <c r="CN202" s="17">
        <v>7.4</v>
      </c>
      <c r="CO202" s="17">
        <v>6.76</v>
      </c>
      <c r="CR202" s="20" t="str" cm="1">
        <f t="array" ref="CR202">IF(OR(ISBLANK(E202),ISBLANK(CQ202)),"Incomplete",_xlfn.XLOOKUP(CQ202,_xlfn.XLOOKUP(E202,'Normative data'!$Y$3:$Y$6,'Normative data'!$Z$3:$AG$6,,-1),'Normative data'!$Z$2:$AG$2,"Not Found",-1))</f>
        <v>Incomplete</v>
      </c>
      <c r="CS202" s="20"/>
      <c r="CT202" s="20"/>
      <c r="CU202" s="20" t="str" cm="1">
        <f t="array" ref="CU202">_xlfn.XLOOKUP(CS202&amp;CT202,(VLOOKUP!$A$3:$A$250)&amp;(VLOOKUP!$B$3:$B$250),VLOOKUP!$C$3:$C$250,"Incomplete",-1)</f>
        <v>Incomplete</v>
      </c>
      <c r="CV202" s="20" t="str" cm="1">
        <f t="array" ref="CV202">_xlfn.XLOOKUP(CU202, _xlfn.XLOOKUP(E202, 'Normative data'!$Y$11:$Y$14, 'Normative data'!$Z$11:$AG$14, ,-1), 'Normative data'!$Z$10:$AG$10, "Not Found", -1)</f>
        <v>Excellent</v>
      </c>
      <c r="CW202" s="20" t="str" cm="1">
        <f t="array" ref="CW202">IF(OR(ISBLANK(CS202),ISBLANK(CT202)),"Incomplete",_xlfn.XLOOKUP(CS202&amp;CT202,VLOOKUP!$A$4:$A$250&amp;VLOOKUP!$B$4:$B$250,VLOOKUP!$D$4:$D$250,"0"))</f>
        <v>Incomplete</v>
      </c>
    </row>
    <row r="203" spans="1:101">
      <c r="A203" s="17" t="s">
        <v>582</v>
      </c>
      <c r="B203" s="17" t="s">
        <v>578</v>
      </c>
      <c r="C203" s="17" t="s">
        <v>86</v>
      </c>
      <c r="D203" s="26">
        <v>40751</v>
      </c>
      <c r="F203" s="20" t="s">
        <v>87</v>
      </c>
      <c r="G203" s="17">
        <v>2026</v>
      </c>
      <c r="I203" s="20">
        <v>2</v>
      </c>
      <c r="J203" s="20" t="s">
        <v>88</v>
      </c>
      <c r="K203" s="20" t="s">
        <v>218</v>
      </c>
      <c r="L203" s="20"/>
      <c r="S203" s="20">
        <v>87.6</v>
      </c>
      <c r="T203" s="20">
        <v>175</v>
      </c>
      <c r="U203" s="17">
        <v>74.099999999999994</v>
      </c>
      <c r="V203" s="17">
        <v>37.6</v>
      </c>
      <c r="W203" s="17">
        <v>22.6</v>
      </c>
      <c r="X203" s="17">
        <v>51.5</v>
      </c>
      <c r="Y203" s="17">
        <v>28.5</v>
      </c>
      <c r="AA203" s="17">
        <v>30.5</v>
      </c>
      <c r="AB203" s="17">
        <v>8.39</v>
      </c>
      <c r="AC203" s="17">
        <v>106.1</v>
      </c>
      <c r="AD203" s="17">
        <v>8.17</v>
      </c>
      <c r="AE203" s="17">
        <v>103.5</v>
      </c>
      <c r="AF203" s="17">
        <v>3.5</v>
      </c>
      <c r="AG203" s="17">
        <v>122.8</v>
      </c>
      <c r="AH203" s="17">
        <v>3.4</v>
      </c>
      <c r="AI203" s="17">
        <v>121.7</v>
      </c>
      <c r="AJ203" s="17">
        <v>295.2</v>
      </c>
      <c r="AK203" s="17">
        <v>313.10000000000002</v>
      </c>
      <c r="AL203" s="17">
        <v>262.60000000000002</v>
      </c>
      <c r="AM203" s="17">
        <v>278.8</v>
      </c>
      <c r="AN203" s="17">
        <v>97</v>
      </c>
      <c r="AY203" s="41" t="str">
        <f t="shared" si="49"/>
        <v>Incomplete</v>
      </c>
      <c r="BA203" s="20" t="str">
        <f t="shared" si="50"/>
        <v>Incomplete</v>
      </c>
      <c r="BC203" s="20" t="str">
        <f t="shared" si="51"/>
        <v>Incomplete</v>
      </c>
      <c r="BE203" s="20" t="str">
        <f t="shared" si="52"/>
        <v>Incomplete</v>
      </c>
      <c r="BG203" s="17">
        <v>12</v>
      </c>
      <c r="BH203" s="17">
        <v>53.5</v>
      </c>
      <c r="BI203" s="20">
        <f t="shared" si="55"/>
        <v>41.5</v>
      </c>
      <c r="BJ203" s="20"/>
      <c r="BK203" s="17">
        <v>14.1</v>
      </c>
      <c r="BL203" s="20"/>
      <c r="BM203" s="17">
        <v>13.7</v>
      </c>
      <c r="BN203" s="20"/>
      <c r="BO203" s="17">
        <v>47</v>
      </c>
      <c r="BP203" s="17">
        <v>48</v>
      </c>
      <c r="BQ203" s="17">
        <v>90</v>
      </c>
      <c r="BR203" s="17">
        <v>88</v>
      </c>
      <c r="BS203" s="17">
        <v>79</v>
      </c>
      <c r="BT203" s="17">
        <v>92</v>
      </c>
      <c r="BU203" s="17">
        <v>87</v>
      </c>
      <c r="BV203" s="17">
        <v>91</v>
      </c>
      <c r="BW203" s="91">
        <f t="shared" si="53"/>
        <v>98.016781083142618</v>
      </c>
      <c r="BX203" s="91" t="str">
        <f>_xlfn.XLOOKUP(BW203,'Normative data'!$V$3:$V$6,'Normative data'!$W$3:$W$6,"Not Found",-1)</f>
        <v>Low risk</v>
      </c>
      <c r="BY203" s="91">
        <f t="shared" si="54"/>
        <v>102.97482837528602</v>
      </c>
      <c r="BZ203" s="91" t="str">
        <f>_xlfn.XLOOKUP(BY203,'Normative data'!$V$3:$V$6,'Normative data'!$W$3:$W$6,"Not Found",-1)</f>
        <v>Low risk</v>
      </c>
      <c r="CA203" s="17">
        <v>28</v>
      </c>
      <c r="CC203" s="20"/>
      <c r="CE203" s="17">
        <v>2</v>
      </c>
      <c r="CG203" s="17">
        <v>19.690000000000001</v>
      </c>
      <c r="CH203" s="20" t="str">
        <f>_xlfn.XLOOKUP(CG203, 'Normative data'!$S$9:$S$15,'Normative data'!$T$9:$T$15, "Not Found", -1)</f>
        <v>Average</v>
      </c>
      <c r="CI203" s="17">
        <v>20.100000000000001</v>
      </c>
      <c r="CJ203" s="20" t="str">
        <f>_xlfn.XLOOKUP(CI203, 'Normative data'!$S$9:$S$15, 'Normative data'!$T$9:$T$15, "Not Found", -1)</f>
        <v>Average</v>
      </c>
      <c r="CK203" s="17">
        <v>2.2799999999999998</v>
      </c>
      <c r="CL203" s="17">
        <v>4.3899999999999997</v>
      </c>
      <c r="CN203" s="17">
        <v>7.71</v>
      </c>
      <c r="CO203" s="17">
        <v>6.49</v>
      </c>
      <c r="CR203" s="20" t="str" cm="1">
        <f t="array" ref="CR203">IF(OR(ISBLANK(E203),ISBLANK(CQ203)),"Incomplete",_xlfn.XLOOKUP(CQ203,_xlfn.XLOOKUP(E203,'Normative data'!$Y$3:$Y$6,'Normative data'!$Z$3:$AG$6,,-1),'Normative data'!$Z$2:$AG$2,"Not Found",-1))</f>
        <v>Incomplete</v>
      </c>
      <c r="CS203" s="20"/>
      <c r="CT203" s="20"/>
      <c r="CU203" s="20" t="str" cm="1">
        <f t="array" ref="CU203">_xlfn.XLOOKUP(CS203&amp;CT203,(VLOOKUP!$A$3:$A$250)&amp;(VLOOKUP!$B$3:$B$250),VLOOKUP!$C$3:$C$250,"Incomplete",-1)</f>
        <v>Incomplete</v>
      </c>
      <c r="CV203" s="20" t="str" cm="1">
        <f t="array" ref="CV203">_xlfn.XLOOKUP(CU203, _xlfn.XLOOKUP(E203, 'Normative data'!$Y$11:$Y$14, 'Normative data'!$Z$11:$AG$14, ,-1), 'Normative data'!$Z$10:$AG$10, "Not Found", -1)</f>
        <v>Excellent</v>
      </c>
      <c r="CW203" s="20" t="str" cm="1">
        <f t="array" ref="CW203">IF(OR(ISBLANK(CS203),ISBLANK(CT203)),"Incomplete",_xlfn.XLOOKUP(CS203&amp;CT203,VLOOKUP!$A$4:$A$250&amp;VLOOKUP!$B$4:$B$250,VLOOKUP!$D$4:$D$250,"0"))</f>
        <v>Incomplete</v>
      </c>
    </row>
    <row r="204" spans="1:101">
      <c r="A204" s="17" t="s">
        <v>583</v>
      </c>
      <c r="B204" s="17" t="s">
        <v>578</v>
      </c>
      <c r="C204" s="17" t="s">
        <v>86</v>
      </c>
      <c r="D204" s="26">
        <v>40544</v>
      </c>
      <c r="F204" s="20" t="s">
        <v>186</v>
      </c>
      <c r="G204" s="17">
        <v>2026</v>
      </c>
      <c r="I204" s="20">
        <v>2</v>
      </c>
      <c r="J204" s="20" t="s">
        <v>100</v>
      </c>
      <c r="K204" s="20" t="s">
        <v>101</v>
      </c>
      <c r="L204" s="20" t="s">
        <v>567</v>
      </c>
      <c r="S204" s="20">
        <v>92.3</v>
      </c>
      <c r="T204" s="20">
        <v>179.8</v>
      </c>
      <c r="U204" s="17">
        <v>64.5</v>
      </c>
      <c r="V204" s="17">
        <v>39.6</v>
      </c>
      <c r="W204" s="17">
        <v>10.4</v>
      </c>
      <c r="X204" s="17">
        <v>54.1</v>
      </c>
      <c r="Y204" s="17">
        <v>30.1</v>
      </c>
      <c r="Z204" s="17">
        <v>20</v>
      </c>
      <c r="AA204" s="17">
        <v>16.100000000000001</v>
      </c>
      <c r="AB204" s="17">
        <v>9.16</v>
      </c>
      <c r="AC204" s="17">
        <v>122.8</v>
      </c>
      <c r="AD204" s="17">
        <v>9.0399999999999991</v>
      </c>
      <c r="AE204" s="17">
        <v>121.3</v>
      </c>
      <c r="AF204" s="17">
        <v>1.8</v>
      </c>
      <c r="AG204" s="17">
        <v>60.1</v>
      </c>
      <c r="AH204" s="17">
        <v>1.8</v>
      </c>
      <c r="AI204" s="17">
        <v>59.5</v>
      </c>
      <c r="AJ204" s="17">
        <v>279.10000000000002</v>
      </c>
      <c r="AK204" s="17">
        <v>285.89999999999998</v>
      </c>
      <c r="AL204" s="17">
        <v>249.5</v>
      </c>
      <c r="AM204" s="17">
        <v>256.2</v>
      </c>
      <c r="AN204" s="17">
        <v>123</v>
      </c>
      <c r="AO204" s="17">
        <v>0.8</v>
      </c>
      <c r="AP204" s="17">
        <v>7.3</v>
      </c>
      <c r="AQ204" s="17">
        <v>32.799999999999997</v>
      </c>
      <c r="AR204" s="17">
        <v>0.51700000000000002</v>
      </c>
      <c r="AS204" s="17">
        <v>37.5</v>
      </c>
      <c r="AT204" s="17">
        <v>0.55300000000000005</v>
      </c>
      <c r="AU204" s="17">
        <v>20.399999999999999</v>
      </c>
      <c r="AV204" s="17">
        <v>0.40799999999999997</v>
      </c>
      <c r="AW204" s="17">
        <v>18.399999999999999</v>
      </c>
      <c r="AX204" s="17">
        <v>0.38700000000000001</v>
      </c>
      <c r="AY204" s="41">
        <f t="shared" si="49"/>
        <v>2857.8099999999995</v>
      </c>
      <c r="BA204" s="20">
        <f t="shared" si="50"/>
        <v>3143.1000000000004</v>
      </c>
      <c r="BC204" s="20">
        <f t="shared" si="51"/>
        <v>2105.13</v>
      </c>
      <c r="BE204" s="20">
        <f t="shared" si="52"/>
        <v>1983.7299999999996</v>
      </c>
      <c r="BG204" s="17">
        <v>12.5</v>
      </c>
      <c r="BH204" s="17">
        <v>52</v>
      </c>
      <c r="BI204" s="20">
        <f t="shared" si="55"/>
        <v>39.5</v>
      </c>
      <c r="BJ204" s="20"/>
      <c r="BK204" s="17">
        <v>13.5</v>
      </c>
      <c r="BL204" s="20"/>
      <c r="BM204" s="17">
        <v>14.5</v>
      </c>
      <c r="BN204" s="20"/>
      <c r="BO204" s="17">
        <v>48</v>
      </c>
      <c r="BP204" s="17">
        <v>49</v>
      </c>
      <c r="BQ204" s="17">
        <v>95</v>
      </c>
      <c r="BR204" s="17">
        <v>77</v>
      </c>
      <c r="BS204" s="17">
        <v>92</v>
      </c>
      <c r="BT204" s="17">
        <v>92</v>
      </c>
      <c r="BU204" s="17">
        <v>92</v>
      </c>
      <c r="BV204" s="17">
        <v>77</v>
      </c>
      <c r="BW204" s="91">
        <f t="shared" si="53"/>
        <v>100.57142857142856</v>
      </c>
      <c r="BX204" s="91" t="str">
        <f>_xlfn.XLOOKUP(BW204,'Normative data'!$V$3:$V$6,'Normative data'!$W$3:$W$6,"Not Found",-1)</f>
        <v>Low risk</v>
      </c>
      <c r="BY204" s="91">
        <f t="shared" si="54"/>
        <v>99.428571428571416</v>
      </c>
      <c r="BZ204" s="91" t="str">
        <f>_xlfn.XLOOKUP(BY204,'Normative data'!$V$3:$V$6,'Normative data'!$W$3:$W$6,"Not Found",-1)</f>
        <v>Low risk</v>
      </c>
      <c r="CA204" s="20"/>
      <c r="CC204" s="20"/>
      <c r="CE204" s="17">
        <v>17</v>
      </c>
      <c r="CG204" s="17">
        <v>16.13</v>
      </c>
      <c r="CH204" s="20" t="str">
        <f>_xlfn.XLOOKUP(CG204, 'Normative data'!$S$9:$S$15,'Normative data'!$T$9:$T$15, "Not Found", -1)</f>
        <v>Excellent</v>
      </c>
      <c r="CI204" s="17">
        <v>16.21</v>
      </c>
      <c r="CJ204" s="20" t="str">
        <f>_xlfn.XLOOKUP(CI204, 'Normative data'!$S$9:$S$15, 'Normative data'!$T$9:$T$15, "Not Found", -1)</f>
        <v>Excellent</v>
      </c>
      <c r="CK204" s="17">
        <v>2.02</v>
      </c>
      <c r="CL204" s="17">
        <v>4.95</v>
      </c>
      <c r="CN204" s="17">
        <v>6.13</v>
      </c>
      <c r="CO204" s="17">
        <v>8.16</v>
      </c>
      <c r="CQ204" s="17">
        <v>7.2</v>
      </c>
      <c r="CR204" s="20" t="str" cm="1">
        <f t="array" ref="CR204">IF(OR(ISBLANK(E204),ISBLANK(CQ204)),"Incomplete",_xlfn.XLOOKUP(CQ204,_xlfn.XLOOKUP(E204,'Normative data'!$Y$3:$Y$6,'Normative data'!$Z$3:$AG$6,,-1),'Normative data'!$Z$2:$AG$2,"Not Found",-1))</f>
        <v>Incomplete</v>
      </c>
      <c r="CS204" s="20">
        <v>7</v>
      </c>
      <c r="CT204" s="20">
        <v>2</v>
      </c>
      <c r="CU204" s="20" cm="1">
        <f t="array" ref="CU204">_xlfn.XLOOKUP(CS204&amp;CT204,(VLOOKUP!$A$3:$A$250)&amp;(VLOOKUP!$B$3:$B$250),VLOOKUP!$C$3:$C$250,"Incomplete",-1)</f>
        <v>1060</v>
      </c>
      <c r="CV204" s="20" t="str" cm="1">
        <f t="array" ref="CV204">_xlfn.XLOOKUP(CU204, _xlfn.XLOOKUP(E204, 'Normative data'!$Y$11:$Y$14, 'Normative data'!$Z$11:$AG$14, ,-1), 'Normative data'!$Z$10:$AG$10, "Not Found", -1)</f>
        <v xml:space="preserve">Fair </v>
      </c>
      <c r="CW204" s="20" cm="1">
        <f t="array" ref="CW204">IF(OR(ISBLANK(CS204),ISBLANK(CT204)),"Incomplete",_xlfn.XLOOKUP(CS204&amp;CT204,VLOOKUP!$A$4:$A$250&amp;VLOOKUP!$B$4:$B$250,VLOOKUP!$D$4:$D$250,"0"))</f>
        <v>37</v>
      </c>
    </row>
    <row r="205" spans="1:101">
      <c r="A205" s="17" t="s">
        <v>584</v>
      </c>
      <c r="B205" s="17" t="s">
        <v>578</v>
      </c>
      <c r="C205" s="17" t="s">
        <v>86</v>
      </c>
      <c r="D205" s="26"/>
      <c r="F205" s="20" t="s">
        <v>110</v>
      </c>
      <c r="G205" s="17">
        <v>2026</v>
      </c>
      <c r="I205" s="20">
        <v>2</v>
      </c>
      <c r="J205" s="20"/>
      <c r="K205" s="20"/>
      <c r="L205" s="20"/>
      <c r="S205" s="20">
        <v>83.1</v>
      </c>
      <c r="T205" s="20">
        <v>163.80000000000001</v>
      </c>
      <c r="AY205" s="41" t="str">
        <f t="shared" si="49"/>
        <v>Incomplete</v>
      </c>
      <c r="BA205" s="20" t="str">
        <f t="shared" si="50"/>
        <v>Incomplete</v>
      </c>
      <c r="BC205" s="20" t="str">
        <f t="shared" si="51"/>
        <v>Incomplete</v>
      </c>
      <c r="BE205" s="20" t="str">
        <f t="shared" si="52"/>
        <v>Incomplete</v>
      </c>
      <c r="BG205" s="17">
        <v>11.1</v>
      </c>
      <c r="BH205" s="17">
        <v>32.6</v>
      </c>
      <c r="BI205" s="20">
        <f t="shared" si="55"/>
        <v>21.5</v>
      </c>
      <c r="BJ205" s="20"/>
      <c r="BL205" s="20"/>
      <c r="BN205" s="20"/>
      <c r="BW205" s="91">
        <f t="shared" si="53"/>
        <v>0</v>
      </c>
      <c r="BX205" s="91" t="str">
        <f>_xlfn.XLOOKUP(BW205,'Normative data'!$V$3:$V$6,'Normative data'!$W$3:$W$6,"Not Found",-1)</f>
        <v>Not completed</v>
      </c>
      <c r="BY205" s="91">
        <f t="shared" si="54"/>
        <v>0</v>
      </c>
      <c r="BZ205" s="91" t="str">
        <f>_xlfn.XLOOKUP(BY205,'Normative data'!$V$3:$V$6,'Normative data'!$W$3:$W$6,"Not Found",-1)</f>
        <v>Not completed</v>
      </c>
      <c r="CG205" s="20"/>
      <c r="CH205" s="20" t="str">
        <f>_xlfn.XLOOKUP(CG205, 'Normative data'!$S$9:$S$15,'Normative data'!$T$9:$T$15, "Not Found", -1)</f>
        <v>not completed</v>
      </c>
      <c r="CI205" s="20"/>
      <c r="CJ205" s="20" t="str">
        <f>_xlfn.XLOOKUP(CI205, 'Normative data'!$S$9:$S$15, 'Normative data'!$T$9:$T$15, "Not Found", -1)</f>
        <v>not completed</v>
      </c>
      <c r="CK205" s="21"/>
      <c r="CL205" s="21"/>
      <c r="CM205" s="21"/>
      <c r="CN205" s="21"/>
      <c r="CO205" s="21"/>
      <c r="CR205" s="20" t="str" cm="1">
        <f t="array" ref="CR205">IF(OR(ISBLANK(E205),ISBLANK(CQ205)),"Incomplete",_xlfn.XLOOKUP(CQ205,_xlfn.XLOOKUP(E205,'Normative data'!$Y$3:$Y$6,'Normative data'!$Z$3:$AG$6,,-1),'Normative data'!$Z$2:$AG$2,"Not Found",-1))</f>
        <v>Incomplete</v>
      </c>
      <c r="CS205" s="20"/>
      <c r="CT205" s="20"/>
      <c r="CU205" s="20" t="str" cm="1">
        <f t="array" ref="CU205">_xlfn.XLOOKUP(CS205&amp;CT205,(VLOOKUP!$A$3:$A$250)&amp;(VLOOKUP!$B$3:$B$250),VLOOKUP!$C$3:$C$250,"Incomplete",-1)</f>
        <v>Incomplete</v>
      </c>
      <c r="CV205" s="20" t="str" cm="1">
        <f t="array" ref="CV205">_xlfn.XLOOKUP(CU205, _xlfn.XLOOKUP(E205, 'Normative data'!$Y$11:$Y$14, 'Normative data'!$Z$11:$AG$14, ,-1), 'Normative data'!$Z$10:$AG$10, "Not Found", -1)</f>
        <v>Excellent</v>
      </c>
      <c r="CW205" s="20" t="str" cm="1">
        <f t="array" ref="CW205">IF(OR(ISBLANK(CS205),ISBLANK(CT205)),"Incomplete",_xlfn.XLOOKUP(CS205&amp;CT205,VLOOKUP!$A$4:$A$250&amp;VLOOKUP!$B$4:$B$250,VLOOKUP!$D$4:$D$250,"0"))</f>
        <v>Incomplete</v>
      </c>
    </row>
    <row r="206" spans="1:101">
      <c r="A206" s="17" t="s">
        <v>585</v>
      </c>
      <c r="B206" s="17" t="s">
        <v>586</v>
      </c>
      <c r="C206" s="17" t="s">
        <v>86</v>
      </c>
      <c r="D206" s="26">
        <v>40764</v>
      </c>
      <c r="F206" s="20" t="s">
        <v>92</v>
      </c>
      <c r="G206" s="17">
        <v>2026</v>
      </c>
      <c r="I206" s="20">
        <v>2</v>
      </c>
      <c r="J206" s="20"/>
      <c r="K206" s="20"/>
      <c r="L206" s="20"/>
      <c r="S206" s="20"/>
      <c r="T206" s="20"/>
      <c r="AY206" s="41" t="str">
        <f t="shared" si="49"/>
        <v>Incomplete</v>
      </c>
      <c r="BA206" s="20" t="str">
        <f t="shared" si="50"/>
        <v>Incomplete</v>
      </c>
      <c r="BC206" s="20" t="str">
        <f t="shared" si="51"/>
        <v>Incomplete</v>
      </c>
      <c r="BE206" s="20" t="str">
        <f t="shared" si="52"/>
        <v>Incomplete</v>
      </c>
      <c r="BG206" s="17">
        <v>8.5</v>
      </c>
      <c r="BH206" s="17">
        <v>62.5</v>
      </c>
      <c r="BI206" s="20">
        <f t="shared" si="55"/>
        <v>54</v>
      </c>
      <c r="BJ206" s="20"/>
      <c r="BK206" s="17">
        <v>14.5</v>
      </c>
      <c r="BL206" s="20"/>
      <c r="BM206" s="17">
        <v>16</v>
      </c>
      <c r="BN206" s="20"/>
      <c r="BO206" s="17">
        <v>43.2</v>
      </c>
      <c r="BP206" s="17">
        <v>42</v>
      </c>
      <c r="BQ206" s="17">
        <v>88</v>
      </c>
      <c r="BR206" s="17">
        <v>90</v>
      </c>
      <c r="BS206" s="17">
        <v>88</v>
      </c>
      <c r="BT206" s="17">
        <v>84</v>
      </c>
      <c r="BU206" s="17">
        <v>93</v>
      </c>
      <c r="BV206" s="17">
        <v>84</v>
      </c>
      <c r="BW206" s="91" t="str">
        <f t="shared" si="53"/>
        <v>Incomplete</v>
      </c>
      <c r="BX206" s="91" t="str">
        <f>_xlfn.XLOOKUP(BW206,'Normative data'!$V$3:$V$6,'Normative data'!$W$3:$W$6,"Not Found",-1)</f>
        <v>Very low risk</v>
      </c>
      <c r="BY206" s="91" t="str">
        <f t="shared" si="54"/>
        <v>Incomplete</v>
      </c>
      <c r="BZ206" s="91" t="str">
        <f>_xlfn.XLOOKUP(BY206,'Normative data'!$V$3:$V$6,'Normative data'!$W$3:$W$6,"Not Found",-1)</f>
        <v>Very low risk</v>
      </c>
      <c r="CA206" s="17">
        <v>27</v>
      </c>
      <c r="CC206" s="20"/>
      <c r="CE206" s="17">
        <v>4</v>
      </c>
      <c r="CH206" s="20" t="str">
        <f>_xlfn.XLOOKUP(CG206, 'Normative data'!$S$9:$S$15,'Normative data'!$T$9:$T$15, "Not Found", -1)</f>
        <v>not completed</v>
      </c>
      <c r="CI206" s="17">
        <v>20.170000000000002</v>
      </c>
      <c r="CJ206" s="20" t="str">
        <f>_xlfn.XLOOKUP(CI206, 'Normative data'!$S$9:$S$15, 'Normative data'!$T$9:$T$15, "Not Found", -1)</f>
        <v>Average</v>
      </c>
      <c r="CK206" s="17">
        <v>2.16</v>
      </c>
      <c r="CL206" s="17">
        <v>4.63</v>
      </c>
      <c r="CN206" s="17">
        <v>6.97</v>
      </c>
      <c r="CO206" s="17">
        <v>7.17</v>
      </c>
      <c r="CQ206" s="17">
        <v>3.6</v>
      </c>
      <c r="CR206" s="20" t="str" cm="1">
        <f t="array" ref="CR206">IF(OR(ISBLANK(E206),ISBLANK(CQ206)),"Incomplete",_xlfn.XLOOKUP(CQ206,_xlfn.XLOOKUP(E206,'Normative data'!$Y$3:$Y$6,'Normative data'!$Z$3:$AG$6,,-1),'Normative data'!$Z$2:$AG$2,"Not Found",-1))</f>
        <v>Incomplete</v>
      </c>
      <c r="CS206" s="20">
        <v>3</v>
      </c>
      <c r="CT206" s="20">
        <v>6</v>
      </c>
      <c r="CU206" s="20" cm="1">
        <f t="array" ref="CU206">_xlfn.XLOOKUP(CS206&amp;CT206,(VLOOKUP!$A$3:$A$250)&amp;(VLOOKUP!$B$3:$B$250),VLOOKUP!$C$3:$C$250,"Incomplete",-1)</f>
        <v>420</v>
      </c>
      <c r="CV206" s="20" t="str" cm="1">
        <f t="array" ref="CV206">_xlfn.XLOOKUP(CU206, _xlfn.XLOOKUP(E206, 'Normative data'!$Y$11:$Y$14, 'Normative data'!$Z$11:$AG$14, ,-1), 'Normative data'!$Z$10:$AG$10, "Not Found", -1)</f>
        <v xml:space="preserve">Very poor </v>
      </c>
      <c r="CW206" s="20" cm="1">
        <f t="array" ref="CW206">IF(OR(ISBLANK(CS206),ISBLANK(CT206)),"Incomplete",_xlfn.XLOOKUP(CS206&amp;CT206,VLOOKUP!$A$4:$A$250&amp;VLOOKUP!$B$4:$B$250,VLOOKUP!$D$4:$D$250,"0"))</f>
        <v>25</v>
      </c>
    </row>
    <row r="207" spans="1:101">
      <c r="A207" s="18" t="s">
        <v>484</v>
      </c>
      <c r="B207" s="18" t="s">
        <v>587</v>
      </c>
      <c r="C207" s="17" t="s">
        <v>86</v>
      </c>
      <c r="D207" s="19">
        <v>40640</v>
      </c>
      <c r="F207" s="17">
        <v>8</v>
      </c>
      <c r="G207" s="17">
        <v>2025</v>
      </c>
      <c r="H207" s="20" t="s">
        <v>124</v>
      </c>
      <c r="I207" s="17">
        <v>3</v>
      </c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41" t="str">
        <f t="shared" si="49"/>
        <v>Incomplete</v>
      </c>
      <c r="AZ207" s="20"/>
      <c r="BA207" s="20" t="str">
        <f t="shared" si="50"/>
        <v>Incomplete</v>
      </c>
      <c r="BB207" s="20"/>
      <c r="BC207" s="20" t="str">
        <f t="shared" si="51"/>
        <v>Incomplete</v>
      </c>
      <c r="BD207" s="20"/>
      <c r="BE207" s="20" t="str">
        <f t="shared" si="52"/>
        <v>Incomplete</v>
      </c>
      <c r="BF207" s="20"/>
      <c r="BG207" s="20">
        <v>16</v>
      </c>
      <c r="BH207" s="20">
        <v>47</v>
      </c>
      <c r="BI207" s="20">
        <f t="shared" si="55"/>
        <v>31</v>
      </c>
      <c r="BJ207" s="20"/>
      <c r="BK207" s="20">
        <v>6</v>
      </c>
      <c r="BL207" s="20"/>
      <c r="BM207" s="20">
        <v>6</v>
      </c>
      <c r="BN207" s="20"/>
      <c r="BO207" s="20"/>
      <c r="BP207" s="20"/>
      <c r="BQ207" s="20"/>
      <c r="BR207" s="20"/>
      <c r="BS207" s="20"/>
      <c r="BT207" s="20"/>
      <c r="BU207" s="20"/>
      <c r="BV207" s="20"/>
      <c r="BW207" s="91" t="str">
        <f t="shared" si="53"/>
        <v>Incomplete</v>
      </c>
      <c r="BX207" s="91" t="str">
        <f>_xlfn.XLOOKUP(BW207,'Normative data'!$V$3:$V$6,'Normative data'!$W$3:$W$6,"Not Found",-1)</f>
        <v>Very low risk</v>
      </c>
      <c r="BY207" s="91" t="str">
        <f t="shared" si="54"/>
        <v>Incomplete</v>
      </c>
      <c r="BZ207" s="91" t="str">
        <f>_xlfn.XLOOKUP(BY207,'Normative data'!$V$3:$V$6,'Normative data'!$W$3:$W$6,"Not Found",-1)</f>
        <v>Very low risk</v>
      </c>
      <c r="CA207" s="20"/>
      <c r="CC207" s="20"/>
      <c r="CE207" s="20"/>
      <c r="CG207" s="20"/>
      <c r="CH207" s="20" t="str">
        <f>_xlfn.XLOOKUP(CG207, 'Normative data'!$S$9:$S$15,'Normative data'!$T$9:$T$15, "Not Found", -1)</f>
        <v>not completed</v>
      </c>
      <c r="CI207" s="20"/>
      <c r="CJ207" s="20" t="str">
        <f>_xlfn.XLOOKUP(CI207, 'Normative data'!$S$9:$S$15, 'Normative data'!$T$9:$T$15, "Not Found", -1)</f>
        <v>not completed</v>
      </c>
      <c r="CK207" s="21">
        <v>2.2400000000000002</v>
      </c>
      <c r="CL207" s="21">
        <v>4.33</v>
      </c>
      <c r="CM207" s="21"/>
      <c r="CN207" s="21">
        <v>6.85</v>
      </c>
      <c r="CO207" s="21">
        <v>7.3</v>
      </c>
      <c r="CP207" s="21"/>
      <c r="CQ207" s="20"/>
      <c r="CR207" s="20" t="str" cm="1">
        <f t="array" ref="CR207">IF(OR(ISBLANK(E207),ISBLANK(CQ207)),"Incomplete",_xlfn.XLOOKUP(CQ207,_xlfn.XLOOKUP(E207,'Normative data'!$Y$3:$Y$6,'Normative data'!$Z$3:$AG$6,,-1),'Normative data'!$Z$2:$AG$2,"Not Found",-1))</f>
        <v>Incomplete</v>
      </c>
      <c r="CS207" s="20"/>
      <c r="CT207" s="20"/>
      <c r="CU207" s="20" t="str" cm="1">
        <f t="array" ref="CU207">_xlfn.XLOOKUP(CS207&amp;CT207,(VLOOKUP!$A$3:$A$250)&amp;(VLOOKUP!$B$3:$B$250),VLOOKUP!$C$3:$C$250,"Incomplete",-1)</f>
        <v>Incomplete</v>
      </c>
      <c r="CV207" s="20" t="str" cm="1">
        <f t="array" ref="CV207">_xlfn.XLOOKUP(CU207, _xlfn.XLOOKUP(E207, 'Normative data'!$Y$11:$Y$14, 'Normative data'!$Z$11:$AG$14, ,-1), 'Normative data'!$Z$10:$AG$10, "Not Found", -1)</f>
        <v>Excellent</v>
      </c>
      <c r="CW207" s="20" t="str" cm="1">
        <f t="array" ref="CW207">IF(OR(ISBLANK(CS207),ISBLANK(CT207)),"Incomplete",_xlfn.XLOOKUP(CS207&amp;CT207,VLOOKUP!$A$4:$A$250&amp;VLOOKUP!$B$4:$B$250,VLOOKUP!$D$4:$D$250,"0"))</f>
        <v>Incomplete</v>
      </c>
    </row>
    <row r="208" spans="1:101">
      <c r="A208" s="17" t="s">
        <v>391</v>
      </c>
      <c r="B208" s="17" t="s">
        <v>390</v>
      </c>
      <c r="C208" s="17" t="s">
        <v>86</v>
      </c>
      <c r="D208" s="26"/>
      <c r="F208" s="20" t="s">
        <v>178</v>
      </c>
      <c r="G208" s="17">
        <v>2026</v>
      </c>
      <c r="I208" s="20">
        <v>2</v>
      </c>
      <c r="J208" s="20" t="s">
        <v>88</v>
      </c>
      <c r="K208" s="20" t="s">
        <v>297</v>
      </c>
      <c r="L208" s="20"/>
      <c r="S208" s="20">
        <v>86.7</v>
      </c>
      <c r="T208" s="20">
        <v>166</v>
      </c>
      <c r="AQ208" s="20"/>
      <c r="AR208" s="20"/>
      <c r="AS208" s="20"/>
      <c r="AT208" s="20"/>
      <c r="AU208" s="20"/>
      <c r="AV208" s="20"/>
      <c r="AW208" s="20"/>
      <c r="AX208" s="20"/>
      <c r="AY208" s="41" t="str">
        <f t="shared" si="49"/>
        <v>Incomplete</v>
      </c>
      <c r="BA208" s="20" t="str">
        <f t="shared" si="50"/>
        <v>Incomplete</v>
      </c>
      <c r="BC208" s="20" t="str">
        <f t="shared" si="51"/>
        <v>Incomplete</v>
      </c>
      <c r="BE208" s="20" t="str">
        <f t="shared" si="52"/>
        <v>Incomplete</v>
      </c>
      <c r="BG208" s="17">
        <v>12.7</v>
      </c>
      <c r="BH208" s="17">
        <v>48.6</v>
      </c>
      <c r="BI208" s="20">
        <f t="shared" si="55"/>
        <v>35.900000000000006</v>
      </c>
      <c r="BJ208" s="20"/>
      <c r="BL208" s="20"/>
      <c r="BM208" s="20"/>
      <c r="BN208" s="20"/>
      <c r="BQ208" s="17">
        <v>84</v>
      </c>
      <c r="BR208" s="17">
        <v>88</v>
      </c>
      <c r="BS208" s="17">
        <v>82</v>
      </c>
      <c r="BT208" s="17">
        <v>87</v>
      </c>
      <c r="BU208" s="17">
        <v>83</v>
      </c>
      <c r="BV208" s="17">
        <v>80</v>
      </c>
      <c r="BW208" s="91">
        <f t="shared" si="53"/>
        <v>106.76754939050022</v>
      </c>
      <c r="BX208" s="91" t="str">
        <f>_xlfn.XLOOKUP(BW208,'Normative data'!$V$3:$V$6,'Normative data'!$W$3:$W$6,"Not Found",-1)</f>
        <v>Low risk</v>
      </c>
      <c r="BY208" s="91">
        <f t="shared" si="54"/>
        <v>105.08617065994117</v>
      </c>
      <c r="BZ208" s="91" t="str">
        <f>_xlfn.XLOOKUP(BY208,'Normative data'!$V$3:$V$6,'Normative data'!$W$3:$W$6,"Not Found",-1)</f>
        <v>Low risk</v>
      </c>
      <c r="CA208" s="20"/>
      <c r="CC208" s="20"/>
      <c r="CE208" s="17">
        <v>30</v>
      </c>
      <c r="CG208" s="20"/>
      <c r="CH208" s="20" t="str">
        <f>_xlfn.XLOOKUP(CG208, 'Normative data'!$S$9:$S$15,'Normative data'!$T$9:$T$15, "Not Found", -1)</f>
        <v>not completed</v>
      </c>
      <c r="CI208" s="20"/>
      <c r="CJ208" s="20" t="str">
        <f>_xlfn.XLOOKUP(CI208, 'Normative data'!$S$9:$S$15, 'Normative data'!$T$9:$T$15, "Not Found", -1)</f>
        <v>not completed</v>
      </c>
      <c r="CK208" s="17">
        <v>2.21</v>
      </c>
      <c r="CL208" s="17">
        <v>4.5199999999999996</v>
      </c>
      <c r="CN208" s="17">
        <v>7.13</v>
      </c>
      <c r="CO208" s="17">
        <v>7.01</v>
      </c>
      <c r="CQ208" s="17">
        <v>6.1</v>
      </c>
      <c r="CR208" s="20" t="str" cm="1">
        <f t="array" ref="CR208">IF(OR(ISBLANK(E208),ISBLANK(CQ208)),"Incomplete",_xlfn.XLOOKUP(CQ208,_xlfn.XLOOKUP(E208,'Normative data'!$Y$3:$Y$6,'Normative data'!$Z$3:$AG$6,,-1),'Normative data'!$Z$2:$AG$2,"Not Found",-1))</f>
        <v>Incomplete</v>
      </c>
      <c r="CS208" s="20">
        <v>6</v>
      </c>
      <c r="CT208" s="20">
        <v>1</v>
      </c>
      <c r="CU208" s="20" cm="1">
        <f t="array" ref="CU208">_xlfn.XLOOKUP(CS208&amp;CT208,(VLOOKUP!$A$3:$A$250)&amp;(VLOOKUP!$B$3:$B$250),VLOOKUP!$C$3:$C$250,"Incomplete",-1)</f>
        <v>840</v>
      </c>
      <c r="CV208" s="20" t="str" cm="1">
        <f t="array" ref="CV208">_xlfn.XLOOKUP(CU208, _xlfn.XLOOKUP(E208, 'Normative data'!$Y$11:$Y$14, 'Normative data'!$Z$11:$AG$14, ,-1), 'Normative data'!$Z$10:$AG$10, "Not Found", -1)</f>
        <v xml:space="preserve">Fair </v>
      </c>
      <c r="CW208" s="20" cm="1">
        <f t="array" ref="CW208">IF(OR(ISBLANK(CS208),ISBLANK(CT208)),"Incomplete",_xlfn.XLOOKUP(CS208&amp;CT208,VLOOKUP!$A$4:$A$250&amp;VLOOKUP!$B$4:$B$250,VLOOKUP!$D$4:$D$250,"0"))</f>
        <v>33</v>
      </c>
    </row>
    <row r="209" spans="1:101">
      <c r="A209" s="17" t="s">
        <v>588</v>
      </c>
      <c r="B209" s="17" t="s">
        <v>390</v>
      </c>
      <c r="C209" s="17" t="s">
        <v>86</v>
      </c>
      <c r="D209" s="26">
        <v>40408</v>
      </c>
      <c r="E209" s="17">
        <v>15.7</v>
      </c>
      <c r="F209" s="20" t="s">
        <v>162</v>
      </c>
      <c r="G209" s="17">
        <v>2026</v>
      </c>
      <c r="I209" s="20">
        <v>2</v>
      </c>
      <c r="J209" s="20"/>
      <c r="K209" s="20"/>
      <c r="L209" s="20"/>
      <c r="S209" s="20">
        <v>79.8</v>
      </c>
      <c r="T209" s="20">
        <v>158.6</v>
      </c>
      <c r="U209" s="17">
        <v>50.2</v>
      </c>
      <c r="V209" s="17">
        <v>27.8</v>
      </c>
      <c r="W209" s="17">
        <v>12.3</v>
      </c>
      <c r="X209" s="17">
        <v>37.9</v>
      </c>
      <c r="Y209" s="17">
        <v>20.7</v>
      </c>
      <c r="Z209" s="17">
        <v>20.100000000000001</v>
      </c>
      <c r="AA209" s="17">
        <v>24.5</v>
      </c>
      <c r="AB209" s="17">
        <v>5.52</v>
      </c>
      <c r="AC209" s="17">
        <v>97.5</v>
      </c>
      <c r="AD209" s="17">
        <v>5.65</v>
      </c>
      <c r="AE209" s="17">
        <v>99.9</v>
      </c>
      <c r="AF209" s="17">
        <v>1.9</v>
      </c>
      <c r="AG209" s="17">
        <v>93.8</v>
      </c>
      <c r="AH209" s="17">
        <v>2</v>
      </c>
      <c r="AI209" s="17">
        <v>94.3</v>
      </c>
      <c r="AJ209" s="17">
        <v>352.2</v>
      </c>
      <c r="AK209" s="17">
        <v>332.9</v>
      </c>
      <c r="AL209" s="17">
        <v>311.60000000000002</v>
      </c>
      <c r="AM209" s="17">
        <v>295.89999999999998</v>
      </c>
      <c r="AN209" s="17">
        <v>97</v>
      </c>
      <c r="AO209" s="17">
        <v>0.86</v>
      </c>
      <c r="AP209" s="17">
        <v>5.9</v>
      </c>
      <c r="AY209" s="41" t="str">
        <f t="shared" si="49"/>
        <v>Incomplete</v>
      </c>
      <c r="BA209" s="20" t="str">
        <f t="shared" si="50"/>
        <v>Incomplete</v>
      </c>
      <c r="BC209" s="20" t="str">
        <f t="shared" si="51"/>
        <v>Incomplete</v>
      </c>
      <c r="BE209" s="20" t="str">
        <f t="shared" si="52"/>
        <v>Incomplete</v>
      </c>
      <c r="BH209" s="20"/>
      <c r="BI209" s="20" t="str">
        <f t="shared" si="55"/>
        <v>Incomplete</v>
      </c>
      <c r="BJ209" s="20"/>
      <c r="BK209" s="17">
        <v>11</v>
      </c>
      <c r="BL209" s="20"/>
      <c r="BM209" s="17">
        <v>15</v>
      </c>
      <c r="BN209" s="20"/>
      <c r="BW209" s="91">
        <f t="shared" si="53"/>
        <v>0</v>
      </c>
      <c r="BX209" s="91" t="str">
        <f>_xlfn.XLOOKUP(BW209,'Normative data'!$V$3:$V$6,'Normative data'!$W$3:$W$6,"Not Found",-1)</f>
        <v>Not completed</v>
      </c>
      <c r="BY209" s="91">
        <f t="shared" si="54"/>
        <v>0</v>
      </c>
      <c r="BZ209" s="91" t="str">
        <f>_xlfn.XLOOKUP(BY209,'Normative data'!$V$3:$V$6,'Normative data'!$W$3:$W$6,"Not Found",-1)</f>
        <v>Not completed</v>
      </c>
      <c r="CG209" s="20"/>
      <c r="CH209" s="20" t="str">
        <f>_xlfn.XLOOKUP(CG209, 'Normative data'!$S$9:$S$15,'Normative data'!$T$9:$T$15, "Not Found", -1)</f>
        <v>not completed</v>
      </c>
      <c r="CI209" s="20"/>
      <c r="CJ209" s="20" t="str">
        <f>_xlfn.XLOOKUP(CI209, 'Normative data'!$S$9:$S$15, 'Normative data'!$T$9:$T$15, "Not Found", -1)</f>
        <v>not completed</v>
      </c>
      <c r="CK209" s="21"/>
      <c r="CL209" s="21"/>
      <c r="CM209" s="21"/>
      <c r="CN209" s="21"/>
      <c r="CO209" s="21"/>
      <c r="CR209" s="20" t="str" cm="1">
        <f t="array" ref="CR209">IF(OR(ISBLANK(E209),ISBLANK(CQ209)),"Incomplete",_xlfn.XLOOKUP(CQ209,_xlfn.XLOOKUP(E209,'Normative data'!$Y$3:$Y$6,'Normative data'!$Z$3:$AG$6,,-1),'Normative data'!$Z$2:$AG$2,"Not Found",-1))</f>
        <v>Incomplete</v>
      </c>
      <c r="CS209" s="20"/>
      <c r="CT209" s="20"/>
      <c r="CU209" s="20" t="str" cm="1">
        <f t="array" ref="CU209">_xlfn.XLOOKUP(CS209&amp;CT209,(VLOOKUP!$A$3:$A$250)&amp;(VLOOKUP!$B$3:$B$250),VLOOKUP!$C$3:$C$250,"Incomplete",-1)</f>
        <v>Incomplete</v>
      </c>
      <c r="CV209" s="20" t="str" cm="1">
        <f t="array" ref="CV209">_xlfn.XLOOKUP(CU209, _xlfn.XLOOKUP(E209, 'Normative data'!$Y$11:$Y$14, 'Normative data'!$Z$11:$AG$14, ,-1), 'Normative data'!$Z$10:$AG$10, "Not Found", -1)</f>
        <v>Excellent</v>
      </c>
      <c r="CW209" s="20" t="str" cm="1">
        <f t="array" ref="CW209">IF(OR(ISBLANK(CS209),ISBLANK(CT209)),"Incomplete",_xlfn.XLOOKUP(CS209&amp;CT209,VLOOKUP!$A$4:$A$250&amp;VLOOKUP!$B$4:$B$250,VLOOKUP!$D$4:$D$250,"0"))</f>
        <v>Incomplete</v>
      </c>
    </row>
    <row r="210" spans="1:101">
      <c r="A210" s="17" t="s">
        <v>589</v>
      </c>
      <c r="B210" s="17" t="s">
        <v>390</v>
      </c>
      <c r="C210" s="17" t="s">
        <v>86</v>
      </c>
      <c r="D210" s="26">
        <v>41199</v>
      </c>
      <c r="E210" s="17">
        <v>13.5</v>
      </c>
      <c r="F210" s="20" t="s">
        <v>157</v>
      </c>
      <c r="G210" s="17">
        <v>2026</v>
      </c>
      <c r="I210" s="20">
        <v>2</v>
      </c>
      <c r="J210" s="20" t="s">
        <v>100</v>
      </c>
      <c r="K210" s="20" t="s">
        <v>158</v>
      </c>
      <c r="L210" s="20"/>
      <c r="S210" s="20"/>
      <c r="T210" s="20">
        <v>157</v>
      </c>
      <c r="U210" s="17">
        <v>48.5</v>
      </c>
      <c r="V210" s="17">
        <v>26.7</v>
      </c>
      <c r="W210" s="17">
        <v>12</v>
      </c>
      <c r="X210" s="17">
        <v>36.5</v>
      </c>
      <c r="Y210" s="17">
        <v>19.600000000000001</v>
      </c>
      <c r="Z210" s="17">
        <v>24.7</v>
      </c>
      <c r="AA210" s="17">
        <v>5.35</v>
      </c>
      <c r="AB210" s="17">
        <v>95.8</v>
      </c>
      <c r="AC210" s="17">
        <v>5.34</v>
      </c>
      <c r="AD210" s="17">
        <v>95.7</v>
      </c>
      <c r="AE210" s="17">
        <v>2</v>
      </c>
      <c r="AF210" s="17">
        <v>103.1</v>
      </c>
      <c r="AG210" s="17">
        <v>2</v>
      </c>
      <c r="AH210" s="17">
        <v>102.7</v>
      </c>
      <c r="AI210" s="17">
        <v>0.81</v>
      </c>
      <c r="AJ210" s="17">
        <v>305.2</v>
      </c>
      <c r="AK210" s="17">
        <v>305</v>
      </c>
      <c r="AL210" s="17">
        <v>272.89999999999998</v>
      </c>
      <c r="AM210" s="17">
        <v>274</v>
      </c>
      <c r="AN210" s="17">
        <v>98</v>
      </c>
      <c r="AO210" s="17">
        <v>5.6</v>
      </c>
      <c r="AQ210" s="17">
        <v>20</v>
      </c>
      <c r="AR210" s="17">
        <v>0.40400000000000003</v>
      </c>
      <c r="AS210" s="17">
        <v>17.100000000000001</v>
      </c>
      <c r="AT210" s="17">
        <v>0.373</v>
      </c>
      <c r="AU210" s="17">
        <v>8.4</v>
      </c>
      <c r="AV210" s="17">
        <v>0.26200000000000001</v>
      </c>
      <c r="AW210" s="17">
        <v>9.1999999999999993</v>
      </c>
      <c r="AX210" s="17">
        <v>0.27400000000000002</v>
      </c>
      <c r="AY210" s="41">
        <f t="shared" si="49"/>
        <v>1356.0499999999997</v>
      </c>
      <c r="BA210" s="20">
        <f t="shared" si="50"/>
        <v>1180.0199999999995</v>
      </c>
      <c r="BC210" s="20">
        <f t="shared" si="51"/>
        <v>651.92999999999984</v>
      </c>
      <c r="BE210" s="20">
        <f t="shared" si="52"/>
        <v>700.48999999999978</v>
      </c>
      <c r="BG210" s="17">
        <v>19</v>
      </c>
      <c r="BH210" s="17">
        <v>48</v>
      </c>
      <c r="BI210" s="20">
        <f t="shared" si="55"/>
        <v>29</v>
      </c>
      <c r="BJ210" s="20"/>
      <c r="BK210" s="17">
        <v>8</v>
      </c>
      <c r="BL210" s="20"/>
      <c r="BM210" s="17">
        <v>9</v>
      </c>
      <c r="BN210" s="20"/>
      <c r="BQ210" s="17">
        <v>73</v>
      </c>
      <c r="BR210" s="17">
        <v>74</v>
      </c>
      <c r="BS210" s="17">
        <v>64</v>
      </c>
      <c r="BT210" s="17">
        <v>65</v>
      </c>
      <c r="BU210" s="17">
        <v>67</v>
      </c>
      <c r="BV210" s="17">
        <v>67</v>
      </c>
      <c r="BW210" s="91">
        <f t="shared" si="53"/>
        <v>44.798301486199577</v>
      </c>
      <c r="BX210" s="91" t="str">
        <f>_xlfn.XLOOKUP(BW210,'Normative data'!$V$3:$V$6,'Normative data'!$W$3:$W$6,"Not Found",-1)</f>
        <v>High risk</v>
      </c>
      <c r="BY210" s="91">
        <f t="shared" si="54"/>
        <v>42.250530785562631</v>
      </c>
      <c r="BZ210" s="91" t="str">
        <f>_xlfn.XLOOKUP(BY210,'Normative data'!$V$3:$V$6,'Normative data'!$W$3:$W$6,"Not Found",-1)</f>
        <v>High risk</v>
      </c>
      <c r="CA210" s="17">
        <v>27</v>
      </c>
      <c r="CC210" s="20"/>
      <c r="CE210" s="17">
        <v>11</v>
      </c>
      <c r="CG210" s="17">
        <v>19.47</v>
      </c>
      <c r="CH210" s="20" t="str">
        <f>_xlfn.XLOOKUP(CG210, 'Normative data'!$S$9:$S$15,'Normative data'!$T$9:$T$15, "Not Found", -1)</f>
        <v>Average</v>
      </c>
      <c r="CI210" s="17">
        <v>19.66</v>
      </c>
      <c r="CJ210" s="20" t="str">
        <f>_xlfn.XLOOKUP(CI210, 'Normative data'!$S$9:$S$15, 'Normative data'!$T$9:$T$15, "Not Found", -1)</f>
        <v>Average</v>
      </c>
      <c r="CK210" s="17">
        <v>2.31</v>
      </c>
      <c r="CL210" s="17">
        <v>4.33</v>
      </c>
      <c r="CN210" s="17">
        <v>7.77</v>
      </c>
      <c r="CO210" s="17">
        <v>6.44</v>
      </c>
      <c r="CQ210" s="17">
        <v>8.4</v>
      </c>
      <c r="CR210" s="20" t="str" cm="1">
        <f t="array" ref="CR210">IF(OR(ISBLANK(E210),ISBLANK(CQ210)),"Incomplete",_xlfn.XLOOKUP(CQ210,_xlfn.XLOOKUP(E210,'Normative data'!$Y$3:$Y$6,'Normative data'!$Z$3:$AG$6,,-1),'Normative data'!$Z$2:$AG$2,"Not Found",-1))</f>
        <v>Very good</v>
      </c>
      <c r="CS210" s="20">
        <v>8</v>
      </c>
      <c r="CT210" s="20">
        <v>4</v>
      </c>
      <c r="CU210" s="20" cm="1">
        <f t="array" ref="CU210">_xlfn.XLOOKUP(CS210&amp;CT210,(VLOOKUP!$A$3:$A$250)&amp;(VLOOKUP!$B$3:$B$250),VLOOKUP!$C$3:$C$250,"Incomplete",-1)</f>
        <v>1300</v>
      </c>
      <c r="CV210" s="20" t="str" cm="1">
        <f t="array" ref="CV210">_xlfn.XLOOKUP(CU210, _xlfn.XLOOKUP(E210, 'Normative data'!$Y$11:$Y$14, 'Normative data'!$Z$11:$AG$14, ,-1), 'Normative data'!$Z$10:$AG$10, "Not Found", -1)</f>
        <v xml:space="preserve">Very good </v>
      </c>
      <c r="CW210" s="20" cm="1">
        <f t="array" ref="CW210">IF(OR(ISBLANK(CS210),ISBLANK(CT210)),"Incomplete",_xlfn.XLOOKUP(CS210&amp;CT210,VLOOKUP!$A$4:$A$250&amp;VLOOKUP!$B$4:$B$250,VLOOKUP!$D$4:$D$250,"0"))</f>
        <v>41</v>
      </c>
    </row>
    <row r="211" spans="1:101">
      <c r="A211" s="17" t="s">
        <v>590</v>
      </c>
      <c r="B211" s="17" t="s">
        <v>591</v>
      </c>
      <c r="C211" s="17" t="s">
        <v>86</v>
      </c>
      <c r="D211" s="26">
        <v>40056</v>
      </c>
      <c r="E211" s="17">
        <v>16.8</v>
      </c>
      <c r="F211" s="20" t="s">
        <v>192</v>
      </c>
      <c r="G211" s="17">
        <v>2026</v>
      </c>
      <c r="I211" s="20">
        <v>2</v>
      </c>
      <c r="J211" s="20" t="s">
        <v>269</v>
      </c>
      <c r="K211" s="20" t="s">
        <v>95</v>
      </c>
      <c r="L211" s="20"/>
      <c r="S211" s="20">
        <v>84.7</v>
      </c>
      <c r="T211" s="20">
        <v>158.6</v>
      </c>
      <c r="U211" s="17">
        <v>77.2</v>
      </c>
      <c r="V211" s="17">
        <v>35.4</v>
      </c>
      <c r="W211" s="17">
        <v>28.9</v>
      </c>
      <c r="X211" s="17">
        <v>48.3</v>
      </c>
      <c r="Y211" s="17">
        <v>27.1</v>
      </c>
      <c r="Z211" s="17">
        <v>30.5</v>
      </c>
      <c r="AA211" s="17">
        <v>37.4</v>
      </c>
      <c r="AB211" s="17">
        <v>7.69</v>
      </c>
      <c r="AC211" s="17">
        <v>115.1</v>
      </c>
      <c r="AD211" s="17">
        <v>7.56</v>
      </c>
      <c r="AE211" s="17">
        <v>113.1</v>
      </c>
      <c r="AF211" s="17">
        <v>4.5999999999999996</v>
      </c>
      <c r="AG211" s="17">
        <v>214.9</v>
      </c>
      <c r="AH211" s="17">
        <v>4.5</v>
      </c>
      <c r="AI211" s="17">
        <v>213.5</v>
      </c>
      <c r="AJ211" s="17">
        <v>240.8</v>
      </c>
      <c r="AK211" s="17">
        <v>247.8</v>
      </c>
      <c r="AL211" s="17">
        <v>209.7</v>
      </c>
      <c r="AM211" s="17">
        <v>215.3</v>
      </c>
      <c r="AN211" s="17">
        <v>60</v>
      </c>
      <c r="AO211" s="17">
        <v>0.89</v>
      </c>
      <c r="AP211" s="17">
        <v>8.1</v>
      </c>
      <c r="AQ211" s="17">
        <v>15.8</v>
      </c>
      <c r="AR211" s="17">
        <v>0.35899999999999999</v>
      </c>
      <c r="AS211" s="17">
        <v>19.899999999999999</v>
      </c>
      <c r="AT211" s="17">
        <v>0.40300000000000002</v>
      </c>
      <c r="AU211" s="17">
        <v>9.3000000000000007</v>
      </c>
      <c r="AV211" s="17">
        <v>0.27600000000000002</v>
      </c>
      <c r="AW211" s="17">
        <v>8</v>
      </c>
      <c r="AX211" s="17">
        <v>0.255</v>
      </c>
      <c r="AY211" s="41">
        <f t="shared" si="49"/>
        <v>2401.2200000000003</v>
      </c>
      <c r="BA211" s="20">
        <f t="shared" si="50"/>
        <v>2650.09</v>
      </c>
      <c r="BC211" s="20">
        <f t="shared" si="51"/>
        <v>2006.67</v>
      </c>
      <c r="BE211" s="20">
        <f t="shared" si="52"/>
        <v>1927.7599999999998</v>
      </c>
      <c r="BG211" s="17">
        <v>11</v>
      </c>
      <c r="BH211" s="17">
        <v>27.5</v>
      </c>
      <c r="BI211" s="20">
        <f t="shared" si="55"/>
        <v>16.5</v>
      </c>
      <c r="BJ211" s="20"/>
      <c r="BK211" s="17">
        <v>6.2</v>
      </c>
      <c r="BL211" s="20"/>
      <c r="BM211" s="17">
        <v>4.4000000000000004</v>
      </c>
      <c r="BN211" s="20"/>
      <c r="BO211" s="17">
        <v>62.5</v>
      </c>
      <c r="BP211" s="17">
        <v>61.5</v>
      </c>
      <c r="BQ211" s="17">
        <v>79</v>
      </c>
      <c r="BR211" s="17">
        <v>74</v>
      </c>
      <c r="BS211" s="17">
        <v>73</v>
      </c>
      <c r="BT211" s="17">
        <v>77</v>
      </c>
      <c r="BU211" s="17">
        <v>79</v>
      </c>
      <c r="BV211" s="17">
        <v>68</v>
      </c>
      <c r="BW211" s="91">
        <f t="shared" si="53"/>
        <v>101.93955796120883</v>
      </c>
      <c r="BX211" s="91" t="str">
        <f>_xlfn.XLOOKUP(BW211,'Normative data'!$V$3:$V$6,'Normative data'!$W$3:$W$6,"Not Found",-1)</f>
        <v>Low risk</v>
      </c>
      <c r="BY211" s="91">
        <f t="shared" si="54"/>
        <v>101.03743797925124</v>
      </c>
      <c r="BZ211" s="91" t="str">
        <f>_xlfn.XLOOKUP(BY211,'Normative data'!$V$3:$V$6,'Normative data'!$W$3:$W$6,"Not Found",-1)</f>
        <v>Low risk</v>
      </c>
      <c r="CA211" s="17">
        <v>21</v>
      </c>
      <c r="CC211" s="20"/>
      <c r="CE211" s="17">
        <v>12</v>
      </c>
      <c r="CG211" s="17">
        <v>20.149999999999999</v>
      </c>
      <c r="CH211" s="20" t="str">
        <f>_xlfn.XLOOKUP(CG211, 'Normative data'!$S$9:$S$15,'Normative data'!$T$9:$T$15, "Not Found", -1)</f>
        <v>Average</v>
      </c>
      <c r="CI211" s="17">
        <v>19.98</v>
      </c>
      <c r="CJ211" s="20" t="str">
        <f>_xlfn.XLOOKUP(CI211, 'Normative data'!$S$9:$S$15, 'Normative data'!$T$9:$T$15, "Not Found", -1)</f>
        <v>Average</v>
      </c>
      <c r="CK211" s="21"/>
      <c r="CL211" s="21"/>
      <c r="CM211" s="21"/>
      <c r="CN211" s="21"/>
      <c r="CO211" s="21"/>
      <c r="CQ211" s="17">
        <v>5.6</v>
      </c>
      <c r="CR211" s="20" t="str" cm="1">
        <f t="array" ref="CR211">IF(OR(ISBLANK(E211),ISBLANK(CQ211)),"Incomplete",_xlfn.XLOOKUP(CQ211,_xlfn.XLOOKUP(E211,'Normative data'!$Y$3:$Y$6,'Normative data'!$Z$3:$AG$6,,-1),'Normative data'!$Z$2:$AG$2,"Not Found",-1))</f>
        <v>Poor</v>
      </c>
      <c r="CS211" s="20">
        <v>5</v>
      </c>
      <c r="CT211" s="20">
        <v>6</v>
      </c>
      <c r="CU211" s="20" cm="1">
        <f t="array" ref="CU211">_xlfn.XLOOKUP(CS211&amp;CT211,(VLOOKUP!$A$3:$A$250)&amp;(VLOOKUP!$B$3:$B$250),VLOOKUP!$C$3:$C$250,"Incomplete",-1)</f>
        <v>760</v>
      </c>
      <c r="CV211" s="20" t="str" cm="1">
        <f t="array" ref="CV211">_xlfn.XLOOKUP(CU211, _xlfn.XLOOKUP(E211, 'Normative data'!$Y$11:$Y$14, 'Normative data'!$Z$11:$AG$14, ,-1), 'Normative data'!$Z$10:$AG$10, "Not Found", -1)</f>
        <v xml:space="preserve">Poor </v>
      </c>
      <c r="CW211" s="20" cm="1">
        <f t="array" ref="CW211">IF(OR(ISBLANK(CS211),ISBLANK(CT211)),"Incomplete",_xlfn.XLOOKUP(CS211&amp;CT211,VLOOKUP!$A$4:$A$250&amp;VLOOKUP!$B$4:$B$250,VLOOKUP!$D$4:$D$250,"0"))</f>
        <v>32</v>
      </c>
    </row>
    <row r="212" spans="1:101">
      <c r="A212" s="17" t="s">
        <v>592</v>
      </c>
      <c r="B212" s="17" t="s">
        <v>591</v>
      </c>
      <c r="C212" s="17" t="s">
        <v>86</v>
      </c>
      <c r="D212" s="26">
        <v>39854</v>
      </c>
      <c r="F212" s="20" t="s">
        <v>181</v>
      </c>
      <c r="G212" s="17">
        <v>2026</v>
      </c>
      <c r="I212" s="20">
        <v>2</v>
      </c>
      <c r="J212" s="20" t="s">
        <v>88</v>
      </c>
      <c r="K212" s="20" t="s">
        <v>111</v>
      </c>
      <c r="L212" s="20"/>
      <c r="S212" s="20">
        <v>88.5</v>
      </c>
      <c r="T212" s="20">
        <v>163.4</v>
      </c>
      <c r="U212" s="17">
        <v>55.9</v>
      </c>
      <c r="V212" s="17">
        <v>32</v>
      </c>
      <c r="W212" s="17">
        <v>12.2</v>
      </c>
      <c r="X212" s="17">
        <v>43.7</v>
      </c>
      <c r="Y212" s="17">
        <v>24</v>
      </c>
      <c r="Z212" s="17">
        <v>20.399999999999999</v>
      </c>
      <c r="AA212" s="17">
        <v>21.8</v>
      </c>
      <c r="AB212" s="17">
        <v>6.79</v>
      </c>
      <c r="AC212" s="17">
        <v>105.2</v>
      </c>
      <c r="AD212" s="17">
        <v>6.73</v>
      </c>
      <c r="AE212" s="17">
        <v>104.2</v>
      </c>
      <c r="AF212" s="17">
        <v>2</v>
      </c>
      <c r="AG212" s="17">
        <v>79.2</v>
      </c>
      <c r="AH212" s="17">
        <v>2</v>
      </c>
      <c r="AI212" s="17">
        <v>79</v>
      </c>
      <c r="AJ212" s="17">
        <v>317.5</v>
      </c>
      <c r="AK212" s="17">
        <v>323.89999999999998</v>
      </c>
      <c r="AL212" s="17">
        <v>280.7</v>
      </c>
      <c r="AM212" s="17">
        <v>286.2</v>
      </c>
      <c r="AN212" s="17">
        <v>101</v>
      </c>
      <c r="AO212" s="17">
        <v>0.83</v>
      </c>
      <c r="AP212" s="17">
        <v>6.4</v>
      </c>
      <c r="AQ212" s="17">
        <v>20.2</v>
      </c>
      <c r="AR212" s="17">
        <v>0.40600000000000003</v>
      </c>
      <c r="AS212" s="17">
        <v>21.9</v>
      </c>
      <c r="AT212" s="17">
        <v>0.42299999999999999</v>
      </c>
      <c r="AU212" s="17">
        <v>13.3</v>
      </c>
      <c r="AV212" s="17">
        <v>0.32900000000000001</v>
      </c>
      <c r="AW212" s="17">
        <v>14.4</v>
      </c>
      <c r="AX212" s="17">
        <v>0.34300000000000003</v>
      </c>
      <c r="AY212" s="41">
        <f t="shared" si="49"/>
        <v>1703.4099999999999</v>
      </c>
      <c r="BA212" s="20">
        <f t="shared" si="50"/>
        <v>1806.6</v>
      </c>
      <c r="BC212" s="20">
        <f t="shared" si="51"/>
        <v>1284.58</v>
      </c>
      <c r="BE212" s="20">
        <f t="shared" si="52"/>
        <v>1351.35</v>
      </c>
      <c r="BG212" s="17">
        <v>25.5</v>
      </c>
      <c r="BH212" s="17">
        <v>59</v>
      </c>
      <c r="BI212" s="20">
        <f t="shared" si="55"/>
        <v>33.5</v>
      </c>
      <c r="BJ212" s="20"/>
      <c r="BK212" s="17">
        <v>9</v>
      </c>
      <c r="BL212" s="20"/>
      <c r="BM212" s="17">
        <v>11</v>
      </c>
      <c r="BN212" s="20"/>
      <c r="BO212" s="17">
        <v>44.5</v>
      </c>
      <c r="BP212" s="17">
        <v>44.5</v>
      </c>
      <c r="BQ212" s="17">
        <v>74</v>
      </c>
      <c r="BR212" s="17">
        <v>78</v>
      </c>
      <c r="BS212" s="17">
        <v>72</v>
      </c>
      <c r="BT212" s="17">
        <v>76</v>
      </c>
      <c r="BU212" s="17">
        <v>80</v>
      </c>
      <c r="BV212" s="17">
        <v>73</v>
      </c>
      <c r="BW212" s="91">
        <f t="shared" si="53"/>
        <v>99.688473520249204</v>
      </c>
      <c r="BX212" s="91" t="str">
        <f>_xlfn.XLOOKUP(BW212,'Normative data'!$V$3:$V$6,'Normative data'!$W$3:$W$6,"Not Found",-1)</f>
        <v>Low risk</v>
      </c>
      <c r="BY212" s="91">
        <f t="shared" si="54"/>
        <v>101.9136626613262</v>
      </c>
      <c r="BZ212" s="91" t="str">
        <f>_xlfn.XLOOKUP(BY212,'Normative data'!$V$3:$V$6,'Normative data'!$W$3:$W$6,"Not Found",-1)</f>
        <v>Low risk</v>
      </c>
      <c r="CA212" s="17">
        <v>34</v>
      </c>
      <c r="CC212" s="20"/>
      <c r="CE212" s="17">
        <v>24</v>
      </c>
      <c r="CG212" s="17">
        <v>18.72</v>
      </c>
      <c r="CH212" s="20" t="str">
        <f>_xlfn.XLOOKUP(CG212, 'Normative data'!$S$9:$S$15,'Normative data'!$T$9:$T$15, "Not Found", -1)</f>
        <v>Average</v>
      </c>
      <c r="CI212" s="17">
        <v>18.52</v>
      </c>
      <c r="CJ212" s="20" t="str">
        <f>_xlfn.XLOOKUP(CI212, 'Normative data'!$S$9:$S$15, 'Normative data'!$T$9:$T$15, "Not Found", -1)</f>
        <v>Average</v>
      </c>
      <c r="CK212" s="17">
        <v>2.29</v>
      </c>
      <c r="CL212" s="17">
        <v>4.37</v>
      </c>
      <c r="CN212" s="17">
        <v>7.11</v>
      </c>
      <c r="CO212" s="17">
        <v>7.03</v>
      </c>
      <c r="CQ212" s="17">
        <v>8.3000000000000007</v>
      </c>
      <c r="CR212" s="20" t="str" cm="1">
        <f t="array" ref="CR212">IF(OR(ISBLANK(E212),ISBLANK(CQ212)),"Incomplete",_xlfn.XLOOKUP(CQ212,_xlfn.XLOOKUP(E212,'Normative data'!$Y$3:$Y$6,'Normative data'!$Z$3:$AG$6,,-1),'Normative data'!$Z$2:$AG$2,"Not Found",-1))</f>
        <v>Incomplete</v>
      </c>
      <c r="CS212" s="20">
        <v>8</v>
      </c>
      <c r="CT212" s="20">
        <v>3</v>
      </c>
      <c r="CU212" s="20" cm="1">
        <f t="array" ref="CU212">_xlfn.XLOOKUP(CS212&amp;CT212,(VLOOKUP!$A$3:$A$250)&amp;(VLOOKUP!$B$3:$B$250),VLOOKUP!$C$3:$C$250,"Incomplete",-1)</f>
        <v>1280</v>
      </c>
      <c r="CV212" s="20" t="str" cm="1">
        <f t="array" ref="CV212">_xlfn.XLOOKUP(CU212, _xlfn.XLOOKUP(E212, 'Normative data'!$Y$11:$Y$14, 'Normative data'!$Z$11:$AG$14, ,-1), 'Normative data'!$Z$10:$AG$10, "Not Found", -1)</f>
        <v>Average</v>
      </c>
      <c r="CW212" s="20" cm="1">
        <f t="array" ref="CW212">IF(OR(ISBLANK(CS212),ISBLANK(CT212)),"Incomplete",_xlfn.XLOOKUP(CS212&amp;CT212,VLOOKUP!$A$4:$A$250&amp;VLOOKUP!$B$4:$B$250,VLOOKUP!$D$4:$D$250,"0"))</f>
        <v>41</v>
      </c>
    </row>
    <row r="213" spans="1:101">
      <c r="A213" s="17" t="s">
        <v>593</v>
      </c>
      <c r="B213" s="17" t="s">
        <v>591</v>
      </c>
      <c r="C213" s="17" t="s">
        <v>86</v>
      </c>
      <c r="D213" s="26">
        <v>39969</v>
      </c>
      <c r="E213" s="17">
        <v>17</v>
      </c>
      <c r="F213" s="20" t="s">
        <v>181</v>
      </c>
      <c r="G213" s="17">
        <v>2026</v>
      </c>
      <c r="I213" s="20">
        <v>2</v>
      </c>
      <c r="J213" s="20" t="s">
        <v>122</v>
      </c>
      <c r="K213" s="20" t="s">
        <v>228</v>
      </c>
      <c r="L213" s="20"/>
      <c r="S213" s="20">
        <v>84.7</v>
      </c>
      <c r="T213" s="20">
        <v>159</v>
      </c>
      <c r="U213" s="17">
        <v>59.9</v>
      </c>
      <c r="V213" s="17">
        <v>31.8</v>
      </c>
      <c r="W213" s="17">
        <v>16.5</v>
      </c>
      <c r="X213" s="17">
        <v>43.4</v>
      </c>
      <c r="Y213" s="17">
        <v>23.9</v>
      </c>
      <c r="Z213" s="17">
        <v>23.7</v>
      </c>
      <c r="AA213" s="17">
        <v>27.5</v>
      </c>
      <c r="AB213" s="17">
        <v>6.38</v>
      </c>
      <c r="AC213" s="17">
        <v>104.9</v>
      </c>
      <c r="AD213" s="17">
        <v>6.35</v>
      </c>
      <c r="AE213" s="17">
        <v>104.3</v>
      </c>
      <c r="AF213" s="17">
        <v>2.6</v>
      </c>
      <c r="AG213" s="17">
        <v>121</v>
      </c>
      <c r="AH213" s="17">
        <v>2.6</v>
      </c>
      <c r="AI213" s="17">
        <v>120.7</v>
      </c>
      <c r="AJ213" s="17">
        <v>278.60000000000002</v>
      </c>
      <c r="AK213" s="17">
        <v>280.89999999999998</v>
      </c>
      <c r="AL213" s="17">
        <v>246</v>
      </c>
      <c r="AM213" s="17">
        <v>247.5</v>
      </c>
      <c r="AN213" s="17">
        <v>87</v>
      </c>
      <c r="AQ213" s="17">
        <v>16.100000000000001</v>
      </c>
      <c r="AR213" s="17">
        <v>0.36199999999999999</v>
      </c>
      <c r="AS213" s="17">
        <v>18.2</v>
      </c>
      <c r="AT213" s="17">
        <v>0.38500000000000001</v>
      </c>
      <c r="AU213" s="17">
        <v>5.4</v>
      </c>
      <c r="AV213" s="17">
        <v>0.20899999999999999</v>
      </c>
      <c r="AW213" s="17">
        <v>6.3</v>
      </c>
      <c r="AX213" s="17">
        <v>0.22600000000000001</v>
      </c>
      <c r="AY213" s="41">
        <f t="shared" si="49"/>
        <v>1635.7399999999998</v>
      </c>
      <c r="BA213" s="20">
        <f t="shared" si="50"/>
        <v>1763.21</v>
      </c>
      <c r="BC213" s="20">
        <f t="shared" si="51"/>
        <v>986.25</v>
      </c>
      <c r="BE213" s="20">
        <f t="shared" si="52"/>
        <v>1040.8799999999997</v>
      </c>
      <c r="BH213" s="20"/>
      <c r="BI213" s="20" t="str">
        <f t="shared" si="55"/>
        <v>Incomplete</v>
      </c>
      <c r="BJ213" s="20"/>
      <c r="BL213" s="20"/>
      <c r="BM213" s="20"/>
      <c r="BN213" s="20"/>
      <c r="BO213" s="17">
        <v>50</v>
      </c>
      <c r="BP213" s="17">
        <v>50</v>
      </c>
      <c r="BW213" s="91">
        <f t="shared" si="53"/>
        <v>0</v>
      </c>
      <c r="BX213" s="91" t="str">
        <f>_xlfn.XLOOKUP(BW213,'Normative data'!$V$3:$V$6,'Normative data'!$W$3:$W$6,"Not Found",-1)</f>
        <v>Not completed</v>
      </c>
      <c r="BY213" s="91">
        <f t="shared" si="54"/>
        <v>0</v>
      </c>
      <c r="BZ213" s="91" t="str">
        <f>_xlfn.XLOOKUP(BY213,'Normative data'!$V$3:$V$6,'Normative data'!$W$3:$W$6,"Not Found",-1)</f>
        <v>Not completed</v>
      </c>
      <c r="CA213" s="17">
        <v>28</v>
      </c>
      <c r="CC213" s="20"/>
      <c r="CE213" s="17">
        <v>15</v>
      </c>
      <c r="CG213" s="20"/>
      <c r="CH213" s="20" t="str">
        <f>_xlfn.XLOOKUP(CG213, 'Normative data'!$S$9:$S$15,'Normative data'!$T$9:$T$15, "Not Found", -1)</f>
        <v>not completed</v>
      </c>
      <c r="CI213" s="20"/>
      <c r="CJ213" s="20" t="str">
        <f>_xlfn.XLOOKUP(CI213, 'Normative data'!$S$9:$S$15, 'Normative data'!$T$9:$T$15, "Not Found", -1)</f>
        <v>not completed</v>
      </c>
      <c r="CK213" s="17">
        <v>2.17</v>
      </c>
      <c r="CL213" s="17">
        <v>4.6100000000000003</v>
      </c>
      <c r="CN213" s="17">
        <v>6.88</v>
      </c>
      <c r="CO213" s="17">
        <v>7.27</v>
      </c>
      <c r="CR213" s="20" t="str" cm="1">
        <f t="array" ref="CR213">IF(OR(ISBLANK(E213),ISBLANK(CQ213)),"Incomplete",_xlfn.XLOOKUP(CQ213,_xlfn.XLOOKUP(E213,'Normative data'!$Y$3:$Y$6,'Normative data'!$Z$3:$AG$6,,-1),'Normative data'!$Z$2:$AG$2,"Not Found",-1))</f>
        <v>Incomplete</v>
      </c>
      <c r="CS213" s="20"/>
      <c r="CT213" s="20"/>
      <c r="CU213" s="20" t="str" cm="1">
        <f t="array" ref="CU213">_xlfn.XLOOKUP(CS213&amp;CT213,(VLOOKUP!$A$3:$A$250)&amp;(VLOOKUP!$B$3:$B$250),VLOOKUP!$C$3:$C$250,"Incomplete",-1)</f>
        <v>Incomplete</v>
      </c>
      <c r="CV213" s="20" t="str" cm="1">
        <f t="array" ref="CV213">_xlfn.XLOOKUP(CU213, _xlfn.XLOOKUP(E213, 'Normative data'!$Y$11:$Y$14, 'Normative data'!$Z$11:$AG$14, ,-1), 'Normative data'!$Z$10:$AG$10, "Not Found", -1)</f>
        <v>Excellent</v>
      </c>
      <c r="CW213" s="20" t="str" cm="1">
        <f t="array" ref="CW213">IF(OR(ISBLANK(CS213),ISBLANK(CT213)),"Incomplete",_xlfn.XLOOKUP(CS213&amp;CT213,VLOOKUP!$A$4:$A$250&amp;VLOOKUP!$B$4:$B$250,VLOOKUP!$D$4:$D$250,"0"))</f>
        <v>Incomplete</v>
      </c>
    </row>
    <row r="214" spans="1:101">
      <c r="A214" s="17" t="s">
        <v>594</v>
      </c>
      <c r="B214" s="17" t="s">
        <v>595</v>
      </c>
      <c r="C214" s="17" t="s">
        <v>86</v>
      </c>
      <c r="D214" s="26">
        <v>40767</v>
      </c>
      <c r="F214" s="20" t="s">
        <v>92</v>
      </c>
      <c r="G214" s="17">
        <v>2026</v>
      </c>
      <c r="I214" s="20">
        <v>2</v>
      </c>
      <c r="J214" s="20" t="s">
        <v>100</v>
      </c>
      <c r="K214" s="20" t="s">
        <v>173</v>
      </c>
      <c r="L214" s="20"/>
      <c r="S214" s="20">
        <v>78.599999999999994</v>
      </c>
      <c r="T214" s="20">
        <v>158.1</v>
      </c>
      <c r="U214" s="17">
        <v>49.6</v>
      </c>
      <c r="V214" s="17">
        <v>26.9</v>
      </c>
      <c r="W214" s="17">
        <v>12.9</v>
      </c>
      <c r="X214" s="17">
        <v>36.700000000000003</v>
      </c>
      <c r="Y214" s="17">
        <v>19.600000000000001</v>
      </c>
      <c r="Z214" s="17">
        <v>19.8</v>
      </c>
      <c r="AA214" s="17">
        <v>26.1</v>
      </c>
      <c r="AB214" s="17">
        <v>5.44</v>
      </c>
      <c r="AC214" s="17">
        <v>96.4</v>
      </c>
      <c r="AD214" s="17">
        <v>5.51</v>
      </c>
      <c r="AE214" s="17">
        <v>97.6</v>
      </c>
      <c r="AF214" s="17">
        <v>2.2000000000000002</v>
      </c>
      <c r="AG214" s="17">
        <v>105.7</v>
      </c>
      <c r="AH214" s="17">
        <v>2.2000000000000002</v>
      </c>
      <c r="AI214" s="17">
        <v>105.8</v>
      </c>
      <c r="AJ214" s="17">
        <v>303.10000000000002</v>
      </c>
      <c r="AK214" s="17">
        <v>294.8</v>
      </c>
      <c r="AL214" s="17">
        <v>274.89999999999998</v>
      </c>
      <c r="AM214" s="17">
        <v>268.3</v>
      </c>
      <c r="AN214" s="17">
        <v>96</v>
      </c>
      <c r="AO214" s="17">
        <v>0.8</v>
      </c>
      <c r="AP214" s="17">
        <v>5.6</v>
      </c>
      <c r="AQ214" s="20"/>
      <c r="AR214" s="20"/>
      <c r="AS214" s="20"/>
      <c r="AT214" s="20"/>
      <c r="AU214" s="20"/>
      <c r="AV214" s="20"/>
      <c r="AW214" s="20"/>
      <c r="AX214" s="20"/>
      <c r="AY214" s="41" t="str">
        <f t="shared" si="49"/>
        <v>Incomplete</v>
      </c>
      <c r="BA214" s="20" t="str">
        <f t="shared" si="50"/>
        <v>Incomplete</v>
      </c>
      <c r="BC214" s="20" t="str">
        <f t="shared" si="51"/>
        <v>Incomplete</v>
      </c>
      <c r="BE214" s="20" t="str">
        <f t="shared" si="52"/>
        <v>Incomplete</v>
      </c>
      <c r="BG214" s="17">
        <v>11.5</v>
      </c>
      <c r="BH214" s="17">
        <v>39.1</v>
      </c>
      <c r="BI214" s="20">
        <f t="shared" si="55"/>
        <v>27.6</v>
      </c>
      <c r="BJ214" s="20"/>
      <c r="BK214" s="17">
        <v>13.5</v>
      </c>
      <c r="BL214" s="20"/>
      <c r="BM214" s="17">
        <v>38</v>
      </c>
      <c r="BN214" s="20"/>
      <c r="BO214" s="17">
        <v>42</v>
      </c>
      <c r="BP214" s="17">
        <v>42</v>
      </c>
      <c r="BQ214" s="17">
        <v>82</v>
      </c>
      <c r="BR214" s="17">
        <v>77</v>
      </c>
      <c r="BS214" s="17">
        <v>70</v>
      </c>
      <c r="BT214" s="17">
        <v>81</v>
      </c>
      <c r="BU214" s="17">
        <v>79</v>
      </c>
      <c r="BV214" s="17">
        <v>80</v>
      </c>
      <c r="BW214" s="91">
        <f t="shared" si="53"/>
        <v>96.016771488469601</v>
      </c>
      <c r="BX214" s="91" t="str">
        <f>_xlfn.XLOOKUP(BW214,'Normative data'!$V$3:$V$6,'Normative data'!$W$3:$W$6,"Not Found",-1)</f>
        <v>Low risk</v>
      </c>
      <c r="BY214" s="91">
        <f t="shared" si="54"/>
        <v>100.62893081761007</v>
      </c>
      <c r="BZ214" s="91" t="str">
        <f>_xlfn.XLOOKUP(BY214,'Normative data'!$V$3:$V$6,'Normative data'!$W$3:$W$6,"Not Found",-1)</f>
        <v>Low risk</v>
      </c>
      <c r="CA214" s="17">
        <v>23</v>
      </c>
      <c r="CC214" s="20"/>
      <c r="CE214" s="17">
        <v>13</v>
      </c>
      <c r="CG214" s="20"/>
      <c r="CH214" s="20" t="str">
        <f>_xlfn.XLOOKUP(CG214, 'Normative data'!$S$9:$S$15,'Normative data'!$T$9:$T$15, "Not Found", -1)</f>
        <v>not completed</v>
      </c>
      <c r="CI214" s="20"/>
      <c r="CJ214" s="20" t="str">
        <f>_xlfn.XLOOKUP(CI214, 'Normative data'!$S$9:$S$15, 'Normative data'!$T$9:$T$15, "Not Found", -1)</f>
        <v>not completed</v>
      </c>
      <c r="CK214" s="17">
        <v>2.5</v>
      </c>
      <c r="CL214" s="17">
        <v>4</v>
      </c>
      <c r="CN214" s="17">
        <v>8.17</v>
      </c>
      <c r="CO214" s="17">
        <v>6.12</v>
      </c>
      <c r="CR214" s="20" t="str" cm="1">
        <f t="array" ref="CR214">IF(OR(ISBLANK(E214),ISBLANK(CQ214)),"Incomplete",_xlfn.XLOOKUP(CQ214,_xlfn.XLOOKUP(E214,'Normative data'!$Y$3:$Y$6,'Normative data'!$Z$3:$AG$6,,-1),'Normative data'!$Z$2:$AG$2,"Not Found",-1))</f>
        <v>Incomplete</v>
      </c>
      <c r="CS214" s="20"/>
      <c r="CT214" s="20"/>
      <c r="CU214" s="20" t="str" cm="1">
        <f t="array" ref="CU214">_xlfn.XLOOKUP(CS214&amp;CT214,(VLOOKUP!$A$3:$A$250)&amp;(VLOOKUP!$B$3:$B$250),VLOOKUP!$C$3:$C$250,"Incomplete",-1)</f>
        <v>Incomplete</v>
      </c>
      <c r="CV214" s="20" t="str" cm="1">
        <f t="array" ref="CV214">_xlfn.XLOOKUP(CU214, _xlfn.XLOOKUP(E214, 'Normative data'!$Y$11:$Y$14, 'Normative data'!$Z$11:$AG$14, ,-1), 'Normative data'!$Z$10:$AG$10, "Not Found", -1)</f>
        <v>Excellent</v>
      </c>
      <c r="CW214" s="20" t="str" cm="1">
        <f t="array" ref="CW214">IF(OR(ISBLANK(CS214),ISBLANK(CT214)),"Incomplete",_xlfn.XLOOKUP(CS214&amp;CT214,VLOOKUP!$A$4:$A$250&amp;VLOOKUP!$B$4:$B$250,VLOOKUP!$D$4:$D$250,"0"))</f>
        <v>Incomplete</v>
      </c>
    </row>
    <row r="215" spans="1:101">
      <c r="A215" s="17" t="s">
        <v>227</v>
      </c>
      <c r="B215" s="17" t="s">
        <v>226</v>
      </c>
      <c r="C215" s="17" t="s">
        <v>86</v>
      </c>
      <c r="D215" s="26"/>
      <c r="F215" s="17">
        <v>10</v>
      </c>
      <c r="G215" s="17">
        <v>2025</v>
      </c>
      <c r="H215" s="20" t="s">
        <v>124</v>
      </c>
      <c r="I215" s="17">
        <v>3</v>
      </c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41" t="str">
        <f t="shared" si="49"/>
        <v>Incomplete</v>
      </c>
      <c r="AZ215" s="20"/>
      <c r="BA215" s="20" t="str">
        <f t="shared" si="50"/>
        <v>Incomplete</v>
      </c>
      <c r="BB215" s="20"/>
      <c r="BC215" s="20" t="str">
        <f t="shared" si="51"/>
        <v>Incomplete</v>
      </c>
      <c r="BD215" s="20"/>
      <c r="BE215" s="20" t="str">
        <f t="shared" si="52"/>
        <v>Incomplete</v>
      </c>
      <c r="BF215" s="20"/>
      <c r="BG215" s="20">
        <v>15</v>
      </c>
      <c r="BH215" s="20">
        <v>34.200000000000003</v>
      </c>
      <c r="BI215" s="20" t="e">
        <f>IF(OR(ISBLANK(#REF!), ISBLANK(#REF!)),"Incomplete",(SUM(#REF!-#REF!)))</f>
        <v>#REF!</v>
      </c>
      <c r="BJ215" s="20"/>
      <c r="BK215" s="20">
        <v>9</v>
      </c>
      <c r="BL215" s="20"/>
      <c r="BM215" s="20">
        <v>8</v>
      </c>
      <c r="BN215" s="20"/>
      <c r="BO215" s="20"/>
      <c r="BP215" s="20"/>
      <c r="BQ215" s="20"/>
      <c r="BR215" s="20"/>
      <c r="BS215" s="20"/>
      <c r="BT215" s="20"/>
      <c r="BU215" s="20"/>
      <c r="BV215" s="20"/>
      <c r="BW215" s="91" t="str">
        <f t="shared" si="53"/>
        <v>Incomplete</v>
      </c>
      <c r="BX215" s="91" t="str">
        <f>_xlfn.XLOOKUP(BW215,'Normative data'!$V$3:$V$6,'Normative data'!$W$3:$W$6,"Not Found",-1)</f>
        <v>Very low risk</v>
      </c>
      <c r="BY215" s="91" t="str">
        <f t="shared" si="54"/>
        <v>Incomplete</v>
      </c>
      <c r="BZ215" s="91" t="str">
        <f>_xlfn.XLOOKUP(BY215,'Normative data'!$V$3:$V$6,'Normative data'!$W$3:$W$6,"Not Found",-1)</f>
        <v>Very low risk</v>
      </c>
      <c r="CA215" s="20"/>
      <c r="CC215" s="20"/>
      <c r="CE215" s="20">
        <v>8</v>
      </c>
      <c r="CG215" s="20"/>
      <c r="CH215" s="20" t="str">
        <f>_xlfn.XLOOKUP(CG215, 'Normative data'!$S$9:$S$15,'Normative data'!$T$9:$T$15, "Not Found", -1)</f>
        <v>not completed</v>
      </c>
      <c r="CI215" s="20"/>
      <c r="CJ215" s="20" t="str">
        <f>_xlfn.XLOOKUP(CI215, 'Normative data'!$S$9:$S$15, 'Normative data'!$T$9:$T$15, "Not Found", -1)</f>
        <v>not completed</v>
      </c>
      <c r="CK215" s="20" t="s">
        <v>596</v>
      </c>
      <c r="CL215" s="20" t="s">
        <v>597</v>
      </c>
      <c r="CN215" s="20" t="s">
        <v>598</v>
      </c>
      <c r="CO215" s="20" t="s">
        <v>599</v>
      </c>
      <c r="CQ215" s="20"/>
      <c r="CR215" s="20" t="str" cm="1">
        <f t="array" ref="CR215">IF(OR(ISBLANK(E215),ISBLANK(CQ215)),"Incomplete",_xlfn.XLOOKUP(CQ215,_xlfn.XLOOKUP(E215,'Normative data'!$Y$3:$Y$6,'Normative data'!$Z$3:$AG$6,,-1),'Normative data'!$Z$2:$AG$2,"Not Found",-1))</f>
        <v>Incomplete</v>
      </c>
      <c r="CS215" s="20"/>
      <c r="CT215" s="20"/>
      <c r="CU215" s="20" t="str" cm="1">
        <f t="array" ref="CU215">_xlfn.XLOOKUP(CS215&amp;CT215,(VLOOKUP!$A$3:$A$250)&amp;(VLOOKUP!$B$3:$B$250),VLOOKUP!$C$3:$C$250,"Incomplete",-1)</f>
        <v>Incomplete</v>
      </c>
      <c r="CV215" s="20" t="str" cm="1">
        <f t="array" ref="CV215">_xlfn.XLOOKUP(CU215, _xlfn.XLOOKUP(E215, 'Normative data'!$Y$11:$Y$14, 'Normative data'!$Z$11:$AG$14, ,-1), 'Normative data'!$Z$10:$AG$10, "Not Found", -1)</f>
        <v>Excellent</v>
      </c>
      <c r="CW215" s="20" t="str" cm="1">
        <f t="array" ref="CW215">IF(OR(ISBLANK(CS215),ISBLANK(CT215)),"Incomplete",_xlfn.XLOOKUP(CS215&amp;CT215,VLOOKUP!$A$4:$A$250&amp;VLOOKUP!$B$4:$B$250,VLOOKUP!$D$4:$D$250,"0"))</f>
        <v>Incomplete</v>
      </c>
    </row>
    <row r="216" spans="1:101">
      <c r="A216" s="18" t="s">
        <v>600</v>
      </c>
      <c r="B216" s="18" t="s">
        <v>601</v>
      </c>
      <c r="C216" s="17" t="s">
        <v>86</v>
      </c>
      <c r="D216" s="19">
        <v>39587</v>
      </c>
      <c r="F216" s="17">
        <v>11</v>
      </c>
      <c r="G216" s="17">
        <v>2025</v>
      </c>
      <c r="H216" s="20" t="s">
        <v>124</v>
      </c>
      <c r="I216" s="17">
        <v>3</v>
      </c>
      <c r="J216" s="17" t="s">
        <v>122</v>
      </c>
      <c r="S216" s="20"/>
      <c r="T216" s="20" t="s">
        <v>602</v>
      </c>
      <c r="U216" s="20" t="s">
        <v>603</v>
      </c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41" t="str">
        <f>IF(OR(ISBLANK(#REF!), ISBLANK(AQ216)), "Incomplete", (60.7*AQ216)+(45.3*#REF!)-2055)</f>
        <v>Incomplete</v>
      </c>
      <c r="AZ216" s="20"/>
      <c r="BA216" s="20" t="str">
        <f>IF(OR(ISBLANK(#REF!), ISBLANK(AS216)), "Incomplete", (60.7*AS216)+(45.3*#REF!)-2055)</f>
        <v>Incomplete</v>
      </c>
      <c r="BB216" s="20"/>
      <c r="BC216" s="20" t="str">
        <f>IF(OR(ISBLANK(#REF!), ISBLANK(AU216)), "Incomplete", (60.7*AU216)+(45.3*#REF!)-2055)</f>
        <v>Incomplete</v>
      </c>
      <c r="BD216" s="20"/>
      <c r="BE216" s="20" t="str">
        <f>IF(OR(ISBLANK(#REF!), ISBLANK(AW216)), "Incomplete", (60.7*AW216)+(45.3*#REF!)-2055)</f>
        <v>Incomplete</v>
      </c>
      <c r="BF216" s="20"/>
      <c r="BG216" s="20">
        <v>21</v>
      </c>
      <c r="BH216" s="20">
        <v>46</v>
      </c>
      <c r="BI216" s="20" t="e">
        <f>IF(OR(ISBLANK(#REF!), ISBLANK(#REF!)),"Incomplete",(SUM(#REF!-#REF!)))</f>
        <v>#REF!</v>
      </c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91" t="str">
        <f>IFERROR(SUM(BQ216+BR216+BS216)/(3*(#REF!-S216))*100, "Incomplete")</f>
        <v>Incomplete</v>
      </c>
      <c r="BX216" s="91" t="str">
        <f>_xlfn.XLOOKUP(BW216,'Normative data'!$V$3:$V$6,'Normative data'!$W$3:$W$6,"Not Found",-1)</f>
        <v>Very low risk</v>
      </c>
      <c r="BY216" s="91" t="str">
        <f>IFERROR(SUM(BT216+BU216+BV216)/(3*(#REF!-S216))*100, "Incomplete")</f>
        <v>Incomplete</v>
      </c>
      <c r="BZ216" s="91" t="str">
        <f>_xlfn.XLOOKUP(BY216,'Normative data'!$V$3:$V$6,'Normative data'!$W$3:$W$6,"Not Found",-1)</f>
        <v>Very low risk</v>
      </c>
      <c r="CA216" s="20"/>
      <c r="CC216" s="20"/>
      <c r="CE216" s="20">
        <v>18</v>
      </c>
      <c r="CG216" s="20">
        <v>18.670000000000002</v>
      </c>
      <c r="CH216" s="20" t="str">
        <f>_xlfn.XLOOKUP(CG216, 'Normative data'!$S$9:$S$15,'Normative data'!$T$9:$T$15, "Not Found", -1)</f>
        <v>Average</v>
      </c>
      <c r="CI216" s="20">
        <v>17.77</v>
      </c>
      <c r="CJ216" s="20" t="str">
        <f>_xlfn.XLOOKUP(CI216, 'Normative data'!$S$9:$S$15, 'Normative data'!$T$9:$T$15, "Not Found", -1)</f>
        <v>Above Average</v>
      </c>
      <c r="CK216" s="21">
        <v>2.0499999999999998</v>
      </c>
      <c r="CL216" s="21">
        <v>4.88</v>
      </c>
      <c r="CM216" s="21"/>
      <c r="CN216" s="21">
        <v>6.21</v>
      </c>
      <c r="CO216" s="21">
        <v>8.0500000000000007</v>
      </c>
      <c r="CQ216" s="20"/>
      <c r="CR216" s="20" t="str" cm="1">
        <f t="array" ref="CR216">IF(OR(ISBLANK(E216),ISBLANK(CQ216)),"Incomplete",_xlfn.XLOOKUP(CQ216,_xlfn.XLOOKUP(E216,'Normative data'!$Y$3:$Y$6,'Normative data'!$Z$3:$AG$6,,-1),'Normative data'!$Z$2:$AG$2,"Not Found",-1))</f>
        <v>Incomplete</v>
      </c>
      <c r="CS216" s="20"/>
      <c r="CT216" s="20"/>
      <c r="CU216" s="20" t="str" cm="1">
        <f t="array" ref="CU216">_xlfn.XLOOKUP(CS216&amp;CT216,(VLOOKUP!$A$3:$A$250)&amp;(VLOOKUP!$B$3:$B$250),VLOOKUP!$C$3:$C$250,"Incomplete",-1)</f>
        <v>Incomplete</v>
      </c>
      <c r="CV216" s="20" t="str" cm="1">
        <f t="array" ref="CV216">_xlfn.XLOOKUP(CU216, _xlfn.XLOOKUP(E216, 'Normative data'!$Y$11:$Y$14, 'Normative data'!$Z$11:$AG$14, ,-1), 'Normative data'!$Z$10:$AG$10, "Not Found", -1)</f>
        <v>Excellent</v>
      </c>
      <c r="CW216" s="20" t="str" cm="1">
        <f t="array" ref="CW216">IF(OR(ISBLANK(CS216),ISBLANK(CT216)),"Incomplete",_xlfn.XLOOKUP(CS216&amp;CT216,VLOOKUP!$A$4:$A$250&amp;VLOOKUP!$B$4:$B$250,VLOOKUP!$D$4:$D$250,"0"))</f>
        <v>Incomplete</v>
      </c>
    </row>
    <row r="217" spans="1:101">
      <c r="A217" s="17" t="s">
        <v>604</v>
      </c>
      <c r="B217" s="17" t="s">
        <v>601</v>
      </c>
      <c r="C217" s="17" t="s">
        <v>86</v>
      </c>
      <c r="D217" s="19">
        <v>39587</v>
      </c>
      <c r="G217" s="17">
        <v>2026</v>
      </c>
      <c r="H217" s="20" t="s">
        <v>114</v>
      </c>
      <c r="I217" s="17">
        <v>1</v>
      </c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30" t="s">
        <v>605</v>
      </c>
      <c r="AR217" s="30" t="s">
        <v>606</v>
      </c>
      <c r="AS217" s="30" t="s">
        <v>607</v>
      </c>
      <c r="AT217" s="30" t="s">
        <v>608</v>
      </c>
      <c r="AU217" s="30" t="s">
        <v>609</v>
      </c>
      <c r="AV217" s="30" t="s">
        <v>610</v>
      </c>
      <c r="AW217" s="30" t="s">
        <v>611</v>
      </c>
      <c r="AX217" s="30" t="s">
        <v>612</v>
      </c>
      <c r="AY217" s="41" t="str">
        <f>IF(OR(ISBLANK(U217), ISBLANK(AQ217)), "Incomplete", (60.7*AQ217)+(45.3*U217)-2055)</f>
        <v>Incomplete</v>
      </c>
      <c r="AZ217" s="20"/>
      <c r="BA217" s="20" t="str">
        <f>IF(OR(ISBLANK(U217), ISBLANK(AS217)), "Incomplete", (60.7*AS217)+(45.3*U217)-2055)</f>
        <v>Incomplete</v>
      </c>
      <c r="BB217" s="20"/>
      <c r="BC217" s="20" t="str">
        <f>IF(OR(ISBLANK(U217), ISBLANK(AU217)), "Incomplete", (60.7*AU217)+(45.3*U217)-2055)</f>
        <v>Incomplete</v>
      </c>
      <c r="BD217" s="20"/>
      <c r="BE217" s="20" t="str">
        <f>IF(OR(ISBLANK(U217), ISBLANK(AW217)), "Incomplete", (60.7*AW217)+(45.3*U217)-2055)</f>
        <v>Incomplete</v>
      </c>
      <c r="BF217" s="20"/>
      <c r="BG217" s="30"/>
      <c r="BH217" s="30" t="s">
        <v>613</v>
      </c>
      <c r="BI217" s="20" t="str">
        <f>IF(OR(ISBLANK(BG217), ISBLANK(BH217)),"Incomplete",(SUM(BH217-BG217)))</f>
        <v>Incomplete</v>
      </c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91" t="str">
        <f>IFERROR(SUM(BQ217+BR217+BS217)/(3*(T217-S217))*100, "Incomplete")</f>
        <v>Incomplete</v>
      </c>
      <c r="BX217" s="91" t="str">
        <f>_xlfn.XLOOKUP(BW217,'Normative data'!$V$3:$V$6,'Normative data'!$W$3:$W$6,"Not Found",-1)</f>
        <v>Very low risk</v>
      </c>
      <c r="BY217" s="91" t="str">
        <f>IFERROR(SUM(BT217+BU217+BV217)/(3*(T217-S217))*100, "Incomplete")</f>
        <v>Incomplete</v>
      </c>
      <c r="BZ217" s="91" t="str">
        <f>_xlfn.XLOOKUP(BY217,'Normative data'!$V$3:$V$6,'Normative data'!$W$3:$W$6,"Not Found",-1)</f>
        <v>Very low risk</v>
      </c>
      <c r="CA217" s="20"/>
      <c r="CC217" s="30">
        <v>53</v>
      </c>
      <c r="CD217" s="30"/>
      <c r="CE217" s="30">
        <v>20</v>
      </c>
      <c r="CF217" s="30"/>
      <c r="CG217" s="30" t="s">
        <v>614</v>
      </c>
      <c r="CH217" s="20" t="str">
        <f>_xlfn.XLOOKUP(CG217, 'Normative data'!$S$9:$S$15,'Normative data'!$T$9:$T$15, "Not Found", -1)</f>
        <v>Poor</v>
      </c>
      <c r="CI217" s="30" t="s">
        <v>615</v>
      </c>
      <c r="CJ217" s="20" t="str">
        <f>_xlfn.XLOOKUP(CI217, 'Normative data'!$S$9:$S$15, 'Normative data'!$T$9:$T$15, "Not Found", -1)</f>
        <v>Poor</v>
      </c>
      <c r="CK217" s="30" t="s">
        <v>205</v>
      </c>
      <c r="CL217" s="30" t="s">
        <v>616</v>
      </c>
      <c r="CM217" s="30"/>
      <c r="CN217" s="30" t="s">
        <v>617</v>
      </c>
      <c r="CO217" s="30" t="s">
        <v>618</v>
      </c>
      <c r="CP217" s="30"/>
      <c r="CQ217" s="30" t="s">
        <v>619</v>
      </c>
      <c r="CR217" s="20" t="str" cm="1">
        <f t="array" ref="CR217">IF(OR(ISBLANK(E217),ISBLANK(CQ217)),"Incomplete",_xlfn.XLOOKUP(CQ217,_xlfn.XLOOKUP(E217,'Normative data'!$Y$3:$Y$6,'Normative data'!$Z$3:$AG$6,,-1),'Normative data'!$Z$2:$AG$2,"Not Found",-1))</f>
        <v>Incomplete</v>
      </c>
      <c r="CS217" s="20">
        <v>6</v>
      </c>
      <c r="CT217" s="20">
        <v>7</v>
      </c>
      <c r="CU217" s="20" cm="1">
        <f t="array" ref="CU217">_xlfn.XLOOKUP(CS217&amp;CT217,(VLOOKUP!$A$3:$A$250)&amp;(VLOOKUP!$B$3:$B$250),VLOOKUP!$C$3:$C$250,"Incomplete",-1)</f>
        <v>960</v>
      </c>
      <c r="CV217" s="20" t="str" cm="1">
        <f t="array" ref="CV217">_xlfn.XLOOKUP(CU217, _xlfn.XLOOKUP(E217, 'Normative data'!$Y$11:$Y$14, 'Normative data'!$Z$11:$AG$14, ,-1), 'Normative data'!$Z$10:$AG$10, "Not Found", -1)</f>
        <v xml:space="preserve">Fair </v>
      </c>
      <c r="CW217" s="20" cm="1">
        <f t="array" ref="CW217">IF(OR(ISBLANK(CS217),ISBLANK(CT217)),"Incomplete",_xlfn.XLOOKUP(CS217&amp;CT217,VLOOKUP!$A$4:$A$250&amp;VLOOKUP!$B$4:$B$250,VLOOKUP!$D$4:$D$250,"0"))</f>
        <v>35</v>
      </c>
    </row>
    <row r="218" spans="1:101">
      <c r="A218" s="17" t="s">
        <v>604</v>
      </c>
      <c r="B218" s="17" t="s">
        <v>601</v>
      </c>
      <c r="C218" s="17" t="s">
        <v>86</v>
      </c>
      <c r="D218" s="19">
        <v>39587</v>
      </c>
      <c r="G218" s="17">
        <v>2026</v>
      </c>
      <c r="H218" s="20" t="s">
        <v>114</v>
      </c>
      <c r="I218" s="17">
        <v>1</v>
      </c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41" t="str">
        <f>IF(OR(ISBLANK(U218), ISBLANK(AQ218)), "Incomplete", (60.7*AQ218)+(45.3*U218)-2055)</f>
        <v>Incomplete</v>
      </c>
      <c r="AZ218" s="20"/>
      <c r="BA218" s="20" t="str">
        <f>IF(OR(ISBLANK(U218), ISBLANK(AS218)), "Incomplete", (60.7*AS218)+(45.3*U218)-2055)</f>
        <v>Incomplete</v>
      </c>
      <c r="BB218" s="20"/>
      <c r="BC218" s="20" t="str">
        <f>IF(OR(ISBLANK(U218), ISBLANK(AU218)), "Incomplete", (60.7*AU218)+(45.3*U218)-2055)</f>
        <v>Incomplete</v>
      </c>
      <c r="BD218" s="20"/>
      <c r="BE218" s="20" t="str">
        <f>IF(OR(ISBLANK(U218), ISBLANK(AW218)), "Incomplete", (60.7*AW218)+(45.3*U218)-2055)</f>
        <v>Incomplete</v>
      </c>
      <c r="BF218" s="20"/>
      <c r="BG218" s="30">
        <v>19</v>
      </c>
      <c r="BH218" s="30">
        <v>39.5</v>
      </c>
      <c r="BI218" s="20">
        <f>IF(OR(ISBLANK(BG218), ISBLANK(BH218)),"Incomplete",(SUM(BH218-BG218)))</f>
        <v>20.5</v>
      </c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91" t="str">
        <f>IFERROR(SUM(BQ218+BR218+BS218)/(3*(T218-S218))*100, "Incomplete")</f>
        <v>Incomplete</v>
      </c>
      <c r="BX218" s="91" t="str">
        <f>_xlfn.XLOOKUP(BW218,'Normative data'!$V$3:$V$6,'Normative data'!$W$3:$W$6,"Not Found",-1)</f>
        <v>Very low risk</v>
      </c>
      <c r="BY218" s="91" t="str">
        <f>IFERROR(SUM(BT218+BU218+BV218)/(3*(T218-S218))*100, "Incomplete")</f>
        <v>Incomplete</v>
      </c>
      <c r="BZ218" s="91" t="str">
        <f>_xlfn.XLOOKUP(BY218,'Normative data'!$V$3:$V$6,'Normative data'!$W$3:$W$6,"Not Found",-1)</f>
        <v>Very low risk</v>
      </c>
      <c r="CA218" s="20"/>
      <c r="CC218" s="20"/>
      <c r="CE218" s="20"/>
      <c r="CF218" s="30"/>
      <c r="CG218" s="20"/>
      <c r="CH218" s="20" t="str">
        <f>_xlfn.XLOOKUP(CG218, 'Normative data'!$S$9:$S$15,'Normative data'!$T$9:$T$15, "Not Found", -1)</f>
        <v>not completed</v>
      </c>
      <c r="CI218" s="20"/>
      <c r="CJ218" s="20" t="str">
        <f>_xlfn.XLOOKUP(CI218, 'Normative data'!$S$9:$S$15, 'Normative data'!$T$9:$T$15, "Not Found", -1)</f>
        <v>not completed</v>
      </c>
      <c r="CK218" s="21"/>
      <c r="CL218" s="21"/>
      <c r="CM218" s="21"/>
      <c r="CN218" s="21"/>
      <c r="CO218" s="21"/>
      <c r="CP218" s="30"/>
      <c r="CQ218" s="30"/>
      <c r="CR218" s="20" t="str" cm="1">
        <f t="array" ref="CR218">IF(OR(ISBLANK(E218),ISBLANK(CQ218)),"Incomplete",_xlfn.XLOOKUP(CQ218,_xlfn.XLOOKUP(E218,'Normative data'!$Y$3:$Y$6,'Normative data'!$Z$3:$AG$6,,-1),'Normative data'!$Z$2:$AG$2,"Not Found",-1))</f>
        <v>Incomplete</v>
      </c>
      <c r="CS218" s="20"/>
      <c r="CT218" s="20"/>
      <c r="CU218" s="20" t="str" cm="1">
        <f t="array" ref="CU218">_xlfn.XLOOKUP(CS218&amp;CT218,(VLOOKUP!$A$3:$A$250)&amp;(VLOOKUP!$B$3:$B$250),VLOOKUP!$C$3:$C$250,"Incomplete",-1)</f>
        <v>Incomplete</v>
      </c>
      <c r="CV218" s="20" t="str" cm="1">
        <f t="array" ref="CV218">_xlfn.XLOOKUP(CU218, _xlfn.XLOOKUP(E218, 'Normative data'!$Y$11:$Y$14, 'Normative data'!$Z$11:$AG$14, ,-1), 'Normative data'!$Z$10:$AG$10, "Not Found", -1)</f>
        <v>Excellent</v>
      </c>
      <c r="CW218" s="20" t="str" cm="1">
        <f t="array" ref="CW218">IF(OR(ISBLANK(CS218),ISBLANK(CT218)),"Incomplete",_xlfn.XLOOKUP(CS218&amp;CT218,VLOOKUP!$A$4:$A$250&amp;VLOOKUP!$B$4:$B$250,VLOOKUP!$D$4:$D$250,"0"))</f>
        <v>Incomplete</v>
      </c>
    </row>
    <row r="219" spans="1:101">
      <c r="A219" s="17" t="s">
        <v>407</v>
      </c>
      <c r="B219" s="17" t="s">
        <v>620</v>
      </c>
      <c r="C219" s="17" t="s">
        <v>86</v>
      </c>
      <c r="D219" s="26">
        <v>40617</v>
      </c>
      <c r="F219" s="17">
        <v>8</v>
      </c>
      <c r="G219" s="17">
        <v>2025</v>
      </c>
      <c r="H219" s="20" t="s">
        <v>124</v>
      </c>
      <c r="I219" s="17">
        <v>3</v>
      </c>
      <c r="J219" s="17" t="s">
        <v>122</v>
      </c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41" t="str">
        <f>IF(OR(ISBLANK(U219), ISBLANK(AQ219)), "Incomplete", (60.7*AQ219)+(45.3*U219)-2055)</f>
        <v>Incomplete</v>
      </c>
      <c r="AZ219" s="20"/>
      <c r="BA219" s="20" t="str">
        <f>IF(OR(ISBLANK(U219), ISBLANK(AS219)), "Incomplete", (60.7*AS219)+(45.3*U219)-2055)</f>
        <v>Incomplete</v>
      </c>
      <c r="BB219" s="20"/>
      <c r="BC219" s="20" t="str">
        <f>IF(OR(ISBLANK(U219), ISBLANK(AU219)), "Incomplete", (60.7*AU219)+(45.3*U219)-2055)</f>
        <v>Incomplete</v>
      </c>
      <c r="BD219" s="20"/>
      <c r="BE219" s="20" t="str">
        <f>IF(OR(ISBLANK(U219), ISBLANK(AW219)), "Incomplete", (60.7*AW219)+(45.3*U219)-2055)</f>
        <v>Incomplete</v>
      </c>
      <c r="BF219" s="20"/>
      <c r="BG219" s="20">
        <v>14.5</v>
      </c>
      <c r="BH219" s="20">
        <v>45.8</v>
      </c>
      <c r="BI219" s="20" t="e">
        <f>IF(OR(ISBLANK(#REF!), ISBLANK(#REF!)),"Incomplete",(SUM(#REF!-#REF!)))</f>
        <v>#REF!</v>
      </c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91" t="str">
        <f>IFERROR(SUM(BQ219+BR219+BS219)/(3*(T219-S219))*100, "Incomplete")</f>
        <v>Incomplete</v>
      </c>
      <c r="BX219" s="91" t="str">
        <f>_xlfn.XLOOKUP(BW219,'Normative data'!$V$3:$V$6,'Normative data'!$W$3:$W$6,"Not Found",-1)</f>
        <v>Very low risk</v>
      </c>
      <c r="BY219" s="91" t="str">
        <f>IFERROR(SUM(BT219+BU219+BV219)/(3*(T219-S219))*100, "Incomplete")</f>
        <v>Incomplete</v>
      </c>
      <c r="BZ219" s="91" t="str">
        <f>_xlfn.XLOOKUP(BY219,'Normative data'!$V$3:$V$6,'Normative data'!$W$3:$W$6,"Not Found",-1)</f>
        <v>Very low risk</v>
      </c>
      <c r="CA219" s="20"/>
      <c r="CC219" s="20"/>
      <c r="CE219" s="20">
        <v>5</v>
      </c>
      <c r="CG219" s="20">
        <v>17.940000000000001</v>
      </c>
      <c r="CH219" s="20" t="e">
        <f>_xlfn.XLOOKUP(#REF!, 'Normative data'!$S$9:$S$15,'Normative data'!$T$9:$T$15, "Not Found", -1)</f>
        <v>#REF!</v>
      </c>
      <c r="CI219" s="20">
        <v>17.63</v>
      </c>
      <c r="CJ219" s="20" t="e">
        <f>_xlfn.XLOOKUP(#REF!, 'Normative data'!$S$9:$S$15, 'Normative data'!$T$9:$T$15, "Not Found", -1)</f>
        <v>#REF!</v>
      </c>
      <c r="CK219" s="25">
        <v>2.2400000000000002</v>
      </c>
      <c r="CL219" s="25">
        <v>4.37</v>
      </c>
      <c r="CM219" s="25"/>
      <c r="CN219" s="25">
        <v>7.01</v>
      </c>
      <c r="CO219" s="25">
        <v>7.13</v>
      </c>
      <c r="CP219" s="25"/>
      <c r="CQ219" s="30"/>
      <c r="CR219" s="20" t="str" cm="1">
        <f t="array" ref="CR219">IF(OR(ISBLANK(E219),ISBLANK(CQ219)),"Incomplete",_xlfn.XLOOKUP(CQ219,_xlfn.XLOOKUP(E219,'Normative data'!$Y$3:$Y$6,'Normative data'!$Z$3:$AG$6,,-1),'Normative data'!$Z$2:$AG$2,"Not Found",-1))</f>
        <v>Incomplete</v>
      </c>
      <c r="CS219" s="20"/>
      <c r="CT219" s="20"/>
      <c r="CU219" s="20" t="str" cm="1">
        <f t="array" ref="CU219">_xlfn.XLOOKUP(CS219&amp;CT219,(VLOOKUP!$A$3:$A$250)&amp;(VLOOKUP!$B$3:$B$250),VLOOKUP!$C$3:$C$250,"Incomplete",-1)</f>
        <v>Incomplete</v>
      </c>
      <c r="CV219" s="20" t="str" cm="1">
        <f t="array" ref="CV219">_xlfn.XLOOKUP(CU219, _xlfn.XLOOKUP(E219, 'Normative data'!$Y$11:$Y$14, 'Normative data'!$Z$11:$AG$14, ,-1), 'Normative data'!$Z$10:$AG$10, "Not Found", -1)</f>
        <v>Excellent</v>
      </c>
      <c r="CW219" s="20" t="str" cm="1">
        <f t="array" ref="CW219">IF(OR(ISBLANK(CS219),ISBLANK(CT219)),"Incomplete",_xlfn.XLOOKUP(CS219&amp;CT219,VLOOKUP!$A$4:$A$250&amp;VLOOKUP!$B$4:$B$250,VLOOKUP!$D$4:$D$250,"0"))</f>
        <v>Incomplete</v>
      </c>
    </row>
    <row r="220" spans="1:101">
      <c r="A220" s="17" t="s">
        <v>407</v>
      </c>
      <c r="B220" s="17" t="s">
        <v>620</v>
      </c>
      <c r="C220" s="17" t="s">
        <v>86</v>
      </c>
      <c r="D220" s="26">
        <v>40617</v>
      </c>
      <c r="F220" s="17">
        <v>8</v>
      </c>
      <c r="G220" s="17">
        <v>2025</v>
      </c>
      <c r="H220" s="20" t="s">
        <v>124</v>
      </c>
      <c r="I220" s="17">
        <v>3</v>
      </c>
      <c r="S220" s="20"/>
      <c r="T220" s="20" t="s">
        <v>621</v>
      </c>
      <c r="U220" s="20" t="s">
        <v>622</v>
      </c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41" t="str">
        <f>IF(OR(ISBLANK(#REF!), ISBLANK(AQ220)), "Incomplete", (60.7*AQ220)+(45.3*#REF!)-2055)</f>
        <v>Incomplete</v>
      </c>
      <c r="AZ220" s="20"/>
      <c r="BA220" s="20" t="str">
        <f>IF(OR(ISBLANK(#REF!), ISBLANK(AS220)), "Incomplete", (60.7*AS220)+(45.3*#REF!)-2055)</f>
        <v>Incomplete</v>
      </c>
      <c r="BB220" s="20"/>
      <c r="BC220" s="20" t="str">
        <f>IF(OR(ISBLANK(#REF!), ISBLANK(AU220)), "Incomplete", (60.7*AU220)+(45.3*#REF!)-2055)</f>
        <v>Incomplete</v>
      </c>
      <c r="BD220" s="20"/>
      <c r="BE220" s="20" t="str">
        <f>IF(OR(ISBLANK(#REF!), ISBLANK(AW220)), "Incomplete", (60.7*AW220)+(45.3*#REF!)-2055)</f>
        <v>Incomplete</v>
      </c>
      <c r="BF220" s="20"/>
      <c r="BG220" s="20"/>
      <c r="BH220" s="20"/>
      <c r="BI220" s="20" t="str">
        <f>IF(OR(ISBLANK(BG220), ISBLANK(BH220)),"Incomplete",(SUM(BH220-BG220)))</f>
        <v>Incomplete</v>
      </c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91" t="str">
        <f>IFERROR(SUM(BQ220+BR220+BS220)/(3*(#REF!-S220))*100, "Incomplete")</f>
        <v>Incomplete</v>
      </c>
      <c r="BX220" s="91" t="str">
        <f>_xlfn.XLOOKUP(BW220,'Normative data'!$V$3:$V$6,'Normative data'!$W$3:$W$6,"Not Found",-1)</f>
        <v>Very low risk</v>
      </c>
      <c r="BY220" s="91" t="str">
        <f>IFERROR(SUM(BT220+BU220+BV220)/(3*(#REF!-S220))*100, "Incomplete")</f>
        <v>Incomplete</v>
      </c>
      <c r="BZ220" s="91" t="str">
        <f>_xlfn.XLOOKUP(BY220,'Normative data'!$V$3:$V$6,'Normative data'!$W$3:$W$6,"Not Found",-1)</f>
        <v>Very low risk</v>
      </c>
      <c r="CA220" s="20"/>
      <c r="CC220" s="20"/>
      <c r="CE220" s="20"/>
      <c r="CG220" s="20">
        <v>17.850000000000001</v>
      </c>
      <c r="CH220" s="20" t="e">
        <f>_xlfn.XLOOKUP(#REF!, 'Normative data'!$S$9:$S$15,'Normative data'!$T$9:$T$15, "Not Found", -1)</f>
        <v>#REF!</v>
      </c>
      <c r="CI220" s="20">
        <v>17.04</v>
      </c>
      <c r="CJ220" s="20" t="e">
        <f>_xlfn.XLOOKUP(#REF!, 'Normative data'!$S$9:$S$15, 'Normative data'!$T$9:$T$15, "Not Found", -1)</f>
        <v>#REF!</v>
      </c>
      <c r="CK220" s="20" t="s">
        <v>623</v>
      </c>
      <c r="CL220" s="20" t="s">
        <v>624</v>
      </c>
      <c r="CN220" s="20" t="s">
        <v>355</v>
      </c>
      <c r="CO220" s="20" t="s">
        <v>356</v>
      </c>
      <c r="CQ220" s="30"/>
      <c r="CR220" s="20" t="str" cm="1">
        <f t="array" ref="CR220">IF(OR(ISBLANK(E220),ISBLANK(CQ220)),"Incomplete",_xlfn.XLOOKUP(CQ220,_xlfn.XLOOKUP(E220,'Normative data'!$Y$3:$Y$6,'Normative data'!$Z$3:$AG$6,,-1),'Normative data'!$Z$2:$AG$2,"Not Found",-1))</f>
        <v>Incomplete</v>
      </c>
      <c r="CS220" s="20"/>
      <c r="CT220" s="20"/>
      <c r="CU220" s="20" t="str" cm="1">
        <f t="array" ref="CU220">_xlfn.XLOOKUP(CS220&amp;CT220,(VLOOKUP!$A$3:$A$250)&amp;(VLOOKUP!$B$3:$B$250),VLOOKUP!$C$3:$C$250,"Incomplete",-1)</f>
        <v>Incomplete</v>
      </c>
      <c r="CV220" s="20" t="str" cm="1">
        <f t="array" ref="CV220">_xlfn.XLOOKUP(CU220, _xlfn.XLOOKUP(E220, 'Normative data'!$Y$11:$Y$14, 'Normative data'!$Z$11:$AG$14, ,-1), 'Normative data'!$Z$10:$AG$10, "Not Found", -1)</f>
        <v>Excellent</v>
      </c>
      <c r="CW220" s="20" t="str" cm="1">
        <f t="array" ref="CW220">IF(OR(ISBLANK(CS220),ISBLANK(CT220)),"Incomplete",_xlfn.XLOOKUP(CS220&amp;CT220,VLOOKUP!$A$4:$A$250&amp;VLOOKUP!$B$4:$B$250,VLOOKUP!$D$4:$D$250,"0"))</f>
        <v>Incomplete</v>
      </c>
    </row>
    <row r="221" spans="1:101">
      <c r="A221" s="17" t="s">
        <v>625</v>
      </c>
      <c r="B221" s="17" t="s">
        <v>626</v>
      </c>
      <c r="C221" s="17" t="s">
        <v>86</v>
      </c>
      <c r="D221" s="26">
        <v>40617</v>
      </c>
      <c r="G221" s="17">
        <v>2026</v>
      </c>
      <c r="H221" s="20" t="s">
        <v>114</v>
      </c>
      <c r="I221" s="17">
        <v>1</v>
      </c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 t="s">
        <v>627</v>
      </c>
      <c r="AR221" s="20" t="s">
        <v>628</v>
      </c>
      <c r="AS221" s="20" t="s">
        <v>530</v>
      </c>
      <c r="AT221" s="20" t="s">
        <v>531</v>
      </c>
      <c r="AU221" s="20" t="s">
        <v>629</v>
      </c>
      <c r="AV221" s="20" t="s">
        <v>630</v>
      </c>
      <c r="AW221" s="20" t="s">
        <v>631</v>
      </c>
      <c r="AX221" s="20" t="s">
        <v>632</v>
      </c>
      <c r="AY221" s="41" t="str">
        <f t="shared" ref="AY221:AY259" si="56">IF(OR(ISBLANK(U221), ISBLANK(AQ221)), "Incomplete", (60.7*AQ221)+(45.3*U221)-2055)</f>
        <v>Incomplete</v>
      </c>
      <c r="AZ221" s="20"/>
      <c r="BA221" s="20" t="str">
        <f t="shared" ref="BA221:BA259" si="57">IF(OR(ISBLANK(U221), ISBLANK(AS221)), "Incomplete", (60.7*AS221)+(45.3*U221)-2055)</f>
        <v>Incomplete</v>
      </c>
      <c r="BB221" s="20"/>
      <c r="BC221" s="20" t="str">
        <f t="shared" ref="BC221:BC259" si="58">IF(OR(ISBLANK(U221), ISBLANK(AU221)), "Incomplete", (60.7*AU221)+(45.3*U221)-2055)</f>
        <v>Incomplete</v>
      </c>
      <c r="BD221" s="20"/>
      <c r="BE221" s="20" t="str">
        <f t="shared" ref="BE221:BE259" si="59">IF(OR(ISBLANK(U221), ISBLANK(AW221)), "Incomplete", (60.7*AW221)+(45.3*U221)-2055)</f>
        <v>Incomplete</v>
      </c>
      <c r="BF221" s="20"/>
      <c r="BG221" s="20" t="s">
        <v>633</v>
      </c>
      <c r="BH221" s="20" t="s">
        <v>634</v>
      </c>
      <c r="BI221" s="20" t="e">
        <f>IF(OR(ISBLANK(BG221), ISBLANK(BH221)),"Incomplete",(SUM(BH221-BG221)))</f>
        <v>#VALUE!</v>
      </c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91" t="str">
        <f t="shared" ref="BW221:BW232" si="60">IFERROR(SUM(BQ221+BR221+BS221)/(3*(T221-S221))*100, "Incomplete")</f>
        <v>Incomplete</v>
      </c>
      <c r="BX221" s="91" t="str">
        <f>_xlfn.XLOOKUP(BW221,'Normative data'!$V$3:$V$6,'Normative data'!$W$3:$W$6,"Not Found",-1)</f>
        <v>Very low risk</v>
      </c>
      <c r="BY221" s="91" t="str">
        <f t="shared" ref="BY221:BY232" si="61">IFERROR(SUM(BT221+BU221+BV221)/(3*(T221-S221))*100, "Incomplete")</f>
        <v>Incomplete</v>
      </c>
      <c r="BZ221" s="91" t="str">
        <f>_xlfn.XLOOKUP(BY221,'Normative data'!$V$3:$V$6,'Normative data'!$W$3:$W$6,"Not Found",-1)</f>
        <v>Very low risk</v>
      </c>
      <c r="CA221" s="20"/>
      <c r="CC221" s="20">
        <v>22</v>
      </c>
      <c r="CE221" s="20">
        <v>7</v>
      </c>
      <c r="CG221" s="20" t="s">
        <v>635</v>
      </c>
      <c r="CH221" s="20" t="str">
        <f>_xlfn.XLOOKUP(CG221, 'Normative data'!$S$9:$S$15,'Normative data'!$T$9:$T$15, "Not Found", -1)</f>
        <v>Poor</v>
      </c>
      <c r="CI221" s="20" t="s">
        <v>636</v>
      </c>
      <c r="CJ221" s="20" t="str">
        <f>_xlfn.XLOOKUP(CI221, 'Normative data'!$S$9:$S$15, 'Normative data'!$T$9:$T$15, "Not Found", -1)</f>
        <v>Poor</v>
      </c>
      <c r="CK221" s="21"/>
      <c r="CL221" s="21"/>
      <c r="CM221" s="21"/>
      <c r="CN221" s="21"/>
      <c r="CO221" s="21"/>
      <c r="CQ221" s="20" t="s">
        <v>637</v>
      </c>
      <c r="CR221" s="20" t="str" cm="1">
        <f t="array" ref="CR221">IF(OR(ISBLANK(E221),ISBLANK(CQ221)),"Incomplete",_xlfn.XLOOKUP(CQ221,_xlfn.XLOOKUP(E221,'Normative data'!$Y$3:$Y$6,'Normative data'!$Z$3:$AG$6,,-1),'Normative data'!$Z$2:$AG$2,"Not Found",-1))</f>
        <v>Incomplete</v>
      </c>
      <c r="CS221" s="20">
        <v>12</v>
      </c>
      <c r="CT221" s="20">
        <v>8</v>
      </c>
      <c r="CU221" s="20" cm="1">
        <f t="array" ref="CU221">_xlfn.XLOOKUP(CS221&amp;CT221,(VLOOKUP!$A$3:$A$250)&amp;(VLOOKUP!$B$3:$B$250),VLOOKUP!$C$3:$C$250,"Incomplete",-1)</f>
        <v>2280</v>
      </c>
      <c r="CV221" s="20" t="str" cm="1">
        <f t="array" ref="CV221">_xlfn.XLOOKUP(CU221, _xlfn.XLOOKUP(E221, 'Normative data'!$Y$11:$Y$14, 'Normative data'!$Z$11:$AG$14, ,-1), 'Normative data'!$Z$10:$AG$10, "Not Found", -1)</f>
        <v>Excellent</v>
      </c>
      <c r="CW221" s="20" cm="1">
        <f t="array" ref="CW221">IF(OR(ISBLANK(CS221),ISBLANK(CT221)),"Incomplete",_xlfn.XLOOKUP(CS221&amp;CT221,VLOOKUP!$A$4:$A$250&amp;VLOOKUP!$B$4:$B$250,VLOOKUP!$D$4:$D$250,"0"))</f>
        <v>56</v>
      </c>
    </row>
    <row r="222" spans="1:101">
      <c r="A222" s="17" t="s">
        <v>638</v>
      </c>
      <c r="B222" s="17" t="s">
        <v>455</v>
      </c>
      <c r="C222" s="17" t="s">
        <v>86</v>
      </c>
      <c r="D222" s="26">
        <v>40863</v>
      </c>
      <c r="E222" s="17">
        <v>14.5</v>
      </c>
      <c r="F222" s="20" t="s">
        <v>92</v>
      </c>
      <c r="G222" s="17">
        <v>2026</v>
      </c>
      <c r="I222" s="20">
        <v>2</v>
      </c>
      <c r="J222" s="20" t="s">
        <v>122</v>
      </c>
      <c r="K222" s="20" t="s">
        <v>297</v>
      </c>
      <c r="L222" s="20" t="s">
        <v>567</v>
      </c>
      <c r="S222" s="20">
        <v>86.1</v>
      </c>
      <c r="T222" s="20">
        <v>169.4</v>
      </c>
      <c r="U222" s="17">
        <v>62.1</v>
      </c>
      <c r="V222" s="17">
        <v>35.9</v>
      </c>
      <c r="W222" s="17">
        <v>12.9</v>
      </c>
      <c r="X222" s="17">
        <v>49.2</v>
      </c>
      <c r="Y222" s="17">
        <v>27</v>
      </c>
      <c r="Z222" s="17">
        <v>21.6</v>
      </c>
      <c r="AA222" s="17">
        <v>20.8</v>
      </c>
      <c r="AB222" s="17">
        <v>7.54</v>
      </c>
      <c r="AC222" s="17">
        <v>105.5</v>
      </c>
      <c r="AD222" s="17">
        <v>7.58</v>
      </c>
      <c r="AE222" s="17">
        <v>106.1</v>
      </c>
      <c r="AF222" s="17">
        <v>2.1</v>
      </c>
      <c r="AG222" s="17">
        <v>80.7</v>
      </c>
      <c r="AH222" s="17">
        <v>2.1</v>
      </c>
      <c r="AI222" s="17">
        <v>80.5</v>
      </c>
      <c r="AJ222" s="17">
        <v>276.10000000000002</v>
      </c>
      <c r="AK222" s="17">
        <v>271</v>
      </c>
      <c r="AL222" s="17">
        <v>247.1</v>
      </c>
      <c r="AM222" s="17">
        <v>243.9</v>
      </c>
      <c r="AN222" s="17">
        <v>117</v>
      </c>
      <c r="AO222" s="17">
        <v>0.8</v>
      </c>
      <c r="AP222" s="17">
        <v>6.9</v>
      </c>
      <c r="AQ222" s="17">
        <v>26.7</v>
      </c>
      <c r="AR222" s="17">
        <v>0.46700000000000003</v>
      </c>
      <c r="AS222" s="17">
        <v>32.1</v>
      </c>
      <c r="AT222" s="17">
        <v>0.51200000000000001</v>
      </c>
      <c r="AU222" s="17">
        <v>6.3</v>
      </c>
      <c r="AV222" s="17">
        <v>0.22700000000000001</v>
      </c>
      <c r="AW222" s="17">
        <v>13.8</v>
      </c>
      <c r="AX222" s="17">
        <v>0.33600000000000002</v>
      </c>
      <c r="AY222" s="41">
        <f t="shared" si="56"/>
        <v>2378.8199999999997</v>
      </c>
      <c r="BA222" s="20">
        <f t="shared" si="57"/>
        <v>2706.6000000000004</v>
      </c>
      <c r="BC222" s="20">
        <f t="shared" si="58"/>
        <v>1140.54</v>
      </c>
      <c r="BE222" s="20">
        <f t="shared" si="59"/>
        <v>1595.79</v>
      </c>
      <c r="BG222" s="17">
        <v>7.4</v>
      </c>
      <c r="BH222" s="17">
        <v>28.6</v>
      </c>
      <c r="BI222" s="20">
        <f>IF(OR(ISBLANK(BG222), ISBLANK(BH222)),"Incomplete",(SUM(BH222-BG222)))</f>
        <v>21.200000000000003</v>
      </c>
      <c r="BJ222" s="20"/>
      <c r="BK222" s="17">
        <v>10</v>
      </c>
      <c r="BL222" s="20"/>
      <c r="BM222" s="17">
        <v>12</v>
      </c>
      <c r="BN222" s="20"/>
      <c r="BO222" s="17">
        <v>49</v>
      </c>
      <c r="BP222" s="17">
        <v>49</v>
      </c>
      <c r="BQ222" s="17">
        <v>83</v>
      </c>
      <c r="BR222" s="17">
        <v>64</v>
      </c>
      <c r="BS222" s="17">
        <v>80</v>
      </c>
      <c r="BT222" s="17">
        <v>76</v>
      </c>
      <c r="BU222" s="17">
        <v>67</v>
      </c>
      <c r="BV222" s="17">
        <v>77</v>
      </c>
      <c r="BW222" s="91">
        <f t="shared" si="60"/>
        <v>90.836334533813513</v>
      </c>
      <c r="BX222" s="91" t="str">
        <f>_xlfn.XLOOKUP(BW222,'Normative data'!$V$3:$V$6,'Normative data'!$W$3:$W$6,"Not Found",-1)</f>
        <v>High risk</v>
      </c>
      <c r="BY222" s="91">
        <f t="shared" si="61"/>
        <v>88.035214085634237</v>
      </c>
      <c r="BZ222" s="91" t="str">
        <f>_xlfn.XLOOKUP(BY222,'Normative data'!$V$3:$V$6,'Normative data'!$W$3:$W$6,"Not Found",-1)</f>
        <v>High risk</v>
      </c>
      <c r="CA222" s="17">
        <v>36</v>
      </c>
      <c r="CC222" s="20"/>
      <c r="CE222" s="17">
        <v>21</v>
      </c>
      <c r="CG222" s="17">
        <v>17.89</v>
      </c>
      <c r="CH222" s="20" t="str">
        <f>_xlfn.XLOOKUP(CG222, 'Normative data'!$S$9:$S$15,'Normative data'!$T$9:$T$15, "Not Found", -1)</f>
        <v>Above Average</v>
      </c>
      <c r="CI222" s="17">
        <v>17.010000000000002</v>
      </c>
      <c r="CJ222" s="20" t="str">
        <f>_xlfn.XLOOKUP(CI222, 'Normative data'!$S$9:$S$15, 'Normative data'!$T$9:$T$15, "Not Found", -1)</f>
        <v>Above Average</v>
      </c>
      <c r="CK222" s="17">
        <v>1.98</v>
      </c>
      <c r="CL222" s="17">
        <v>5.05</v>
      </c>
      <c r="CN222" s="17">
        <v>6.03</v>
      </c>
      <c r="CO222" s="17">
        <v>8.2899999999999991</v>
      </c>
      <c r="CQ222" s="17">
        <v>8.1999999999999993</v>
      </c>
      <c r="CR222" s="20" t="str" cm="1">
        <f t="array" ref="CR222">IF(OR(ISBLANK(E222),ISBLANK(CQ222)),"Incomplete",_xlfn.XLOOKUP(CQ222,_xlfn.XLOOKUP(E222,'Normative data'!$Y$3:$Y$6,'Normative data'!$Z$3:$AG$6,,-1),'Normative data'!$Z$2:$AG$2,"Not Found",-1))</f>
        <v>Good</v>
      </c>
      <c r="CS222" s="20">
        <v>8</v>
      </c>
      <c r="CT222" s="20">
        <v>2</v>
      </c>
      <c r="CU222" s="20" cm="1">
        <f t="array" ref="CU222">_xlfn.XLOOKUP(CS222&amp;CT222,(VLOOKUP!$A$3:$A$250)&amp;(VLOOKUP!$B$3:$B$250),VLOOKUP!$C$3:$C$250,"Incomplete",-1)</f>
        <v>1260</v>
      </c>
      <c r="CV222" s="20" t="str" cm="1">
        <f t="array" ref="CV222">_xlfn.XLOOKUP(CU222, _xlfn.XLOOKUP(E222, 'Normative data'!$Y$11:$Y$14, 'Normative data'!$Z$11:$AG$14, ,-1), 'Normative data'!$Z$10:$AG$10, "Not Found", -1)</f>
        <v>Average</v>
      </c>
      <c r="CW222" s="20" cm="1">
        <f t="array" ref="CW222">IF(OR(ISBLANK(CS222),ISBLANK(CT222)),"Incomplete",_xlfn.XLOOKUP(CS222&amp;CT222,VLOOKUP!$A$4:$A$250&amp;VLOOKUP!$B$4:$B$250,VLOOKUP!$D$4:$D$250,"0"))</f>
        <v>41</v>
      </c>
    </row>
    <row r="223" spans="1:101">
      <c r="A223" s="17" t="s">
        <v>639</v>
      </c>
      <c r="B223" s="17" t="s">
        <v>640</v>
      </c>
      <c r="C223" s="17" t="s">
        <v>86</v>
      </c>
      <c r="D223" s="26"/>
      <c r="F223" s="17">
        <v>11</v>
      </c>
      <c r="G223" s="17">
        <v>2025</v>
      </c>
      <c r="H223" s="20" t="s">
        <v>124</v>
      </c>
      <c r="I223" s="17">
        <v>3</v>
      </c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41" t="str">
        <f t="shared" si="56"/>
        <v>Incomplete</v>
      </c>
      <c r="AZ223" s="20"/>
      <c r="BA223" s="20" t="str">
        <f t="shared" si="57"/>
        <v>Incomplete</v>
      </c>
      <c r="BB223" s="20"/>
      <c r="BC223" s="20" t="str">
        <f t="shared" si="58"/>
        <v>Incomplete</v>
      </c>
      <c r="BD223" s="20"/>
      <c r="BE223" s="20" t="str">
        <f t="shared" si="59"/>
        <v>Incomplete</v>
      </c>
      <c r="BF223" s="20"/>
      <c r="BG223" s="20">
        <v>10</v>
      </c>
      <c r="BH223" s="20"/>
      <c r="BI223" s="20" t="str">
        <f>IF(OR(ISBLANK(#REF!), ISBLANK(BH223)),"Incomplete",(SUM(BH223-#REF!)))</f>
        <v>Incomplete</v>
      </c>
      <c r="BJ223" s="20"/>
      <c r="BK223" s="20">
        <v>7</v>
      </c>
      <c r="BL223" s="20"/>
      <c r="BM223" s="20">
        <v>6</v>
      </c>
      <c r="BN223" s="20"/>
      <c r="BO223" s="20"/>
      <c r="BP223" s="20"/>
      <c r="BQ223" s="20"/>
      <c r="BR223" s="20"/>
      <c r="BS223" s="20"/>
      <c r="BT223" s="20"/>
      <c r="BU223" s="20"/>
      <c r="BV223" s="20"/>
      <c r="BW223" s="91" t="str">
        <f t="shared" si="60"/>
        <v>Incomplete</v>
      </c>
      <c r="BX223" s="91" t="str">
        <f>_xlfn.XLOOKUP(BW223,'Normative data'!$V$3:$V$6,'Normative data'!$W$3:$W$6,"Not Found",-1)</f>
        <v>Very low risk</v>
      </c>
      <c r="BY223" s="91" t="str">
        <f t="shared" si="61"/>
        <v>Incomplete</v>
      </c>
      <c r="BZ223" s="91" t="str">
        <f>_xlfn.XLOOKUP(BY223,'Normative data'!$V$3:$V$6,'Normative data'!$W$3:$W$6,"Not Found",-1)</f>
        <v>Very low risk</v>
      </c>
      <c r="CA223" s="20"/>
      <c r="CC223" s="20"/>
      <c r="CE223" s="20"/>
      <c r="CG223" s="20"/>
      <c r="CH223" s="20" t="str">
        <f>_xlfn.XLOOKUP(CG223, 'Normative data'!$S$9:$S$15,'Normative data'!$T$9:$T$15, "Not Found", -1)</f>
        <v>not completed</v>
      </c>
      <c r="CI223" s="20"/>
      <c r="CJ223" s="20" t="str">
        <f>_xlfn.XLOOKUP(CI223, 'Normative data'!$S$9:$S$15, 'Normative data'!$T$9:$T$15, "Not Found", -1)</f>
        <v>not completed</v>
      </c>
      <c r="CK223" s="20" t="s">
        <v>209</v>
      </c>
      <c r="CL223" s="20" t="s">
        <v>477</v>
      </c>
      <c r="CN223" s="20" t="s">
        <v>641</v>
      </c>
      <c r="CO223" s="20" t="s">
        <v>642</v>
      </c>
      <c r="CQ223" s="20"/>
      <c r="CR223" s="20" t="str" cm="1">
        <f t="array" ref="CR223">IF(OR(ISBLANK(E223),ISBLANK(CQ223)),"Incomplete",_xlfn.XLOOKUP(CQ223,_xlfn.XLOOKUP(E223,'Normative data'!$Y$3:$Y$6,'Normative data'!$Z$3:$AG$6,,-1),'Normative data'!$Z$2:$AG$2,"Not Found",-1))</f>
        <v>Incomplete</v>
      </c>
      <c r="CS223" s="20"/>
      <c r="CT223" s="20"/>
      <c r="CU223" s="20" t="str" cm="1">
        <f t="array" ref="CU223">_xlfn.XLOOKUP(CS223&amp;CT223,(VLOOKUP!$A$3:$A$250)&amp;(VLOOKUP!$B$3:$B$250),VLOOKUP!$C$3:$C$250,"Incomplete",-1)</f>
        <v>Incomplete</v>
      </c>
      <c r="CV223" s="20" t="str" cm="1">
        <f t="array" ref="CV223">_xlfn.XLOOKUP(CU223, _xlfn.XLOOKUP(E223, 'Normative data'!$Y$11:$Y$14, 'Normative data'!$Z$11:$AG$14, ,-1), 'Normative data'!$Z$10:$AG$10, "Not Found", -1)</f>
        <v>Excellent</v>
      </c>
      <c r="CW223" s="20" t="str" cm="1">
        <f t="array" ref="CW223">IF(OR(ISBLANK(CS223),ISBLANK(CT223)),"Incomplete",_xlfn.XLOOKUP(CS223&amp;CT223,VLOOKUP!$A$4:$A$250&amp;VLOOKUP!$B$4:$B$250,VLOOKUP!$D$4:$D$250,"0"))</f>
        <v>Incomplete</v>
      </c>
    </row>
    <row r="224" spans="1:101">
      <c r="A224" s="17" t="s">
        <v>643</v>
      </c>
      <c r="B224" s="17" t="s">
        <v>644</v>
      </c>
      <c r="C224" s="17" t="s">
        <v>86</v>
      </c>
      <c r="D224" s="26"/>
      <c r="F224" s="17">
        <v>9</v>
      </c>
      <c r="G224" s="17">
        <v>2025</v>
      </c>
      <c r="H224" s="20" t="s">
        <v>124</v>
      </c>
      <c r="I224" s="17">
        <v>3</v>
      </c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41" t="str">
        <f t="shared" si="56"/>
        <v>Incomplete</v>
      </c>
      <c r="AZ224" s="20"/>
      <c r="BA224" s="20" t="str">
        <f t="shared" si="57"/>
        <v>Incomplete</v>
      </c>
      <c r="BB224" s="20"/>
      <c r="BC224" s="20" t="str">
        <f t="shared" si="58"/>
        <v>Incomplete</v>
      </c>
      <c r="BD224" s="20"/>
      <c r="BE224" s="20" t="str">
        <f t="shared" si="59"/>
        <v>Incomplete</v>
      </c>
      <c r="BF224" s="20"/>
      <c r="BG224" s="20"/>
      <c r="BH224" s="20"/>
      <c r="BI224" s="20" t="str">
        <f>IF(OR(ISBLANK(BG224), ISBLANK(BH224)),"Incomplete",(SUM(BH224-BG224)))</f>
        <v>Incomplete</v>
      </c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91" t="str">
        <f t="shared" si="60"/>
        <v>Incomplete</v>
      </c>
      <c r="BX224" s="91" t="str">
        <f>_xlfn.XLOOKUP(BW224,'Normative data'!$V$3:$V$6,'Normative data'!$W$3:$W$6,"Not Found",-1)</f>
        <v>Very low risk</v>
      </c>
      <c r="BY224" s="91" t="str">
        <f t="shared" si="61"/>
        <v>Incomplete</v>
      </c>
      <c r="BZ224" s="91" t="str">
        <f>_xlfn.XLOOKUP(BY224,'Normative data'!$V$3:$V$6,'Normative data'!$W$3:$W$6,"Not Found",-1)</f>
        <v>Very low risk</v>
      </c>
      <c r="CA224" s="20"/>
      <c r="CC224" s="20"/>
      <c r="CE224" s="20"/>
      <c r="CG224" s="20"/>
      <c r="CH224" s="20" t="str">
        <f>_xlfn.XLOOKUP(CG224, 'Normative data'!$S$9:$S$15,'Normative data'!$T$9:$T$15, "Not Found", -1)</f>
        <v>not completed</v>
      </c>
      <c r="CI224" s="20"/>
      <c r="CJ224" s="20" t="str">
        <f>_xlfn.XLOOKUP(CI224, 'Normative data'!$S$9:$S$15, 'Normative data'!$T$9:$T$15, "Not Found", -1)</f>
        <v>not completed</v>
      </c>
      <c r="CK224" s="20" t="s">
        <v>245</v>
      </c>
      <c r="CL224" s="20" t="s">
        <v>246</v>
      </c>
      <c r="CN224" s="20" t="s">
        <v>499</v>
      </c>
      <c r="CO224" s="20" t="s">
        <v>500</v>
      </c>
      <c r="CQ224" s="20"/>
      <c r="CR224" s="20" t="str" cm="1">
        <f t="array" ref="CR224">IF(OR(ISBLANK(E224),ISBLANK(CQ224)),"Incomplete",_xlfn.XLOOKUP(CQ224,_xlfn.XLOOKUP(E224,'Normative data'!$Y$3:$Y$6,'Normative data'!$Z$3:$AG$6,,-1),'Normative data'!$Z$2:$AG$2,"Not Found",-1))</f>
        <v>Incomplete</v>
      </c>
      <c r="CS224" s="20"/>
      <c r="CT224" s="20"/>
      <c r="CU224" s="20" t="str" cm="1">
        <f t="array" ref="CU224">_xlfn.XLOOKUP(CS224&amp;CT224,(VLOOKUP!$A$3:$A$250)&amp;(VLOOKUP!$B$3:$B$250),VLOOKUP!$C$3:$C$250,"Incomplete",-1)</f>
        <v>Incomplete</v>
      </c>
      <c r="CV224" s="20" t="str" cm="1">
        <f t="array" ref="CV224">_xlfn.XLOOKUP(CU224, _xlfn.XLOOKUP(E224, 'Normative data'!$Y$11:$Y$14, 'Normative data'!$Z$11:$AG$14, ,-1), 'Normative data'!$Z$10:$AG$10, "Not Found", -1)</f>
        <v>Excellent</v>
      </c>
      <c r="CW224" s="20" t="str" cm="1">
        <f t="array" ref="CW224">IF(OR(ISBLANK(CS224),ISBLANK(CT224)),"Incomplete",_xlfn.XLOOKUP(CS224&amp;CT224,VLOOKUP!$A$4:$A$250&amp;VLOOKUP!$B$4:$B$250,VLOOKUP!$D$4:$D$250,"0"))</f>
        <v>Incomplete</v>
      </c>
    </row>
    <row r="225" spans="1:101">
      <c r="A225" s="18" t="s">
        <v>266</v>
      </c>
      <c r="B225" s="18" t="s">
        <v>265</v>
      </c>
      <c r="C225" s="17" t="s">
        <v>86</v>
      </c>
      <c r="D225" s="19">
        <v>40264</v>
      </c>
      <c r="F225" s="17">
        <v>9</v>
      </c>
      <c r="G225" s="17">
        <v>2025</v>
      </c>
      <c r="H225" s="20" t="s">
        <v>124</v>
      </c>
      <c r="I225" s="17">
        <v>3</v>
      </c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41" t="str">
        <f t="shared" si="56"/>
        <v>Incomplete</v>
      </c>
      <c r="AZ225" s="20"/>
      <c r="BA225" s="20" t="str">
        <f t="shared" si="57"/>
        <v>Incomplete</v>
      </c>
      <c r="BB225" s="20"/>
      <c r="BC225" s="20" t="str">
        <f t="shared" si="58"/>
        <v>Incomplete</v>
      </c>
      <c r="BD225" s="20"/>
      <c r="BE225" s="20" t="str">
        <f t="shared" si="59"/>
        <v>Incomplete</v>
      </c>
      <c r="BF225" s="20"/>
      <c r="BG225" s="20">
        <v>11</v>
      </c>
      <c r="BH225" s="20">
        <v>20</v>
      </c>
      <c r="BI225" s="20" t="e">
        <f>IF(OR(ISBLANK(#REF!), ISBLANK(#REF!)),"Incomplete",(SUM(#REF!-#REF!)))</f>
        <v>#REF!</v>
      </c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91" t="str">
        <f t="shared" si="60"/>
        <v>Incomplete</v>
      </c>
      <c r="BX225" s="91" t="str">
        <f>_xlfn.XLOOKUP(BW225,'Normative data'!$V$3:$V$6,'Normative data'!$W$3:$W$6,"Not Found",-1)</f>
        <v>Very low risk</v>
      </c>
      <c r="BY225" s="91" t="str">
        <f t="shared" si="61"/>
        <v>Incomplete</v>
      </c>
      <c r="BZ225" s="91" t="str">
        <f>_xlfn.XLOOKUP(BY225,'Normative data'!$V$3:$V$6,'Normative data'!$W$3:$W$6,"Not Found",-1)</f>
        <v>Very low risk</v>
      </c>
      <c r="CA225" s="20"/>
      <c r="CC225" s="20"/>
      <c r="CE225" s="20">
        <v>11</v>
      </c>
      <c r="CG225" s="20"/>
      <c r="CH225" s="20" t="str">
        <f>_xlfn.XLOOKUP(CG225, 'Normative data'!$S$9:$S$15,'Normative data'!$T$9:$T$15, "Not Found", -1)</f>
        <v>not completed</v>
      </c>
      <c r="CI225" s="20"/>
      <c r="CJ225" s="20" t="str">
        <f>_xlfn.XLOOKUP(CI225, 'Normative data'!$S$9:$S$15, 'Normative data'!$T$9:$T$15, "Not Found", -1)</f>
        <v>not completed</v>
      </c>
      <c r="CK225" s="21">
        <v>2.08</v>
      </c>
      <c r="CL225" s="21">
        <v>4.8099999999999996</v>
      </c>
      <c r="CM225" s="21"/>
      <c r="CN225" s="21">
        <v>6.72</v>
      </c>
      <c r="CO225" s="21">
        <v>7.44</v>
      </c>
      <c r="CP225" s="21"/>
      <c r="CQ225" s="20"/>
      <c r="CR225" s="20" t="str" cm="1">
        <f t="array" ref="CR225">IF(OR(ISBLANK(E225),ISBLANK(CQ225)),"Incomplete",_xlfn.XLOOKUP(CQ225,_xlfn.XLOOKUP(E225,'Normative data'!$Y$3:$Y$6,'Normative data'!$Z$3:$AG$6,,-1),'Normative data'!$Z$2:$AG$2,"Not Found",-1))</f>
        <v>Incomplete</v>
      </c>
      <c r="CS225" s="20"/>
      <c r="CT225" s="20"/>
      <c r="CU225" s="20" t="str" cm="1">
        <f t="array" ref="CU225">_xlfn.XLOOKUP(CS225&amp;CT225,(VLOOKUP!$A$3:$A$250)&amp;(VLOOKUP!$B$3:$B$250),VLOOKUP!$C$3:$C$250,"Incomplete",-1)</f>
        <v>Incomplete</v>
      </c>
      <c r="CV225" s="20" t="str" cm="1">
        <f t="array" ref="CV225">_xlfn.XLOOKUP(CU225, _xlfn.XLOOKUP(E225, 'Normative data'!$Y$11:$Y$14, 'Normative data'!$Z$11:$AG$14, ,-1), 'Normative data'!$Z$10:$AG$10, "Not Found", -1)</f>
        <v>Excellent</v>
      </c>
      <c r="CW225" s="20" t="str" cm="1">
        <f t="array" ref="CW225">IF(OR(ISBLANK(CS225),ISBLANK(CT225)),"Incomplete",_xlfn.XLOOKUP(CS225&amp;CT225,VLOOKUP!$A$4:$A$250&amp;VLOOKUP!$B$4:$B$250,VLOOKUP!$D$4:$D$250,"0"))</f>
        <v>Incomplete</v>
      </c>
    </row>
    <row r="226" spans="1:101">
      <c r="A226" s="18" t="s">
        <v>645</v>
      </c>
      <c r="B226" s="18" t="s">
        <v>265</v>
      </c>
      <c r="C226" s="17" t="s">
        <v>86</v>
      </c>
      <c r="D226" s="19"/>
      <c r="F226" s="17">
        <v>9</v>
      </c>
      <c r="G226" s="17">
        <v>2025</v>
      </c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41" t="str">
        <f t="shared" si="56"/>
        <v>Incomplete</v>
      </c>
      <c r="AZ226" s="20"/>
      <c r="BA226" s="20" t="str">
        <f t="shared" si="57"/>
        <v>Incomplete</v>
      </c>
      <c r="BB226" s="20"/>
      <c r="BC226" s="20" t="str">
        <f t="shared" si="58"/>
        <v>Incomplete</v>
      </c>
      <c r="BD226" s="20"/>
      <c r="BE226" s="20" t="str">
        <f t="shared" si="59"/>
        <v>Incomplete</v>
      </c>
      <c r="BF226" s="20"/>
      <c r="BG226" s="20"/>
      <c r="BH226" s="20"/>
      <c r="BI226" s="20" t="str">
        <f t="shared" ref="BI226:BI231" si="62">IF(OR(ISBLANK(BG226), ISBLANK(BH226)),"Incomplete",(SUM(BH226-BG226)))</f>
        <v>Incomplete</v>
      </c>
      <c r="BJ226" s="20"/>
      <c r="BK226" s="20">
        <v>8</v>
      </c>
      <c r="BL226" s="20"/>
      <c r="BM226" s="20">
        <v>8</v>
      </c>
      <c r="BN226" s="20"/>
      <c r="BO226" s="20"/>
      <c r="BP226" s="20"/>
      <c r="BQ226" s="20"/>
      <c r="BR226" s="20"/>
      <c r="BS226" s="20"/>
      <c r="BT226" s="20"/>
      <c r="BU226" s="20"/>
      <c r="BV226" s="20"/>
      <c r="BW226" s="91" t="str">
        <f t="shared" si="60"/>
        <v>Incomplete</v>
      </c>
      <c r="BX226" s="91" t="str">
        <f>_xlfn.XLOOKUP(BW226,'Normative data'!$V$3:$V$6,'Normative data'!$W$3:$W$6,"Not Found",-1)</f>
        <v>Very low risk</v>
      </c>
      <c r="BY226" s="91" t="str">
        <f t="shared" si="61"/>
        <v>Incomplete</v>
      </c>
      <c r="BZ226" s="91" t="str">
        <f>_xlfn.XLOOKUP(BY226,'Normative data'!$V$3:$V$6,'Normative data'!$W$3:$W$6,"Not Found",-1)</f>
        <v>Very low risk</v>
      </c>
      <c r="CA226" s="20"/>
      <c r="CC226" s="20"/>
      <c r="CE226" s="20"/>
      <c r="CG226" s="20"/>
      <c r="CH226" s="20" t="str">
        <f>_xlfn.XLOOKUP(CG226, 'Normative data'!$S$9:$S$15,'Normative data'!$T$9:$T$15, "Not Found", -1)</f>
        <v>not completed</v>
      </c>
      <c r="CI226" s="20"/>
      <c r="CJ226" s="20" t="str">
        <f>_xlfn.XLOOKUP(CI226, 'Normative data'!$S$9:$S$15, 'Normative data'!$T$9:$T$15, "Not Found", -1)</f>
        <v>not completed</v>
      </c>
      <c r="CK226" s="21"/>
      <c r="CL226" s="21"/>
      <c r="CM226" s="21"/>
      <c r="CN226" s="21"/>
      <c r="CO226" s="21"/>
      <c r="CP226" s="21"/>
      <c r="CQ226" s="20"/>
      <c r="CR226" s="20" t="str" cm="1">
        <f t="array" ref="CR226">IF(OR(ISBLANK(E226),ISBLANK(CQ226)),"Incomplete",_xlfn.XLOOKUP(CQ226,_xlfn.XLOOKUP(E226,'Normative data'!$Y$3:$Y$6,'Normative data'!$Z$3:$AG$6,,-1),'Normative data'!$Z$2:$AG$2,"Not Found",-1))</f>
        <v>Incomplete</v>
      </c>
      <c r="CS226" s="20"/>
      <c r="CT226" s="20"/>
      <c r="CU226" s="20" t="str" cm="1">
        <f t="array" ref="CU226">_xlfn.XLOOKUP(CS226&amp;CT226,(VLOOKUP!$A$3:$A$250)&amp;(VLOOKUP!$B$3:$B$250),VLOOKUP!$C$3:$C$250,"Incomplete",-1)</f>
        <v>Incomplete</v>
      </c>
      <c r="CV226" s="20" t="str" cm="1">
        <f t="array" ref="CV226">_xlfn.XLOOKUP(CU226, _xlfn.XLOOKUP(E226, 'Normative data'!$Y$11:$Y$14, 'Normative data'!$Z$11:$AG$14, ,-1), 'Normative data'!$Z$10:$AG$10, "Not Found", -1)</f>
        <v>Excellent</v>
      </c>
      <c r="CW226" s="20" t="str" cm="1">
        <f t="array" ref="CW226">IF(OR(ISBLANK(CS226),ISBLANK(CT226)),"Incomplete",_xlfn.XLOOKUP(CS226&amp;CT226,VLOOKUP!$A$4:$A$250&amp;VLOOKUP!$B$4:$B$250,VLOOKUP!$D$4:$D$250,"0"))</f>
        <v>Incomplete</v>
      </c>
    </row>
    <row r="227" spans="1:101">
      <c r="A227" s="17" t="s">
        <v>646</v>
      </c>
      <c r="B227" s="17" t="s">
        <v>647</v>
      </c>
      <c r="C227" s="17" t="s">
        <v>86</v>
      </c>
      <c r="D227" s="26">
        <v>40053</v>
      </c>
      <c r="E227" s="17">
        <v>16.8</v>
      </c>
      <c r="F227" s="20" t="s">
        <v>181</v>
      </c>
      <c r="G227" s="17">
        <v>2026</v>
      </c>
      <c r="I227" s="20">
        <v>2</v>
      </c>
      <c r="J227" s="20" t="s">
        <v>88</v>
      </c>
      <c r="K227" s="20" t="s">
        <v>111</v>
      </c>
      <c r="L227" s="20"/>
      <c r="S227" s="20">
        <v>76.2</v>
      </c>
      <c r="T227" s="20">
        <v>160.69999999999999</v>
      </c>
      <c r="U227" s="17">
        <v>54.4</v>
      </c>
      <c r="V227" s="17">
        <v>28.6</v>
      </c>
      <c r="W227" s="17">
        <v>15.2</v>
      </c>
      <c r="X227" s="17">
        <v>39.200000000000003</v>
      </c>
      <c r="Y227" s="17">
        <v>21.2</v>
      </c>
      <c r="Z227" s="17">
        <v>21.1</v>
      </c>
      <c r="AA227" s="17">
        <v>28</v>
      </c>
      <c r="AB227" s="17">
        <v>5.84</v>
      </c>
      <c r="AC227" s="17">
        <v>96.6</v>
      </c>
      <c r="AD227" s="17">
        <v>5.97</v>
      </c>
      <c r="AE227" s="17">
        <v>98.8</v>
      </c>
      <c r="AF227" s="17">
        <v>2.5</v>
      </c>
      <c r="AG227" s="17">
        <v>114.4</v>
      </c>
      <c r="AH227" s="17">
        <v>2.5</v>
      </c>
      <c r="AI227" s="17">
        <v>114.8</v>
      </c>
      <c r="AJ227" s="17">
        <v>340.9</v>
      </c>
      <c r="AK227" s="17">
        <v>323.5</v>
      </c>
      <c r="AL227" s="17">
        <v>303</v>
      </c>
      <c r="AM227" s="17">
        <v>288.8</v>
      </c>
      <c r="AN227" s="17">
        <v>91</v>
      </c>
      <c r="AQ227" s="17">
        <v>15.2</v>
      </c>
      <c r="AR227" s="17">
        <v>0.35199999999999998</v>
      </c>
      <c r="AS227" s="17">
        <v>19</v>
      </c>
      <c r="AT227" s="17">
        <v>0.39400000000000002</v>
      </c>
      <c r="AU227" s="17">
        <v>5.9</v>
      </c>
      <c r="AV227" s="17">
        <v>0.219</v>
      </c>
      <c r="AW227" s="17">
        <v>7.9</v>
      </c>
      <c r="AX227" s="17">
        <v>0.254</v>
      </c>
      <c r="AY227" s="41">
        <f t="shared" si="56"/>
        <v>1331.9599999999996</v>
      </c>
      <c r="BA227" s="20">
        <f t="shared" si="57"/>
        <v>1562.62</v>
      </c>
      <c r="BC227" s="20">
        <f t="shared" si="58"/>
        <v>767.44999999999982</v>
      </c>
      <c r="BE227" s="20">
        <f t="shared" si="59"/>
        <v>888.84999999999991</v>
      </c>
      <c r="BG227" s="17">
        <v>14.5</v>
      </c>
      <c r="BH227" s="17">
        <v>36</v>
      </c>
      <c r="BI227" s="20">
        <f t="shared" si="62"/>
        <v>21.5</v>
      </c>
      <c r="BJ227" s="20"/>
      <c r="BK227" s="17">
        <v>5.5</v>
      </c>
      <c r="BL227" s="20"/>
      <c r="BM227" s="17">
        <v>5</v>
      </c>
      <c r="BN227" s="20"/>
      <c r="BO227" s="17">
        <v>46</v>
      </c>
      <c r="BP227" s="17">
        <v>46.5</v>
      </c>
      <c r="BQ227" s="17">
        <v>70</v>
      </c>
      <c r="BR227" s="17">
        <v>70</v>
      </c>
      <c r="BS227" s="17">
        <v>80</v>
      </c>
      <c r="BT227" s="17">
        <v>85</v>
      </c>
      <c r="BU227" s="17">
        <v>85</v>
      </c>
      <c r="BV227" s="17">
        <v>61</v>
      </c>
      <c r="BW227" s="91">
        <f t="shared" si="60"/>
        <v>86.785009861932963</v>
      </c>
      <c r="BX227" s="91" t="str">
        <f>_xlfn.XLOOKUP(BW227,'Normative data'!$V$3:$V$6,'Normative data'!$W$3:$W$6,"Not Found",-1)</f>
        <v>High risk</v>
      </c>
      <c r="BY227" s="91">
        <f t="shared" si="61"/>
        <v>91.124260355029605</v>
      </c>
      <c r="BZ227" s="91" t="str">
        <f>_xlfn.XLOOKUP(BY227,'Normative data'!$V$3:$V$6,'Normative data'!$W$3:$W$6,"Not Found",-1)</f>
        <v>High risk</v>
      </c>
      <c r="CG227" s="17">
        <v>19.579999999999998</v>
      </c>
      <c r="CH227" s="20" t="str">
        <f>_xlfn.XLOOKUP(CG227, 'Normative data'!$S$9:$S$15,'Normative data'!$T$9:$T$15, "Not Found", -1)</f>
        <v>Average</v>
      </c>
      <c r="CI227" s="17">
        <v>18.84</v>
      </c>
      <c r="CJ227" s="20" t="str">
        <f>_xlfn.XLOOKUP(CI227, 'Normative data'!$S$9:$S$15, 'Normative data'!$T$9:$T$15, "Not Found", -1)</f>
        <v>Average</v>
      </c>
      <c r="CK227" s="17">
        <v>2.4</v>
      </c>
      <c r="CL227" s="17">
        <v>4.17</v>
      </c>
      <c r="CN227" s="17">
        <v>7.6</v>
      </c>
      <c r="CO227" s="17">
        <v>6.58</v>
      </c>
      <c r="CR227" s="20" t="str" cm="1">
        <f t="array" ref="CR227">IF(OR(ISBLANK(E227),ISBLANK(CQ227)),"Incomplete",_xlfn.XLOOKUP(CQ227,_xlfn.XLOOKUP(E227,'Normative data'!$Y$3:$Y$6,'Normative data'!$Z$3:$AG$6,,-1),'Normative data'!$Z$2:$AG$2,"Not Found",-1))</f>
        <v>Incomplete</v>
      </c>
      <c r="CS227" s="20"/>
      <c r="CT227" s="20"/>
      <c r="CU227" s="20" t="str" cm="1">
        <f t="array" ref="CU227">_xlfn.XLOOKUP(CS227&amp;CT227,(VLOOKUP!$A$3:$A$250)&amp;(VLOOKUP!$B$3:$B$250),VLOOKUP!$C$3:$C$250,"Incomplete",-1)</f>
        <v>Incomplete</v>
      </c>
      <c r="CV227" s="20" t="str" cm="1">
        <f t="array" ref="CV227">_xlfn.XLOOKUP(CU227, _xlfn.XLOOKUP(E227, 'Normative data'!$Y$11:$Y$14, 'Normative data'!$Z$11:$AG$14, ,-1), 'Normative data'!$Z$10:$AG$10, "Not Found", -1)</f>
        <v>Excellent</v>
      </c>
      <c r="CW227" s="20" t="str" cm="1">
        <f t="array" ref="CW227">IF(OR(ISBLANK(CS227),ISBLANK(CT227)),"Incomplete",_xlfn.XLOOKUP(CS227&amp;CT227,VLOOKUP!$A$4:$A$250&amp;VLOOKUP!$B$4:$B$250,VLOOKUP!$D$4:$D$250,"0"))</f>
        <v>Incomplete</v>
      </c>
    </row>
    <row r="228" spans="1:101">
      <c r="A228" s="18" t="s">
        <v>503</v>
      </c>
      <c r="B228" s="18" t="s">
        <v>648</v>
      </c>
      <c r="C228" s="17" t="s">
        <v>86</v>
      </c>
      <c r="D228" s="19">
        <v>39790</v>
      </c>
      <c r="F228" s="17">
        <v>11</v>
      </c>
      <c r="G228" s="17">
        <v>2025</v>
      </c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41" t="str">
        <f t="shared" si="56"/>
        <v>Incomplete</v>
      </c>
      <c r="AZ228" s="20"/>
      <c r="BA228" s="20" t="str">
        <f t="shared" si="57"/>
        <v>Incomplete</v>
      </c>
      <c r="BB228" s="20"/>
      <c r="BC228" s="20" t="str">
        <f t="shared" si="58"/>
        <v>Incomplete</v>
      </c>
      <c r="BD228" s="20"/>
      <c r="BE228" s="20" t="str">
        <f t="shared" si="59"/>
        <v>Incomplete</v>
      </c>
      <c r="BF228" s="20"/>
      <c r="BG228" s="20"/>
      <c r="BH228" s="20"/>
      <c r="BI228" s="20" t="str">
        <f t="shared" si="62"/>
        <v>Incomplete</v>
      </c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91" t="str">
        <f t="shared" si="60"/>
        <v>Incomplete</v>
      </c>
      <c r="BX228" s="91" t="str">
        <f>_xlfn.XLOOKUP(BW228,'Normative data'!$V$3:$V$6,'Normative data'!$W$3:$W$6,"Not Found",-1)</f>
        <v>Very low risk</v>
      </c>
      <c r="BY228" s="91" t="str">
        <f t="shared" si="61"/>
        <v>Incomplete</v>
      </c>
      <c r="BZ228" s="91" t="str">
        <f>_xlfn.XLOOKUP(BY228,'Normative data'!$V$3:$V$6,'Normative data'!$W$3:$W$6,"Not Found",-1)</f>
        <v>Very low risk</v>
      </c>
      <c r="CA228" s="20"/>
      <c r="CC228" s="20"/>
      <c r="CE228" s="20"/>
      <c r="CG228" s="20"/>
      <c r="CH228" s="20" t="str">
        <f>_xlfn.XLOOKUP(CG228, 'Normative data'!$S$9:$S$15,'Normative data'!$T$9:$T$15, "Not Found", -1)</f>
        <v>not completed</v>
      </c>
      <c r="CI228" s="20"/>
      <c r="CJ228" s="20" t="str">
        <f>_xlfn.XLOOKUP(CI228, 'Normative data'!$S$9:$S$15, 'Normative data'!$T$9:$T$15, "Not Found", -1)</f>
        <v>not completed</v>
      </c>
      <c r="CK228" s="21">
        <v>2.2000000000000002</v>
      </c>
      <c r="CL228" s="21">
        <v>4.55</v>
      </c>
      <c r="CM228" s="21"/>
      <c r="CN228" s="21">
        <v>6.6</v>
      </c>
      <c r="CO228" s="21">
        <v>7.58</v>
      </c>
      <c r="CP228" s="21"/>
      <c r="CQ228" s="20"/>
      <c r="CR228" s="20" t="str" cm="1">
        <f t="array" ref="CR228">IF(OR(ISBLANK(E228),ISBLANK(CQ228)),"Incomplete",_xlfn.XLOOKUP(CQ228,_xlfn.XLOOKUP(E228,'Normative data'!$Y$3:$Y$6,'Normative data'!$Z$3:$AG$6,,-1),'Normative data'!$Z$2:$AG$2,"Not Found",-1))</f>
        <v>Incomplete</v>
      </c>
      <c r="CS228" s="20"/>
      <c r="CT228" s="20"/>
      <c r="CU228" s="20" t="str" cm="1">
        <f t="array" ref="CU228">_xlfn.XLOOKUP(CS228&amp;CT228,(VLOOKUP!$A$3:$A$250)&amp;(VLOOKUP!$B$3:$B$250),VLOOKUP!$C$3:$C$250,"Incomplete",-1)</f>
        <v>Incomplete</v>
      </c>
      <c r="CV228" s="20" t="str" cm="1">
        <f t="array" ref="CV228">_xlfn.XLOOKUP(CU228, _xlfn.XLOOKUP(E228, 'Normative data'!$Y$11:$Y$14, 'Normative data'!$Z$11:$AG$14, ,-1), 'Normative data'!$Z$10:$AG$10, "Not Found", -1)</f>
        <v>Excellent</v>
      </c>
      <c r="CW228" s="20" t="str" cm="1">
        <f t="array" ref="CW228">IF(OR(ISBLANK(CS228),ISBLANK(CT228)),"Incomplete",_xlfn.XLOOKUP(CS228&amp;CT228,VLOOKUP!$A$4:$A$250&amp;VLOOKUP!$B$4:$B$250,VLOOKUP!$D$4:$D$250,"0"))</f>
        <v>Incomplete</v>
      </c>
    </row>
    <row r="229" spans="1:101">
      <c r="A229" s="22" t="s">
        <v>649</v>
      </c>
      <c r="B229" s="22" t="s">
        <v>650</v>
      </c>
      <c r="C229" s="17" t="s">
        <v>86</v>
      </c>
      <c r="D229" s="23">
        <v>40227</v>
      </c>
      <c r="F229" s="17">
        <v>9</v>
      </c>
      <c r="G229" s="17">
        <v>2025</v>
      </c>
      <c r="H229" s="20" t="s">
        <v>114</v>
      </c>
      <c r="I229" s="17">
        <v>1</v>
      </c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41" t="str">
        <f t="shared" si="56"/>
        <v>Incomplete</v>
      </c>
      <c r="AZ229" s="20"/>
      <c r="BA229" s="20" t="str">
        <f t="shared" si="57"/>
        <v>Incomplete</v>
      </c>
      <c r="BB229" s="20"/>
      <c r="BC229" s="20" t="str">
        <f t="shared" si="58"/>
        <v>Incomplete</v>
      </c>
      <c r="BD229" s="20"/>
      <c r="BE229" s="20" t="str">
        <f t="shared" si="59"/>
        <v>Incomplete</v>
      </c>
      <c r="BF229" s="20"/>
      <c r="BG229" s="20"/>
      <c r="BH229" s="20"/>
      <c r="BI229" s="20" t="str">
        <f t="shared" si="62"/>
        <v>Incomplete</v>
      </c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91" t="str">
        <f t="shared" si="60"/>
        <v>Incomplete</v>
      </c>
      <c r="BX229" s="91" t="str">
        <f>_xlfn.XLOOKUP(BW229,'Normative data'!$V$3:$V$6,'Normative data'!$W$3:$W$6,"Not Found",-1)</f>
        <v>Very low risk</v>
      </c>
      <c r="BY229" s="91" t="str">
        <f t="shared" si="61"/>
        <v>Incomplete</v>
      </c>
      <c r="BZ229" s="91" t="str">
        <f>_xlfn.XLOOKUP(BY229,'Normative data'!$V$3:$V$6,'Normative data'!$W$3:$W$6,"Not Found",-1)</f>
        <v>Very low risk</v>
      </c>
      <c r="CA229" s="20"/>
      <c r="CC229" s="20"/>
      <c r="CE229" s="20"/>
      <c r="CG229" s="20"/>
      <c r="CH229" s="20" t="str">
        <f>_xlfn.XLOOKUP(CG229, 'Normative data'!$S$9:$S$15,'Normative data'!$T$9:$T$15, "Not Found", -1)</f>
        <v>not completed</v>
      </c>
      <c r="CI229" s="20"/>
      <c r="CJ229" s="20" t="str">
        <f>_xlfn.XLOOKUP(CI229, 'Normative data'!$S$9:$S$15, 'Normative data'!$T$9:$T$15, "Not Found", -1)</f>
        <v>not completed</v>
      </c>
      <c r="CK229" s="24">
        <v>2.2400000000000002</v>
      </c>
      <c r="CL229" s="24">
        <v>4.46</v>
      </c>
      <c r="CM229" s="24"/>
      <c r="CN229" s="24">
        <v>6.75</v>
      </c>
      <c r="CO229" s="24">
        <v>7.41</v>
      </c>
      <c r="CP229" s="24"/>
      <c r="CQ229" s="20"/>
      <c r="CR229" s="20" t="str" cm="1">
        <f t="array" ref="CR229">IF(OR(ISBLANK(E229),ISBLANK(CQ229)),"Incomplete",_xlfn.XLOOKUP(CQ229,_xlfn.XLOOKUP(E229,'Normative data'!$Y$3:$Y$6,'Normative data'!$Z$3:$AG$6,,-1),'Normative data'!$Z$2:$AG$2,"Not Found",-1))</f>
        <v>Incomplete</v>
      </c>
      <c r="CS229" s="20"/>
      <c r="CT229" s="20"/>
      <c r="CU229" s="20" t="str" cm="1">
        <f t="array" ref="CU229">_xlfn.XLOOKUP(CS229&amp;CT229,(VLOOKUP!$A$3:$A$250)&amp;(VLOOKUP!$B$3:$B$250),VLOOKUP!$C$3:$C$250,"Incomplete",-1)</f>
        <v>Incomplete</v>
      </c>
      <c r="CV229" s="20" t="str" cm="1">
        <f t="array" ref="CV229">_xlfn.XLOOKUP(CU229, _xlfn.XLOOKUP(E229, 'Normative data'!$Y$11:$Y$14, 'Normative data'!$Z$11:$AG$14, ,-1), 'Normative data'!$Z$10:$AG$10, "Not Found", -1)</f>
        <v>Excellent</v>
      </c>
      <c r="CW229" s="20" t="str" cm="1">
        <f t="array" ref="CW229">IF(OR(ISBLANK(CS229),ISBLANK(CT229)),"Incomplete",_xlfn.XLOOKUP(CS229&amp;CT229,VLOOKUP!$A$4:$A$250&amp;VLOOKUP!$B$4:$B$250,VLOOKUP!$D$4:$D$250,"0"))</f>
        <v>Incomplete</v>
      </c>
    </row>
    <row r="230" spans="1:101">
      <c r="A230" s="17" t="s">
        <v>651</v>
      </c>
      <c r="B230" s="17" t="s">
        <v>650</v>
      </c>
      <c r="C230" s="17" t="s">
        <v>86</v>
      </c>
      <c r="D230" s="23">
        <v>40227</v>
      </c>
      <c r="F230" s="17">
        <v>9</v>
      </c>
      <c r="G230" s="17">
        <v>2025</v>
      </c>
      <c r="H230" s="20" t="s">
        <v>124</v>
      </c>
      <c r="I230" s="17">
        <v>3</v>
      </c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41" t="str">
        <f t="shared" si="56"/>
        <v>Incomplete</v>
      </c>
      <c r="AZ230" s="20"/>
      <c r="BA230" s="20" t="str">
        <f t="shared" si="57"/>
        <v>Incomplete</v>
      </c>
      <c r="BB230" s="20"/>
      <c r="BC230" s="20" t="str">
        <f t="shared" si="58"/>
        <v>Incomplete</v>
      </c>
      <c r="BD230" s="20"/>
      <c r="BE230" s="20" t="str">
        <f t="shared" si="59"/>
        <v>Incomplete</v>
      </c>
      <c r="BF230" s="20"/>
      <c r="BG230" s="20"/>
      <c r="BH230" s="20"/>
      <c r="BI230" s="20" t="str">
        <f t="shared" si="62"/>
        <v>Incomplete</v>
      </c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91" t="str">
        <f t="shared" si="60"/>
        <v>Incomplete</v>
      </c>
      <c r="BX230" s="91" t="str">
        <f>_xlfn.XLOOKUP(BW230,'Normative data'!$V$3:$V$6,'Normative data'!$W$3:$W$6,"Not Found",-1)</f>
        <v>Very low risk</v>
      </c>
      <c r="BY230" s="91" t="str">
        <f t="shared" si="61"/>
        <v>Incomplete</v>
      </c>
      <c r="BZ230" s="91" t="str">
        <f>_xlfn.XLOOKUP(BY230,'Normative data'!$V$3:$V$6,'Normative data'!$W$3:$W$6,"Not Found",-1)</f>
        <v>Very low risk</v>
      </c>
      <c r="CA230" s="20"/>
      <c r="CC230" s="20"/>
      <c r="CE230" s="20">
        <v>10</v>
      </c>
      <c r="CG230" s="20"/>
      <c r="CH230" s="20" t="str">
        <f>_xlfn.XLOOKUP(CG230, 'Normative data'!$S$9:$S$15,'Normative data'!$T$9:$T$15, "Not Found", -1)</f>
        <v>not completed</v>
      </c>
      <c r="CI230" s="20"/>
      <c r="CJ230" s="20" t="str">
        <f>_xlfn.XLOOKUP(CI230, 'Normative data'!$S$9:$S$15, 'Normative data'!$T$9:$T$15, "Not Found", -1)</f>
        <v>not completed</v>
      </c>
      <c r="CK230" s="20" t="s">
        <v>652</v>
      </c>
      <c r="CL230" s="20" t="s">
        <v>653</v>
      </c>
      <c r="CN230" s="20" t="s">
        <v>654</v>
      </c>
      <c r="CO230" s="20" t="s">
        <v>655</v>
      </c>
      <c r="CQ230" s="20"/>
      <c r="CR230" s="20" t="str" cm="1">
        <f t="array" ref="CR230">IF(OR(ISBLANK(E230),ISBLANK(CQ230)),"Incomplete",_xlfn.XLOOKUP(CQ230,_xlfn.XLOOKUP(E230,'Normative data'!$Y$3:$Y$6,'Normative data'!$Z$3:$AG$6,,-1),'Normative data'!$Z$2:$AG$2,"Not Found",-1))</f>
        <v>Incomplete</v>
      </c>
      <c r="CS230" s="20"/>
      <c r="CT230" s="20"/>
      <c r="CU230" s="20" t="str" cm="1">
        <f t="array" ref="CU230">_xlfn.XLOOKUP(CS230&amp;CT230,(VLOOKUP!$A$3:$A$250)&amp;(VLOOKUP!$B$3:$B$250),VLOOKUP!$C$3:$C$250,"Incomplete",-1)</f>
        <v>Incomplete</v>
      </c>
      <c r="CV230" s="20" t="str" cm="1">
        <f t="array" ref="CV230">_xlfn.XLOOKUP(CU230, _xlfn.XLOOKUP(E230, 'Normative data'!$Y$11:$Y$14, 'Normative data'!$Z$11:$AG$14, ,-1), 'Normative data'!$Z$10:$AG$10, "Not Found", -1)</f>
        <v>Excellent</v>
      </c>
      <c r="CW230" s="20" t="str" cm="1">
        <f t="array" ref="CW230">IF(OR(ISBLANK(CS230),ISBLANK(CT230)),"Incomplete",_xlfn.XLOOKUP(CS230&amp;CT230,VLOOKUP!$A$4:$A$250&amp;VLOOKUP!$B$4:$B$250,VLOOKUP!$D$4:$D$250,"0"))</f>
        <v>Incomplete</v>
      </c>
    </row>
    <row r="231" spans="1:101">
      <c r="A231" s="22" t="s">
        <v>656</v>
      </c>
      <c r="B231" s="22" t="s">
        <v>650</v>
      </c>
      <c r="C231" s="17" t="s">
        <v>86</v>
      </c>
      <c r="D231" s="23">
        <v>40227</v>
      </c>
      <c r="F231" s="17">
        <v>9</v>
      </c>
      <c r="G231" s="17">
        <v>2025</v>
      </c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41" t="str">
        <f t="shared" si="56"/>
        <v>Incomplete</v>
      </c>
      <c r="AZ231" s="20"/>
      <c r="BA231" s="20" t="str">
        <f t="shared" si="57"/>
        <v>Incomplete</v>
      </c>
      <c r="BB231" s="20"/>
      <c r="BC231" s="20" t="str">
        <f t="shared" si="58"/>
        <v>Incomplete</v>
      </c>
      <c r="BD231" s="20"/>
      <c r="BE231" s="20" t="str">
        <f t="shared" si="59"/>
        <v>Incomplete</v>
      </c>
      <c r="BF231" s="20"/>
      <c r="BG231" s="20">
        <v>17</v>
      </c>
      <c r="BH231" s="20">
        <v>27</v>
      </c>
      <c r="BI231" s="20">
        <f t="shared" si="62"/>
        <v>10</v>
      </c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91" t="str">
        <f t="shared" si="60"/>
        <v>Incomplete</v>
      </c>
      <c r="BX231" s="91" t="str">
        <f>_xlfn.XLOOKUP(BW231,'Normative data'!$V$3:$V$6,'Normative data'!$W$3:$W$6,"Not Found",-1)</f>
        <v>Very low risk</v>
      </c>
      <c r="BY231" s="91" t="str">
        <f t="shared" si="61"/>
        <v>Incomplete</v>
      </c>
      <c r="BZ231" s="91" t="str">
        <f>_xlfn.XLOOKUP(BY231,'Normative data'!$V$3:$V$6,'Normative data'!$W$3:$W$6,"Not Found",-1)</f>
        <v>Very low risk</v>
      </c>
      <c r="CA231" s="20"/>
      <c r="CC231" s="20"/>
      <c r="CE231" s="20"/>
      <c r="CG231" s="20"/>
      <c r="CH231" s="20" t="str">
        <f>_xlfn.XLOOKUP(CG231, 'Normative data'!$S$9:$S$15,'Normative data'!$T$9:$T$15, "Not Found", -1)</f>
        <v>not completed</v>
      </c>
      <c r="CI231" s="20"/>
      <c r="CJ231" s="20" t="str">
        <f>_xlfn.XLOOKUP(CI231, 'Normative data'!$S$9:$S$15, 'Normative data'!$T$9:$T$15, "Not Found", -1)</f>
        <v>not completed</v>
      </c>
      <c r="CK231" s="21"/>
      <c r="CL231" s="21"/>
      <c r="CM231" s="21"/>
      <c r="CN231" s="21"/>
      <c r="CO231" s="21"/>
      <c r="CP231" s="24"/>
      <c r="CQ231" s="20"/>
      <c r="CR231" s="20" t="str" cm="1">
        <f t="array" ref="CR231">IF(OR(ISBLANK(E231),ISBLANK(CQ231)),"Incomplete",_xlfn.XLOOKUP(CQ231,_xlfn.XLOOKUP(E231,'Normative data'!$Y$3:$Y$6,'Normative data'!$Z$3:$AG$6,,-1),'Normative data'!$Z$2:$AG$2,"Not Found",-1))</f>
        <v>Incomplete</v>
      </c>
      <c r="CS231" s="20"/>
      <c r="CT231" s="20"/>
      <c r="CU231" s="20" t="str" cm="1">
        <f t="array" ref="CU231">_xlfn.XLOOKUP(CS231&amp;CT231,(VLOOKUP!$A$3:$A$250)&amp;(VLOOKUP!$B$3:$B$250),VLOOKUP!$C$3:$C$250,"Incomplete",-1)</f>
        <v>Incomplete</v>
      </c>
      <c r="CV231" s="20" t="str" cm="1">
        <f t="array" ref="CV231">_xlfn.XLOOKUP(CU231, _xlfn.XLOOKUP(E231, 'Normative data'!$Y$11:$Y$14, 'Normative data'!$Z$11:$AG$14, ,-1), 'Normative data'!$Z$10:$AG$10, "Not Found", -1)</f>
        <v>Excellent</v>
      </c>
      <c r="CW231" s="20" t="str" cm="1">
        <f t="array" ref="CW231">IF(OR(ISBLANK(CS231),ISBLANK(CT231)),"Incomplete",_xlfn.XLOOKUP(CS231&amp;CT231,VLOOKUP!$A$4:$A$250&amp;VLOOKUP!$B$4:$B$250,VLOOKUP!$D$4:$D$250,"0"))</f>
        <v>Incomplete</v>
      </c>
    </row>
    <row r="232" spans="1:101">
      <c r="A232" s="18" t="s">
        <v>657</v>
      </c>
      <c r="B232" s="18" t="s">
        <v>658</v>
      </c>
      <c r="C232" s="17" t="s">
        <v>86</v>
      </c>
      <c r="D232" s="19">
        <v>40878</v>
      </c>
      <c r="F232" s="17">
        <v>8</v>
      </c>
      <c r="G232" s="17">
        <v>2025</v>
      </c>
      <c r="H232" s="20" t="s">
        <v>114</v>
      </c>
      <c r="I232" s="17">
        <v>1</v>
      </c>
      <c r="S232" s="20"/>
      <c r="T232" s="20">
        <v>164</v>
      </c>
      <c r="U232" s="20">
        <v>52.9</v>
      </c>
      <c r="V232" s="20"/>
      <c r="W232" s="20">
        <v>8.6999999999999993</v>
      </c>
      <c r="X232" s="20">
        <f>SUM(T232-W232)</f>
        <v>155.30000000000001</v>
      </c>
      <c r="Y232" s="20">
        <v>24.5</v>
      </c>
      <c r="Z232" s="20">
        <v>19.7</v>
      </c>
      <c r="AA232" s="20">
        <v>16.5</v>
      </c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41" t="str">
        <f t="shared" si="56"/>
        <v>Incomplete</v>
      </c>
      <c r="AZ232" s="20"/>
      <c r="BA232" s="20" t="str">
        <f t="shared" si="57"/>
        <v>Incomplete</v>
      </c>
      <c r="BB232" s="20"/>
      <c r="BC232" s="20" t="str">
        <f t="shared" si="58"/>
        <v>Incomplete</v>
      </c>
      <c r="BD232" s="20"/>
      <c r="BE232" s="20" t="str">
        <f t="shared" si="59"/>
        <v>Incomplete</v>
      </c>
      <c r="BF232" s="20"/>
      <c r="BG232" s="20">
        <v>18</v>
      </c>
      <c r="BH232" s="20">
        <v>50</v>
      </c>
      <c r="BI232" s="20" t="e">
        <f>IF(OR(ISBLANK(#REF!), ISBLANK(#REF!)),"Incomplete",(SUM(#REF!-#REF!)))</f>
        <v>#REF!</v>
      </c>
      <c r="BJ232" s="20"/>
      <c r="BK232" s="20">
        <v>6</v>
      </c>
      <c r="BL232" s="20"/>
      <c r="BM232" s="20">
        <v>7</v>
      </c>
      <c r="BN232" s="20"/>
      <c r="BO232" s="20"/>
      <c r="BP232" s="20"/>
      <c r="BQ232" s="20"/>
      <c r="BR232" s="20"/>
      <c r="BS232" s="20"/>
      <c r="BT232" s="20"/>
      <c r="BU232" s="20"/>
      <c r="BV232" s="20"/>
      <c r="BW232" s="91">
        <f t="shared" si="60"/>
        <v>0</v>
      </c>
      <c r="BX232" s="91" t="str">
        <f>_xlfn.XLOOKUP(BW232,'Normative data'!$V$3:$V$6,'Normative data'!$W$3:$W$6,"Not Found",-1)</f>
        <v>Not completed</v>
      </c>
      <c r="BY232" s="91">
        <f t="shared" si="61"/>
        <v>0</v>
      </c>
      <c r="BZ232" s="91" t="str">
        <f>_xlfn.XLOOKUP(BY232,'Normative data'!$V$3:$V$6,'Normative data'!$W$3:$W$6,"Not Found",-1)</f>
        <v>Not completed</v>
      </c>
      <c r="CA232" s="20"/>
      <c r="CC232" s="20"/>
      <c r="CE232" s="20"/>
      <c r="CG232" s="20"/>
      <c r="CH232" s="20" t="str">
        <f>_xlfn.XLOOKUP(CG232, 'Normative data'!$S$9:$S$15,'Normative data'!$T$9:$T$15, "Not Found", -1)</f>
        <v>not completed</v>
      </c>
      <c r="CI232" s="20"/>
      <c r="CJ232" s="20" t="str">
        <f>_xlfn.XLOOKUP(CI232, 'Normative data'!$S$9:$S$15, 'Normative data'!$T$9:$T$15, "Not Found", -1)</f>
        <v>not completed</v>
      </c>
      <c r="CK232" s="21">
        <v>2.15</v>
      </c>
      <c r="CL232" s="21">
        <v>4.6500000000000004</v>
      </c>
      <c r="CM232" s="21"/>
      <c r="CN232" s="21">
        <v>6.61</v>
      </c>
      <c r="CO232" s="21">
        <v>7.56</v>
      </c>
      <c r="CP232" s="21"/>
      <c r="CQ232" s="20"/>
      <c r="CR232" s="20" t="str" cm="1">
        <f t="array" ref="CR232">IF(OR(ISBLANK(E232),ISBLANK(CQ232)),"Incomplete",_xlfn.XLOOKUP(CQ232,_xlfn.XLOOKUP(E232,'Normative data'!$Y$3:$Y$6,'Normative data'!$Z$3:$AG$6,,-1),'Normative data'!$Z$2:$AG$2,"Not Found",-1))</f>
        <v>Incomplete</v>
      </c>
      <c r="CS232" s="20"/>
      <c r="CT232" s="20"/>
      <c r="CU232" s="20" t="str" cm="1">
        <f t="array" ref="CU232">_xlfn.XLOOKUP(CS232&amp;CT232,(VLOOKUP!$A$3:$A$250)&amp;(VLOOKUP!$B$3:$B$250),VLOOKUP!$C$3:$C$250,"Incomplete",-1)</f>
        <v>Incomplete</v>
      </c>
      <c r="CV232" s="20" t="str" cm="1">
        <f t="array" ref="CV232">_xlfn.XLOOKUP(CU232, _xlfn.XLOOKUP(E232, 'Normative data'!$Y$11:$Y$14, 'Normative data'!$Z$11:$AG$14, ,-1), 'Normative data'!$Z$10:$AG$10, "Not Found", -1)</f>
        <v>Excellent</v>
      </c>
      <c r="CW232" s="20" t="str" cm="1">
        <f t="array" ref="CW232">IF(OR(ISBLANK(CS232),ISBLANK(CT232)),"Incomplete",_xlfn.XLOOKUP(CS232&amp;CT232,VLOOKUP!$A$4:$A$250&amp;VLOOKUP!$B$4:$B$250,VLOOKUP!$D$4:$D$250,"0"))</f>
        <v>Incomplete</v>
      </c>
    </row>
    <row r="233" spans="1:101">
      <c r="A233" s="18" t="s">
        <v>657</v>
      </c>
      <c r="B233" s="18" t="s">
        <v>658</v>
      </c>
      <c r="C233" s="17" t="s">
        <v>86</v>
      </c>
      <c r="D233" s="19">
        <v>40878</v>
      </c>
      <c r="F233" s="17">
        <v>8</v>
      </c>
      <c r="G233" s="17">
        <v>2025</v>
      </c>
      <c r="H233" s="20" t="s">
        <v>124</v>
      </c>
      <c r="I233" s="17">
        <v>3</v>
      </c>
      <c r="S233" s="20"/>
      <c r="T233" s="20" t="s">
        <v>659</v>
      </c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41" t="str">
        <f t="shared" si="56"/>
        <v>Incomplete</v>
      </c>
      <c r="AZ233" s="20"/>
      <c r="BA233" s="20" t="str">
        <f t="shared" si="57"/>
        <v>Incomplete</v>
      </c>
      <c r="BB233" s="20"/>
      <c r="BC233" s="20" t="str">
        <f t="shared" si="58"/>
        <v>Incomplete</v>
      </c>
      <c r="BD233" s="20"/>
      <c r="BE233" s="20" t="str">
        <f t="shared" si="59"/>
        <v>Incomplete</v>
      </c>
      <c r="BF233" s="20"/>
      <c r="BG233" s="20"/>
      <c r="BH233" s="20"/>
      <c r="BI233" s="20" t="str">
        <f t="shared" ref="BI233:BI238" si="63">IF(OR(ISBLANK(BG233), ISBLANK(BH233)),"Incomplete",(SUM(BH233-BG233)))</f>
        <v>Incomplete</v>
      </c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91" t="str">
        <f>IFERROR(SUM(BQ233+BR233+BS233)/(3*(#REF!-S233))*100, "Incomplete")</f>
        <v>Incomplete</v>
      </c>
      <c r="BX233" s="91" t="str">
        <f>_xlfn.XLOOKUP(BW233,'Normative data'!$V$3:$V$6,'Normative data'!$W$3:$W$6,"Not Found",-1)</f>
        <v>Very low risk</v>
      </c>
      <c r="BY233" s="91" t="str">
        <f>IFERROR(SUM(BT233+BU233+BV233)/(3*(#REF!-S233))*100, "Incomplete")</f>
        <v>Incomplete</v>
      </c>
      <c r="BZ233" s="91" t="str">
        <f>_xlfn.XLOOKUP(BY233,'Normative data'!$V$3:$V$6,'Normative data'!$W$3:$W$6,"Not Found",-1)</f>
        <v>Very low risk</v>
      </c>
      <c r="CA233" s="20"/>
      <c r="CC233" s="20"/>
      <c r="CE233" s="20">
        <v>27</v>
      </c>
      <c r="CG233" s="20">
        <v>18.23</v>
      </c>
      <c r="CH233" s="20" t="e">
        <f>_xlfn.XLOOKUP(#REF!, 'Normative data'!$S$9:$S$15,'Normative data'!$T$9:$T$15, "Not Found", -1)</f>
        <v>#REF!</v>
      </c>
      <c r="CI233" s="20">
        <v>17.87</v>
      </c>
      <c r="CJ233" s="20" t="e">
        <f>_xlfn.XLOOKUP(#REF!, 'Normative data'!$S$9:$S$15, 'Normative data'!$T$9:$T$15, "Not Found", -1)</f>
        <v>#REF!</v>
      </c>
      <c r="CK233" s="20" t="s">
        <v>660</v>
      </c>
      <c r="CL233" s="20" t="s">
        <v>661</v>
      </c>
      <c r="CN233" s="20" t="s">
        <v>662</v>
      </c>
      <c r="CO233" s="20" t="s">
        <v>663</v>
      </c>
      <c r="CQ233" s="20"/>
      <c r="CR233" s="20" t="str" cm="1">
        <f t="array" ref="CR233">IF(OR(ISBLANK(E233),ISBLANK(CQ233)),"Incomplete",_xlfn.XLOOKUP(CQ233,_xlfn.XLOOKUP(E233,'Normative data'!$Y$3:$Y$6,'Normative data'!$Z$3:$AG$6,,-1),'Normative data'!$Z$2:$AG$2,"Not Found",-1))</f>
        <v>Incomplete</v>
      </c>
      <c r="CS233" s="20"/>
      <c r="CT233" s="20"/>
      <c r="CU233" s="20" t="str" cm="1">
        <f t="array" ref="CU233">_xlfn.XLOOKUP(CS233&amp;CT233,(VLOOKUP!$A$3:$A$250)&amp;(VLOOKUP!$B$3:$B$250),VLOOKUP!$C$3:$C$250,"Incomplete",-1)</f>
        <v>Incomplete</v>
      </c>
      <c r="CV233" s="20" t="str" cm="1">
        <f t="array" ref="CV233">_xlfn.XLOOKUP(CU233, _xlfn.XLOOKUP(E233, 'Normative data'!$Y$11:$Y$14, 'Normative data'!$Z$11:$AG$14, ,-1), 'Normative data'!$Z$10:$AG$10, "Not Found", -1)</f>
        <v>Excellent</v>
      </c>
      <c r="CW233" s="20" t="str" cm="1">
        <f t="array" ref="CW233">IF(OR(ISBLANK(CS233),ISBLANK(CT233)),"Incomplete",_xlfn.XLOOKUP(CS233&amp;CT233,VLOOKUP!$A$4:$A$250&amp;VLOOKUP!$B$4:$B$250,VLOOKUP!$D$4:$D$250,"0"))</f>
        <v>Incomplete</v>
      </c>
    </row>
    <row r="234" spans="1:101" ht="13.9" customHeight="1">
      <c r="A234" s="18" t="s">
        <v>657</v>
      </c>
      <c r="B234" s="18" t="s">
        <v>658</v>
      </c>
      <c r="C234" s="17" t="s">
        <v>86</v>
      </c>
      <c r="D234" s="19">
        <v>40878</v>
      </c>
      <c r="G234" s="17">
        <v>2026</v>
      </c>
      <c r="H234" s="20" t="s">
        <v>114</v>
      </c>
      <c r="I234" s="17">
        <v>1</v>
      </c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>
        <v>25.6</v>
      </c>
      <c r="AR234" s="20">
        <v>0.45700000000000002</v>
      </c>
      <c r="AS234" s="20">
        <v>31.4</v>
      </c>
      <c r="AT234" s="20">
        <v>0.50600000000000001</v>
      </c>
      <c r="AU234" s="20">
        <v>12.4</v>
      </c>
      <c r="AV234" s="20">
        <v>0.318</v>
      </c>
      <c r="AW234" s="20">
        <v>15.4</v>
      </c>
      <c r="AX234" s="20">
        <v>0.35399999999999998</v>
      </c>
      <c r="AY234" s="41" t="str">
        <f t="shared" si="56"/>
        <v>Incomplete</v>
      </c>
      <c r="AZ234" s="20"/>
      <c r="BA234" s="20" t="str">
        <f t="shared" si="57"/>
        <v>Incomplete</v>
      </c>
      <c r="BB234" s="20"/>
      <c r="BC234" s="20" t="str">
        <f t="shared" si="58"/>
        <v>Incomplete</v>
      </c>
      <c r="BD234" s="20"/>
      <c r="BE234" s="20" t="str">
        <f t="shared" si="59"/>
        <v>Incomplete</v>
      </c>
      <c r="BF234" s="20"/>
      <c r="BG234" s="20">
        <v>17</v>
      </c>
      <c r="BH234" s="20">
        <v>48</v>
      </c>
      <c r="BI234" s="20">
        <f t="shared" si="63"/>
        <v>31</v>
      </c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91" t="str">
        <f t="shared" ref="BW234:BW259" si="64">IFERROR(SUM(BQ234+BR234+BS234)/(3*(T234-S234))*100, "Incomplete")</f>
        <v>Incomplete</v>
      </c>
      <c r="BX234" s="91" t="str">
        <f>_xlfn.XLOOKUP(BW234,'Normative data'!$V$3:$V$6,'Normative data'!$W$3:$W$6,"Not Found",-1)</f>
        <v>Very low risk</v>
      </c>
      <c r="BY234" s="91" t="str">
        <f t="shared" ref="BY234:BY259" si="65">IFERROR(SUM(BT234+BU234+BV234)/(3*(T234-S234))*100, "Incomplete")</f>
        <v>Incomplete</v>
      </c>
      <c r="BZ234" s="91" t="str">
        <f>_xlfn.XLOOKUP(BY234,'Normative data'!$V$3:$V$6,'Normative data'!$W$3:$W$6,"Not Found",-1)</f>
        <v>Very low risk</v>
      </c>
      <c r="CA234" s="20"/>
      <c r="CC234" s="20">
        <v>50</v>
      </c>
      <c r="CE234" s="20">
        <v>23</v>
      </c>
      <c r="CG234" s="20">
        <v>17.850000000000001</v>
      </c>
      <c r="CH234" s="20" t="str">
        <f>_xlfn.XLOOKUP(CG234, 'Normative data'!$S$9:$S$15,'Normative data'!$T$9:$T$15, "Not Found", -1)</f>
        <v>Above Average</v>
      </c>
      <c r="CI234" s="20">
        <v>16.34</v>
      </c>
      <c r="CJ234" s="20" t="str">
        <f>_xlfn.XLOOKUP(CI234, 'Normative data'!$S$9:$S$15, 'Normative data'!$T$9:$T$15, "Not Found", -1)</f>
        <v>Excellent</v>
      </c>
      <c r="CK234" s="20">
        <v>2.2000000000000002</v>
      </c>
      <c r="CL234" s="20">
        <v>4.55</v>
      </c>
      <c r="CN234" s="20">
        <v>6.59</v>
      </c>
      <c r="CO234" s="20">
        <v>7.59</v>
      </c>
      <c r="CQ234" s="20">
        <v>13.2</v>
      </c>
      <c r="CR234" s="20" t="str" cm="1">
        <f t="array" ref="CR234">IF(OR(ISBLANK(E234),ISBLANK(CQ234)),"Incomplete",_xlfn.XLOOKUP(CQ234,_xlfn.XLOOKUP(E234,'Normative data'!$Y$3:$Y$6,'Normative data'!$Z$3:$AG$6,,-1),'Normative data'!$Z$2:$AG$2,"Not Found",-1))</f>
        <v>Incomplete</v>
      </c>
      <c r="CS234" s="20">
        <v>13</v>
      </c>
      <c r="CT234" s="20">
        <v>2</v>
      </c>
      <c r="CU234" s="20" cm="1">
        <f t="array" ref="CU234">_xlfn.XLOOKUP(CS234&amp;CT234,(VLOOKUP!$A$3:$A$250)&amp;(VLOOKUP!$B$3:$B$250),VLOOKUP!$C$3:$C$250,"Incomplete",-1)</f>
        <v>2400</v>
      </c>
      <c r="CV234" s="20" t="str" cm="1">
        <f t="array" ref="CV234">_xlfn.XLOOKUP(CU234, _xlfn.XLOOKUP(E234, 'Normative data'!$Y$11:$Y$14, 'Normative data'!$Z$11:$AG$14, ,-1), 'Normative data'!$Z$10:$AG$10, "Not Found", -1)</f>
        <v>Excellent</v>
      </c>
      <c r="CW234" s="20" cm="1">
        <f t="array" ref="CW234">IF(OR(ISBLANK(CS234),ISBLANK(CT234)),"Incomplete",_xlfn.XLOOKUP(CS234&amp;CT234,VLOOKUP!$A$4:$A$250&amp;VLOOKUP!$B$4:$B$250,VLOOKUP!$D$4:$D$250,"0"))</f>
        <v>58</v>
      </c>
    </row>
    <row r="235" spans="1:101">
      <c r="A235" s="18" t="s">
        <v>120</v>
      </c>
      <c r="B235" s="18" t="s">
        <v>191</v>
      </c>
      <c r="C235" s="17" t="s">
        <v>86</v>
      </c>
      <c r="D235" s="19"/>
      <c r="F235" s="17">
        <v>10</v>
      </c>
      <c r="G235" s="17">
        <v>2025</v>
      </c>
      <c r="H235" s="20" t="s">
        <v>114</v>
      </c>
      <c r="I235" s="17">
        <v>1</v>
      </c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41" t="str">
        <f t="shared" si="56"/>
        <v>Incomplete</v>
      </c>
      <c r="AZ235" s="20"/>
      <c r="BA235" s="20" t="str">
        <f t="shared" si="57"/>
        <v>Incomplete</v>
      </c>
      <c r="BB235" s="20"/>
      <c r="BC235" s="20" t="str">
        <f t="shared" si="58"/>
        <v>Incomplete</v>
      </c>
      <c r="BD235" s="20"/>
      <c r="BE235" s="20" t="str">
        <f t="shared" si="59"/>
        <v>Incomplete</v>
      </c>
      <c r="BF235" s="20"/>
      <c r="BG235" s="20">
        <v>8.5</v>
      </c>
      <c r="BH235" s="20">
        <v>37</v>
      </c>
      <c r="BI235" s="20">
        <f t="shared" si="63"/>
        <v>28.5</v>
      </c>
      <c r="BJ235" s="20"/>
      <c r="BK235" s="20">
        <v>5</v>
      </c>
      <c r="BL235" s="20"/>
      <c r="BM235" s="20">
        <v>9</v>
      </c>
      <c r="BN235" s="20"/>
      <c r="BO235" s="20"/>
      <c r="BP235" s="20"/>
      <c r="BQ235" s="20"/>
      <c r="BR235" s="20"/>
      <c r="BS235" s="20"/>
      <c r="BT235" s="20"/>
      <c r="BU235" s="20"/>
      <c r="BV235" s="20"/>
      <c r="BW235" s="91" t="str">
        <f t="shared" si="64"/>
        <v>Incomplete</v>
      </c>
      <c r="BX235" s="91" t="str">
        <f>_xlfn.XLOOKUP(BW235,'Normative data'!$V$3:$V$6,'Normative data'!$W$3:$W$6,"Not Found",-1)</f>
        <v>Very low risk</v>
      </c>
      <c r="BY235" s="91" t="str">
        <f t="shared" si="65"/>
        <v>Incomplete</v>
      </c>
      <c r="BZ235" s="91" t="str">
        <f>_xlfn.XLOOKUP(BY235,'Normative data'!$V$3:$V$6,'Normative data'!$W$3:$W$6,"Not Found",-1)</f>
        <v>Very low risk</v>
      </c>
      <c r="CA235" s="20"/>
      <c r="CC235" s="20"/>
      <c r="CE235" s="20"/>
      <c r="CG235" s="20"/>
      <c r="CH235" s="20" t="str">
        <f>_xlfn.XLOOKUP(CG235, 'Normative data'!$S$9:$S$15,'Normative data'!$T$9:$T$15, "Not Found", -1)</f>
        <v>not completed</v>
      </c>
      <c r="CI235" s="20"/>
      <c r="CJ235" s="20" t="str">
        <f>_xlfn.XLOOKUP(CI235, 'Normative data'!$S$9:$S$15, 'Normative data'!$T$9:$T$15, "Not Found", -1)</f>
        <v>not completed</v>
      </c>
      <c r="CK235" s="21">
        <v>2.09</v>
      </c>
      <c r="CL235" s="21">
        <v>4.78</v>
      </c>
      <c r="CM235" s="21"/>
      <c r="CN235" s="21">
        <v>6.19</v>
      </c>
      <c r="CO235" s="21">
        <v>8.08</v>
      </c>
      <c r="CP235" s="21"/>
      <c r="CQ235" s="20"/>
      <c r="CR235" s="20" t="str" cm="1">
        <f t="array" ref="CR235">IF(OR(ISBLANK(E235),ISBLANK(CQ235)),"Incomplete",_xlfn.XLOOKUP(CQ235,_xlfn.XLOOKUP(E235,'Normative data'!$Y$3:$Y$6,'Normative data'!$Z$3:$AG$6,,-1),'Normative data'!$Z$2:$AG$2,"Not Found",-1))</f>
        <v>Incomplete</v>
      </c>
      <c r="CS235" s="20"/>
      <c r="CT235" s="20"/>
      <c r="CU235" s="20" t="str" cm="1">
        <f t="array" ref="CU235">_xlfn.XLOOKUP(CS235&amp;CT235,(VLOOKUP!$A$3:$A$250)&amp;(VLOOKUP!$B$3:$B$250),VLOOKUP!$C$3:$C$250,"Incomplete",-1)</f>
        <v>Incomplete</v>
      </c>
      <c r="CV235" s="20" t="str" cm="1">
        <f t="array" ref="CV235">_xlfn.XLOOKUP(CU235, _xlfn.XLOOKUP(E235, 'Normative data'!$Y$11:$Y$14, 'Normative data'!$Z$11:$AG$14, ,-1), 'Normative data'!$Z$10:$AG$10, "Not Found", -1)</f>
        <v>Excellent</v>
      </c>
      <c r="CW235" s="20" t="str" cm="1">
        <f t="array" ref="CW235">IF(OR(ISBLANK(CS235),ISBLANK(CT235)),"Incomplete",_xlfn.XLOOKUP(CS235&amp;CT235,VLOOKUP!$A$4:$A$250&amp;VLOOKUP!$B$4:$B$250,VLOOKUP!$D$4:$D$250,"0"))</f>
        <v>Incomplete</v>
      </c>
    </row>
    <row r="236" spans="1:101">
      <c r="A236" s="17" t="s">
        <v>123</v>
      </c>
      <c r="B236" s="17" t="s">
        <v>191</v>
      </c>
      <c r="C236" s="17" t="s">
        <v>86</v>
      </c>
      <c r="D236" s="26"/>
      <c r="F236" s="17">
        <v>10</v>
      </c>
      <c r="G236" s="17">
        <v>2025</v>
      </c>
      <c r="H236" s="20" t="s">
        <v>124</v>
      </c>
      <c r="I236" s="17">
        <v>3</v>
      </c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41" t="str">
        <f t="shared" si="56"/>
        <v>Incomplete</v>
      </c>
      <c r="AZ236" s="20"/>
      <c r="BA236" s="20" t="str">
        <f t="shared" si="57"/>
        <v>Incomplete</v>
      </c>
      <c r="BB236" s="20"/>
      <c r="BC236" s="20" t="str">
        <f t="shared" si="58"/>
        <v>Incomplete</v>
      </c>
      <c r="BD236" s="20"/>
      <c r="BE236" s="20" t="str">
        <f t="shared" si="59"/>
        <v>Incomplete</v>
      </c>
      <c r="BF236" s="20"/>
      <c r="BG236" s="20"/>
      <c r="BH236" s="20"/>
      <c r="BI236" s="20" t="str">
        <f t="shared" si="63"/>
        <v>Incomplete</v>
      </c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91" t="str">
        <f t="shared" si="64"/>
        <v>Incomplete</v>
      </c>
      <c r="BX236" s="91" t="str">
        <f>_xlfn.XLOOKUP(BW236,'Normative data'!$V$3:$V$6,'Normative data'!$W$3:$W$6,"Not Found",-1)</f>
        <v>Very low risk</v>
      </c>
      <c r="BY236" s="91" t="str">
        <f t="shared" si="65"/>
        <v>Incomplete</v>
      </c>
      <c r="BZ236" s="91" t="str">
        <f>_xlfn.XLOOKUP(BY236,'Normative data'!$V$3:$V$6,'Normative data'!$W$3:$W$6,"Not Found",-1)</f>
        <v>Very low risk</v>
      </c>
      <c r="CA236" s="20"/>
      <c r="CC236" s="20"/>
      <c r="CE236" s="20"/>
      <c r="CG236" s="20"/>
      <c r="CH236" s="20" t="str">
        <f>_xlfn.XLOOKUP(CG236, 'Normative data'!$S$9:$S$15,'Normative data'!$T$9:$T$15, "Not Found", -1)</f>
        <v>not completed</v>
      </c>
      <c r="CI236" s="20"/>
      <c r="CJ236" s="20" t="str">
        <f>_xlfn.XLOOKUP(CI236, 'Normative data'!$S$9:$S$15, 'Normative data'!$T$9:$T$15, "Not Found", -1)</f>
        <v>not completed</v>
      </c>
      <c r="CK236" s="20" t="s">
        <v>209</v>
      </c>
      <c r="CL236" s="20" t="s">
        <v>210</v>
      </c>
      <c r="CN236" s="20" t="s">
        <v>664</v>
      </c>
      <c r="CO236" s="20" t="s">
        <v>665</v>
      </c>
      <c r="CQ236" s="20"/>
      <c r="CR236" s="20" t="str" cm="1">
        <f t="array" ref="CR236">IF(OR(ISBLANK(E236),ISBLANK(CQ236)),"Incomplete",_xlfn.XLOOKUP(CQ236,_xlfn.XLOOKUP(E236,'Normative data'!$Y$3:$Y$6,'Normative data'!$Z$3:$AG$6,,-1),'Normative data'!$Z$2:$AG$2,"Not Found",-1))</f>
        <v>Incomplete</v>
      </c>
      <c r="CS236" s="20"/>
      <c r="CT236" s="20"/>
      <c r="CU236" s="20" t="str" cm="1">
        <f t="array" ref="CU236">_xlfn.XLOOKUP(CS236&amp;CT236,(VLOOKUP!$A$3:$A$250)&amp;(VLOOKUP!$B$3:$B$250),VLOOKUP!$C$3:$C$250,"Incomplete",-1)</f>
        <v>Incomplete</v>
      </c>
      <c r="CV236" s="20" t="str" cm="1">
        <f t="array" ref="CV236">_xlfn.XLOOKUP(CU236, _xlfn.XLOOKUP(E236, 'Normative data'!$Y$11:$Y$14, 'Normative data'!$Z$11:$AG$14, ,-1), 'Normative data'!$Z$10:$AG$10, "Not Found", -1)</f>
        <v>Excellent</v>
      </c>
      <c r="CW236" s="20" t="str" cm="1">
        <f t="array" ref="CW236">IF(OR(ISBLANK(CS236),ISBLANK(CT236)),"Incomplete",_xlfn.XLOOKUP(CS236&amp;CT236,VLOOKUP!$A$4:$A$250&amp;VLOOKUP!$B$4:$B$250,VLOOKUP!$D$4:$D$250,"0"))</f>
        <v>Incomplete</v>
      </c>
    </row>
    <row r="237" spans="1:101">
      <c r="A237" s="18" t="s">
        <v>578</v>
      </c>
      <c r="B237" s="18" t="s">
        <v>666</v>
      </c>
      <c r="C237" s="17" t="s">
        <v>86</v>
      </c>
      <c r="D237" s="19"/>
      <c r="F237" s="17">
        <v>11</v>
      </c>
      <c r="G237" s="17">
        <v>2025</v>
      </c>
      <c r="H237" s="20" t="s">
        <v>124</v>
      </c>
      <c r="I237" s="17">
        <v>3</v>
      </c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41" t="str">
        <f t="shared" si="56"/>
        <v>Incomplete</v>
      </c>
      <c r="AZ237" s="20"/>
      <c r="BA237" s="20" t="str">
        <f t="shared" si="57"/>
        <v>Incomplete</v>
      </c>
      <c r="BB237" s="20"/>
      <c r="BC237" s="20" t="str">
        <f t="shared" si="58"/>
        <v>Incomplete</v>
      </c>
      <c r="BD237" s="20"/>
      <c r="BE237" s="20" t="str">
        <f t="shared" si="59"/>
        <v>Incomplete</v>
      </c>
      <c r="BF237" s="20"/>
      <c r="BG237" s="20">
        <v>16</v>
      </c>
      <c r="BH237" s="20">
        <v>39.9</v>
      </c>
      <c r="BI237" s="20">
        <f t="shared" si="63"/>
        <v>23.9</v>
      </c>
      <c r="BJ237" s="20"/>
      <c r="BK237" s="20">
        <v>6</v>
      </c>
      <c r="BL237" s="20"/>
      <c r="BM237" s="20">
        <v>7</v>
      </c>
      <c r="BN237" s="20"/>
      <c r="BO237" s="20"/>
      <c r="BP237" s="20"/>
      <c r="BQ237" s="20"/>
      <c r="BR237" s="20"/>
      <c r="BS237" s="20"/>
      <c r="BT237" s="20"/>
      <c r="BU237" s="20"/>
      <c r="BV237" s="20"/>
      <c r="BW237" s="91" t="str">
        <f t="shared" si="64"/>
        <v>Incomplete</v>
      </c>
      <c r="BX237" s="91" t="str">
        <f>_xlfn.XLOOKUP(BW237,'Normative data'!$V$3:$V$6,'Normative data'!$W$3:$W$6,"Not Found",-1)</f>
        <v>Very low risk</v>
      </c>
      <c r="BY237" s="91" t="str">
        <f t="shared" si="65"/>
        <v>Incomplete</v>
      </c>
      <c r="BZ237" s="91" t="str">
        <f>_xlfn.XLOOKUP(BY237,'Normative data'!$V$3:$V$6,'Normative data'!$W$3:$W$6,"Not Found",-1)</f>
        <v>Very low risk</v>
      </c>
      <c r="CA237" s="20"/>
      <c r="CC237" s="20"/>
      <c r="CE237" s="20"/>
      <c r="CG237" s="20"/>
      <c r="CH237" s="20" t="str">
        <f>_xlfn.XLOOKUP(CG237, 'Normative data'!$S$9:$S$15,'Normative data'!$T$9:$T$15, "Not Found", -1)</f>
        <v>not completed</v>
      </c>
      <c r="CI237" s="20"/>
      <c r="CJ237" s="20" t="str">
        <f>_xlfn.XLOOKUP(CI237, 'Normative data'!$S$9:$S$15, 'Normative data'!$T$9:$T$15, "Not Found", -1)</f>
        <v>not completed</v>
      </c>
      <c r="CK237" s="20" t="s">
        <v>116</v>
      </c>
      <c r="CL237" s="20" t="s">
        <v>327</v>
      </c>
      <c r="CM237" s="21"/>
      <c r="CN237" s="20" t="s">
        <v>667</v>
      </c>
      <c r="CO237" s="20" t="s">
        <v>668</v>
      </c>
      <c r="CP237" s="25"/>
      <c r="CQ237" s="20"/>
      <c r="CR237" s="20" t="str" cm="1">
        <f t="array" ref="CR237">IF(OR(ISBLANK(E237),ISBLANK(CQ237)),"Incomplete",_xlfn.XLOOKUP(CQ237,_xlfn.XLOOKUP(E237,'Normative data'!$Y$3:$Y$6,'Normative data'!$Z$3:$AG$6,,-1),'Normative data'!$Z$2:$AG$2,"Not Found",-1))</f>
        <v>Incomplete</v>
      </c>
      <c r="CS237" s="20"/>
      <c r="CT237" s="20"/>
      <c r="CU237" s="20" t="str" cm="1">
        <f t="array" ref="CU237">_xlfn.XLOOKUP(CS237&amp;CT237,(VLOOKUP!$A$3:$A$250)&amp;(VLOOKUP!$B$3:$B$250),VLOOKUP!$C$3:$C$250,"Incomplete",-1)</f>
        <v>Incomplete</v>
      </c>
      <c r="CV237" s="20" t="str" cm="1">
        <f t="array" ref="CV237">_xlfn.XLOOKUP(CU237, _xlfn.XLOOKUP(E237, 'Normative data'!$Y$11:$Y$14, 'Normative data'!$Z$11:$AG$14, ,-1), 'Normative data'!$Z$10:$AG$10, "Not Found", -1)</f>
        <v>Excellent</v>
      </c>
      <c r="CW237" s="20" t="str" cm="1">
        <f t="array" ref="CW237">IF(OR(ISBLANK(CS237),ISBLANK(CT237)),"Incomplete",_xlfn.XLOOKUP(CS237&amp;CT237,VLOOKUP!$A$4:$A$250&amp;VLOOKUP!$B$4:$B$250,VLOOKUP!$D$4:$D$250,"0"))</f>
        <v>Incomplete</v>
      </c>
    </row>
    <row r="238" spans="1:101">
      <c r="A238" s="18" t="s">
        <v>669</v>
      </c>
      <c r="B238" s="18" t="s">
        <v>670</v>
      </c>
      <c r="C238" s="17" t="s">
        <v>86</v>
      </c>
      <c r="D238" s="19"/>
      <c r="F238" s="17">
        <v>11</v>
      </c>
      <c r="G238" s="17">
        <v>2025</v>
      </c>
      <c r="H238" s="20" t="s">
        <v>124</v>
      </c>
      <c r="I238" s="17">
        <v>3</v>
      </c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41" t="str">
        <f t="shared" si="56"/>
        <v>Incomplete</v>
      </c>
      <c r="AZ238" s="20"/>
      <c r="BA238" s="20" t="str">
        <f t="shared" si="57"/>
        <v>Incomplete</v>
      </c>
      <c r="BB238" s="20"/>
      <c r="BC238" s="20" t="str">
        <f t="shared" si="58"/>
        <v>Incomplete</v>
      </c>
      <c r="BD238" s="20"/>
      <c r="BE238" s="20" t="str">
        <f t="shared" si="59"/>
        <v>Incomplete</v>
      </c>
      <c r="BF238" s="20"/>
      <c r="BG238" s="20">
        <v>17</v>
      </c>
      <c r="BH238" s="20">
        <v>44.5</v>
      </c>
      <c r="BI238" s="20">
        <f t="shared" si="63"/>
        <v>27.5</v>
      </c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91" t="str">
        <f t="shared" si="64"/>
        <v>Incomplete</v>
      </c>
      <c r="BX238" s="91" t="str">
        <f>_xlfn.XLOOKUP(BW238,'Normative data'!$V$3:$V$6,'Normative data'!$W$3:$W$6,"Not Found",-1)</f>
        <v>Very low risk</v>
      </c>
      <c r="BY238" s="91" t="str">
        <f t="shared" si="65"/>
        <v>Incomplete</v>
      </c>
      <c r="BZ238" s="91" t="str">
        <f>_xlfn.XLOOKUP(BY238,'Normative data'!$V$3:$V$6,'Normative data'!$W$3:$W$6,"Not Found",-1)</f>
        <v>Very low risk</v>
      </c>
      <c r="CA238" s="20"/>
      <c r="CC238" s="20"/>
      <c r="CE238" s="20">
        <v>3</v>
      </c>
      <c r="CG238" s="20"/>
      <c r="CH238" s="20" t="str">
        <f>_xlfn.XLOOKUP(CG238, 'Normative data'!$S$9:$S$15,'Normative data'!$T$9:$T$15, "Not Found", -1)</f>
        <v>not completed</v>
      </c>
      <c r="CI238" s="20"/>
      <c r="CJ238" s="20" t="str">
        <f>_xlfn.XLOOKUP(CI238, 'Normative data'!$S$9:$S$15, 'Normative data'!$T$9:$T$15, "Not Found", -1)</f>
        <v>not completed</v>
      </c>
      <c r="CK238" s="21"/>
      <c r="CL238" s="21"/>
      <c r="CM238" s="21"/>
      <c r="CN238" s="21"/>
      <c r="CO238" s="21"/>
      <c r="CP238" s="21"/>
      <c r="CQ238" s="20"/>
      <c r="CR238" s="20" t="str" cm="1">
        <f t="array" ref="CR238">IF(OR(ISBLANK(E238),ISBLANK(CQ238)),"Incomplete",_xlfn.XLOOKUP(CQ238,_xlfn.XLOOKUP(E238,'Normative data'!$Y$3:$Y$6,'Normative data'!$Z$3:$AG$6,,-1),'Normative data'!$Z$2:$AG$2,"Not Found",-1))</f>
        <v>Incomplete</v>
      </c>
      <c r="CS238" s="20"/>
      <c r="CT238" s="20"/>
      <c r="CU238" s="20" t="str" cm="1">
        <f t="array" ref="CU238">_xlfn.XLOOKUP(CS238&amp;CT238,(VLOOKUP!$A$3:$A$250)&amp;(VLOOKUP!$B$3:$B$250),VLOOKUP!$C$3:$C$250,"Incomplete",-1)</f>
        <v>Incomplete</v>
      </c>
      <c r="CV238" s="20" t="str" cm="1">
        <f t="array" ref="CV238">_xlfn.XLOOKUP(CU238, _xlfn.XLOOKUP(E238, 'Normative data'!$Y$11:$Y$14, 'Normative data'!$Z$11:$AG$14, ,-1), 'Normative data'!$Z$10:$AG$10, "Not Found", -1)</f>
        <v>Excellent</v>
      </c>
      <c r="CW238" s="20" t="str" cm="1">
        <f t="array" ref="CW238">IF(OR(ISBLANK(CS238),ISBLANK(CT238)),"Incomplete",_xlfn.XLOOKUP(CS238&amp;CT238,VLOOKUP!$A$4:$A$250&amp;VLOOKUP!$B$4:$B$250,VLOOKUP!$D$4:$D$250,"0"))</f>
        <v>Incomplete</v>
      </c>
    </row>
    <row r="239" spans="1:101">
      <c r="A239" s="22" t="s">
        <v>431</v>
      </c>
      <c r="B239" s="22" t="s">
        <v>671</v>
      </c>
      <c r="C239" s="17" t="s">
        <v>86</v>
      </c>
      <c r="D239" s="23">
        <v>40635</v>
      </c>
      <c r="F239" s="17">
        <v>8</v>
      </c>
      <c r="G239" s="17">
        <v>2025</v>
      </c>
      <c r="H239" s="20" t="s">
        <v>124</v>
      </c>
      <c r="I239" s="17">
        <v>3</v>
      </c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41" t="str">
        <f t="shared" si="56"/>
        <v>Incomplete</v>
      </c>
      <c r="AZ239" s="20"/>
      <c r="BA239" s="20" t="str">
        <f t="shared" si="57"/>
        <v>Incomplete</v>
      </c>
      <c r="BB239" s="20"/>
      <c r="BC239" s="20" t="str">
        <f t="shared" si="58"/>
        <v>Incomplete</v>
      </c>
      <c r="BD239" s="20"/>
      <c r="BE239" s="20" t="str">
        <f t="shared" si="59"/>
        <v>Incomplete</v>
      </c>
      <c r="BF239" s="20"/>
      <c r="BG239" s="20">
        <v>14</v>
      </c>
      <c r="BH239" s="20">
        <v>45</v>
      </c>
      <c r="BI239" s="20" t="e">
        <f>IF(OR(ISBLANK(#REF!), ISBLANK(#REF!)),"Incomplete",(SUM(#REF!-#REF!)))</f>
        <v>#REF!</v>
      </c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91" t="str">
        <f t="shared" si="64"/>
        <v>Incomplete</v>
      </c>
      <c r="BX239" s="91" t="str">
        <f>_xlfn.XLOOKUP(BW239,'Normative data'!$V$3:$V$6,'Normative data'!$W$3:$W$6,"Not Found",-1)</f>
        <v>Very low risk</v>
      </c>
      <c r="BY239" s="91" t="str">
        <f t="shared" si="65"/>
        <v>Incomplete</v>
      </c>
      <c r="BZ239" s="91" t="str">
        <f>_xlfn.XLOOKUP(BY239,'Normative data'!$V$3:$V$6,'Normative data'!$W$3:$W$6,"Not Found",-1)</f>
        <v>Very low risk</v>
      </c>
      <c r="CA239" s="20"/>
      <c r="CC239" s="20"/>
      <c r="CE239" s="20">
        <v>11</v>
      </c>
      <c r="CG239" s="20"/>
      <c r="CH239" s="20" t="str">
        <f>_xlfn.XLOOKUP(CG239, 'Normative data'!$S$9:$S$15,'Normative data'!$T$9:$T$15, "Not Found", -1)</f>
        <v>not completed</v>
      </c>
      <c r="CI239" s="20"/>
      <c r="CJ239" s="20" t="str">
        <f>_xlfn.XLOOKUP(CI239, 'Normative data'!$S$9:$S$15, 'Normative data'!$T$9:$T$15, "Not Found", -1)</f>
        <v>not completed</v>
      </c>
      <c r="CK239" s="24">
        <v>2.0699999999999998</v>
      </c>
      <c r="CL239" s="24">
        <v>4.83</v>
      </c>
      <c r="CM239" s="24"/>
      <c r="CN239" s="24">
        <v>6.13</v>
      </c>
      <c r="CO239" s="24">
        <v>8.16</v>
      </c>
      <c r="CP239" s="24"/>
      <c r="CQ239" s="20"/>
      <c r="CR239" s="20" t="str" cm="1">
        <f t="array" ref="CR239">IF(OR(ISBLANK(E239),ISBLANK(CQ239)),"Incomplete",_xlfn.XLOOKUP(CQ239,_xlfn.XLOOKUP(E239,'Normative data'!$Y$3:$Y$6,'Normative data'!$Z$3:$AG$6,,-1),'Normative data'!$Z$2:$AG$2,"Not Found",-1))</f>
        <v>Incomplete</v>
      </c>
      <c r="CS239" s="20"/>
      <c r="CT239" s="20"/>
      <c r="CU239" s="20" t="str" cm="1">
        <f t="array" ref="CU239">_xlfn.XLOOKUP(CS239&amp;CT239,(VLOOKUP!$A$3:$A$250)&amp;(VLOOKUP!$B$3:$B$250),VLOOKUP!$C$3:$C$250,"Incomplete",-1)</f>
        <v>Incomplete</v>
      </c>
      <c r="CV239" s="20" t="str" cm="1">
        <f t="array" ref="CV239">_xlfn.XLOOKUP(CU239, _xlfn.XLOOKUP(E239, 'Normative data'!$Y$11:$Y$14, 'Normative data'!$Z$11:$AG$14, ,-1), 'Normative data'!$Z$10:$AG$10, "Not Found", -1)</f>
        <v>Excellent</v>
      </c>
      <c r="CW239" s="20" t="str" cm="1">
        <f t="array" ref="CW239">IF(OR(ISBLANK(CS239),ISBLANK(CT239)),"Incomplete",_xlfn.XLOOKUP(CS239&amp;CT239,VLOOKUP!$A$4:$A$250&amp;VLOOKUP!$B$4:$B$250,VLOOKUP!$D$4:$D$250,"0"))</f>
        <v>Incomplete</v>
      </c>
    </row>
    <row r="240" spans="1:101">
      <c r="A240" s="17" t="s">
        <v>672</v>
      </c>
      <c r="B240" s="17" t="s">
        <v>673</v>
      </c>
      <c r="C240" s="17" t="s">
        <v>86</v>
      </c>
      <c r="D240" s="26">
        <v>40017</v>
      </c>
      <c r="E240" s="17">
        <v>16.8</v>
      </c>
      <c r="F240" s="20" t="s">
        <v>181</v>
      </c>
      <c r="G240" s="17">
        <v>2026</v>
      </c>
      <c r="I240" s="20">
        <v>2</v>
      </c>
      <c r="J240" s="20"/>
      <c r="K240" s="20"/>
      <c r="L240" s="20"/>
      <c r="S240" s="20">
        <v>81.099999999999994</v>
      </c>
      <c r="T240" s="20">
        <v>150.19999999999999</v>
      </c>
      <c r="U240" s="17">
        <v>47.9</v>
      </c>
      <c r="V240" s="17">
        <v>24.3</v>
      </c>
      <c r="W240" s="17">
        <v>14.6</v>
      </c>
      <c r="X240" s="17">
        <v>33.299999999999997</v>
      </c>
      <c r="Y240" s="17">
        <v>17.8</v>
      </c>
      <c r="Z240" s="17">
        <v>21.2</v>
      </c>
      <c r="AA240" s="17">
        <v>30.4</v>
      </c>
      <c r="AB240" s="17">
        <v>4.58</v>
      </c>
      <c r="AC240" s="17">
        <v>89.4</v>
      </c>
      <c r="AD240" s="17">
        <v>4.5999999999999996</v>
      </c>
      <c r="AE240" s="17">
        <v>89.7</v>
      </c>
      <c r="AF240" s="17">
        <v>2.2999999999999998</v>
      </c>
      <c r="AG240" s="17">
        <v>152</v>
      </c>
      <c r="AH240" s="17">
        <v>2.2999999999999998</v>
      </c>
      <c r="AI240" s="17">
        <v>152.1</v>
      </c>
      <c r="AJ240" s="17">
        <v>341.7</v>
      </c>
      <c r="AK240" s="17">
        <v>339.1</v>
      </c>
      <c r="AL240" s="17">
        <v>302.60000000000002</v>
      </c>
      <c r="AM240" s="17">
        <v>300.60000000000002</v>
      </c>
      <c r="AN240" s="17">
        <v>63</v>
      </c>
      <c r="AO240" s="17">
        <v>0.84</v>
      </c>
      <c r="AP240" s="17">
        <v>5.4</v>
      </c>
      <c r="AQ240" s="20"/>
      <c r="AR240" s="20"/>
      <c r="AS240" s="20"/>
      <c r="AT240" s="20"/>
      <c r="AU240" s="20"/>
      <c r="AV240" s="20"/>
      <c r="AW240" s="20"/>
      <c r="AX240" s="20"/>
      <c r="AY240" s="41" t="str">
        <f t="shared" si="56"/>
        <v>Incomplete</v>
      </c>
      <c r="BA240" s="20" t="str">
        <f t="shared" si="57"/>
        <v>Incomplete</v>
      </c>
      <c r="BC240" s="20" t="str">
        <f t="shared" si="58"/>
        <v>Incomplete</v>
      </c>
      <c r="BE240" s="20" t="str">
        <f t="shared" si="59"/>
        <v>Incomplete</v>
      </c>
      <c r="BG240" s="17">
        <v>18.899999999999999</v>
      </c>
      <c r="BH240" s="17">
        <v>43.2</v>
      </c>
      <c r="BI240" s="20">
        <f>IF(OR(ISBLANK(BG240), ISBLANK(BH240)),"Incomplete",(SUM(BH240-BG240)))</f>
        <v>24.300000000000004</v>
      </c>
      <c r="BJ240" s="20"/>
      <c r="BK240" s="17">
        <v>3</v>
      </c>
      <c r="BL240" s="20"/>
      <c r="BM240" s="17">
        <v>5</v>
      </c>
      <c r="BN240" s="20"/>
      <c r="BO240" s="17">
        <v>47</v>
      </c>
      <c r="BP240" s="17">
        <v>48</v>
      </c>
      <c r="BQ240" s="17">
        <v>68</v>
      </c>
      <c r="BR240" s="17">
        <v>78</v>
      </c>
      <c r="BS240" s="17">
        <v>72</v>
      </c>
      <c r="BT240" s="17">
        <v>61</v>
      </c>
      <c r="BU240" s="17">
        <v>75</v>
      </c>
      <c r="BV240" s="17">
        <v>68</v>
      </c>
      <c r="BW240" s="91">
        <f t="shared" si="64"/>
        <v>105.16160154365654</v>
      </c>
      <c r="BX240" s="91" t="str">
        <f>_xlfn.XLOOKUP(BW240,'Normative data'!$V$3:$V$6,'Normative data'!$W$3:$W$6,"Not Found",-1)</f>
        <v>Low risk</v>
      </c>
      <c r="BY240" s="91">
        <f t="shared" si="65"/>
        <v>98.408104196816211</v>
      </c>
      <c r="BZ240" s="91" t="str">
        <f>_xlfn.XLOOKUP(BY240,'Normative data'!$V$3:$V$6,'Normative data'!$W$3:$W$6,"Not Found",-1)</f>
        <v>Low risk</v>
      </c>
      <c r="CA240" s="17">
        <v>25</v>
      </c>
      <c r="CC240" s="20"/>
      <c r="CE240" s="17">
        <v>10</v>
      </c>
      <c r="CG240" s="20"/>
      <c r="CH240" s="20" t="str">
        <f>_xlfn.XLOOKUP(CG240, 'Normative data'!$S$9:$S$15,'Normative data'!$T$9:$T$15, "Not Found", -1)</f>
        <v>not completed</v>
      </c>
      <c r="CI240" s="20"/>
      <c r="CJ240" s="20" t="str">
        <f>_xlfn.XLOOKUP(CI240, 'Normative data'!$S$9:$S$15, 'Normative data'!$T$9:$T$15, "Not Found", -1)</f>
        <v>not completed</v>
      </c>
      <c r="CK240" s="17">
        <v>2.1</v>
      </c>
      <c r="CL240" s="17">
        <v>4.76</v>
      </c>
      <c r="CN240" s="17">
        <v>6.73</v>
      </c>
      <c r="CO240" s="17">
        <v>7.43</v>
      </c>
      <c r="CR240" s="20" t="str" cm="1">
        <f t="array" ref="CR240">IF(OR(ISBLANK(E240),ISBLANK(CQ240)),"Incomplete",_xlfn.XLOOKUP(CQ240,_xlfn.XLOOKUP(E240,'Normative data'!$Y$3:$Y$6,'Normative data'!$Z$3:$AG$6,,-1),'Normative data'!$Z$2:$AG$2,"Not Found",-1))</f>
        <v>Incomplete</v>
      </c>
      <c r="CS240" s="20"/>
      <c r="CT240" s="20"/>
      <c r="CU240" s="20" t="str" cm="1">
        <f t="array" ref="CU240">_xlfn.XLOOKUP(CS240&amp;CT240,(VLOOKUP!$A$3:$A$250)&amp;(VLOOKUP!$B$3:$B$250),VLOOKUP!$C$3:$C$250,"Incomplete",-1)</f>
        <v>Incomplete</v>
      </c>
      <c r="CV240" s="20" t="str" cm="1">
        <f t="array" ref="CV240">_xlfn.XLOOKUP(CU240, _xlfn.XLOOKUP(E240, 'Normative data'!$Y$11:$Y$14, 'Normative data'!$Z$11:$AG$14, ,-1), 'Normative data'!$Z$10:$AG$10, "Not Found", -1)</f>
        <v>Excellent</v>
      </c>
      <c r="CW240" s="20" t="str" cm="1">
        <f t="array" ref="CW240">IF(OR(ISBLANK(CS240),ISBLANK(CT240)),"Incomplete",_xlfn.XLOOKUP(CS240&amp;CT240,VLOOKUP!$A$4:$A$250&amp;VLOOKUP!$B$4:$B$250,VLOOKUP!$D$4:$D$250,"0"))</f>
        <v>Incomplete</v>
      </c>
    </row>
    <row r="241" spans="1:101">
      <c r="A241" s="22" t="s">
        <v>674</v>
      </c>
      <c r="B241" s="22" t="s">
        <v>675</v>
      </c>
      <c r="C241" s="17" t="s">
        <v>86</v>
      </c>
      <c r="D241" s="23">
        <v>40733</v>
      </c>
      <c r="F241" s="17">
        <v>8</v>
      </c>
      <c r="G241" s="17">
        <v>2025</v>
      </c>
      <c r="H241" s="20" t="s">
        <v>124</v>
      </c>
      <c r="I241" s="17">
        <v>3</v>
      </c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41" t="str">
        <f t="shared" si="56"/>
        <v>Incomplete</v>
      </c>
      <c r="AZ241" s="20"/>
      <c r="BA241" s="20" t="str">
        <f t="shared" si="57"/>
        <v>Incomplete</v>
      </c>
      <c r="BB241" s="20"/>
      <c r="BC241" s="20" t="str">
        <f t="shared" si="58"/>
        <v>Incomplete</v>
      </c>
      <c r="BD241" s="20"/>
      <c r="BE241" s="20" t="str">
        <f t="shared" si="59"/>
        <v>Incomplete</v>
      </c>
      <c r="BF241" s="20"/>
      <c r="BG241" s="20">
        <v>11</v>
      </c>
      <c r="BH241" s="20">
        <v>37.799999999999997</v>
      </c>
      <c r="BI241" s="20" t="e">
        <f>IF(OR(ISBLANK(#REF!), ISBLANK(#REF!)),"Incomplete",(SUM(#REF!-#REF!)))</f>
        <v>#REF!</v>
      </c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91" t="str">
        <f t="shared" si="64"/>
        <v>Incomplete</v>
      </c>
      <c r="BX241" s="91" t="str">
        <f>_xlfn.XLOOKUP(BW241,'Normative data'!$V$3:$V$6,'Normative data'!$W$3:$W$6,"Not Found",-1)</f>
        <v>Very low risk</v>
      </c>
      <c r="BY241" s="91" t="str">
        <f t="shared" si="65"/>
        <v>Incomplete</v>
      </c>
      <c r="BZ241" s="91" t="str">
        <f>_xlfn.XLOOKUP(BY241,'Normative data'!$V$3:$V$6,'Normative data'!$W$3:$W$6,"Not Found",-1)</f>
        <v>Very low risk</v>
      </c>
      <c r="CA241" s="20"/>
      <c r="CC241" s="20"/>
      <c r="CE241" s="20"/>
      <c r="CG241" s="20"/>
      <c r="CH241" s="20" t="str">
        <f>_xlfn.XLOOKUP(CG241, 'Normative data'!$S$9:$S$15,'Normative data'!$T$9:$T$15, "Not Found", -1)</f>
        <v>not completed</v>
      </c>
      <c r="CI241" s="20"/>
      <c r="CJ241" s="20" t="str">
        <f>_xlfn.XLOOKUP(CI241, 'Normative data'!$S$9:$S$15, 'Normative data'!$T$9:$T$15, "Not Found", -1)</f>
        <v>not completed</v>
      </c>
      <c r="CK241" s="24">
        <v>2.4500000000000002</v>
      </c>
      <c r="CL241" s="24">
        <v>4.08</v>
      </c>
      <c r="CM241" s="24"/>
      <c r="CN241" s="24">
        <v>7.63</v>
      </c>
      <c r="CO241" s="24">
        <v>7.55</v>
      </c>
      <c r="CP241" s="24"/>
      <c r="CQ241" s="20"/>
      <c r="CR241" s="20" t="str" cm="1">
        <f t="array" ref="CR241">IF(OR(ISBLANK(E241),ISBLANK(CQ241)),"Incomplete",_xlfn.XLOOKUP(CQ241,_xlfn.XLOOKUP(E241,'Normative data'!$Y$3:$Y$6,'Normative data'!$Z$3:$AG$6,,-1),'Normative data'!$Z$2:$AG$2,"Not Found",-1))</f>
        <v>Incomplete</v>
      </c>
      <c r="CS241" s="20"/>
      <c r="CT241" s="20"/>
      <c r="CU241" s="20" t="str" cm="1">
        <f t="array" ref="CU241">_xlfn.XLOOKUP(CS241&amp;CT241,(VLOOKUP!$A$3:$A$250)&amp;(VLOOKUP!$B$3:$B$250),VLOOKUP!$C$3:$C$250,"Incomplete",-1)</f>
        <v>Incomplete</v>
      </c>
      <c r="CV241" s="20" t="str" cm="1">
        <f t="array" ref="CV241">_xlfn.XLOOKUP(CU241, _xlfn.XLOOKUP(E241, 'Normative data'!$Y$11:$Y$14, 'Normative data'!$Z$11:$AG$14, ,-1), 'Normative data'!$Z$10:$AG$10, "Not Found", -1)</f>
        <v>Excellent</v>
      </c>
      <c r="CW241" s="20" t="str" cm="1">
        <f t="array" ref="CW241">IF(OR(ISBLANK(CS241),ISBLANK(CT241)),"Incomplete",_xlfn.XLOOKUP(CS241&amp;CT241,VLOOKUP!$A$4:$A$250&amp;VLOOKUP!$B$4:$B$250,VLOOKUP!$D$4:$D$250,"0"))</f>
        <v>Incomplete</v>
      </c>
    </row>
    <row r="242" spans="1:101">
      <c r="A242" s="18" t="s">
        <v>676</v>
      </c>
      <c r="B242" s="18" t="s">
        <v>677</v>
      </c>
      <c r="C242" s="17" t="s">
        <v>86</v>
      </c>
      <c r="D242" s="19">
        <v>39472</v>
      </c>
      <c r="F242" s="17">
        <v>11</v>
      </c>
      <c r="G242" s="17">
        <v>2025</v>
      </c>
      <c r="H242" s="20" t="s">
        <v>124</v>
      </c>
      <c r="I242" s="17">
        <v>3</v>
      </c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41" t="str">
        <f t="shared" si="56"/>
        <v>Incomplete</v>
      </c>
      <c r="AZ242" s="20"/>
      <c r="BA242" s="20" t="str">
        <f t="shared" si="57"/>
        <v>Incomplete</v>
      </c>
      <c r="BB242" s="20"/>
      <c r="BC242" s="20" t="str">
        <f t="shared" si="58"/>
        <v>Incomplete</v>
      </c>
      <c r="BD242" s="20"/>
      <c r="BE242" s="20" t="str">
        <f t="shared" si="59"/>
        <v>Incomplete</v>
      </c>
      <c r="BF242" s="20"/>
      <c r="BG242" s="20">
        <v>19</v>
      </c>
      <c r="BH242" s="20">
        <v>53</v>
      </c>
      <c r="BI242" s="20" t="e">
        <f>IF(OR(ISBLANK(#REF!), ISBLANK(#REF!)),"Incomplete",(SUM(#REF!-#REF!)))</f>
        <v>#REF!</v>
      </c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91" t="str">
        <f t="shared" si="64"/>
        <v>Incomplete</v>
      </c>
      <c r="BX242" s="91" t="str">
        <f>_xlfn.XLOOKUP(BW242,'Normative data'!$V$3:$V$6,'Normative data'!$W$3:$W$6,"Not Found",-1)</f>
        <v>Very low risk</v>
      </c>
      <c r="BY242" s="91" t="str">
        <f t="shared" si="65"/>
        <v>Incomplete</v>
      </c>
      <c r="BZ242" s="91" t="str">
        <f>_xlfn.XLOOKUP(BY242,'Normative data'!$V$3:$V$6,'Normative data'!$W$3:$W$6,"Not Found",-1)</f>
        <v>Very low risk</v>
      </c>
      <c r="CA242" s="20"/>
      <c r="CC242" s="20"/>
      <c r="CE242" s="20">
        <v>1</v>
      </c>
      <c r="CG242" s="20"/>
      <c r="CH242" s="20" t="str">
        <f>_xlfn.XLOOKUP(CG242, 'Normative data'!$S$9:$S$15,'Normative data'!$T$9:$T$15, "Not Found", -1)</f>
        <v>not completed</v>
      </c>
      <c r="CI242" s="20"/>
      <c r="CJ242" s="20" t="str">
        <f>_xlfn.XLOOKUP(CI242, 'Normative data'!$S$9:$S$15, 'Normative data'!$T$9:$T$15, "Not Found", -1)</f>
        <v>not completed</v>
      </c>
      <c r="CK242" s="21">
        <v>2.5099999999999998</v>
      </c>
      <c r="CL242" s="21">
        <v>3.98</v>
      </c>
      <c r="CM242" s="21"/>
      <c r="CN242" s="21">
        <v>7.89</v>
      </c>
      <c r="CO242" s="21">
        <v>6.34</v>
      </c>
      <c r="CP242" s="21"/>
      <c r="CQ242" s="20"/>
      <c r="CR242" s="20" t="str" cm="1">
        <f t="array" ref="CR242">IF(OR(ISBLANK(E242),ISBLANK(CQ242)),"Incomplete",_xlfn.XLOOKUP(CQ242,_xlfn.XLOOKUP(E242,'Normative data'!$Y$3:$Y$6,'Normative data'!$Z$3:$AG$6,,-1),'Normative data'!$Z$2:$AG$2,"Not Found",-1))</f>
        <v>Incomplete</v>
      </c>
      <c r="CS242" s="20"/>
      <c r="CT242" s="20"/>
      <c r="CU242" s="20" t="str" cm="1">
        <f t="array" ref="CU242">_xlfn.XLOOKUP(CS242&amp;CT242,(VLOOKUP!$A$3:$A$250)&amp;(VLOOKUP!$B$3:$B$250),VLOOKUP!$C$3:$C$250,"Incomplete",-1)</f>
        <v>Incomplete</v>
      </c>
      <c r="CV242" s="20" t="str" cm="1">
        <f t="array" ref="CV242">_xlfn.XLOOKUP(CU242, _xlfn.XLOOKUP(E242, 'Normative data'!$Y$11:$Y$14, 'Normative data'!$Z$11:$AG$14, ,-1), 'Normative data'!$Z$10:$AG$10, "Not Found", -1)</f>
        <v>Excellent</v>
      </c>
      <c r="CW242" s="20" t="str" cm="1">
        <f t="array" ref="CW242">IF(OR(ISBLANK(CS242),ISBLANK(CT242)),"Incomplete",_xlfn.XLOOKUP(CS242&amp;CT242,VLOOKUP!$A$4:$A$250&amp;VLOOKUP!$B$4:$B$250,VLOOKUP!$D$4:$D$250,"0"))</f>
        <v>Incomplete</v>
      </c>
    </row>
    <row r="243" spans="1:101">
      <c r="A243" s="17" t="s">
        <v>678</v>
      </c>
      <c r="B243" s="17" t="s">
        <v>679</v>
      </c>
      <c r="C243" s="17" t="s">
        <v>86</v>
      </c>
      <c r="D243" s="26"/>
      <c r="F243" s="20" t="s">
        <v>99</v>
      </c>
      <c r="G243" s="17">
        <v>2026</v>
      </c>
      <c r="I243" s="20">
        <v>2</v>
      </c>
      <c r="J243" s="20"/>
      <c r="K243" s="20"/>
      <c r="L243" s="20"/>
      <c r="S243" s="20">
        <v>84.3</v>
      </c>
      <c r="T243" s="20">
        <v>160.5</v>
      </c>
      <c r="AQ243" s="20"/>
      <c r="AR243" s="20"/>
      <c r="AS243" s="20"/>
      <c r="AT243" s="20"/>
      <c r="AU243" s="20"/>
      <c r="AV243" s="20"/>
      <c r="AW243" s="20"/>
      <c r="AX243" s="20"/>
      <c r="AY243" s="41" t="str">
        <f t="shared" si="56"/>
        <v>Incomplete</v>
      </c>
      <c r="BA243" s="20" t="str">
        <f t="shared" si="57"/>
        <v>Incomplete</v>
      </c>
      <c r="BC243" s="20" t="str">
        <f t="shared" si="58"/>
        <v>Incomplete</v>
      </c>
      <c r="BE243" s="20" t="str">
        <f t="shared" si="59"/>
        <v>Incomplete</v>
      </c>
      <c r="BG243" s="17">
        <v>16</v>
      </c>
      <c r="BH243" s="17">
        <v>45.7</v>
      </c>
      <c r="BI243" s="20">
        <f t="shared" ref="BI243:BI253" si="66">IF(OR(ISBLANK(BG243), ISBLANK(BH243)),"Incomplete",(SUM(BH243-BG243)))</f>
        <v>29.700000000000003</v>
      </c>
      <c r="BJ243" s="20"/>
      <c r="BL243" s="20"/>
      <c r="BM243" s="20"/>
      <c r="BN243" s="20"/>
      <c r="BQ243" s="17">
        <v>64</v>
      </c>
      <c r="BR243" s="17">
        <v>68</v>
      </c>
      <c r="BS243" s="17">
        <v>67</v>
      </c>
      <c r="BT243" s="17">
        <v>61</v>
      </c>
      <c r="BU243" s="17">
        <v>69</v>
      </c>
      <c r="BV243" s="17">
        <v>58</v>
      </c>
      <c r="BW243" s="91">
        <f t="shared" si="64"/>
        <v>87.051618547681528</v>
      </c>
      <c r="BX243" s="91" t="str">
        <f>_xlfn.XLOOKUP(BW243,'Normative data'!$V$3:$V$6,'Normative data'!$W$3:$W$6,"Not Found",-1)</f>
        <v>High risk</v>
      </c>
      <c r="BY243" s="91">
        <f t="shared" si="65"/>
        <v>82.239720034995628</v>
      </c>
      <c r="BZ243" s="91" t="str">
        <f>_xlfn.XLOOKUP(BY243,'Normative data'!$V$3:$V$6,'Normative data'!$W$3:$W$6,"Not Found",-1)</f>
        <v>High risk</v>
      </c>
      <c r="CG243" s="17">
        <v>20.22</v>
      </c>
      <c r="CH243" s="20" t="str">
        <f>_xlfn.XLOOKUP(CG243, 'Normative data'!$S$9:$S$15,'Normative data'!$T$9:$T$15, "Not Found", -1)</f>
        <v>Average</v>
      </c>
      <c r="CI243" s="17">
        <v>20.190000000000001</v>
      </c>
      <c r="CJ243" s="20" t="str">
        <f>_xlfn.XLOOKUP(CI243, 'Normative data'!$S$9:$S$15, 'Normative data'!$T$9:$T$15, "Not Found", -1)</f>
        <v>Average</v>
      </c>
      <c r="CK243" s="21"/>
      <c r="CL243" s="21"/>
      <c r="CM243" s="21"/>
      <c r="CN243" s="21"/>
      <c r="CO243" s="21"/>
      <c r="CR243" s="20" t="str" cm="1">
        <f t="array" ref="CR243">IF(OR(ISBLANK(E243),ISBLANK(CQ243)),"Incomplete",_xlfn.XLOOKUP(CQ243,_xlfn.XLOOKUP(E243,'Normative data'!$Y$3:$Y$6,'Normative data'!$Z$3:$AG$6,,-1),'Normative data'!$Z$2:$AG$2,"Not Found",-1))</f>
        <v>Incomplete</v>
      </c>
      <c r="CS243" s="20"/>
      <c r="CT243" s="20"/>
      <c r="CU243" s="20" t="str" cm="1">
        <f t="array" ref="CU243">_xlfn.XLOOKUP(CS243&amp;CT243,(VLOOKUP!$A$3:$A$250)&amp;(VLOOKUP!$B$3:$B$250),VLOOKUP!$C$3:$C$250,"Incomplete",-1)</f>
        <v>Incomplete</v>
      </c>
      <c r="CV243" s="20" t="str" cm="1">
        <f t="array" ref="CV243">_xlfn.XLOOKUP(CU243, _xlfn.XLOOKUP(E243, 'Normative data'!$Y$11:$Y$14, 'Normative data'!$Z$11:$AG$14, ,-1), 'Normative data'!$Z$10:$AG$10, "Not Found", -1)</f>
        <v>Excellent</v>
      </c>
      <c r="CW243" s="20" t="str" cm="1">
        <f t="array" ref="CW243">IF(OR(ISBLANK(CS243),ISBLANK(CT243)),"Incomplete",_xlfn.XLOOKUP(CS243&amp;CT243,VLOOKUP!$A$4:$A$250&amp;VLOOKUP!$B$4:$B$250,VLOOKUP!$D$4:$D$250,"0"))</f>
        <v>Incomplete</v>
      </c>
    </row>
    <row r="244" spans="1:101">
      <c r="A244" s="22" t="s">
        <v>680</v>
      </c>
      <c r="B244" s="22" t="s">
        <v>681</v>
      </c>
      <c r="C244" s="17" t="s">
        <v>86</v>
      </c>
      <c r="D244" s="23">
        <v>39448</v>
      </c>
      <c r="F244" s="17">
        <v>11</v>
      </c>
      <c r="G244" s="17">
        <v>2025</v>
      </c>
      <c r="H244" s="20" t="s">
        <v>114</v>
      </c>
      <c r="I244" s="17">
        <v>1</v>
      </c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41" t="str">
        <f t="shared" si="56"/>
        <v>Incomplete</v>
      </c>
      <c r="AZ244" s="20"/>
      <c r="BA244" s="20" t="str">
        <f t="shared" si="57"/>
        <v>Incomplete</v>
      </c>
      <c r="BB244" s="20"/>
      <c r="BC244" s="20" t="str">
        <f t="shared" si="58"/>
        <v>Incomplete</v>
      </c>
      <c r="BD244" s="20"/>
      <c r="BE244" s="20" t="str">
        <f t="shared" si="59"/>
        <v>Incomplete</v>
      </c>
      <c r="BF244" s="20"/>
      <c r="BG244" s="20">
        <v>17</v>
      </c>
      <c r="BH244" s="20">
        <v>40.5</v>
      </c>
      <c r="BI244" s="20">
        <f t="shared" si="66"/>
        <v>23.5</v>
      </c>
      <c r="BJ244" s="20"/>
      <c r="BK244" s="20">
        <v>8</v>
      </c>
      <c r="BL244" s="20"/>
      <c r="BM244" s="20">
        <v>6</v>
      </c>
      <c r="BN244" s="20"/>
      <c r="BO244" s="20"/>
      <c r="BP244" s="20"/>
      <c r="BQ244" s="20"/>
      <c r="BR244" s="20"/>
      <c r="BS244" s="20"/>
      <c r="BT244" s="20"/>
      <c r="BU244" s="20"/>
      <c r="BV244" s="20"/>
      <c r="BW244" s="91" t="str">
        <f t="shared" si="64"/>
        <v>Incomplete</v>
      </c>
      <c r="BX244" s="91" t="str">
        <f>_xlfn.XLOOKUP(BW244,'Normative data'!$V$3:$V$6,'Normative data'!$W$3:$W$6,"Not Found",-1)</f>
        <v>Very low risk</v>
      </c>
      <c r="BY244" s="91" t="str">
        <f t="shared" si="65"/>
        <v>Incomplete</v>
      </c>
      <c r="BZ244" s="91" t="str">
        <f>_xlfn.XLOOKUP(BY244,'Normative data'!$V$3:$V$6,'Normative data'!$W$3:$W$6,"Not Found",-1)</f>
        <v>Very low risk</v>
      </c>
      <c r="CA244" s="20"/>
      <c r="CC244" s="20"/>
      <c r="CE244" s="20">
        <v>5</v>
      </c>
      <c r="CG244" s="20"/>
      <c r="CH244" s="20" t="str">
        <f>_xlfn.XLOOKUP(CG244, 'Normative data'!$S$9:$S$15,'Normative data'!$T$9:$T$15, "Not Found", -1)</f>
        <v>not completed</v>
      </c>
      <c r="CI244" s="20"/>
      <c r="CJ244" s="20" t="str">
        <f>_xlfn.XLOOKUP(CI244, 'Normative data'!$S$9:$S$15, 'Normative data'!$T$9:$T$15, "Not Found", -1)</f>
        <v>not completed</v>
      </c>
      <c r="CK244" s="24">
        <v>2.37</v>
      </c>
      <c r="CL244" s="24">
        <v>4.22</v>
      </c>
      <c r="CM244" s="21"/>
      <c r="CN244" s="24">
        <v>7.3</v>
      </c>
      <c r="CO244" s="24">
        <v>6.85</v>
      </c>
      <c r="CP244" s="24"/>
      <c r="CQ244" s="20"/>
      <c r="CR244" s="20" t="str" cm="1">
        <f t="array" ref="CR244">IF(OR(ISBLANK(E244),ISBLANK(CQ244)),"Incomplete",_xlfn.XLOOKUP(CQ244,_xlfn.XLOOKUP(E244,'Normative data'!$Y$3:$Y$6,'Normative data'!$Z$3:$AG$6,,-1),'Normative data'!$Z$2:$AG$2,"Not Found",-1))</f>
        <v>Incomplete</v>
      </c>
      <c r="CS244" s="20"/>
      <c r="CT244" s="20"/>
      <c r="CU244" s="20" t="str" cm="1">
        <f t="array" ref="CU244">_xlfn.XLOOKUP(CS244&amp;CT244,(VLOOKUP!$A$3:$A$250)&amp;(VLOOKUP!$B$3:$B$250),VLOOKUP!$C$3:$C$250,"Incomplete",-1)</f>
        <v>Incomplete</v>
      </c>
      <c r="CV244" s="20" t="str" cm="1">
        <f t="array" ref="CV244">_xlfn.XLOOKUP(CU244, _xlfn.XLOOKUP(E244, 'Normative data'!$Y$11:$Y$14, 'Normative data'!$Z$11:$AG$14, ,-1), 'Normative data'!$Z$10:$AG$10, "Not Found", -1)</f>
        <v>Excellent</v>
      </c>
      <c r="CW244" s="20" t="str" cm="1">
        <f t="array" ref="CW244">IF(OR(ISBLANK(CS244),ISBLANK(CT244)),"Incomplete",_xlfn.XLOOKUP(CS244&amp;CT244,VLOOKUP!$A$4:$A$250&amp;VLOOKUP!$B$4:$B$250,VLOOKUP!$D$4:$D$250,"0"))</f>
        <v>Incomplete</v>
      </c>
    </row>
    <row r="245" spans="1:101">
      <c r="A245" s="17" t="s">
        <v>680</v>
      </c>
      <c r="B245" s="17" t="s">
        <v>681</v>
      </c>
      <c r="C245" s="17" t="s">
        <v>86</v>
      </c>
      <c r="D245" s="26"/>
      <c r="F245" s="17">
        <v>11</v>
      </c>
      <c r="G245" s="17">
        <v>2025</v>
      </c>
      <c r="H245" s="20" t="s">
        <v>124</v>
      </c>
      <c r="I245" s="17">
        <v>3</v>
      </c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41" t="str">
        <f t="shared" si="56"/>
        <v>Incomplete</v>
      </c>
      <c r="AZ245" s="20"/>
      <c r="BA245" s="20" t="str">
        <f t="shared" si="57"/>
        <v>Incomplete</v>
      </c>
      <c r="BB245" s="20"/>
      <c r="BC245" s="20" t="str">
        <f t="shared" si="58"/>
        <v>Incomplete</v>
      </c>
      <c r="BD245" s="20"/>
      <c r="BE245" s="20" t="str">
        <f t="shared" si="59"/>
        <v>Incomplete</v>
      </c>
      <c r="BF245" s="20"/>
      <c r="BG245" s="20"/>
      <c r="BH245" s="20"/>
      <c r="BI245" s="20" t="str">
        <f t="shared" si="66"/>
        <v>Incomplete</v>
      </c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91" t="str">
        <f t="shared" si="64"/>
        <v>Incomplete</v>
      </c>
      <c r="BX245" s="91" t="str">
        <f>_xlfn.XLOOKUP(BW245,'Normative data'!$V$3:$V$6,'Normative data'!$W$3:$W$6,"Not Found",-1)</f>
        <v>Very low risk</v>
      </c>
      <c r="BY245" s="91" t="str">
        <f t="shared" si="65"/>
        <v>Incomplete</v>
      </c>
      <c r="BZ245" s="91" t="str">
        <f>_xlfn.XLOOKUP(BY245,'Normative data'!$V$3:$V$6,'Normative data'!$W$3:$W$6,"Not Found",-1)</f>
        <v>Very low risk</v>
      </c>
      <c r="CA245" s="20"/>
      <c r="CC245" s="20"/>
      <c r="CE245" s="20"/>
      <c r="CG245" s="20"/>
      <c r="CH245" s="20" t="str">
        <f>_xlfn.XLOOKUP(CG245, 'Normative data'!$S$9:$S$15,'Normative data'!$T$9:$T$15, "Not Found", -1)</f>
        <v>not completed</v>
      </c>
      <c r="CI245" s="20"/>
      <c r="CJ245" s="20" t="str">
        <f>_xlfn.XLOOKUP(CI245, 'Normative data'!$S$9:$S$15, 'Normative data'!$T$9:$T$15, "Not Found", -1)</f>
        <v>not completed</v>
      </c>
      <c r="CK245" s="20" t="s">
        <v>116</v>
      </c>
      <c r="CL245" s="20" t="s">
        <v>117</v>
      </c>
      <c r="CN245" s="20" t="s">
        <v>663</v>
      </c>
      <c r="CO245" s="20" t="s">
        <v>682</v>
      </c>
      <c r="CQ245" s="20"/>
      <c r="CR245" s="20" t="str" cm="1">
        <f t="array" ref="CR245">IF(OR(ISBLANK(E245),ISBLANK(CQ245)),"Incomplete",_xlfn.XLOOKUP(CQ245,_xlfn.XLOOKUP(E245,'Normative data'!$Y$3:$Y$6,'Normative data'!$Z$3:$AG$6,,-1),'Normative data'!$Z$2:$AG$2,"Not Found",-1))</f>
        <v>Incomplete</v>
      </c>
      <c r="CS245" s="20"/>
      <c r="CT245" s="20"/>
      <c r="CU245" s="20" t="str" cm="1">
        <f t="array" ref="CU245">_xlfn.XLOOKUP(CS245&amp;CT245,(VLOOKUP!$A$3:$A$250)&amp;(VLOOKUP!$B$3:$B$250),VLOOKUP!$C$3:$C$250,"Incomplete",-1)</f>
        <v>Incomplete</v>
      </c>
      <c r="CV245" s="20" t="str" cm="1">
        <f t="array" ref="CV245">_xlfn.XLOOKUP(CU245, _xlfn.XLOOKUP(E245, 'Normative data'!$Y$11:$Y$14, 'Normative data'!$Z$11:$AG$14, ,-1), 'Normative data'!$Z$10:$AG$10, "Not Found", -1)</f>
        <v>Excellent</v>
      </c>
      <c r="CW245" s="20" t="str" cm="1">
        <f t="array" ref="CW245">IF(OR(ISBLANK(CS245),ISBLANK(CT245)),"Incomplete",_xlfn.XLOOKUP(CS245&amp;CT245,VLOOKUP!$A$4:$A$250&amp;VLOOKUP!$B$4:$B$250,VLOOKUP!$D$4:$D$250,"0"))</f>
        <v>Incomplete</v>
      </c>
    </row>
    <row r="246" spans="1:101">
      <c r="A246" s="17" t="s">
        <v>553</v>
      </c>
      <c r="B246" s="17" t="s">
        <v>552</v>
      </c>
      <c r="C246" s="17" t="s">
        <v>86</v>
      </c>
      <c r="D246" s="26">
        <v>40625</v>
      </c>
      <c r="F246" s="20" t="s">
        <v>217</v>
      </c>
      <c r="G246" s="17">
        <v>2026</v>
      </c>
      <c r="I246" s="20">
        <v>2</v>
      </c>
      <c r="J246" s="20"/>
      <c r="K246" s="20"/>
      <c r="L246" s="20"/>
      <c r="S246" s="20">
        <v>84.6</v>
      </c>
      <c r="T246" s="20">
        <v>163.80000000000001</v>
      </c>
      <c r="AQ246" s="20"/>
      <c r="AR246" s="20"/>
      <c r="AS246" s="20"/>
      <c r="AT246" s="20"/>
      <c r="AU246" s="20"/>
      <c r="AV246" s="20"/>
      <c r="AW246" s="20"/>
      <c r="AX246" s="20"/>
      <c r="AY246" s="41" t="str">
        <f t="shared" si="56"/>
        <v>Incomplete</v>
      </c>
      <c r="BA246" s="20" t="str">
        <f t="shared" si="57"/>
        <v>Incomplete</v>
      </c>
      <c r="BC246" s="20" t="str">
        <f t="shared" si="58"/>
        <v>Incomplete</v>
      </c>
      <c r="BE246" s="20" t="str">
        <f t="shared" si="59"/>
        <v>Incomplete</v>
      </c>
      <c r="BG246" s="17">
        <v>13</v>
      </c>
      <c r="BH246" s="17">
        <v>42</v>
      </c>
      <c r="BI246" s="20">
        <f t="shared" si="66"/>
        <v>29</v>
      </c>
      <c r="BJ246" s="20"/>
      <c r="BK246" s="17">
        <v>5.5</v>
      </c>
      <c r="BL246" s="20"/>
      <c r="BM246" s="17">
        <v>5</v>
      </c>
      <c r="BN246" s="20"/>
      <c r="BO246" s="17">
        <v>53.5</v>
      </c>
      <c r="BP246" s="17">
        <v>52.5</v>
      </c>
      <c r="BQ246" s="17">
        <v>77</v>
      </c>
      <c r="BR246" s="17">
        <v>84</v>
      </c>
      <c r="BS246" s="17">
        <v>72</v>
      </c>
      <c r="BT246" s="17">
        <v>75</v>
      </c>
      <c r="BU246" s="17">
        <v>79</v>
      </c>
      <c r="BV246" s="17">
        <v>75</v>
      </c>
      <c r="BW246" s="91">
        <f t="shared" si="64"/>
        <v>98.063973063973037</v>
      </c>
      <c r="BX246" s="91" t="str">
        <f>_xlfn.XLOOKUP(BW246,'Normative data'!$V$3:$V$6,'Normative data'!$W$3:$W$6,"Not Found",-1)</f>
        <v>Low risk</v>
      </c>
      <c r="BY246" s="91">
        <f t="shared" si="65"/>
        <v>96.380471380471349</v>
      </c>
      <c r="BZ246" s="91" t="str">
        <f>_xlfn.XLOOKUP(BY246,'Normative data'!$V$3:$V$6,'Normative data'!$W$3:$W$6,"Not Found",-1)</f>
        <v>Low risk</v>
      </c>
      <c r="CA246" s="17">
        <v>17</v>
      </c>
      <c r="CC246" s="20"/>
      <c r="CE246" s="17">
        <v>1</v>
      </c>
      <c r="CG246" s="17">
        <v>20.84</v>
      </c>
      <c r="CH246" s="20" t="str">
        <f>_xlfn.XLOOKUP(CG246, 'Normative data'!$S$9:$S$15,'Normative data'!$T$9:$T$15, "Not Found", -1)</f>
        <v>Average</v>
      </c>
      <c r="CI246" s="17">
        <v>20.34</v>
      </c>
      <c r="CJ246" s="20" t="str">
        <f>_xlfn.XLOOKUP(CI246, 'Normative data'!$S$9:$S$15, 'Normative data'!$T$9:$T$15, "Not Found", -1)</f>
        <v>Average</v>
      </c>
      <c r="CK246" s="17">
        <v>2.67</v>
      </c>
      <c r="CL246" s="17">
        <v>3.75</v>
      </c>
      <c r="CN246" s="17">
        <v>8.15</v>
      </c>
      <c r="CO246" s="17">
        <v>6.13</v>
      </c>
      <c r="CR246" s="20" t="str" cm="1">
        <f t="array" ref="CR246">IF(OR(ISBLANK(E246),ISBLANK(CQ246)),"Incomplete",_xlfn.XLOOKUP(CQ246,_xlfn.XLOOKUP(E246,'Normative data'!$Y$3:$Y$6,'Normative data'!$Z$3:$AG$6,,-1),'Normative data'!$Z$2:$AG$2,"Not Found",-1))</f>
        <v>Incomplete</v>
      </c>
      <c r="CS246" s="20">
        <v>5</v>
      </c>
      <c r="CT246" s="20">
        <v>3</v>
      </c>
      <c r="CU246" s="20" cm="1">
        <f t="array" ref="CU246">_xlfn.XLOOKUP(CS246&amp;CT246,(VLOOKUP!$A$3:$A$250)&amp;(VLOOKUP!$B$3:$B$250),VLOOKUP!$C$3:$C$250,"Incomplete",-1)</f>
        <v>700</v>
      </c>
      <c r="CV246" s="20" t="str" cm="1">
        <f t="array" ref="CV246">_xlfn.XLOOKUP(CU246, _xlfn.XLOOKUP(E246, 'Normative data'!$Y$11:$Y$14, 'Normative data'!$Z$11:$AG$14, ,-1), 'Normative data'!$Z$10:$AG$10, "Not Found", -1)</f>
        <v xml:space="preserve">Poor </v>
      </c>
      <c r="CW246" s="20" cm="1">
        <f t="array" ref="CW246">IF(OR(ISBLANK(CS246),ISBLANK(CT246)),"Incomplete",_xlfn.XLOOKUP(CS246&amp;CT246,VLOOKUP!$A$4:$A$250&amp;VLOOKUP!$B$4:$B$250,VLOOKUP!$D$4:$D$250,"0"))</f>
        <v>31</v>
      </c>
    </row>
    <row r="247" spans="1:101">
      <c r="A247" s="17" t="s">
        <v>683</v>
      </c>
      <c r="B247" s="17" t="s">
        <v>684</v>
      </c>
      <c r="C247" s="17" t="s">
        <v>86</v>
      </c>
      <c r="D247" s="26">
        <v>39834</v>
      </c>
      <c r="E247" s="17">
        <v>17.399999999999999</v>
      </c>
      <c r="F247" s="20" t="s">
        <v>151</v>
      </c>
      <c r="G247" s="17">
        <v>2026</v>
      </c>
      <c r="I247" s="20">
        <v>2</v>
      </c>
      <c r="J247" s="20" t="s">
        <v>88</v>
      </c>
      <c r="K247" s="20" t="s">
        <v>95</v>
      </c>
      <c r="L247" s="20"/>
      <c r="S247" s="20">
        <v>85.6</v>
      </c>
      <c r="T247" s="20">
        <v>160.69999999999999</v>
      </c>
      <c r="U247" s="17">
        <v>58.6</v>
      </c>
      <c r="V247" s="17">
        <v>27.7</v>
      </c>
      <c r="W247" s="17">
        <v>20.6</v>
      </c>
      <c r="X247" s="17">
        <v>38</v>
      </c>
      <c r="Y247" s="17">
        <v>20.5</v>
      </c>
      <c r="Z247" s="17">
        <v>22.6</v>
      </c>
      <c r="AA247" s="17">
        <v>35.200000000000003</v>
      </c>
      <c r="AB247" s="17">
        <v>5.85</v>
      </c>
      <c r="AC247" s="17">
        <v>94.4</v>
      </c>
      <c r="AD247" s="17">
        <v>5.96</v>
      </c>
      <c r="AE247" s="17">
        <v>96.2</v>
      </c>
      <c r="AF247" s="17">
        <v>3.3</v>
      </c>
      <c r="AG247" s="17">
        <v>148.1</v>
      </c>
      <c r="AH247" s="17">
        <v>3.3</v>
      </c>
      <c r="AI247" s="17">
        <v>148.4</v>
      </c>
      <c r="AJ247" s="17">
        <v>342.5</v>
      </c>
      <c r="AK247" s="17">
        <v>327.60000000000002</v>
      </c>
      <c r="AL247" s="17">
        <v>303</v>
      </c>
      <c r="AM247" s="17">
        <v>290.7</v>
      </c>
      <c r="AN247" s="17">
        <v>78</v>
      </c>
      <c r="AQ247" s="17">
        <v>23.3</v>
      </c>
      <c r="AR247" s="17">
        <v>0.436</v>
      </c>
      <c r="AS247" s="17">
        <v>25.5</v>
      </c>
      <c r="AT247" s="17">
        <v>0.45600000000000002</v>
      </c>
      <c r="AU247" s="17">
        <v>13.5</v>
      </c>
      <c r="AV247" s="17">
        <v>0.33200000000000002</v>
      </c>
      <c r="AW247" s="17">
        <v>14.4</v>
      </c>
      <c r="AX247" s="17">
        <v>0.34300000000000003</v>
      </c>
      <c r="AY247" s="41">
        <f t="shared" si="56"/>
        <v>2013.8900000000003</v>
      </c>
      <c r="BA247" s="20">
        <f t="shared" si="57"/>
        <v>2147.4300000000003</v>
      </c>
      <c r="BC247" s="20">
        <f t="shared" si="58"/>
        <v>1419.0299999999997</v>
      </c>
      <c r="BE247" s="20">
        <f t="shared" si="59"/>
        <v>1473.6599999999999</v>
      </c>
      <c r="BG247" s="17">
        <v>20.5</v>
      </c>
      <c r="BH247" s="17">
        <v>62</v>
      </c>
      <c r="BI247" s="20">
        <f t="shared" si="66"/>
        <v>41.5</v>
      </c>
      <c r="BJ247" s="20"/>
      <c r="BK247" s="17">
        <v>3</v>
      </c>
      <c r="BL247" s="20"/>
      <c r="BM247" s="17">
        <v>1</v>
      </c>
      <c r="BN247" s="20"/>
      <c r="BO247" s="17">
        <v>55</v>
      </c>
      <c r="BP247" s="17">
        <v>55</v>
      </c>
      <c r="BQ247" s="17">
        <v>64</v>
      </c>
      <c r="BR247" s="17">
        <v>74</v>
      </c>
      <c r="BS247" s="17">
        <v>78</v>
      </c>
      <c r="BT247" s="17">
        <v>60</v>
      </c>
      <c r="BU247" s="17">
        <v>80</v>
      </c>
      <c r="BV247" s="17">
        <v>75</v>
      </c>
      <c r="BW247" s="91">
        <f t="shared" si="64"/>
        <v>95.87217043941412</v>
      </c>
      <c r="BX247" s="91" t="str">
        <f>_xlfn.XLOOKUP(BW247,'Normative data'!$V$3:$V$6,'Normative data'!$W$3:$W$6,"Not Found",-1)</f>
        <v>Low risk</v>
      </c>
      <c r="BY247" s="91">
        <f t="shared" si="65"/>
        <v>95.428317798490909</v>
      </c>
      <c r="BZ247" s="91" t="str">
        <f>_xlfn.XLOOKUP(BY247,'Normative data'!$V$3:$V$6,'Normative data'!$W$3:$W$6,"Not Found",-1)</f>
        <v>High risk</v>
      </c>
      <c r="CA247" s="17">
        <v>35</v>
      </c>
      <c r="CC247" s="20"/>
      <c r="CE247" s="17">
        <v>25</v>
      </c>
      <c r="CG247" s="17">
        <v>20.96</v>
      </c>
      <c r="CH247" s="20" t="str">
        <f>_xlfn.XLOOKUP(CG247, 'Normative data'!$S$9:$S$15,'Normative data'!$T$9:$T$15, "Not Found", -1)</f>
        <v>Average</v>
      </c>
      <c r="CI247" s="17">
        <v>21.25</v>
      </c>
      <c r="CJ247" s="20" t="str">
        <f>_xlfn.XLOOKUP(CI247, 'Normative data'!$S$9:$S$15, 'Normative data'!$T$9:$T$15, "Not Found", -1)</f>
        <v>Average</v>
      </c>
      <c r="CK247" s="17">
        <v>2.19</v>
      </c>
      <c r="CL247" s="17">
        <v>4.57</v>
      </c>
      <c r="CN247" s="17">
        <v>6.66</v>
      </c>
      <c r="CO247" s="17">
        <v>7.51</v>
      </c>
      <c r="CR247" s="20" t="str" cm="1">
        <f t="array" ref="CR247">IF(OR(ISBLANK(E247),ISBLANK(CQ247)),"Incomplete",_xlfn.XLOOKUP(CQ247,_xlfn.XLOOKUP(E247,'Normative data'!$Y$3:$Y$6,'Normative data'!$Z$3:$AG$6,,-1),'Normative data'!$Z$2:$AG$2,"Not Found",-1))</f>
        <v>Incomplete</v>
      </c>
      <c r="CS247" s="20"/>
      <c r="CT247" s="20"/>
      <c r="CU247" s="20" t="str" cm="1">
        <f t="array" ref="CU247">_xlfn.XLOOKUP(CS247&amp;CT247,(VLOOKUP!$A$3:$A$250)&amp;(VLOOKUP!$B$3:$B$250),VLOOKUP!$C$3:$C$250,"Incomplete",-1)</f>
        <v>Incomplete</v>
      </c>
      <c r="CV247" s="20" t="str" cm="1">
        <f t="array" ref="CV247">_xlfn.XLOOKUP(CU247, _xlfn.XLOOKUP(E247, 'Normative data'!$Y$11:$Y$14, 'Normative data'!$Z$11:$AG$14, ,-1), 'Normative data'!$Z$10:$AG$10, "Not Found", -1)</f>
        <v>Excellent</v>
      </c>
      <c r="CW247" s="20" t="str" cm="1">
        <f t="array" ref="CW247">IF(OR(ISBLANK(CS247),ISBLANK(CT247)),"Incomplete",_xlfn.XLOOKUP(CS247&amp;CT247,VLOOKUP!$A$4:$A$250&amp;VLOOKUP!$B$4:$B$250,VLOOKUP!$D$4:$D$250,"0"))</f>
        <v>Incomplete</v>
      </c>
    </row>
    <row r="248" spans="1:101">
      <c r="A248" s="17" t="s">
        <v>685</v>
      </c>
      <c r="B248" s="17" t="s">
        <v>684</v>
      </c>
      <c r="C248" s="17" t="s">
        <v>86</v>
      </c>
      <c r="D248" s="26"/>
      <c r="F248" s="20" t="s">
        <v>162</v>
      </c>
      <c r="G248" s="17">
        <v>2026</v>
      </c>
      <c r="I248" s="20">
        <v>2</v>
      </c>
      <c r="J248" s="20"/>
      <c r="K248" s="20"/>
      <c r="L248" s="20"/>
      <c r="S248" s="20">
        <v>85.2</v>
      </c>
      <c r="T248" s="20">
        <v>169.7</v>
      </c>
      <c r="AY248" s="41" t="str">
        <f t="shared" si="56"/>
        <v>Incomplete</v>
      </c>
      <c r="BA248" s="20" t="str">
        <f t="shared" si="57"/>
        <v>Incomplete</v>
      </c>
      <c r="BC248" s="20" t="str">
        <f t="shared" si="58"/>
        <v>Incomplete</v>
      </c>
      <c r="BE248" s="20" t="str">
        <f t="shared" si="59"/>
        <v>Incomplete</v>
      </c>
      <c r="BG248" s="17">
        <v>11.4</v>
      </c>
      <c r="BH248" s="17">
        <v>50.9</v>
      </c>
      <c r="BI248" s="20">
        <f t="shared" si="66"/>
        <v>39.5</v>
      </c>
      <c r="BJ248" s="20"/>
      <c r="BL248" s="20"/>
      <c r="BM248" s="20"/>
      <c r="BN248" s="20"/>
      <c r="BW248" s="91">
        <f t="shared" si="64"/>
        <v>0</v>
      </c>
      <c r="BX248" s="91" t="str">
        <f>_xlfn.XLOOKUP(BW248,'Normative data'!$V$3:$V$6,'Normative data'!$W$3:$W$6,"Not Found",-1)</f>
        <v>Not completed</v>
      </c>
      <c r="BY248" s="91">
        <f t="shared" si="65"/>
        <v>0</v>
      </c>
      <c r="BZ248" s="91" t="str">
        <f>_xlfn.XLOOKUP(BY248,'Normative data'!$V$3:$V$6,'Normative data'!$W$3:$W$6,"Not Found",-1)</f>
        <v>Not completed</v>
      </c>
      <c r="CG248" s="17">
        <v>20.420000000000002</v>
      </c>
      <c r="CH248" s="20" t="str">
        <f>_xlfn.XLOOKUP(CG248, 'Normative data'!$S$9:$S$15,'Normative data'!$T$9:$T$15, "Not Found", -1)</f>
        <v>Average</v>
      </c>
      <c r="CI248" s="17">
        <v>20.09</v>
      </c>
      <c r="CJ248" s="20" t="str">
        <f>_xlfn.XLOOKUP(CI248, 'Normative data'!$S$9:$S$15, 'Normative data'!$T$9:$T$15, "Not Found", -1)</f>
        <v>Average</v>
      </c>
      <c r="CK248" s="17">
        <v>2.38</v>
      </c>
      <c r="CL248" s="17">
        <v>4.2</v>
      </c>
      <c r="CN248" s="17">
        <v>7.76</v>
      </c>
      <c r="CO248" s="17">
        <v>6.44</v>
      </c>
      <c r="CQ248" s="17">
        <v>2.6</v>
      </c>
      <c r="CR248" s="20" t="str" cm="1">
        <f t="array" ref="CR248">IF(OR(ISBLANK(E248),ISBLANK(CQ248)),"Incomplete",_xlfn.XLOOKUP(CQ248,_xlfn.XLOOKUP(E248,'Normative data'!$Y$3:$Y$6,'Normative data'!$Z$3:$AG$6,,-1),'Normative data'!$Z$2:$AG$2,"Not Found",-1))</f>
        <v>Incomplete</v>
      </c>
      <c r="CS248" s="20">
        <v>2</v>
      </c>
      <c r="CT248" s="20">
        <v>6</v>
      </c>
      <c r="CU248" s="20" cm="1">
        <f t="array" ref="CU248">_xlfn.XLOOKUP(CS248&amp;CT248,(VLOOKUP!$A$3:$A$250)&amp;(VLOOKUP!$B$3:$B$250),VLOOKUP!$C$3:$C$250,"Incomplete",-1)</f>
        <v>260</v>
      </c>
      <c r="CV248" s="20" t="str" cm="1">
        <f t="array" ref="CV248">_xlfn.XLOOKUP(CU248, _xlfn.XLOOKUP(E248, 'Normative data'!$Y$11:$Y$14, 'Normative data'!$Z$11:$AG$14, ,-1), 'Normative data'!$Z$10:$AG$10, "Not Found", -1)</f>
        <v xml:space="preserve">Very poor </v>
      </c>
      <c r="CW248" s="20" cm="1">
        <f t="array" ref="CW248">IF(OR(ISBLANK(CS248),ISBLANK(CT248)),"Incomplete",_xlfn.XLOOKUP(CS248&amp;CT248,VLOOKUP!$A$4:$A$250&amp;VLOOKUP!$B$4:$B$250,VLOOKUP!$D$4:$D$250,"0"))</f>
        <v>22</v>
      </c>
    </row>
    <row r="249" spans="1:101">
      <c r="A249" s="18" t="s">
        <v>250</v>
      </c>
      <c r="B249" s="18" t="s">
        <v>252</v>
      </c>
      <c r="C249" s="17" t="s">
        <v>86</v>
      </c>
      <c r="D249" s="19">
        <v>40679</v>
      </c>
      <c r="F249" s="17">
        <v>8</v>
      </c>
      <c r="G249" s="17">
        <v>2025</v>
      </c>
      <c r="H249" s="20" t="s">
        <v>124</v>
      </c>
      <c r="I249" s="17">
        <v>3</v>
      </c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41" t="str">
        <f t="shared" si="56"/>
        <v>Incomplete</v>
      </c>
      <c r="AZ249" s="20"/>
      <c r="BA249" s="20" t="str">
        <f t="shared" si="57"/>
        <v>Incomplete</v>
      </c>
      <c r="BB249" s="20"/>
      <c r="BC249" s="20" t="str">
        <f t="shared" si="58"/>
        <v>Incomplete</v>
      </c>
      <c r="BD249" s="20"/>
      <c r="BE249" s="20" t="str">
        <f t="shared" si="59"/>
        <v>Incomplete</v>
      </c>
      <c r="BF249" s="20"/>
      <c r="BG249" s="20">
        <v>15</v>
      </c>
      <c r="BH249" s="20">
        <v>44</v>
      </c>
      <c r="BI249" s="20">
        <f t="shared" si="66"/>
        <v>29</v>
      </c>
      <c r="BJ249" s="20"/>
      <c r="BK249" s="20">
        <v>7</v>
      </c>
      <c r="BL249" s="20"/>
      <c r="BM249" s="20">
        <v>8</v>
      </c>
      <c r="BN249" s="20"/>
      <c r="BO249" s="20"/>
      <c r="BP249" s="20"/>
      <c r="BQ249" s="20"/>
      <c r="BR249" s="20"/>
      <c r="BS249" s="20"/>
      <c r="BT249" s="20"/>
      <c r="BU249" s="20"/>
      <c r="BV249" s="20"/>
      <c r="BW249" s="91" t="str">
        <f t="shared" si="64"/>
        <v>Incomplete</v>
      </c>
      <c r="BX249" s="91" t="str">
        <f>_xlfn.XLOOKUP(BW249,'Normative data'!$V$3:$V$6,'Normative data'!$W$3:$W$6,"Not Found",-1)</f>
        <v>Very low risk</v>
      </c>
      <c r="BY249" s="91" t="str">
        <f t="shared" si="65"/>
        <v>Incomplete</v>
      </c>
      <c r="BZ249" s="91" t="str">
        <f>_xlfn.XLOOKUP(BY249,'Normative data'!$V$3:$V$6,'Normative data'!$W$3:$W$6,"Not Found",-1)</f>
        <v>Very low risk</v>
      </c>
      <c r="CA249" s="20"/>
      <c r="CC249" s="20"/>
      <c r="CE249" s="20">
        <v>2</v>
      </c>
      <c r="CG249" s="20"/>
      <c r="CH249" s="20" t="str">
        <f>_xlfn.XLOOKUP(CG249, 'Normative data'!$S$9:$S$15,'Normative data'!$T$9:$T$15, "Not Found", -1)</f>
        <v>not completed</v>
      </c>
      <c r="CI249" s="20"/>
      <c r="CJ249" s="20" t="str">
        <f>_xlfn.XLOOKUP(CI249, 'Normative data'!$S$9:$S$15, 'Normative data'!$T$9:$T$15, "Not Found", -1)</f>
        <v>not completed</v>
      </c>
      <c r="CK249" s="21">
        <v>2.04</v>
      </c>
      <c r="CL249" s="21">
        <v>4.9000000000000004</v>
      </c>
      <c r="CM249" s="21"/>
      <c r="CN249" s="21">
        <v>6.62</v>
      </c>
      <c r="CO249" s="21">
        <v>7.55</v>
      </c>
      <c r="CP249" s="21"/>
      <c r="CQ249" s="20"/>
      <c r="CR249" s="20" t="str" cm="1">
        <f t="array" ref="CR249">IF(OR(ISBLANK(E249),ISBLANK(CQ249)),"Incomplete",_xlfn.XLOOKUP(CQ249,_xlfn.XLOOKUP(E249,'Normative data'!$Y$3:$Y$6,'Normative data'!$Z$3:$AG$6,,-1),'Normative data'!$Z$2:$AG$2,"Not Found",-1))</f>
        <v>Incomplete</v>
      </c>
      <c r="CS249" s="20"/>
      <c r="CT249" s="20"/>
      <c r="CU249" s="20" t="str" cm="1">
        <f t="array" ref="CU249">_xlfn.XLOOKUP(CS249&amp;CT249,(VLOOKUP!$A$3:$A$250)&amp;(VLOOKUP!$B$3:$B$250),VLOOKUP!$C$3:$C$250,"Incomplete",-1)</f>
        <v>Incomplete</v>
      </c>
      <c r="CV249" s="20" t="str" cm="1">
        <f t="array" ref="CV249">_xlfn.XLOOKUP(CU249, _xlfn.XLOOKUP(E249, 'Normative data'!$Y$11:$Y$14, 'Normative data'!$Z$11:$AG$14, ,-1), 'Normative data'!$Z$10:$AG$10, "Not Found", -1)</f>
        <v>Excellent</v>
      </c>
      <c r="CW249" s="20" t="str" cm="1">
        <f t="array" ref="CW249">IF(OR(ISBLANK(CS249),ISBLANK(CT249)),"Incomplete",_xlfn.XLOOKUP(CS249&amp;CT249,VLOOKUP!$A$4:$A$250&amp;VLOOKUP!$B$4:$B$250,VLOOKUP!$D$4:$D$250,"0"))</f>
        <v>Incomplete</v>
      </c>
    </row>
    <row r="250" spans="1:101">
      <c r="A250" s="18" t="s">
        <v>686</v>
      </c>
      <c r="B250" s="18" t="s">
        <v>252</v>
      </c>
      <c r="C250" s="17" t="s">
        <v>86</v>
      </c>
      <c r="D250" s="19">
        <v>39851</v>
      </c>
      <c r="F250" s="17">
        <v>10</v>
      </c>
      <c r="G250" s="17">
        <v>2025</v>
      </c>
      <c r="H250" s="20" t="s">
        <v>124</v>
      </c>
      <c r="I250" s="17">
        <v>3</v>
      </c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41" t="str">
        <f t="shared" si="56"/>
        <v>Incomplete</v>
      </c>
      <c r="AZ250" s="20"/>
      <c r="BA250" s="20" t="str">
        <f t="shared" si="57"/>
        <v>Incomplete</v>
      </c>
      <c r="BB250" s="20"/>
      <c r="BC250" s="20" t="str">
        <f t="shared" si="58"/>
        <v>Incomplete</v>
      </c>
      <c r="BD250" s="20"/>
      <c r="BE250" s="20" t="str">
        <f t="shared" si="59"/>
        <v>Incomplete</v>
      </c>
      <c r="BF250" s="20"/>
      <c r="BG250" s="20"/>
      <c r="BH250" s="20"/>
      <c r="BI250" s="20" t="str">
        <f t="shared" si="66"/>
        <v>Incomplete</v>
      </c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91" t="str">
        <f t="shared" si="64"/>
        <v>Incomplete</v>
      </c>
      <c r="BX250" s="91" t="str">
        <f>_xlfn.XLOOKUP(BW250,'Normative data'!$V$3:$V$6,'Normative data'!$W$3:$W$6,"Not Found",-1)</f>
        <v>Very low risk</v>
      </c>
      <c r="BY250" s="91" t="str">
        <f t="shared" si="65"/>
        <v>Incomplete</v>
      </c>
      <c r="BZ250" s="91" t="str">
        <f>_xlfn.XLOOKUP(BY250,'Normative data'!$V$3:$V$6,'Normative data'!$W$3:$W$6,"Not Found",-1)</f>
        <v>Very low risk</v>
      </c>
      <c r="CA250" s="20"/>
      <c r="CC250" s="20"/>
      <c r="CE250" s="20"/>
      <c r="CG250" s="20"/>
      <c r="CH250" s="20" t="str">
        <f>_xlfn.XLOOKUP(CG250, 'Normative data'!$S$9:$S$15,'Normative data'!$T$9:$T$15, "Not Found", -1)</f>
        <v>not completed</v>
      </c>
      <c r="CI250" s="20"/>
      <c r="CJ250" s="20" t="str">
        <f>_xlfn.XLOOKUP(CI250, 'Normative data'!$S$9:$S$15, 'Normative data'!$T$9:$T$15, "Not Found", -1)</f>
        <v>not completed</v>
      </c>
      <c r="CK250" s="21">
        <v>2.08</v>
      </c>
      <c r="CL250" s="21">
        <v>4.8099999999999996</v>
      </c>
      <c r="CM250" s="21"/>
      <c r="CN250" s="21">
        <v>6.59</v>
      </c>
      <c r="CO250" s="21">
        <v>7.59</v>
      </c>
      <c r="CP250" s="21"/>
      <c r="CQ250" s="20"/>
      <c r="CR250" s="20" t="str" cm="1">
        <f t="array" ref="CR250">IF(OR(ISBLANK(E250),ISBLANK(CQ250)),"Incomplete",_xlfn.XLOOKUP(CQ250,_xlfn.XLOOKUP(E250,'Normative data'!$Y$3:$Y$6,'Normative data'!$Z$3:$AG$6,,-1),'Normative data'!$Z$2:$AG$2,"Not Found",-1))</f>
        <v>Incomplete</v>
      </c>
      <c r="CS250" s="20"/>
      <c r="CT250" s="20"/>
      <c r="CU250" s="20" t="str" cm="1">
        <f t="array" ref="CU250">_xlfn.XLOOKUP(CS250&amp;CT250,(VLOOKUP!$A$3:$A$250)&amp;(VLOOKUP!$B$3:$B$250),VLOOKUP!$C$3:$C$250,"Incomplete",-1)</f>
        <v>Incomplete</v>
      </c>
      <c r="CV250" s="20" t="str" cm="1">
        <f t="array" ref="CV250">_xlfn.XLOOKUP(CU250, _xlfn.XLOOKUP(E250, 'Normative data'!$Y$11:$Y$14, 'Normative data'!$Z$11:$AG$14, ,-1), 'Normative data'!$Z$10:$AG$10, "Not Found", -1)</f>
        <v>Excellent</v>
      </c>
      <c r="CW250" s="20" t="str" cm="1">
        <f t="array" ref="CW250">IF(OR(ISBLANK(CS250),ISBLANK(CT250)),"Incomplete",_xlfn.XLOOKUP(CS250&amp;CT250,VLOOKUP!$A$4:$A$250&amp;VLOOKUP!$B$4:$B$250,VLOOKUP!$D$4:$D$250,"0"))</f>
        <v>Incomplete</v>
      </c>
    </row>
    <row r="251" spans="1:101">
      <c r="A251" s="17" t="s">
        <v>687</v>
      </c>
      <c r="B251" s="17" t="s">
        <v>688</v>
      </c>
      <c r="C251" s="17" t="s">
        <v>86</v>
      </c>
      <c r="D251" s="26"/>
      <c r="F251" s="20" t="s">
        <v>251</v>
      </c>
      <c r="G251" s="17">
        <v>2026</v>
      </c>
      <c r="I251" s="20">
        <v>2</v>
      </c>
      <c r="J251" s="20" t="s">
        <v>88</v>
      </c>
      <c r="K251" s="20" t="s">
        <v>196</v>
      </c>
      <c r="L251" s="20"/>
      <c r="S251" s="20">
        <v>76.8</v>
      </c>
      <c r="T251" s="20">
        <v>152.9</v>
      </c>
      <c r="AQ251" s="20"/>
      <c r="AR251" s="20"/>
      <c r="AS251" s="20"/>
      <c r="AT251" s="20"/>
      <c r="AU251" s="20"/>
      <c r="AV251" s="20"/>
      <c r="AW251" s="20"/>
      <c r="AX251" s="20"/>
      <c r="AY251" s="41" t="str">
        <f t="shared" si="56"/>
        <v>Incomplete</v>
      </c>
      <c r="BA251" s="20" t="str">
        <f t="shared" si="57"/>
        <v>Incomplete</v>
      </c>
      <c r="BC251" s="20" t="str">
        <f t="shared" si="58"/>
        <v>Incomplete</v>
      </c>
      <c r="BE251" s="20" t="str">
        <f t="shared" si="59"/>
        <v>Incomplete</v>
      </c>
      <c r="BH251" s="17">
        <v>27</v>
      </c>
      <c r="BI251" s="20" t="str">
        <f t="shared" si="66"/>
        <v>Incomplete</v>
      </c>
      <c r="BJ251" s="20"/>
      <c r="BK251" s="17">
        <v>9</v>
      </c>
      <c r="BL251" s="20"/>
      <c r="BM251" s="17">
        <v>6</v>
      </c>
      <c r="BN251" s="20"/>
      <c r="BW251" s="91">
        <f t="shared" si="64"/>
        <v>0</v>
      </c>
      <c r="BX251" s="91" t="str">
        <f>_xlfn.XLOOKUP(BW251,'Normative data'!$V$3:$V$6,'Normative data'!$W$3:$W$6,"Not Found",-1)</f>
        <v>Not completed</v>
      </c>
      <c r="BY251" s="91">
        <f t="shared" si="65"/>
        <v>0</v>
      </c>
      <c r="BZ251" s="91" t="str">
        <f>_xlfn.XLOOKUP(BY251,'Normative data'!$V$3:$V$6,'Normative data'!$W$3:$W$6,"Not Found",-1)</f>
        <v>Not completed</v>
      </c>
      <c r="CG251" s="17">
        <v>20.54</v>
      </c>
      <c r="CH251" s="20" t="str">
        <f>_xlfn.XLOOKUP(CG251, 'Normative data'!$S$9:$S$15,'Normative data'!$T$9:$T$15, "Not Found", -1)</f>
        <v>Average</v>
      </c>
      <c r="CI251" s="17">
        <v>20.13</v>
      </c>
      <c r="CJ251" s="20" t="str">
        <f>_xlfn.XLOOKUP(CI251, 'Normative data'!$S$9:$S$15, 'Normative data'!$T$9:$T$15, "Not Found", -1)</f>
        <v>Average</v>
      </c>
      <c r="CK251" s="17">
        <v>2.44</v>
      </c>
      <c r="CL251" s="17">
        <v>4.0999999999999996</v>
      </c>
      <c r="CN251" s="17">
        <v>8.14</v>
      </c>
      <c r="CO251" s="17">
        <v>6.14</v>
      </c>
      <c r="CQ251" s="17">
        <v>2.8</v>
      </c>
      <c r="CR251" s="20" t="str" cm="1">
        <f t="array" ref="CR251">IF(OR(ISBLANK(E251),ISBLANK(CQ251)),"Incomplete",_xlfn.XLOOKUP(CQ251,_xlfn.XLOOKUP(E251,'Normative data'!$Y$3:$Y$6,'Normative data'!$Z$3:$AG$6,,-1),'Normative data'!$Z$2:$AG$2,"Not Found",-1))</f>
        <v>Incomplete</v>
      </c>
      <c r="CS251" s="20">
        <v>2</v>
      </c>
      <c r="CT251" s="20">
        <v>8</v>
      </c>
      <c r="CU251" s="20" cm="1">
        <f t="array" ref="CU251">_xlfn.XLOOKUP(CS251&amp;CT251,(VLOOKUP!$A$3:$A$250)&amp;(VLOOKUP!$B$3:$B$250),VLOOKUP!$C$3:$C$250,"Incomplete",-1)</f>
        <v>300</v>
      </c>
      <c r="CV251" s="20" t="str" cm="1">
        <f t="array" ref="CV251">_xlfn.XLOOKUP(CU251, _xlfn.XLOOKUP(E251, 'Normative data'!$Y$11:$Y$14, 'Normative data'!$Z$11:$AG$14, ,-1), 'Normative data'!$Z$10:$AG$10, "Not Found", -1)</f>
        <v xml:space="preserve">Very poor </v>
      </c>
      <c r="CW251" s="20" cm="1">
        <f t="array" ref="CW251">IF(OR(ISBLANK(CS251),ISBLANK(CT251)),"Incomplete",_xlfn.XLOOKUP(CS251&amp;CT251,VLOOKUP!$A$4:$A$250&amp;VLOOKUP!$B$4:$B$250,VLOOKUP!$D$4:$D$250,"0"))</f>
        <v>23</v>
      </c>
    </row>
    <row r="252" spans="1:101">
      <c r="A252" s="22" t="s">
        <v>243</v>
      </c>
      <c r="B252" s="22" t="s">
        <v>689</v>
      </c>
      <c r="C252" s="17" t="s">
        <v>86</v>
      </c>
      <c r="D252" s="23">
        <v>39780</v>
      </c>
      <c r="F252" s="17">
        <v>11</v>
      </c>
      <c r="G252" s="17">
        <v>2025</v>
      </c>
      <c r="H252" s="20" t="s">
        <v>124</v>
      </c>
      <c r="I252" s="17">
        <v>3</v>
      </c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41" t="str">
        <f t="shared" si="56"/>
        <v>Incomplete</v>
      </c>
      <c r="AZ252" s="20"/>
      <c r="BA252" s="20" t="str">
        <f t="shared" si="57"/>
        <v>Incomplete</v>
      </c>
      <c r="BB252" s="20"/>
      <c r="BC252" s="20" t="str">
        <f t="shared" si="58"/>
        <v>Incomplete</v>
      </c>
      <c r="BD252" s="20"/>
      <c r="BE252" s="20" t="str">
        <f t="shared" si="59"/>
        <v>Incomplete</v>
      </c>
      <c r="BF252" s="20"/>
      <c r="BG252" s="20"/>
      <c r="BH252" s="20"/>
      <c r="BI252" s="20" t="str">
        <f t="shared" si="66"/>
        <v>Incomplete</v>
      </c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91" t="str">
        <f t="shared" si="64"/>
        <v>Incomplete</v>
      </c>
      <c r="BX252" s="91" t="str">
        <f>_xlfn.XLOOKUP(BW252,'Normative data'!$V$3:$V$6,'Normative data'!$W$3:$W$6,"Not Found",-1)</f>
        <v>Very low risk</v>
      </c>
      <c r="BY252" s="91" t="str">
        <f t="shared" si="65"/>
        <v>Incomplete</v>
      </c>
      <c r="BZ252" s="91" t="str">
        <f>_xlfn.XLOOKUP(BY252,'Normative data'!$V$3:$V$6,'Normative data'!$W$3:$W$6,"Not Found",-1)</f>
        <v>Very low risk</v>
      </c>
      <c r="CA252" s="20"/>
      <c r="CC252" s="20"/>
      <c r="CE252" s="20"/>
      <c r="CG252" s="20"/>
      <c r="CH252" s="20" t="str">
        <f>_xlfn.XLOOKUP(CG252, 'Normative data'!$S$9:$S$15,'Normative data'!$T$9:$T$15, "Not Found", -1)</f>
        <v>not completed</v>
      </c>
      <c r="CI252" s="20"/>
      <c r="CJ252" s="20" t="str">
        <f>_xlfn.XLOOKUP(CI252, 'Normative data'!$S$9:$S$15, 'Normative data'!$T$9:$T$15, "Not Found", -1)</f>
        <v>not completed</v>
      </c>
      <c r="CK252" s="25">
        <v>1.9</v>
      </c>
      <c r="CL252" s="25">
        <v>5.26</v>
      </c>
      <c r="CM252" s="25"/>
      <c r="CN252" s="25">
        <v>6.11</v>
      </c>
      <c r="CO252" s="25">
        <v>8.18</v>
      </c>
      <c r="CP252" s="25"/>
      <c r="CQ252" s="20"/>
      <c r="CR252" s="20" t="str" cm="1">
        <f t="array" ref="CR252">IF(OR(ISBLANK(E252),ISBLANK(CQ252)),"Incomplete",_xlfn.XLOOKUP(CQ252,_xlfn.XLOOKUP(E252,'Normative data'!$Y$3:$Y$6,'Normative data'!$Z$3:$AG$6,,-1),'Normative data'!$Z$2:$AG$2,"Not Found",-1))</f>
        <v>Incomplete</v>
      </c>
      <c r="CS252" s="20"/>
      <c r="CT252" s="20"/>
      <c r="CU252" s="20" t="str" cm="1">
        <f t="array" ref="CU252">_xlfn.XLOOKUP(CS252&amp;CT252,(VLOOKUP!$A$3:$A$250)&amp;(VLOOKUP!$B$3:$B$250),VLOOKUP!$C$3:$C$250,"Incomplete",-1)</f>
        <v>Incomplete</v>
      </c>
      <c r="CV252" s="20" t="str" cm="1">
        <f t="array" ref="CV252">_xlfn.XLOOKUP(CU252, _xlfn.XLOOKUP(E252, 'Normative data'!$Y$11:$Y$14, 'Normative data'!$Z$11:$AG$14, ,-1), 'Normative data'!$Z$10:$AG$10, "Not Found", -1)</f>
        <v>Excellent</v>
      </c>
      <c r="CW252" s="20" t="str" cm="1">
        <f t="array" ref="CW252">IF(OR(ISBLANK(CS252),ISBLANK(CT252)),"Incomplete",_xlfn.XLOOKUP(CS252&amp;CT252,VLOOKUP!$A$4:$A$250&amp;VLOOKUP!$B$4:$B$250,VLOOKUP!$D$4:$D$250,"0"))</f>
        <v>Incomplete</v>
      </c>
    </row>
    <row r="253" spans="1:101">
      <c r="A253" s="17" t="s">
        <v>690</v>
      </c>
      <c r="B253" s="17" t="s">
        <v>691</v>
      </c>
      <c r="C253" s="17" t="s">
        <v>86</v>
      </c>
      <c r="D253" s="26">
        <v>40619</v>
      </c>
      <c r="F253" s="17">
        <v>8</v>
      </c>
      <c r="G253" s="17">
        <v>2025</v>
      </c>
      <c r="H253" s="20" t="s">
        <v>124</v>
      </c>
      <c r="I253" s="17">
        <v>3</v>
      </c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41" t="str">
        <f t="shared" si="56"/>
        <v>Incomplete</v>
      </c>
      <c r="AZ253" s="20"/>
      <c r="BA253" s="20" t="str">
        <f t="shared" si="57"/>
        <v>Incomplete</v>
      </c>
      <c r="BB253" s="20"/>
      <c r="BC253" s="20" t="str">
        <f t="shared" si="58"/>
        <v>Incomplete</v>
      </c>
      <c r="BD253" s="20"/>
      <c r="BE253" s="20" t="str">
        <f t="shared" si="59"/>
        <v>Incomplete</v>
      </c>
      <c r="BF253" s="20"/>
      <c r="BG253" s="20">
        <v>16</v>
      </c>
      <c r="BH253" s="20">
        <v>37.200000000000003</v>
      </c>
      <c r="BI253" s="20">
        <f t="shared" si="66"/>
        <v>21.200000000000003</v>
      </c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91" t="str">
        <f t="shared" si="64"/>
        <v>Incomplete</v>
      </c>
      <c r="BX253" s="91" t="str">
        <f>_xlfn.XLOOKUP(BW253,'Normative data'!$V$3:$V$6,'Normative data'!$W$3:$W$6,"Not Found",-1)</f>
        <v>Very low risk</v>
      </c>
      <c r="BY253" s="91" t="str">
        <f t="shared" si="65"/>
        <v>Incomplete</v>
      </c>
      <c r="BZ253" s="91" t="str">
        <f>_xlfn.XLOOKUP(BY253,'Normative data'!$V$3:$V$6,'Normative data'!$W$3:$W$6,"Not Found",-1)</f>
        <v>Very low risk</v>
      </c>
      <c r="CA253" s="20"/>
      <c r="CC253" s="20"/>
      <c r="CE253" s="20">
        <v>18</v>
      </c>
      <c r="CG253" s="20"/>
      <c r="CH253" s="20" t="str">
        <f>_xlfn.XLOOKUP(CG253, 'Normative data'!$S$9:$S$15,'Normative data'!$T$9:$T$15, "Not Found", -1)</f>
        <v>not completed</v>
      </c>
      <c r="CI253" s="20"/>
      <c r="CJ253" s="20" t="str">
        <f>_xlfn.XLOOKUP(CI253, 'Normative data'!$S$9:$S$15, 'Normative data'!$T$9:$T$15, "Not Found", -1)</f>
        <v>not completed</v>
      </c>
      <c r="CK253" s="20">
        <v>2.15</v>
      </c>
      <c r="CL253" s="20">
        <v>4.6500000000000004</v>
      </c>
      <c r="CM253" s="21"/>
      <c r="CN253" s="20">
        <v>6.94</v>
      </c>
      <c r="CO253" s="20">
        <v>7.02</v>
      </c>
      <c r="CQ253" s="20"/>
      <c r="CR253" s="20" t="str" cm="1">
        <f t="array" ref="CR253">IF(OR(ISBLANK(E253),ISBLANK(CQ253)),"Incomplete",_xlfn.XLOOKUP(CQ253,_xlfn.XLOOKUP(E253,'Normative data'!$Y$3:$Y$6,'Normative data'!$Z$3:$AG$6,,-1),'Normative data'!$Z$2:$AG$2,"Not Found",-1))</f>
        <v>Incomplete</v>
      </c>
      <c r="CS253" s="20"/>
      <c r="CT253" s="20"/>
      <c r="CU253" s="20" t="str" cm="1">
        <f t="array" ref="CU253">_xlfn.XLOOKUP(CS253&amp;CT253,(VLOOKUP!$A$3:$A$250)&amp;(VLOOKUP!$B$3:$B$250),VLOOKUP!$C$3:$C$250,"Incomplete",-1)</f>
        <v>Incomplete</v>
      </c>
      <c r="CV253" s="20" t="str" cm="1">
        <f t="array" ref="CV253">_xlfn.XLOOKUP(CU253, _xlfn.XLOOKUP(E253, 'Normative data'!$Y$11:$Y$14, 'Normative data'!$Z$11:$AG$14, ,-1), 'Normative data'!$Z$10:$AG$10, "Not Found", -1)</f>
        <v>Excellent</v>
      </c>
      <c r="CW253" s="20" t="str" cm="1">
        <f t="array" ref="CW253">IF(OR(ISBLANK(CS253),ISBLANK(CT253)),"Incomplete",_xlfn.XLOOKUP(CS253&amp;CT253,VLOOKUP!$A$4:$A$250&amp;VLOOKUP!$B$4:$B$250,VLOOKUP!$D$4:$D$250,"0"))</f>
        <v>Incomplete</v>
      </c>
    </row>
    <row r="254" spans="1:101">
      <c r="A254" s="18" t="s">
        <v>692</v>
      </c>
      <c r="B254" s="18" t="s">
        <v>693</v>
      </c>
      <c r="C254" s="17" t="s">
        <v>86</v>
      </c>
      <c r="D254" s="19">
        <v>39500</v>
      </c>
      <c r="F254" s="17">
        <v>11</v>
      </c>
      <c r="G254" s="17">
        <v>2025</v>
      </c>
      <c r="H254" s="20" t="s">
        <v>124</v>
      </c>
      <c r="I254" s="17">
        <v>3</v>
      </c>
      <c r="S254" s="20"/>
      <c r="T254" s="20">
        <v>175</v>
      </c>
      <c r="U254" s="20">
        <v>54.7</v>
      </c>
      <c r="V254" s="20"/>
      <c r="W254" s="20">
        <v>6.6</v>
      </c>
      <c r="X254" s="20">
        <f>SUM(T254-W254)</f>
        <v>168.4</v>
      </c>
      <c r="Y254" s="20">
        <v>26.7</v>
      </c>
      <c r="Z254" s="20">
        <v>17.899999999999999</v>
      </c>
      <c r="AA254" s="20">
        <v>12.1</v>
      </c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41" t="str">
        <f t="shared" si="56"/>
        <v>Incomplete</v>
      </c>
      <c r="AZ254" s="20"/>
      <c r="BA254" s="20" t="str">
        <f t="shared" si="57"/>
        <v>Incomplete</v>
      </c>
      <c r="BB254" s="20"/>
      <c r="BC254" s="20" t="str">
        <f t="shared" si="58"/>
        <v>Incomplete</v>
      </c>
      <c r="BD254" s="20"/>
      <c r="BE254" s="20" t="str">
        <f t="shared" si="59"/>
        <v>Incomplete</v>
      </c>
      <c r="BF254" s="20"/>
      <c r="BG254" s="20">
        <v>18.5</v>
      </c>
      <c r="BH254" s="20">
        <v>51</v>
      </c>
      <c r="BI254" s="20" t="e">
        <f>IF(OR(ISBLANK(#REF!), ISBLANK(#REF!)),"Incomplete",(SUM(#REF!-#REF!)))</f>
        <v>#REF!</v>
      </c>
      <c r="BJ254" s="20"/>
      <c r="BK254" s="20">
        <v>12</v>
      </c>
      <c r="BL254" s="20"/>
      <c r="BM254" s="20">
        <v>12</v>
      </c>
      <c r="BN254" s="20"/>
      <c r="BO254" s="20"/>
      <c r="BP254" s="20"/>
      <c r="BQ254" s="20"/>
      <c r="BR254" s="20"/>
      <c r="BS254" s="20"/>
      <c r="BT254" s="20"/>
      <c r="BU254" s="20"/>
      <c r="BV254" s="20"/>
      <c r="BW254" s="91">
        <f t="shared" si="64"/>
        <v>0</v>
      </c>
      <c r="BX254" s="91" t="str">
        <f>_xlfn.XLOOKUP(BW254,'Normative data'!$V$3:$V$6,'Normative data'!$W$3:$W$6,"Not Found",-1)</f>
        <v>Not completed</v>
      </c>
      <c r="BY254" s="91">
        <f t="shared" si="65"/>
        <v>0</v>
      </c>
      <c r="BZ254" s="91" t="str">
        <f>_xlfn.XLOOKUP(BY254,'Normative data'!$V$3:$V$6,'Normative data'!$W$3:$W$6,"Not Found",-1)</f>
        <v>Not completed</v>
      </c>
      <c r="CA254" s="20"/>
      <c r="CC254" s="20"/>
      <c r="CE254" s="20"/>
      <c r="CG254" s="20"/>
      <c r="CH254" s="20" t="str">
        <f>_xlfn.XLOOKUP(CG254, 'Normative data'!$S$9:$S$15,'Normative data'!$T$9:$T$15, "Not Found", -1)</f>
        <v>not completed</v>
      </c>
      <c r="CI254" s="20"/>
      <c r="CJ254" s="20" t="str">
        <f>_xlfn.XLOOKUP(CI254, 'Normative data'!$S$9:$S$15, 'Normative data'!$T$9:$T$15, "Not Found", -1)</f>
        <v>not completed</v>
      </c>
      <c r="CK254" s="21">
        <v>2.11</v>
      </c>
      <c r="CL254" s="21">
        <v>4.74</v>
      </c>
      <c r="CM254" s="21"/>
      <c r="CN254" s="21">
        <v>6.1</v>
      </c>
      <c r="CO254" s="21">
        <v>8.1999999999999993</v>
      </c>
      <c r="CQ254" s="20"/>
      <c r="CR254" s="20" t="str" cm="1">
        <f t="array" ref="CR254">IF(OR(ISBLANK(E254),ISBLANK(CQ254)),"Incomplete",_xlfn.XLOOKUP(CQ254,_xlfn.XLOOKUP(E254,'Normative data'!$Y$3:$Y$6,'Normative data'!$Z$3:$AG$6,,-1),'Normative data'!$Z$2:$AG$2,"Not Found",-1))</f>
        <v>Incomplete</v>
      </c>
      <c r="CS254" s="20"/>
      <c r="CT254" s="20"/>
      <c r="CU254" s="20" t="str" cm="1">
        <f t="array" ref="CU254">_xlfn.XLOOKUP(CS254&amp;CT254,(VLOOKUP!$A$3:$A$250)&amp;(VLOOKUP!$B$3:$B$250),VLOOKUP!$C$3:$C$250,"Incomplete",-1)</f>
        <v>Incomplete</v>
      </c>
      <c r="CV254" s="20" t="str" cm="1">
        <f t="array" ref="CV254">_xlfn.XLOOKUP(CU254, _xlfn.XLOOKUP(E254, 'Normative data'!$Y$11:$Y$14, 'Normative data'!$Z$11:$AG$14, ,-1), 'Normative data'!$Z$10:$AG$10, "Not Found", -1)</f>
        <v>Excellent</v>
      </c>
      <c r="CW254" s="20" t="str" cm="1">
        <f t="array" ref="CW254">IF(OR(ISBLANK(CS254),ISBLANK(CT254)),"Incomplete",_xlfn.XLOOKUP(CS254&amp;CT254,VLOOKUP!$A$4:$A$250&amp;VLOOKUP!$B$4:$B$250,VLOOKUP!$D$4:$D$250,"0"))</f>
        <v>Incomplete</v>
      </c>
    </row>
    <row r="255" spans="1:101">
      <c r="A255" s="17" t="s">
        <v>694</v>
      </c>
      <c r="B255" s="18" t="s">
        <v>693</v>
      </c>
      <c r="C255" s="17" t="s">
        <v>86</v>
      </c>
      <c r="D255" s="19">
        <v>39500</v>
      </c>
      <c r="G255" s="17">
        <v>2026</v>
      </c>
      <c r="H255" s="20" t="s">
        <v>114</v>
      </c>
      <c r="I255" s="17">
        <v>1</v>
      </c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>
        <v>32.6</v>
      </c>
      <c r="AR255" s="20">
        <v>0.51600000000000001</v>
      </c>
      <c r="AS255" s="20">
        <v>35.5</v>
      </c>
      <c r="AT255" s="20">
        <v>0.53800000000000003</v>
      </c>
      <c r="AU255" s="20">
        <v>18.5</v>
      </c>
      <c r="AV255" s="20">
        <v>0.38800000000000001</v>
      </c>
      <c r="AW255" s="20">
        <v>22.8</v>
      </c>
      <c r="AX255" s="20">
        <v>0.43099999999999999</v>
      </c>
      <c r="AY255" s="41" t="str">
        <f t="shared" si="56"/>
        <v>Incomplete</v>
      </c>
      <c r="AZ255" s="20"/>
      <c r="BA255" s="20" t="str">
        <f t="shared" si="57"/>
        <v>Incomplete</v>
      </c>
      <c r="BB255" s="20"/>
      <c r="BC255" s="20" t="str">
        <f t="shared" si="58"/>
        <v>Incomplete</v>
      </c>
      <c r="BD255" s="20"/>
      <c r="BE255" s="20" t="str">
        <f t="shared" si="59"/>
        <v>Incomplete</v>
      </c>
      <c r="BF255" s="20"/>
      <c r="BG255" s="20">
        <v>15</v>
      </c>
      <c r="BH255" s="20">
        <v>44</v>
      </c>
      <c r="BI255" s="20">
        <f>IF(OR(ISBLANK(BG255), ISBLANK(BH255)),"Incomplete",(SUM(BH255-BG255)))</f>
        <v>29</v>
      </c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91" t="str">
        <f t="shared" si="64"/>
        <v>Incomplete</v>
      </c>
      <c r="BX255" s="91" t="str">
        <f>_xlfn.XLOOKUP(BW255,'Normative data'!$V$3:$V$6,'Normative data'!$W$3:$W$6,"Not Found",-1)</f>
        <v>Very low risk</v>
      </c>
      <c r="BY255" s="91" t="str">
        <f t="shared" si="65"/>
        <v>Incomplete</v>
      </c>
      <c r="BZ255" s="91" t="str">
        <f>_xlfn.XLOOKUP(BY255,'Normative data'!$V$3:$V$6,'Normative data'!$W$3:$W$6,"Not Found",-1)</f>
        <v>Very low risk</v>
      </c>
      <c r="CA255" s="20"/>
      <c r="CC255" s="20">
        <v>52</v>
      </c>
      <c r="CE255" s="20">
        <v>14</v>
      </c>
      <c r="CG255" s="20"/>
      <c r="CH255" s="20" t="str">
        <f>_xlfn.XLOOKUP(CG255, 'Normative data'!$S$9:$S$15,'Normative data'!$T$9:$T$15, "Not Found", -1)</f>
        <v>not completed</v>
      </c>
      <c r="CI255" s="20"/>
      <c r="CJ255" s="20" t="str">
        <f>_xlfn.XLOOKUP(CI255, 'Normative data'!$S$9:$S$15, 'Normative data'!$T$9:$T$15, "Not Found", -1)</f>
        <v>not completed</v>
      </c>
      <c r="CK255" s="20">
        <v>1.8</v>
      </c>
      <c r="CL255" s="20">
        <v>5.56</v>
      </c>
      <c r="CN255" s="20">
        <v>5.69</v>
      </c>
      <c r="CO255" s="20">
        <v>8.7100000000000009</v>
      </c>
      <c r="CQ255" s="20">
        <v>6.4</v>
      </c>
      <c r="CR255" s="20" t="str" cm="1">
        <f t="array" ref="CR255">IF(OR(ISBLANK(E255),ISBLANK(CQ255)),"Incomplete",_xlfn.XLOOKUP(CQ255,_xlfn.XLOOKUP(E255,'Normative data'!$Y$3:$Y$6,'Normative data'!$Z$3:$AG$6,,-1),'Normative data'!$Z$2:$AG$2,"Not Found",-1))</f>
        <v>Incomplete</v>
      </c>
      <c r="CS255" s="20">
        <v>6</v>
      </c>
      <c r="CT255" s="20">
        <v>4</v>
      </c>
      <c r="CU255" s="20" cm="1">
        <f t="array" ref="CU255">_xlfn.XLOOKUP(CS255&amp;CT255,(VLOOKUP!$A$3:$A$250)&amp;(VLOOKUP!$B$3:$B$250),VLOOKUP!$C$3:$C$250,"Incomplete",-1)</f>
        <v>900</v>
      </c>
      <c r="CV255" s="20" t="str" cm="1">
        <f t="array" ref="CV255">_xlfn.XLOOKUP(CU255, _xlfn.XLOOKUP(E255, 'Normative data'!$Y$11:$Y$14, 'Normative data'!$Z$11:$AG$14, ,-1), 'Normative data'!$Z$10:$AG$10, "Not Found", -1)</f>
        <v xml:space="preserve">Fair </v>
      </c>
      <c r="CW255" s="20" cm="1">
        <f t="array" ref="CW255">IF(OR(ISBLANK(CS255),ISBLANK(CT255)),"Incomplete",_xlfn.XLOOKUP(CS255&amp;CT255,VLOOKUP!$A$4:$A$250&amp;VLOOKUP!$B$4:$B$250,VLOOKUP!$D$4:$D$250,"0"))</f>
        <v>34</v>
      </c>
    </row>
    <row r="256" spans="1:101">
      <c r="A256" s="18" t="s">
        <v>231</v>
      </c>
      <c r="B256" s="18" t="s">
        <v>230</v>
      </c>
      <c r="C256" s="17" t="s">
        <v>86</v>
      </c>
      <c r="D256" s="19">
        <v>39902</v>
      </c>
      <c r="F256" s="17">
        <v>10</v>
      </c>
      <c r="G256" s="17">
        <v>2025</v>
      </c>
      <c r="H256" s="20" t="s">
        <v>114</v>
      </c>
      <c r="I256" s="17">
        <v>1</v>
      </c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41" t="str">
        <f t="shared" si="56"/>
        <v>Incomplete</v>
      </c>
      <c r="AZ256" s="20"/>
      <c r="BA256" s="20" t="str">
        <f t="shared" si="57"/>
        <v>Incomplete</v>
      </c>
      <c r="BB256" s="20"/>
      <c r="BC256" s="20" t="str">
        <f t="shared" si="58"/>
        <v>Incomplete</v>
      </c>
      <c r="BD256" s="20"/>
      <c r="BE256" s="20" t="str">
        <f t="shared" si="59"/>
        <v>Incomplete</v>
      </c>
      <c r="BF256" s="20"/>
      <c r="BG256" s="20"/>
      <c r="BH256" s="20"/>
      <c r="BI256" s="20" t="str">
        <f>IF(OR(ISBLANK(BG256), ISBLANK(BH256)),"Incomplete",(SUM(BH256-BG256)))</f>
        <v>Incomplete</v>
      </c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91" t="str">
        <f t="shared" si="64"/>
        <v>Incomplete</v>
      </c>
      <c r="BX256" s="91" t="str">
        <f>_xlfn.XLOOKUP(BW256,'Normative data'!$V$3:$V$6,'Normative data'!$W$3:$W$6,"Not Found",-1)</f>
        <v>Very low risk</v>
      </c>
      <c r="BY256" s="91" t="str">
        <f t="shared" si="65"/>
        <v>Incomplete</v>
      </c>
      <c r="BZ256" s="91" t="str">
        <f>_xlfn.XLOOKUP(BY256,'Normative data'!$V$3:$V$6,'Normative data'!$W$3:$W$6,"Not Found",-1)</f>
        <v>Very low risk</v>
      </c>
      <c r="CA256" s="20"/>
      <c r="CC256" s="20"/>
      <c r="CE256" s="20"/>
      <c r="CG256" s="20"/>
      <c r="CH256" s="20" t="str">
        <f>_xlfn.XLOOKUP(CG256, 'Normative data'!$S$9:$S$15,'Normative data'!$T$9:$T$15, "Not Found", -1)</f>
        <v>not completed</v>
      </c>
      <c r="CI256" s="20"/>
      <c r="CJ256" s="20" t="str">
        <f>_xlfn.XLOOKUP(CI256, 'Normative data'!$S$9:$S$15, 'Normative data'!$T$9:$T$15, "Not Found", -1)</f>
        <v>not completed</v>
      </c>
      <c r="CK256" s="21">
        <v>2.2799999999999998</v>
      </c>
      <c r="CL256" s="21">
        <v>3.39</v>
      </c>
      <c r="CM256" s="21"/>
      <c r="CN256" s="21">
        <v>6.97</v>
      </c>
      <c r="CO256" s="21">
        <v>7.23</v>
      </c>
      <c r="CP256" s="21"/>
      <c r="CQ256" s="20"/>
      <c r="CR256" s="20" t="str" cm="1">
        <f t="array" ref="CR256">IF(OR(ISBLANK(E256),ISBLANK(CQ256)),"Incomplete",_xlfn.XLOOKUP(CQ256,_xlfn.XLOOKUP(E256,'Normative data'!$Y$3:$Y$6,'Normative data'!$Z$3:$AG$6,,-1),'Normative data'!$Z$2:$AG$2,"Not Found",-1))</f>
        <v>Incomplete</v>
      </c>
      <c r="CS256" s="20"/>
      <c r="CT256" s="20"/>
      <c r="CU256" s="20" t="str" cm="1">
        <f t="array" ref="CU256">_xlfn.XLOOKUP(CS256&amp;CT256,(VLOOKUP!$A$3:$A$250)&amp;(VLOOKUP!$B$3:$B$250),VLOOKUP!$C$3:$C$250,"Incomplete",-1)</f>
        <v>Incomplete</v>
      </c>
      <c r="CV256" s="20" t="str" cm="1">
        <f t="array" ref="CV256">_xlfn.XLOOKUP(CU256, _xlfn.XLOOKUP(E256, 'Normative data'!$Y$11:$Y$14, 'Normative data'!$Z$11:$AG$14, ,-1), 'Normative data'!$Z$10:$AG$10, "Not Found", -1)</f>
        <v>Excellent</v>
      </c>
      <c r="CW256" s="20" t="str" cm="1">
        <f t="array" ref="CW256">IF(OR(ISBLANK(CS256),ISBLANK(CT256)),"Incomplete",_xlfn.XLOOKUP(CS256&amp;CT256,VLOOKUP!$A$4:$A$250&amp;VLOOKUP!$B$4:$B$250,VLOOKUP!$D$4:$D$250,"0"))</f>
        <v>Incomplete</v>
      </c>
    </row>
    <row r="257" spans="1:101">
      <c r="A257" s="17" t="s">
        <v>695</v>
      </c>
      <c r="B257" s="17" t="s">
        <v>696</v>
      </c>
      <c r="C257" s="17" t="s">
        <v>86</v>
      </c>
      <c r="D257" s="19">
        <v>39902</v>
      </c>
      <c r="F257" s="17">
        <v>10</v>
      </c>
      <c r="G257" s="17">
        <v>2025</v>
      </c>
      <c r="H257" s="20" t="s">
        <v>124</v>
      </c>
      <c r="I257" s="17">
        <v>3</v>
      </c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41" t="str">
        <f t="shared" si="56"/>
        <v>Incomplete</v>
      </c>
      <c r="AZ257" s="20"/>
      <c r="BA257" s="20" t="str">
        <f t="shared" si="57"/>
        <v>Incomplete</v>
      </c>
      <c r="BB257" s="20"/>
      <c r="BC257" s="20" t="str">
        <f t="shared" si="58"/>
        <v>Incomplete</v>
      </c>
      <c r="BD257" s="20"/>
      <c r="BE257" s="20" t="str">
        <f t="shared" si="59"/>
        <v>Incomplete</v>
      </c>
      <c r="BF257" s="20"/>
      <c r="BG257" s="20"/>
      <c r="BH257" s="20"/>
      <c r="BI257" s="20" t="str">
        <f>IF(OR(ISBLANK(BG257), ISBLANK(BH257)),"Incomplete",(SUM(BH257-BG257)))</f>
        <v>Incomplete</v>
      </c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91" t="str">
        <f t="shared" si="64"/>
        <v>Incomplete</v>
      </c>
      <c r="BX257" s="91" t="str">
        <f>_xlfn.XLOOKUP(BW257,'Normative data'!$V$3:$V$6,'Normative data'!$W$3:$W$6,"Not Found",-1)</f>
        <v>Very low risk</v>
      </c>
      <c r="BY257" s="91" t="str">
        <f t="shared" si="65"/>
        <v>Incomplete</v>
      </c>
      <c r="BZ257" s="91" t="str">
        <f>_xlfn.XLOOKUP(BY257,'Normative data'!$V$3:$V$6,'Normative data'!$W$3:$W$6,"Not Found",-1)</f>
        <v>Very low risk</v>
      </c>
      <c r="CA257" s="20"/>
      <c r="CC257" s="20"/>
      <c r="CE257" s="20"/>
      <c r="CG257" s="20"/>
      <c r="CH257" s="20" t="str">
        <f>_xlfn.XLOOKUP(CG257, 'Normative data'!$S$9:$S$15,'Normative data'!$T$9:$T$15, "Not Found", -1)</f>
        <v>not completed</v>
      </c>
      <c r="CI257" s="20"/>
      <c r="CJ257" s="20" t="str">
        <f>_xlfn.XLOOKUP(CI257, 'Normative data'!$S$9:$S$15, 'Normative data'!$T$9:$T$15, "Not Found", -1)</f>
        <v>not completed</v>
      </c>
      <c r="CK257" s="20" t="s">
        <v>477</v>
      </c>
      <c r="CL257" s="20" t="s">
        <v>697</v>
      </c>
      <c r="CN257" s="20" t="s">
        <v>698</v>
      </c>
      <c r="CO257" s="20" t="s">
        <v>699</v>
      </c>
      <c r="CQ257" s="20"/>
      <c r="CR257" s="20" t="str" cm="1">
        <f t="array" ref="CR257">IF(OR(ISBLANK(E257),ISBLANK(CQ257)),"Incomplete",_xlfn.XLOOKUP(CQ257,_xlfn.XLOOKUP(E257,'Normative data'!$Y$3:$Y$6,'Normative data'!$Z$3:$AG$6,,-1),'Normative data'!$Z$2:$AG$2,"Not Found",-1))</f>
        <v>Incomplete</v>
      </c>
      <c r="CS257" s="20"/>
      <c r="CT257" s="20"/>
      <c r="CU257" s="20" t="str" cm="1">
        <f t="array" ref="CU257">_xlfn.XLOOKUP(CS257&amp;CT257,(VLOOKUP!$A$3:$A$250)&amp;(VLOOKUP!$B$3:$B$250),VLOOKUP!$C$3:$C$250,"Incomplete",-1)</f>
        <v>Incomplete</v>
      </c>
      <c r="CV257" s="20" t="str" cm="1">
        <f t="array" ref="CV257">_xlfn.XLOOKUP(CU257, _xlfn.XLOOKUP(E257, 'Normative data'!$Y$11:$Y$14, 'Normative data'!$Z$11:$AG$14, ,-1), 'Normative data'!$Z$10:$AG$10, "Not Found", -1)</f>
        <v>Excellent</v>
      </c>
      <c r="CW257" s="20" t="str" cm="1">
        <f t="array" ref="CW257">IF(OR(ISBLANK(CS257),ISBLANK(CT257)),"Incomplete",_xlfn.XLOOKUP(CS257&amp;CT257,VLOOKUP!$A$4:$A$250&amp;VLOOKUP!$B$4:$B$250,VLOOKUP!$D$4:$D$250,"0"))</f>
        <v>Incomplete</v>
      </c>
    </row>
    <row r="258" spans="1:101">
      <c r="A258" s="18" t="s">
        <v>700</v>
      </c>
      <c r="B258" s="18" t="s">
        <v>701</v>
      </c>
      <c r="C258" s="17" t="s">
        <v>86</v>
      </c>
      <c r="D258" s="19"/>
      <c r="F258" s="17">
        <v>11</v>
      </c>
      <c r="G258" s="17">
        <v>2025</v>
      </c>
      <c r="H258" s="20" t="s">
        <v>124</v>
      </c>
      <c r="I258" s="17">
        <v>3</v>
      </c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41" t="str">
        <f t="shared" si="56"/>
        <v>Incomplete</v>
      </c>
      <c r="AZ258" s="20"/>
      <c r="BA258" s="20" t="str">
        <f t="shared" si="57"/>
        <v>Incomplete</v>
      </c>
      <c r="BB258" s="20"/>
      <c r="BC258" s="20" t="str">
        <f t="shared" si="58"/>
        <v>Incomplete</v>
      </c>
      <c r="BD258" s="20"/>
      <c r="BE258" s="20" t="str">
        <f t="shared" si="59"/>
        <v>Incomplete</v>
      </c>
      <c r="BF258" s="20"/>
      <c r="BG258" s="20"/>
      <c r="BH258" s="20"/>
      <c r="BI258" s="20" t="str">
        <f>IF(OR(ISBLANK(BG258), ISBLANK(BH258)),"Incomplete",(SUM(BH258-BG258)))</f>
        <v>Incomplete</v>
      </c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91" t="str">
        <f t="shared" si="64"/>
        <v>Incomplete</v>
      </c>
      <c r="BX258" s="91" t="str">
        <f>_xlfn.XLOOKUP(BW258,'Normative data'!$V$3:$V$6,'Normative data'!$W$3:$W$6,"Not Found",-1)</f>
        <v>Very low risk</v>
      </c>
      <c r="BY258" s="91" t="str">
        <f t="shared" si="65"/>
        <v>Incomplete</v>
      </c>
      <c r="BZ258" s="91" t="str">
        <f>_xlfn.XLOOKUP(BY258,'Normative data'!$V$3:$V$6,'Normative data'!$W$3:$W$6,"Not Found",-1)</f>
        <v>Very low risk</v>
      </c>
      <c r="CA258" s="20"/>
      <c r="CC258" s="20"/>
      <c r="CE258" s="20">
        <v>1</v>
      </c>
      <c r="CG258" s="20"/>
      <c r="CH258" s="20" t="str">
        <f>_xlfn.XLOOKUP(CG258, 'Normative data'!$S$9:$S$15,'Normative data'!$T$9:$T$15, "Not Found", -1)</f>
        <v>not completed</v>
      </c>
      <c r="CI258" s="20"/>
      <c r="CJ258" s="20" t="str">
        <f>_xlfn.XLOOKUP(CI258, 'Normative data'!$S$9:$S$15, 'Normative data'!$T$9:$T$15, "Not Found", -1)</f>
        <v>not completed</v>
      </c>
      <c r="CK258" s="21"/>
      <c r="CL258" s="21"/>
      <c r="CM258" s="21"/>
      <c r="CN258" s="21"/>
      <c r="CO258" s="21"/>
      <c r="CP258" s="21"/>
      <c r="CQ258" s="20"/>
      <c r="CR258" s="20" t="str" cm="1">
        <f t="array" ref="CR258">IF(OR(ISBLANK(E258),ISBLANK(CQ258)),"Incomplete",_xlfn.XLOOKUP(CQ258,_xlfn.XLOOKUP(E258,'Normative data'!$Y$3:$Y$6,'Normative data'!$Z$3:$AG$6,,-1),'Normative data'!$Z$2:$AG$2,"Not Found",-1))</f>
        <v>Incomplete</v>
      </c>
      <c r="CS258" s="20"/>
      <c r="CT258" s="20"/>
      <c r="CU258" s="20" t="str" cm="1">
        <f t="array" ref="CU258">_xlfn.XLOOKUP(CS258&amp;CT258,(VLOOKUP!$A$3:$A$250)&amp;(VLOOKUP!$B$3:$B$250),VLOOKUP!$C$3:$C$250,"Incomplete",-1)</f>
        <v>Incomplete</v>
      </c>
      <c r="CV258" s="20" t="str" cm="1">
        <f t="array" ref="CV258">_xlfn.XLOOKUP(CU258, _xlfn.XLOOKUP(E258, 'Normative data'!$Y$11:$Y$14, 'Normative data'!$Z$11:$AG$14, ,-1), 'Normative data'!$Z$10:$AG$10, "Not Found", -1)</f>
        <v>Excellent</v>
      </c>
      <c r="CW258" s="20" t="str" cm="1">
        <f t="array" ref="CW258">IF(OR(ISBLANK(CS258),ISBLANK(CT258)),"Incomplete",_xlfn.XLOOKUP(CS258&amp;CT258,VLOOKUP!$A$4:$A$250&amp;VLOOKUP!$B$4:$B$250,VLOOKUP!$D$4:$D$250,"0"))</f>
        <v>Incomplete</v>
      </c>
    </row>
    <row r="259" spans="1:101">
      <c r="A259" s="22" t="s">
        <v>139</v>
      </c>
      <c r="B259" s="22" t="s">
        <v>702</v>
      </c>
      <c r="C259" s="17" t="s">
        <v>86</v>
      </c>
      <c r="D259" s="23">
        <v>40246</v>
      </c>
      <c r="F259" s="17">
        <v>9</v>
      </c>
      <c r="G259" s="17">
        <v>2025</v>
      </c>
      <c r="J259" s="17" t="s">
        <v>122</v>
      </c>
      <c r="S259" s="20"/>
      <c r="T259" s="20">
        <v>162</v>
      </c>
      <c r="U259" s="20">
        <v>62.3</v>
      </c>
      <c r="V259" s="20"/>
      <c r="W259" s="20">
        <v>14.8</v>
      </c>
      <c r="X259" s="20">
        <f>SUM(T259-W259)</f>
        <v>147.19999999999999</v>
      </c>
      <c r="Y259" s="20">
        <v>26.6</v>
      </c>
      <c r="Z259" s="20">
        <v>23.7</v>
      </c>
      <c r="AA259" s="20">
        <v>23.8</v>
      </c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41" t="str">
        <f t="shared" si="56"/>
        <v>Incomplete</v>
      </c>
      <c r="AZ259" s="20"/>
      <c r="BA259" s="20" t="str">
        <f t="shared" si="57"/>
        <v>Incomplete</v>
      </c>
      <c r="BB259" s="20"/>
      <c r="BC259" s="20" t="str">
        <f t="shared" si="58"/>
        <v>Incomplete</v>
      </c>
      <c r="BD259" s="20"/>
      <c r="BE259" s="20" t="str">
        <f t="shared" si="59"/>
        <v>Incomplete</v>
      </c>
      <c r="BF259" s="20"/>
      <c r="BG259" s="20"/>
      <c r="BH259" s="20"/>
      <c r="BI259" s="20" t="str">
        <f>IF(OR(ISBLANK(BG259), ISBLANK(BH259)),"Incomplete",(SUM(BH259-BG259)))</f>
        <v>Incomplete</v>
      </c>
      <c r="BJ259" s="20"/>
      <c r="BK259" s="20">
        <v>13</v>
      </c>
      <c r="BL259" s="20"/>
      <c r="BM259" s="20">
        <v>9</v>
      </c>
      <c r="BN259" s="20"/>
      <c r="BO259" s="20"/>
      <c r="BP259" s="20"/>
      <c r="BQ259" s="20"/>
      <c r="BR259" s="20"/>
      <c r="BS259" s="20"/>
      <c r="BT259" s="20"/>
      <c r="BU259" s="20"/>
      <c r="BV259" s="20"/>
      <c r="BW259" s="91">
        <f t="shared" si="64"/>
        <v>0</v>
      </c>
      <c r="BX259" s="91" t="str">
        <f>_xlfn.XLOOKUP(BW259,'Normative data'!$V$3:$V$6,'Normative data'!$W$3:$W$6,"Not Found",-1)</f>
        <v>Not completed</v>
      </c>
      <c r="BY259" s="91">
        <f t="shared" si="65"/>
        <v>0</v>
      </c>
      <c r="BZ259" s="91" t="str">
        <f>_xlfn.XLOOKUP(BY259,'Normative data'!$V$3:$V$6,'Normative data'!$W$3:$W$6,"Not Found",-1)</f>
        <v>Not completed</v>
      </c>
      <c r="CA259" s="20"/>
      <c r="CC259" s="20"/>
      <c r="CE259" s="20"/>
      <c r="CG259" s="20"/>
      <c r="CH259" s="20" t="str">
        <f>_xlfn.XLOOKUP(CG259, 'Normative data'!$S$9:$S$15,'Normative data'!$T$9:$T$15, "Not Found", -1)</f>
        <v>not completed</v>
      </c>
      <c r="CI259" s="20"/>
      <c r="CJ259" s="20" t="str">
        <f>_xlfn.XLOOKUP(CI259, 'Normative data'!$S$9:$S$15, 'Normative data'!$T$9:$T$15, "Not Found", -1)</f>
        <v>not completed</v>
      </c>
      <c r="CK259" s="24">
        <v>2.25</v>
      </c>
      <c r="CL259" s="24">
        <v>4.4400000000000004</v>
      </c>
      <c r="CM259" s="21"/>
      <c r="CN259" s="24">
        <v>6.52</v>
      </c>
      <c r="CO259" s="24">
        <v>7.67</v>
      </c>
      <c r="CP259" s="24"/>
      <c r="CQ259" s="20"/>
      <c r="CR259" s="20" t="str" cm="1">
        <f t="array" ref="CR259">IF(OR(ISBLANK(E259),ISBLANK(CQ259)),"Incomplete",_xlfn.XLOOKUP(CQ259,_xlfn.XLOOKUP(E259,'Normative data'!$Y$3:$Y$6,'Normative data'!$Z$3:$AG$6,,-1),'Normative data'!$Z$2:$AG$2,"Not Found",-1))</f>
        <v>Incomplete</v>
      </c>
      <c r="CS259" s="20"/>
      <c r="CT259" s="20"/>
      <c r="CU259" s="20" t="str" cm="1">
        <f t="array" ref="CU259">_xlfn.XLOOKUP(CS259&amp;CT259,(VLOOKUP!$A$3:$A$250)&amp;(VLOOKUP!$B$3:$B$250),VLOOKUP!$C$3:$C$250,"Incomplete",-1)</f>
        <v>Incomplete</v>
      </c>
      <c r="CV259" s="20" t="str" cm="1">
        <f t="array" ref="CV259">_xlfn.XLOOKUP(CU259, _xlfn.XLOOKUP(E259, 'Normative data'!$Y$11:$Y$14, 'Normative data'!$Z$11:$AG$14, ,-1), 'Normative data'!$Z$10:$AG$10, "Not Found", -1)</f>
        <v>Excellent</v>
      </c>
      <c r="CW259" s="20" t="str" cm="1">
        <f t="array" ref="CW259">IF(OR(ISBLANK(CS259),ISBLANK(CT259)),"Incomplete",_xlfn.XLOOKUP(CS259&amp;CT259,VLOOKUP!$A$4:$A$250&amp;VLOOKUP!$B$4:$B$250,VLOOKUP!$D$4:$D$250,"0"))</f>
        <v>Incomplete</v>
      </c>
    </row>
    <row r="260" spans="1:101">
      <c r="A260" s="22" t="s">
        <v>139</v>
      </c>
      <c r="B260" s="22" t="s">
        <v>702</v>
      </c>
      <c r="C260" s="17" t="s">
        <v>86</v>
      </c>
      <c r="D260" s="26">
        <v>40246</v>
      </c>
      <c r="F260" s="17">
        <v>9</v>
      </c>
      <c r="G260" s="17">
        <v>2025</v>
      </c>
      <c r="J260" s="17" t="s">
        <v>122</v>
      </c>
      <c r="S260" s="20"/>
      <c r="T260" s="20" t="s">
        <v>703</v>
      </c>
      <c r="U260" s="20" t="s">
        <v>444</v>
      </c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>
        <v>20.3</v>
      </c>
      <c r="AR260" s="20">
        <v>0.40699999999999997</v>
      </c>
      <c r="AS260" s="20">
        <v>26.4</v>
      </c>
      <c r="AT260" s="20">
        <v>0.46400000000000002</v>
      </c>
      <c r="AU260" s="20">
        <v>14.8</v>
      </c>
      <c r="AV260" s="20">
        <v>0.34699999999999998</v>
      </c>
      <c r="AW260" s="20">
        <v>11.7</v>
      </c>
      <c r="AX260" s="20">
        <v>0.309</v>
      </c>
      <c r="AY260" s="41" t="e">
        <f>IF(OR(ISBLANK(#REF!), ISBLANK(#REF!)), "Incomplete", (60.7*#REF!)+(45.3*#REF!)-2055)</f>
        <v>#REF!</v>
      </c>
      <c r="AZ260" s="20"/>
      <c r="BA260" s="20" t="e">
        <f>IF(OR(ISBLANK(#REF!), ISBLANK(#REF!)), "Incomplete", (60.7*#REF!)+(45.3*#REF!)-2055)</f>
        <v>#REF!</v>
      </c>
      <c r="BB260" s="20"/>
      <c r="BC260" s="20" t="e">
        <f>IF(OR(ISBLANK(#REF!), ISBLANK(#REF!)), "Incomplete", (60.7*#REF!)+(45.3*#REF!)-2055)</f>
        <v>#REF!</v>
      </c>
      <c r="BD260" s="20"/>
      <c r="BE260" s="20" t="e">
        <f>IF(OR(ISBLANK(#REF!), ISBLANK(#REF!)), "Incomplete", (60.7*#REF!)+(45.3*#REF!)-2055)</f>
        <v>#REF!</v>
      </c>
      <c r="BF260" s="20"/>
      <c r="BG260" s="20">
        <v>15</v>
      </c>
      <c r="BH260" s="20">
        <v>48</v>
      </c>
      <c r="BI260" s="20" t="e">
        <f>IF(OR(ISBLANK(#REF!), ISBLANK(#REF!)),"Incomplete",(SUM(#REF!-#REF!)))</f>
        <v>#REF!</v>
      </c>
      <c r="BJ260" s="20"/>
      <c r="BK260" s="20">
        <v>10</v>
      </c>
      <c r="BL260" s="20"/>
      <c r="BM260" s="20">
        <v>11</v>
      </c>
      <c r="BN260" s="20"/>
      <c r="BO260" s="20"/>
      <c r="BP260" s="20"/>
      <c r="BQ260" s="20"/>
      <c r="BR260" s="20"/>
      <c r="BS260" s="20"/>
      <c r="BT260" s="20"/>
      <c r="BU260" s="20"/>
      <c r="BV260" s="20"/>
      <c r="BW260" s="91" t="str">
        <f>IFERROR(SUM(BQ260+BR260+BS260)/(3*(#REF!-S260))*100, "Incomplete")</f>
        <v>Incomplete</v>
      </c>
      <c r="BX260" s="91" t="str">
        <f>_xlfn.XLOOKUP(BW260,'Normative data'!$V$3:$V$6,'Normative data'!$W$3:$W$6,"Not Found",-1)</f>
        <v>Very low risk</v>
      </c>
      <c r="BY260" s="91" t="str">
        <f>IFERROR(SUM(BT260+BU260+BV260)/(3*(#REF!-S260))*100, "Incomplete")</f>
        <v>Incomplete</v>
      </c>
      <c r="BZ260" s="91" t="str">
        <f>_xlfn.XLOOKUP(BY260,'Normative data'!$V$3:$V$6,'Normative data'!$W$3:$W$6,"Not Found",-1)</f>
        <v>Very low risk</v>
      </c>
      <c r="CA260" s="20"/>
      <c r="CC260" s="20"/>
      <c r="CE260" s="20">
        <v>1</v>
      </c>
      <c r="CG260" s="20">
        <v>17.07</v>
      </c>
      <c r="CH260" s="20" t="str">
        <f>_xlfn.XLOOKUP(CG260, 'Normative data'!$S$9:$S$15,'Normative data'!$T$9:$T$15, "Not Found", -1)</f>
        <v>Above Average</v>
      </c>
      <c r="CI260" s="20">
        <v>18.21</v>
      </c>
      <c r="CJ260" s="20" t="str">
        <f>_xlfn.XLOOKUP(CI260, 'Normative data'!$S$9:$S$15, 'Normative data'!$T$9:$T$15, "Not Found", -1)</f>
        <v>Average</v>
      </c>
      <c r="CK260" s="20" t="s">
        <v>209</v>
      </c>
      <c r="CL260" s="20" t="s">
        <v>697</v>
      </c>
      <c r="CM260" s="21"/>
      <c r="CN260" s="20" t="s">
        <v>704</v>
      </c>
      <c r="CO260" s="20" t="s">
        <v>705</v>
      </c>
      <c r="CQ260" s="20"/>
      <c r="CR260" s="20" t="str" cm="1">
        <f t="array" ref="CR260">IF(OR(ISBLANK(E260),ISBLANK(CQ260)),"Incomplete",_xlfn.XLOOKUP(CQ260,_xlfn.XLOOKUP(E260,'Normative data'!$Y$3:$Y$6,'Normative data'!$Z$3:$AG$6,,-1),'Normative data'!$Z$2:$AG$2,"Not Found",-1))</f>
        <v>Incomplete</v>
      </c>
      <c r="CS260" s="20"/>
      <c r="CT260" s="20"/>
      <c r="CU260" s="20" t="str" cm="1">
        <f t="array" ref="CU260">_xlfn.XLOOKUP(CS260&amp;CT260,(VLOOKUP!$A$3:$A$250)&amp;(VLOOKUP!$B$3:$B$250),VLOOKUP!$C$3:$C$250,"Incomplete",-1)</f>
        <v>Incomplete</v>
      </c>
      <c r="CV260" s="20" t="str" cm="1">
        <f t="array" ref="CV260">_xlfn.XLOOKUP(CU260, _xlfn.XLOOKUP(E260, 'Normative data'!$Y$11:$Y$14, 'Normative data'!$Z$11:$AG$14, ,-1), 'Normative data'!$Z$10:$AG$10, "Not Found", -1)</f>
        <v>Excellent</v>
      </c>
      <c r="CW260" s="20" t="str" cm="1">
        <f t="array" ref="CW260">IF(OR(ISBLANK(CS260),ISBLANK(CT260)),"Incomplete",_xlfn.XLOOKUP(CS260&amp;CT260,VLOOKUP!$A$4:$A$250&amp;VLOOKUP!$B$4:$B$250,VLOOKUP!$D$4:$D$250,"0"))</f>
        <v>Incomplete</v>
      </c>
    </row>
    <row r="261" spans="1:101">
      <c r="A261" s="17" t="s">
        <v>706</v>
      </c>
      <c r="B261" s="17" t="s">
        <v>702</v>
      </c>
      <c r="C261" s="17" t="s">
        <v>86</v>
      </c>
      <c r="D261" s="23">
        <v>40246</v>
      </c>
      <c r="G261" s="17">
        <v>2026</v>
      </c>
      <c r="H261" s="20" t="s">
        <v>114</v>
      </c>
      <c r="I261" s="17">
        <v>1</v>
      </c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 t="s">
        <v>707</v>
      </c>
      <c r="AR261" s="20" t="s">
        <v>708</v>
      </c>
      <c r="AS261" s="20" t="s">
        <v>709</v>
      </c>
      <c r="AT261" s="20" t="s">
        <v>710</v>
      </c>
      <c r="AU261" s="20" t="s">
        <v>711</v>
      </c>
      <c r="AV261" s="20" t="s">
        <v>712</v>
      </c>
      <c r="AW261" s="20" t="s">
        <v>713</v>
      </c>
      <c r="AX261" s="20" t="s">
        <v>714</v>
      </c>
      <c r="AY261" s="41" t="str">
        <f t="shared" ref="AY261:AY266" si="67">IF(OR(ISBLANK(U261), ISBLANK(AQ261)), "Incomplete", (60.7*AQ261)+(45.3*U261)-2055)</f>
        <v>Incomplete</v>
      </c>
      <c r="AZ261" s="20"/>
      <c r="BA261" s="20" t="str">
        <f t="shared" ref="BA261:BA266" si="68">IF(OR(ISBLANK(U261), ISBLANK(AS261)), "Incomplete", (60.7*AS261)+(45.3*U261)-2055)</f>
        <v>Incomplete</v>
      </c>
      <c r="BB261" s="20"/>
      <c r="BC261" s="20" t="str">
        <f t="shared" ref="BC261:BC266" si="69">IF(OR(ISBLANK(U261), ISBLANK(AU261)), "Incomplete", (60.7*AU261)+(45.3*U261)-2055)</f>
        <v>Incomplete</v>
      </c>
      <c r="BD261" s="20"/>
      <c r="BE261" s="20" t="str">
        <f t="shared" ref="BE261:BE266" si="70">IF(OR(ISBLANK(U261), ISBLANK(AW261)), "Incomplete", (60.7*AW261)+(45.3*U261)-2055)</f>
        <v>Incomplete</v>
      </c>
      <c r="BF261" s="20"/>
      <c r="BG261" s="20">
        <v>23</v>
      </c>
      <c r="BH261" s="20" t="s">
        <v>715</v>
      </c>
      <c r="BI261" s="20" t="e">
        <f>IF(OR(ISBLANK(BG261), ISBLANK(BH261)),"Incomplete",(SUM(BH261-BG261)))</f>
        <v>#VALUE!</v>
      </c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91" t="str">
        <f t="shared" ref="BW261:BW266" si="71">IFERROR(SUM(BQ261+BR261+BS261)/(3*(T261-S261))*100, "Incomplete")</f>
        <v>Incomplete</v>
      </c>
      <c r="BX261" s="91" t="str">
        <f>_xlfn.XLOOKUP(BW261,'Normative data'!$V$3:$V$6,'Normative data'!$W$3:$W$6,"Not Found",-1)</f>
        <v>Very low risk</v>
      </c>
      <c r="BY261" s="91" t="str">
        <f t="shared" ref="BY261:BY266" si="72">IFERROR(SUM(BT261+BU261+BV261)/(3*(T261-S261))*100, "Incomplete")</f>
        <v>Incomplete</v>
      </c>
      <c r="BZ261" s="91" t="str">
        <f>_xlfn.XLOOKUP(BY261,'Normative data'!$V$3:$V$6,'Normative data'!$W$3:$W$6,"Not Found",-1)</f>
        <v>Very low risk</v>
      </c>
      <c r="CA261" s="20"/>
      <c r="CC261" s="20">
        <v>40</v>
      </c>
      <c r="CE261" s="20">
        <v>10</v>
      </c>
      <c r="CG261" s="20" t="s">
        <v>716</v>
      </c>
      <c r="CH261" s="20" t="str">
        <f>_xlfn.XLOOKUP(CG261, 'Normative data'!$S$9:$S$15,'Normative data'!$T$9:$T$15, "Not Found", -1)</f>
        <v>Poor</v>
      </c>
      <c r="CI261" s="20" t="s">
        <v>717</v>
      </c>
      <c r="CJ261" s="20" t="str">
        <f>_xlfn.XLOOKUP(CI261, 'Normative data'!$S$9:$S$15, 'Normative data'!$T$9:$T$15, "Not Found", -1)</f>
        <v>Poor</v>
      </c>
      <c r="CK261" s="20" t="s">
        <v>205</v>
      </c>
      <c r="CL261" s="20" t="s">
        <v>354</v>
      </c>
      <c r="CN261" s="20" t="s">
        <v>718</v>
      </c>
      <c r="CO261" s="20" t="s">
        <v>551</v>
      </c>
      <c r="CQ261" s="20" t="s">
        <v>719</v>
      </c>
      <c r="CR261" s="20" t="str" cm="1">
        <f t="array" ref="CR261">IF(OR(ISBLANK(E261),ISBLANK(CQ261)),"Incomplete",_xlfn.XLOOKUP(CQ261,_xlfn.XLOOKUP(E261,'Normative data'!$Y$3:$Y$6,'Normative data'!$Z$3:$AG$6,,-1),'Normative data'!$Z$2:$AG$2,"Not Found",-1))</f>
        <v>Incomplete</v>
      </c>
      <c r="CS261" s="20">
        <v>10</v>
      </c>
      <c r="CT261" s="20">
        <v>11</v>
      </c>
      <c r="CU261" s="20" cm="1">
        <f t="array" ref="CU261">_xlfn.XLOOKUP(CS261&amp;CT261,(VLOOKUP!$A$3:$A$250)&amp;(VLOOKUP!$B$3:$B$250),VLOOKUP!$C$3:$C$250,"Incomplete",-1)</f>
        <v>1880</v>
      </c>
      <c r="CV261" s="20" t="str" cm="1">
        <f t="array" ref="CV261">_xlfn.XLOOKUP(CU261, _xlfn.XLOOKUP(E261, 'Normative data'!$Y$11:$Y$14, 'Normative data'!$Z$11:$AG$14, ,-1), 'Normative data'!$Z$10:$AG$10, "Not Found", -1)</f>
        <v xml:space="preserve">Good </v>
      </c>
      <c r="CW261" s="20" cm="1">
        <f t="array" ref="CW261">IF(OR(ISBLANK(CS261),ISBLANK(CT261)),"Incomplete",_xlfn.XLOOKUP(CS261&amp;CT261,VLOOKUP!$A$4:$A$250&amp;VLOOKUP!$B$4:$B$250,VLOOKUP!$D$4:$D$250,"0"))</f>
        <v>50</v>
      </c>
    </row>
    <row r="262" spans="1:101">
      <c r="A262" s="17" t="s">
        <v>720</v>
      </c>
      <c r="B262" s="17" t="s">
        <v>721</v>
      </c>
      <c r="C262" s="17" t="s">
        <v>86</v>
      </c>
      <c r="D262" s="26">
        <v>39938</v>
      </c>
      <c r="E262" s="17">
        <v>17.100000000000001</v>
      </c>
      <c r="F262" s="20" t="s">
        <v>181</v>
      </c>
      <c r="G262" s="17">
        <v>2026</v>
      </c>
      <c r="I262" s="20">
        <v>2</v>
      </c>
      <c r="J262" s="20" t="s">
        <v>722</v>
      </c>
      <c r="K262" s="20" t="s">
        <v>95</v>
      </c>
      <c r="L262" s="20"/>
      <c r="S262" s="20">
        <v>77.400000000000006</v>
      </c>
      <c r="T262" s="20">
        <v>156.1</v>
      </c>
      <c r="U262" s="17">
        <v>56.7</v>
      </c>
      <c r="V262" s="17">
        <v>28.2</v>
      </c>
      <c r="W262" s="17">
        <v>18.2</v>
      </c>
      <c r="X262" s="17">
        <v>38.5</v>
      </c>
      <c r="Y262" s="17">
        <v>21.1</v>
      </c>
      <c r="Z262" s="17">
        <v>23.3</v>
      </c>
      <c r="AA262" s="17">
        <v>32</v>
      </c>
      <c r="AB262" s="17">
        <v>5.84</v>
      </c>
      <c r="AC262" s="17">
        <v>101</v>
      </c>
      <c r="AD262" s="17">
        <v>5.81</v>
      </c>
      <c r="AE262" s="17">
        <v>100.6</v>
      </c>
      <c r="AF262" s="17">
        <v>2.8</v>
      </c>
      <c r="AG262" s="17">
        <v>149.19999999999999</v>
      </c>
      <c r="AH262" s="17">
        <v>2.8</v>
      </c>
      <c r="AI262" s="17">
        <v>149.30000000000001</v>
      </c>
      <c r="AJ262" s="17">
        <v>336.9</v>
      </c>
      <c r="AK262" s="17">
        <v>340.7</v>
      </c>
      <c r="AL262" s="17">
        <v>294</v>
      </c>
      <c r="AM262" s="17">
        <v>296.39999999999998</v>
      </c>
      <c r="AN262" s="17">
        <v>75</v>
      </c>
      <c r="AS262" s="17">
        <v>21.7</v>
      </c>
      <c r="AT262" s="17">
        <v>0.42099999999999999</v>
      </c>
      <c r="AW262" s="17">
        <v>13</v>
      </c>
      <c r="AX262" s="17">
        <v>0.32600000000000001</v>
      </c>
      <c r="AY262" s="41" t="str">
        <f t="shared" si="67"/>
        <v>Incomplete</v>
      </c>
      <c r="BA262" s="20">
        <f t="shared" si="68"/>
        <v>1830.6999999999998</v>
      </c>
      <c r="BC262" s="20" t="str">
        <f t="shared" si="69"/>
        <v>Incomplete</v>
      </c>
      <c r="BE262" s="20">
        <f t="shared" si="70"/>
        <v>1302.6099999999997</v>
      </c>
      <c r="BG262" s="17">
        <v>19</v>
      </c>
      <c r="BH262" s="17">
        <v>37.5</v>
      </c>
      <c r="BI262" s="20">
        <f>IF(OR(ISBLANK(BG262), ISBLANK(BH262)),"Incomplete",(SUM(BH262-BG262)))</f>
        <v>18.5</v>
      </c>
      <c r="BJ262" s="20"/>
      <c r="BK262" s="17">
        <v>4.5999999999999996</v>
      </c>
      <c r="BL262" s="20"/>
      <c r="BM262" s="17">
        <v>3.8</v>
      </c>
      <c r="BN262" s="20"/>
      <c r="BO262" s="17">
        <v>53.5</v>
      </c>
      <c r="BP262" s="17">
        <v>52</v>
      </c>
      <c r="BQ262" s="17">
        <v>76</v>
      </c>
      <c r="BR262" s="17">
        <v>80</v>
      </c>
      <c r="BS262" s="17">
        <v>78</v>
      </c>
      <c r="BT262" s="17">
        <v>73</v>
      </c>
      <c r="BU262" s="17">
        <v>80</v>
      </c>
      <c r="BV262" s="17">
        <v>79</v>
      </c>
      <c r="BW262" s="91">
        <f t="shared" si="71"/>
        <v>99.110546378653126</v>
      </c>
      <c r="BX262" s="91" t="str">
        <f>_xlfn.XLOOKUP(BW262,'Normative data'!$V$3:$V$6,'Normative data'!$W$3:$W$6,"Not Found",-1)</f>
        <v>Low risk</v>
      </c>
      <c r="BY262" s="91">
        <f t="shared" si="72"/>
        <v>98.263447691656097</v>
      </c>
      <c r="BZ262" s="91" t="str">
        <f>_xlfn.XLOOKUP(BY262,'Normative data'!$V$3:$V$6,'Normative data'!$W$3:$W$6,"Not Found",-1)</f>
        <v>Low risk</v>
      </c>
      <c r="CA262" s="17">
        <v>32</v>
      </c>
      <c r="CC262" s="20"/>
      <c r="CE262" s="17">
        <v>15</v>
      </c>
      <c r="CG262" s="17">
        <v>17.91</v>
      </c>
      <c r="CH262" s="20" t="str">
        <f>_xlfn.XLOOKUP(CG262, 'Normative data'!$S$9:$S$15,'Normative data'!$T$9:$T$15, "Not Found", -1)</f>
        <v>Above Average</v>
      </c>
      <c r="CI262" s="17">
        <v>18.57</v>
      </c>
      <c r="CJ262" s="20" t="str">
        <f>_xlfn.XLOOKUP(CI262, 'Normative data'!$S$9:$S$15, 'Normative data'!$T$9:$T$15, "Not Found", -1)</f>
        <v>Average</v>
      </c>
      <c r="CK262" s="17">
        <v>2.17</v>
      </c>
      <c r="CL262" s="17">
        <v>4.6100000000000003</v>
      </c>
      <c r="CN262" s="17">
        <v>6.94</v>
      </c>
      <c r="CO262" s="17">
        <v>7.2</v>
      </c>
      <c r="CQ262" s="17">
        <v>3.5</v>
      </c>
      <c r="CR262" s="20" t="str" cm="1">
        <f t="array" ref="CR262">IF(OR(ISBLANK(E262),ISBLANK(CQ262)),"Incomplete",_xlfn.XLOOKUP(CQ262,_xlfn.XLOOKUP(E262,'Normative data'!$Y$3:$Y$6,'Normative data'!$Z$3:$AG$6,,-1),'Normative data'!$Z$2:$AG$2,"Not Found",-1))</f>
        <v>Very poor</v>
      </c>
      <c r="CS262" s="20">
        <v>3</v>
      </c>
      <c r="CT262" s="20">
        <v>5</v>
      </c>
      <c r="CU262" s="20" cm="1">
        <f t="array" ref="CU262">_xlfn.XLOOKUP(CS262&amp;CT262,(VLOOKUP!$A$3:$A$250)&amp;(VLOOKUP!$B$3:$B$250),VLOOKUP!$C$3:$C$250,"Incomplete",-1)</f>
        <v>400</v>
      </c>
      <c r="CV262" s="20" t="str" cm="1">
        <f t="array" ref="CV262">_xlfn.XLOOKUP(CU262, _xlfn.XLOOKUP(E262, 'Normative data'!$Y$11:$Y$14, 'Normative data'!$Z$11:$AG$14, ,-1), 'Normative data'!$Z$10:$AG$10, "Not Found", -1)</f>
        <v xml:space="preserve">Very poor </v>
      </c>
      <c r="CW262" s="20" cm="1">
        <f t="array" ref="CW262">IF(OR(ISBLANK(CS262),ISBLANK(CT262)),"Incomplete",_xlfn.XLOOKUP(CS262&amp;CT262,VLOOKUP!$A$4:$A$250&amp;VLOOKUP!$B$4:$B$250,VLOOKUP!$D$4:$D$250,"0"))</f>
        <v>25</v>
      </c>
    </row>
    <row r="263" spans="1:101">
      <c r="A263" s="18" t="s">
        <v>723</v>
      </c>
      <c r="B263" s="18" t="s">
        <v>724</v>
      </c>
      <c r="C263" s="17" t="s">
        <v>86</v>
      </c>
      <c r="D263" s="19">
        <v>40652</v>
      </c>
      <c r="F263" s="17">
        <v>8</v>
      </c>
      <c r="G263" s="17">
        <v>2025</v>
      </c>
      <c r="S263" s="20"/>
      <c r="T263" s="20">
        <v>165</v>
      </c>
      <c r="U263" s="20">
        <v>52.4</v>
      </c>
      <c r="V263" s="20"/>
      <c r="W263" s="20">
        <v>8.4</v>
      </c>
      <c r="X263" s="20">
        <f>SUM(T263-W263)</f>
        <v>156.6</v>
      </c>
      <c r="Y263" s="20">
        <v>24.3</v>
      </c>
      <c r="Z263" s="20">
        <v>19.2</v>
      </c>
      <c r="AA263" s="20">
        <v>16</v>
      </c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41" t="str">
        <f t="shared" si="67"/>
        <v>Incomplete</v>
      </c>
      <c r="AZ263" s="20"/>
      <c r="BA263" s="20" t="str">
        <f t="shared" si="68"/>
        <v>Incomplete</v>
      </c>
      <c r="BB263" s="20"/>
      <c r="BC263" s="20" t="str">
        <f t="shared" si="69"/>
        <v>Incomplete</v>
      </c>
      <c r="BD263" s="20"/>
      <c r="BE263" s="20" t="str">
        <f t="shared" si="70"/>
        <v>Incomplete</v>
      </c>
      <c r="BF263" s="20"/>
      <c r="BG263" s="20">
        <v>12</v>
      </c>
      <c r="BH263" s="20">
        <v>28.4</v>
      </c>
      <c r="BI263" s="20" t="e">
        <f>IF(OR(ISBLANK(#REF!), ISBLANK(#REF!)),"Incomplete",(SUM(#REF!-#REF!)))</f>
        <v>#REF!</v>
      </c>
      <c r="BJ263" s="20"/>
      <c r="BK263" s="20">
        <v>7</v>
      </c>
      <c r="BL263" s="20"/>
      <c r="BM263" s="20">
        <v>6</v>
      </c>
      <c r="BN263" s="20"/>
      <c r="BO263" s="20"/>
      <c r="BP263" s="20"/>
      <c r="BQ263" s="20"/>
      <c r="BR263" s="20"/>
      <c r="BS263" s="20"/>
      <c r="BT263" s="20"/>
      <c r="BU263" s="20"/>
      <c r="BV263" s="20"/>
      <c r="BW263" s="91">
        <f t="shared" si="71"/>
        <v>0</v>
      </c>
      <c r="BX263" s="91" t="str">
        <f>_xlfn.XLOOKUP(BW263,'Normative data'!$V$3:$V$6,'Normative data'!$W$3:$W$6,"Not Found",-1)</f>
        <v>Not completed</v>
      </c>
      <c r="BY263" s="91">
        <f t="shared" si="72"/>
        <v>0</v>
      </c>
      <c r="BZ263" s="91" t="str">
        <f>_xlfn.XLOOKUP(BY263,'Normative data'!$V$3:$V$6,'Normative data'!$W$3:$W$6,"Not Found",-1)</f>
        <v>Not completed</v>
      </c>
      <c r="CA263" s="20"/>
      <c r="CC263" s="20"/>
      <c r="CE263" s="20"/>
      <c r="CG263" s="20"/>
      <c r="CH263" s="20" t="str">
        <f>_xlfn.XLOOKUP(CG263, 'Normative data'!$S$9:$S$15,'Normative data'!$T$9:$T$15, "Not Found", -1)</f>
        <v>not completed</v>
      </c>
      <c r="CI263" s="20"/>
      <c r="CJ263" s="20" t="str">
        <f>_xlfn.XLOOKUP(CI263, 'Normative data'!$S$9:$S$15, 'Normative data'!$T$9:$T$15, "Not Found", -1)</f>
        <v>not completed</v>
      </c>
      <c r="CK263" s="21">
        <v>2.31</v>
      </c>
      <c r="CL263" s="21">
        <v>4.33</v>
      </c>
      <c r="CM263" s="21"/>
      <c r="CN263" s="21">
        <v>7.12</v>
      </c>
      <c r="CO263" s="21">
        <v>7.02</v>
      </c>
      <c r="CP263" s="21"/>
      <c r="CQ263" s="20"/>
      <c r="CR263" s="20" t="str" cm="1">
        <f t="array" ref="CR263">IF(OR(ISBLANK(E263),ISBLANK(CQ263)),"Incomplete",_xlfn.XLOOKUP(CQ263,_xlfn.XLOOKUP(E263,'Normative data'!$Y$3:$Y$6,'Normative data'!$Z$3:$AG$6,,-1),'Normative data'!$Z$2:$AG$2,"Not Found",-1))</f>
        <v>Incomplete</v>
      </c>
      <c r="CS263" s="20"/>
      <c r="CT263" s="20"/>
      <c r="CU263" s="20" t="str" cm="1">
        <f t="array" ref="CU263">_xlfn.XLOOKUP(CS263&amp;CT263,(VLOOKUP!$A$3:$A$250)&amp;(VLOOKUP!$B$3:$B$250),VLOOKUP!$C$3:$C$250,"Incomplete",-1)</f>
        <v>Incomplete</v>
      </c>
      <c r="CV263" s="20" t="str" cm="1">
        <f t="array" ref="CV263">_xlfn.XLOOKUP(CU263, _xlfn.XLOOKUP(E263, 'Normative data'!$Y$11:$Y$14, 'Normative data'!$Z$11:$AG$14, ,-1), 'Normative data'!$Z$10:$AG$10, "Not Found", -1)</f>
        <v>Excellent</v>
      </c>
      <c r="CW263" s="20" t="str" cm="1">
        <f t="array" ref="CW263">IF(OR(ISBLANK(CS263),ISBLANK(CT263)),"Incomplete",_xlfn.XLOOKUP(CS263&amp;CT263,VLOOKUP!$A$4:$A$250&amp;VLOOKUP!$B$4:$B$250,VLOOKUP!$D$4:$D$250,"0"))</f>
        <v>Incomplete</v>
      </c>
    </row>
    <row r="264" spans="1:101">
      <c r="A264" s="18" t="s">
        <v>723</v>
      </c>
      <c r="B264" s="18" t="s">
        <v>724</v>
      </c>
      <c r="C264" s="17" t="s">
        <v>86</v>
      </c>
      <c r="D264" s="19">
        <v>40652</v>
      </c>
      <c r="F264" s="17">
        <v>8</v>
      </c>
      <c r="G264" s="17">
        <v>2025</v>
      </c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41" t="str">
        <f t="shared" si="67"/>
        <v>Incomplete</v>
      </c>
      <c r="AZ264" s="20"/>
      <c r="BA264" s="20" t="str">
        <f t="shared" si="68"/>
        <v>Incomplete</v>
      </c>
      <c r="BB264" s="20"/>
      <c r="BC264" s="20" t="str">
        <f t="shared" si="69"/>
        <v>Incomplete</v>
      </c>
      <c r="BD264" s="20"/>
      <c r="BE264" s="20" t="str">
        <f t="shared" si="70"/>
        <v>Incomplete</v>
      </c>
      <c r="BF264" s="20"/>
      <c r="BI264" s="20">
        <f>IF(OR(ISBLANK(BG263), ISBLANK(BH263)),"Incomplete",(SUM(BH263-BG263)))</f>
        <v>16.399999999999999</v>
      </c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91" t="str">
        <f t="shared" si="71"/>
        <v>Incomplete</v>
      </c>
      <c r="BX264" s="91" t="str">
        <f>_xlfn.XLOOKUP(BW264,'Normative data'!$V$3:$V$6,'Normative data'!$W$3:$W$6,"Not Found",-1)</f>
        <v>Very low risk</v>
      </c>
      <c r="BY264" s="91" t="str">
        <f t="shared" si="72"/>
        <v>Incomplete</v>
      </c>
      <c r="BZ264" s="91" t="str">
        <f>_xlfn.XLOOKUP(BY264,'Normative data'!$V$3:$V$6,'Normative data'!$W$3:$W$6,"Not Found",-1)</f>
        <v>Very low risk</v>
      </c>
      <c r="CA264" s="20"/>
      <c r="CC264" s="20"/>
      <c r="CE264" s="20">
        <v>9</v>
      </c>
      <c r="CG264" s="20"/>
      <c r="CH264" s="20" t="str">
        <f>_xlfn.XLOOKUP(CG264, 'Normative data'!$S$9:$S$15,'Normative data'!$T$9:$T$15, "Not Found", -1)</f>
        <v>not completed</v>
      </c>
      <c r="CI264" s="20"/>
      <c r="CJ264" s="20" t="str">
        <f>_xlfn.XLOOKUP(CI264, 'Normative data'!$S$9:$S$15, 'Normative data'!$T$9:$T$15, "Not Found", -1)</f>
        <v>not completed</v>
      </c>
      <c r="CK264" s="20" t="s">
        <v>335</v>
      </c>
      <c r="CL264" s="20" t="s">
        <v>336</v>
      </c>
      <c r="CM264" s="21"/>
      <c r="CN264" s="20" t="s">
        <v>413</v>
      </c>
      <c r="CO264" s="20" t="s">
        <v>412</v>
      </c>
      <c r="CP264" s="21"/>
      <c r="CQ264" s="20"/>
      <c r="CR264" s="20" t="str" cm="1">
        <f t="array" ref="CR264">IF(OR(ISBLANK(E264),ISBLANK(CQ264)),"Incomplete",_xlfn.XLOOKUP(CQ264,_xlfn.XLOOKUP(E264,'Normative data'!$Y$3:$Y$6,'Normative data'!$Z$3:$AG$6,,-1),'Normative data'!$Z$2:$AG$2,"Not Found",-1))</f>
        <v>Incomplete</v>
      </c>
      <c r="CS264" s="20"/>
      <c r="CT264" s="20"/>
      <c r="CU264" s="20" t="str" cm="1">
        <f t="array" ref="CU264">_xlfn.XLOOKUP(CS264&amp;CT264,(VLOOKUP!$A$3:$A$250)&amp;(VLOOKUP!$B$3:$B$250),VLOOKUP!$C$3:$C$250,"Incomplete",-1)</f>
        <v>Incomplete</v>
      </c>
      <c r="CV264" s="20" t="str" cm="1">
        <f t="array" ref="CV264">_xlfn.XLOOKUP(CU264, _xlfn.XLOOKUP(E264, 'Normative data'!$Y$11:$Y$14, 'Normative data'!$Z$11:$AG$14, ,-1), 'Normative data'!$Z$10:$AG$10, "Not Found", -1)</f>
        <v>Excellent</v>
      </c>
      <c r="CW264" s="20" t="str" cm="1">
        <f t="array" ref="CW264">IF(OR(ISBLANK(CS264),ISBLANK(CT264)),"Incomplete",_xlfn.XLOOKUP(CS264&amp;CT264,VLOOKUP!$A$4:$A$250&amp;VLOOKUP!$B$4:$B$250,VLOOKUP!$D$4:$D$250,"0"))</f>
        <v>Incomplete</v>
      </c>
    </row>
    <row r="265" spans="1:101">
      <c r="A265" s="22" t="s">
        <v>725</v>
      </c>
      <c r="B265" s="22" t="s">
        <v>726</v>
      </c>
      <c r="C265" s="17" t="s">
        <v>86</v>
      </c>
      <c r="D265" s="23">
        <v>39448</v>
      </c>
      <c r="F265" s="17">
        <v>11</v>
      </c>
      <c r="G265" s="17">
        <v>2025</v>
      </c>
      <c r="J265" s="17" t="s">
        <v>122</v>
      </c>
      <c r="S265" s="20"/>
      <c r="T265" s="20">
        <v>161.80000000000001</v>
      </c>
      <c r="U265" s="20">
        <v>58.8</v>
      </c>
      <c r="V265" s="20"/>
      <c r="W265" s="20">
        <v>10.8</v>
      </c>
      <c r="X265" s="20">
        <f>SUM(T265-W265)</f>
        <v>151</v>
      </c>
      <c r="Y265" s="20">
        <v>26.9</v>
      </c>
      <c r="Z265" s="20">
        <v>22.5</v>
      </c>
      <c r="AA265" s="20">
        <v>18.399999999999999</v>
      </c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41" t="str">
        <f t="shared" si="67"/>
        <v>Incomplete</v>
      </c>
      <c r="AZ265" s="20"/>
      <c r="BA265" s="20" t="str">
        <f t="shared" si="68"/>
        <v>Incomplete</v>
      </c>
      <c r="BB265" s="20"/>
      <c r="BC265" s="20" t="str">
        <f t="shared" si="69"/>
        <v>Incomplete</v>
      </c>
      <c r="BD265" s="20"/>
      <c r="BE265" s="20" t="str">
        <f t="shared" si="70"/>
        <v>Incomplete</v>
      </c>
      <c r="BF265" s="20"/>
      <c r="BG265" s="20">
        <v>14</v>
      </c>
      <c r="BH265" s="20">
        <v>32</v>
      </c>
      <c r="BI265" s="20">
        <f>IF(OR(ISBLANK(BG265), ISBLANK(BH265)),"Incomplete",(SUM(BH265-BG265)))</f>
        <v>18</v>
      </c>
      <c r="BJ265" s="20"/>
      <c r="BK265" s="20">
        <v>7</v>
      </c>
      <c r="BL265" s="20"/>
      <c r="BM265" s="20">
        <v>7</v>
      </c>
      <c r="BN265" s="20"/>
      <c r="BO265" s="20"/>
      <c r="BP265" s="20"/>
      <c r="BQ265" s="20"/>
      <c r="BR265" s="20"/>
      <c r="BS265" s="20"/>
      <c r="BT265" s="20"/>
      <c r="BU265" s="20"/>
      <c r="BV265" s="20"/>
      <c r="BW265" s="91">
        <f t="shared" si="71"/>
        <v>0</v>
      </c>
      <c r="BX265" s="91" t="str">
        <f>_xlfn.XLOOKUP(BW265,'Normative data'!$V$3:$V$6,'Normative data'!$W$3:$W$6,"Not Found",-1)</f>
        <v>Not completed</v>
      </c>
      <c r="BY265" s="91">
        <f t="shared" si="72"/>
        <v>0</v>
      </c>
      <c r="BZ265" s="91" t="str">
        <f>_xlfn.XLOOKUP(BY265,'Normative data'!$V$3:$V$6,'Normative data'!$W$3:$W$6,"Not Found",-1)</f>
        <v>Not completed</v>
      </c>
      <c r="CA265" s="20"/>
      <c r="CC265" s="20"/>
      <c r="CE265" s="20"/>
      <c r="CG265" s="20"/>
      <c r="CH265" s="20" t="str">
        <f>_xlfn.XLOOKUP(CG265, 'Normative data'!$S$9:$S$15,'Normative data'!$T$9:$T$15, "Not Found", -1)</f>
        <v>not completed</v>
      </c>
      <c r="CI265" s="20"/>
      <c r="CJ265" s="20" t="str">
        <f>_xlfn.XLOOKUP(CI265, 'Normative data'!$S$9:$S$15, 'Normative data'!$T$9:$T$15, "Not Found", -1)</f>
        <v>not completed</v>
      </c>
      <c r="CK265" s="21"/>
      <c r="CL265" s="21"/>
      <c r="CM265" s="21"/>
      <c r="CN265" s="21"/>
      <c r="CO265" s="21"/>
      <c r="CP265" s="25"/>
      <c r="CQ265" s="20"/>
      <c r="CR265" s="20" t="str" cm="1">
        <f t="array" ref="CR265">IF(OR(ISBLANK(E265),ISBLANK(CQ265)),"Incomplete",_xlfn.XLOOKUP(CQ265,_xlfn.XLOOKUP(E265,'Normative data'!$Y$3:$Y$6,'Normative data'!$Z$3:$AG$6,,-1),'Normative data'!$Z$2:$AG$2,"Not Found",-1))</f>
        <v>Incomplete</v>
      </c>
      <c r="CS265" s="20"/>
      <c r="CT265" s="20"/>
      <c r="CU265" s="20" t="str" cm="1">
        <f t="array" ref="CU265">_xlfn.XLOOKUP(CS265&amp;CT265,(VLOOKUP!$A$3:$A$250)&amp;(VLOOKUP!$B$3:$B$250),VLOOKUP!$C$3:$C$250,"Incomplete",-1)</f>
        <v>Incomplete</v>
      </c>
      <c r="CV265" s="20" t="str" cm="1">
        <f t="array" ref="CV265">_xlfn.XLOOKUP(CU265, _xlfn.XLOOKUP(E265, 'Normative data'!$Y$11:$Y$14, 'Normative data'!$Z$11:$AG$14, ,-1), 'Normative data'!$Z$10:$AG$10, "Not Found", -1)</f>
        <v>Excellent</v>
      </c>
      <c r="CW265" s="20" t="str" cm="1">
        <f t="array" ref="CW265">IF(OR(ISBLANK(CS265),ISBLANK(CT265)),"Incomplete",_xlfn.XLOOKUP(CS265&amp;CT265,VLOOKUP!$A$4:$A$250&amp;VLOOKUP!$B$4:$B$250,VLOOKUP!$D$4:$D$250,"0"))</f>
        <v>Incomplete</v>
      </c>
    </row>
    <row r="266" spans="1:101">
      <c r="A266" s="22" t="s">
        <v>725</v>
      </c>
      <c r="B266" s="22" t="s">
        <v>726</v>
      </c>
      <c r="C266" s="17" t="s">
        <v>86</v>
      </c>
      <c r="D266" s="23">
        <v>39448</v>
      </c>
      <c r="F266" s="17">
        <v>11</v>
      </c>
      <c r="G266" s="17">
        <v>2025</v>
      </c>
      <c r="J266" s="17" t="s">
        <v>122</v>
      </c>
      <c r="S266" s="20"/>
      <c r="T266" s="20">
        <v>161.80000000000001</v>
      </c>
      <c r="U266" s="20">
        <v>58.8</v>
      </c>
      <c r="V266" s="20"/>
      <c r="W266" s="20">
        <v>10.8</v>
      </c>
      <c r="X266" s="20">
        <f>SUM(T266-W266)</f>
        <v>151</v>
      </c>
      <c r="Y266" s="20">
        <v>26.9</v>
      </c>
      <c r="Z266" s="20">
        <v>22.5</v>
      </c>
      <c r="AA266" s="20">
        <v>18.399999999999999</v>
      </c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>
        <v>36.799999999999997</v>
      </c>
      <c r="AR266" s="20">
        <v>0.54800000000000004</v>
      </c>
      <c r="AS266" s="20">
        <v>42.5</v>
      </c>
      <c r="AT266" s="20">
        <v>0.58899999999999997</v>
      </c>
      <c r="AU266" s="20">
        <v>26.2</v>
      </c>
      <c r="AV266" s="20">
        <v>0.46200000000000002</v>
      </c>
      <c r="AW266" s="20">
        <v>25.8</v>
      </c>
      <c r="AX266" s="20">
        <v>0.45900000000000002</v>
      </c>
      <c r="AY266" s="41">
        <f t="shared" si="67"/>
        <v>2842.3999999999996</v>
      </c>
      <c r="AZ266" s="20"/>
      <c r="BA266" s="20">
        <f t="shared" si="68"/>
        <v>3188.3899999999994</v>
      </c>
      <c r="BB266" s="20"/>
      <c r="BC266" s="20">
        <f t="shared" si="69"/>
        <v>2198.9799999999996</v>
      </c>
      <c r="BD266" s="20"/>
      <c r="BE266" s="20">
        <f t="shared" si="70"/>
        <v>2174.6999999999998</v>
      </c>
      <c r="BF266" s="20"/>
      <c r="BG266" s="20"/>
      <c r="BH266" s="20"/>
      <c r="BI266" s="20" t="str">
        <f>IF(OR(ISBLANK(BG266), ISBLANK(BH266)),"Incomplete",(SUM(BH266-BG266)))</f>
        <v>Incomplete</v>
      </c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91">
        <f t="shared" si="71"/>
        <v>0</v>
      </c>
      <c r="BX266" s="91" t="str">
        <f>_xlfn.XLOOKUP(BW266,'Normative data'!$V$3:$V$6,'Normative data'!$W$3:$W$6,"Not Found",-1)</f>
        <v>Not completed</v>
      </c>
      <c r="BY266" s="91">
        <f t="shared" si="72"/>
        <v>0</v>
      </c>
      <c r="BZ266" s="91" t="str">
        <f>_xlfn.XLOOKUP(BY266,'Normative data'!$V$3:$V$6,'Normative data'!$W$3:$W$6,"Not Found",-1)</f>
        <v>Not completed</v>
      </c>
      <c r="CA266" s="20"/>
      <c r="CC266" s="20"/>
      <c r="CE266" s="20"/>
      <c r="CG266" s="20">
        <v>17.66</v>
      </c>
      <c r="CH266" s="20" t="e">
        <f>_xlfn.XLOOKUP(#REF!, 'Normative data'!$S$9:$S$15,'Normative data'!$T$9:$T$15, "Not Found", -1)</f>
        <v>#REF!</v>
      </c>
      <c r="CI266" s="20">
        <v>17.61</v>
      </c>
      <c r="CJ266" s="20" t="e">
        <f>_xlfn.XLOOKUP(#REF!, 'Normative data'!$S$9:$S$15, 'Normative data'!$T$9:$T$15, "Not Found", -1)</f>
        <v>#REF!</v>
      </c>
      <c r="CK266" s="25">
        <v>1.93</v>
      </c>
      <c r="CL266" s="25">
        <v>5.18</v>
      </c>
      <c r="CM266" s="21"/>
      <c r="CN266" s="25">
        <v>6.15</v>
      </c>
      <c r="CO266" s="25">
        <v>8.1300000000000008</v>
      </c>
      <c r="CQ266" s="20"/>
      <c r="CR266" s="20" t="str" cm="1">
        <f t="array" ref="CR266">IF(OR(ISBLANK(E266),ISBLANK(CQ266)),"Incomplete",_xlfn.XLOOKUP(CQ266,_xlfn.XLOOKUP(E266,'Normative data'!$Y$3:$Y$6,'Normative data'!$Z$3:$AG$6,,-1),'Normative data'!$Z$2:$AG$2,"Not Found",-1))</f>
        <v>Incomplete</v>
      </c>
      <c r="CS266" s="20"/>
      <c r="CT266" s="20"/>
      <c r="CU266" s="20" t="str" cm="1">
        <f t="array" ref="CU266">_xlfn.XLOOKUP(CS266&amp;CT266,(VLOOKUP!$A$3:$A$250)&amp;(VLOOKUP!$B$3:$B$250),VLOOKUP!$C$3:$C$250,"Incomplete",-1)</f>
        <v>Incomplete</v>
      </c>
      <c r="CV266" s="20" t="str" cm="1">
        <f t="array" ref="CV266">_xlfn.XLOOKUP(CU266, _xlfn.XLOOKUP(E266, 'Normative data'!$Y$11:$Y$14, 'Normative data'!$Z$11:$AG$14, ,-1), 'Normative data'!$Z$10:$AG$10, "Not Found", -1)</f>
        <v>Excellent</v>
      </c>
      <c r="CW266" s="20" t="str" cm="1">
        <f t="array" ref="CW266">IF(OR(ISBLANK(CS266),ISBLANK(CT266)),"Incomplete",_xlfn.XLOOKUP(CS266&amp;CT266,VLOOKUP!$A$4:$A$250&amp;VLOOKUP!$B$4:$B$250,VLOOKUP!$D$4:$D$250,"0"))</f>
        <v>Incomplete</v>
      </c>
    </row>
    <row r="267" spans="1:101">
      <c r="A267" s="17" t="s">
        <v>725</v>
      </c>
      <c r="B267" s="17" t="s">
        <v>726</v>
      </c>
      <c r="C267" s="17" t="s">
        <v>86</v>
      </c>
      <c r="D267" s="23">
        <v>39448</v>
      </c>
      <c r="G267" s="17">
        <v>2025</v>
      </c>
      <c r="S267" s="20"/>
      <c r="T267" s="20" t="s">
        <v>727</v>
      </c>
      <c r="U267" s="20" t="s">
        <v>728</v>
      </c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>
        <v>34.6</v>
      </c>
      <c r="AR267" s="20">
        <v>0.53100000000000003</v>
      </c>
      <c r="AS267" s="20">
        <v>38.200000000000003</v>
      </c>
      <c r="AT267" s="20">
        <v>0.55800000000000005</v>
      </c>
      <c r="AU267" s="20">
        <v>21.7</v>
      </c>
      <c r="AV267" s="20">
        <v>0.42099999999999999</v>
      </c>
      <c r="AW267" s="20">
        <v>22.1</v>
      </c>
      <c r="AX267" s="20">
        <v>0.42499999999999999</v>
      </c>
      <c r="AY267" s="41" t="e">
        <f>IF(OR(ISBLANK(#REF!), ISBLANK(AQ267)), "Incomplete", (60.7*AQ267)+(45.3*#REF!)-2055)</f>
        <v>#REF!</v>
      </c>
      <c r="AZ267" s="20"/>
      <c r="BA267" s="20" t="e">
        <f>IF(OR(ISBLANK(#REF!), ISBLANK(AS267)), "Incomplete", (60.7*AS267)+(45.3*#REF!)-2055)</f>
        <v>#REF!</v>
      </c>
      <c r="BB267" s="20"/>
      <c r="BC267" s="20" t="e">
        <f>IF(OR(ISBLANK(#REF!), ISBLANK(AU267)), "Incomplete", (60.7*AU267)+(45.3*#REF!)-2055)</f>
        <v>#REF!</v>
      </c>
      <c r="BD267" s="20"/>
      <c r="BE267" s="20" t="e">
        <f>IF(OR(ISBLANK(#REF!), ISBLANK(AW267)), "Incomplete", (60.7*AW267)+(45.3*#REF!)-2055)</f>
        <v>#REF!</v>
      </c>
      <c r="BF267" s="20"/>
      <c r="BG267" s="20"/>
      <c r="BH267" s="20"/>
      <c r="BI267" s="20" t="str">
        <f>IF(OR(ISBLANK(BG267), ISBLANK(BH267)),"Incomplete",(SUM(BH267-BG267)))</f>
        <v>Incomplete</v>
      </c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91" t="str">
        <f>IFERROR(SUM(BQ267+BR267+BS267)/(3*(#REF!-S267))*100, "Incomplete")</f>
        <v>Incomplete</v>
      </c>
      <c r="BX267" s="91" t="str">
        <f>_xlfn.XLOOKUP(BW267,'Normative data'!$V$3:$V$6,'Normative data'!$W$3:$W$6,"Not Found",-1)</f>
        <v>Very low risk</v>
      </c>
      <c r="BY267" s="91" t="str">
        <f>IFERROR(SUM(BT267+BU267+BV267)/(3*(#REF!-S267))*100, "Incomplete")</f>
        <v>Incomplete</v>
      </c>
      <c r="BZ267" s="91" t="str">
        <f>_xlfn.XLOOKUP(BY267,'Normative data'!$V$3:$V$6,'Normative data'!$W$3:$W$6,"Not Found",-1)</f>
        <v>Very low risk</v>
      </c>
      <c r="CA267" s="20"/>
      <c r="CC267" s="20"/>
      <c r="CE267" s="20"/>
      <c r="CG267" s="20"/>
      <c r="CH267" s="20" t="str">
        <f>_xlfn.XLOOKUP(CG267, 'Normative data'!$S$9:$S$15,'Normative data'!$T$9:$T$15, "Not Found", -1)</f>
        <v>not completed</v>
      </c>
      <c r="CI267" s="20"/>
      <c r="CJ267" s="20" t="str">
        <f>_xlfn.XLOOKUP(CI267, 'Normative data'!$S$9:$S$15, 'Normative data'!$T$9:$T$15, "Not Found", -1)</f>
        <v>not completed</v>
      </c>
      <c r="CK267" s="21"/>
      <c r="CL267" s="21"/>
      <c r="CM267" s="21"/>
      <c r="CN267" s="21"/>
      <c r="CO267" s="21"/>
      <c r="CQ267" s="20"/>
      <c r="CR267" s="20" t="str" cm="1">
        <f t="array" ref="CR267">IF(OR(ISBLANK(E267),ISBLANK(CQ267)),"Incomplete",_xlfn.XLOOKUP(CQ267,_xlfn.XLOOKUP(E267,'Normative data'!$Y$3:$Y$6,'Normative data'!$Z$3:$AG$6,,-1),'Normative data'!$Z$2:$AG$2,"Not Found",-1))</f>
        <v>Incomplete</v>
      </c>
      <c r="CS267" s="20"/>
      <c r="CT267" s="20"/>
      <c r="CU267" s="20" t="str" cm="1">
        <f t="array" ref="CU267">_xlfn.XLOOKUP(CS267&amp;CT267,(VLOOKUP!$A$3:$A$250)&amp;(VLOOKUP!$B$3:$B$250),VLOOKUP!$C$3:$C$250,"Incomplete",-1)</f>
        <v>Incomplete</v>
      </c>
      <c r="CV267" s="20" t="str" cm="1">
        <f t="array" ref="CV267">_xlfn.XLOOKUP(CU267, _xlfn.XLOOKUP(E267, 'Normative data'!$Y$11:$Y$14, 'Normative data'!$Z$11:$AG$14, ,-1), 'Normative data'!$Z$10:$AG$10, "Not Found", -1)</f>
        <v>Excellent</v>
      </c>
      <c r="CW267" s="20" t="str" cm="1">
        <f t="array" ref="CW267">IF(OR(ISBLANK(CS267),ISBLANK(CT267)),"Incomplete",_xlfn.XLOOKUP(CS267&amp;CT267,VLOOKUP!$A$4:$A$250&amp;VLOOKUP!$B$4:$B$250,VLOOKUP!$D$4:$D$250,"0"))</f>
        <v>Incomplete</v>
      </c>
    </row>
    <row r="268" spans="1:101">
      <c r="A268" s="17" t="s">
        <v>639</v>
      </c>
      <c r="B268" s="17" t="s">
        <v>726</v>
      </c>
      <c r="C268" s="17" t="s">
        <v>86</v>
      </c>
      <c r="D268" s="23">
        <v>39448</v>
      </c>
      <c r="G268" s="17">
        <v>2026</v>
      </c>
      <c r="H268" s="20" t="s">
        <v>114</v>
      </c>
      <c r="I268" s="17">
        <v>1</v>
      </c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41" t="str">
        <f t="shared" ref="AY268:AY299" si="73">IF(OR(ISBLANK(U268), ISBLANK(AQ268)), "Incomplete", (60.7*AQ268)+(45.3*U268)-2055)</f>
        <v>Incomplete</v>
      </c>
      <c r="AZ268" s="20"/>
      <c r="BA268" s="20" t="str">
        <f t="shared" ref="BA268:BA299" si="74">IF(OR(ISBLANK(U268), ISBLANK(AS268)), "Incomplete", (60.7*AS268)+(45.3*U268)-2055)</f>
        <v>Incomplete</v>
      </c>
      <c r="BB268" s="20"/>
      <c r="BC268" s="20" t="str">
        <f t="shared" ref="BC268:BC299" si="75">IF(OR(ISBLANK(U268), ISBLANK(AU268)), "Incomplete", (60.7*AU268)+(45.3*U268)-2055)</f>
        <v>Incomplete</v>
      </c>
      <c r="BD268" s="20"/>
      <c r="BE268" s="20" t="str">
        <f t="shared" ref="BE268:BE299" si="76">IF(OR(ISBLANK(U268), ISBLANK(AW268)), "Incomplete", (60.7*AW268)+(45.3*U268)-2055)</f>
        <v>Incomplete</v>
      </c>
      <c r="BF268" s="20"/>
      <c r="BG268" s="30"/>
      <c r="BH268" s="20"/>
      <c r="BI268" s="20" t="str">
        <f>IF(OR(ISBLANK(BG268), ISBLANK(BH268)),"Incomplete",(SUM(BH268-BG268)))</f>
        <v>Incomplete</v>
      </c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91" t="str">
        <f t="shared" ref="BW268:BW299" si="77">IFERROR(SUM(BQ268+BR268+BS268)/(3*(T268-S268))*100, "Incomplete")</f>
        <v>Incomplete</v>
      </c>
      <c r="BX268" s="91" t="str">
        <f>_xlfn.XLOOKUP(BW268,'Normative data'!$V$3:$V$6,'Normative data'!$W$3:$W$6,"Not Found",-1)</f>
        <v>Very low risk</v>
      </c>
      <c r="BY268" s="91" t="str">
        <f t="shared" ref="BY268:BY299" si="78">IFERROR(SUM(BT268+BU268+BV268)/(3*(T268-S268))*100, "Incomplete")</f>
        <v>Incomplete</v>
      </c>
      <c r="BZ268" s="91" t="str">
        <f>_xlfn.XLOOKUP(BY268,'Normative data'!$V$3:$V$6,'Normative data'!$W$3:$W$6,"Not Found",-1)</f>
        <v>Very low risk</v>
      </c>
      <c r="CA268" s="20"/>
      <c r="CC268" s="20"/>
      <c r="CE268" s="20"/>
      <c r="CF268" s="30"/>
      <c r="CG268" s="20"/>
      <c r="CH268" s="20" t="str">
        <f>_xlfn.XLOOKUP(CG268, 'Normative data'!$S$9:$S$15,'Normative data'!$T$9:$T$15, "Not Found", -1)</f>
        <v>not completed</v>
      </c>
      <c r="CI268" s="20"/>
      <c r="CJ268" s="20" t="str">
        <f>_xlfn.XLOOKUP(CI268, 'Normative data'!$S$9:$S$15, 'Normative data'!$T$9:$T$15, "Not Found", -1)</f>
        <v>not completed</v>
      </c>
      <c r="CK268" s="21"/>
      <c r="CL268" s="21"/>
      <c r="CM268" s="21"/>
      <c r="CN268" s="21"/>
      <c r="CO268" s="21"/>
      <c r="CP268" s="30"/>
      <c r="CQ268" s="20"/>
      <c r="CR268" s="20" t="str" cm="1">
        <f t="array" ref="CR268">IF(OR(ISBLANK(E268),ISBLANK(CQ268)),"Incomplete",_xlfn.XLOOKUP(CQ268,_xlfn.XLOOKUP(E268,'Normative data'!$Y$3:$Y$6,'Normative data'!$Z$3:$AG$6,,-1),'Normative data'!$Z$2:$AG$2,"Not Found",-1))</f>
        <v>Incomplete</v>
      </c>
      <c r="CS268" s="20"/>
      <c r="CT268" s="20"/>
      <c r="CU268" s="20" t="str" cm="1">
        <f t="array" ref="CU268">_xlfn.XLOOKUP(CS268&amp;CT268,(VLOOKUP!$A$3:$A$250)&amp;(VLOOKUP!$B$3:$B$250),VLOOKUP!$C$3:$C$250,"Incomplete",-1)</f>
        <v>Incomplete</v>
      </c>
      <c r="CV268" s="20" t="str" cm="1">
        <f t="array" ref="CV268">_xlfn.XLOOKUP(CU268, _xlfn.XLOOKUP(E268, 'Normative data'!$Y$11:$Y$14, 'Normative data'!$Z$11:$AG$14, ,-1), 'Normative data'!$Z$10:$AG$10, "Not Found", -1)</f>
        <v>Excellent</v>
      </c>
      <c r="CW268" s="20" t="str" cm="1">
        <f t="array" ref="CW268">IF(OR(ISBLANK(CS268),ISBLANK(CT268)),"Incomplete",_xlfn.XLOOKUP(CS268&amp;CT268,VLOOKUP!$A$4:$A$250&amp;VLOOKUP!$B$4:$B$250,VLOOKUP!$D$4:$D$250,"0"))</f>
        <v>Incomplete</v>
      </c>
    </row>
    <row r="269" spans="1:101">
      <c r="A269" s="22" t="s">
        <v>308</v>
      </c>
      <c r="B269" s="22" t="s">
        <v>729</v>
      </c>
      <c r="C269" s="17" t="s">
        <v>86</v>
      </c>
      <c r="D269" s="23">
        <v>40863</v>
      </c>
      <c r="F269" s="17">
        <v>8</v>
      </c>
      <c r="G269" s="17">
        <v>2025</v>
      </c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41" t="str">
        <f t="shared" si="73"/>
        <v>Incomplete</v>
      </c>
      <c r="AZ269" s="20"/>
      <c r="BA269" s="20" t="str">
        <f t="shared" si="74"/>
        <v>Incomplete</v>
      </c>
      <c r="BB269" s="20"/>
      <c r="BC269" s="20" t="str">
        <f t="shared" si="75"/>
        <v>Incomplete</v>
      </c>
      <c r="BD269" s="20"/>
      <c r="BE269" s="20" t="str">
        <f t="shared" si="76"/>
        <v>Incomplete</v>
      </c>
      <c r="BF269" s="20"/>
      <c r="BG269" s="20">
        <v>13</v>
      </c>
      <c r="BH269" s="20">
        <v>34.5</v>
      </c>
      <c r="BI269" s="20" t="e">
        <f>IF(OR(ISBLANK(#REF!), ISBLANK(#REF!)),"Incomplete",(SUM(#REF!-#REF!)))</f>
        <v>#REF!</v>
      </c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91" t="str">
        <f t="shared" si="77"/>
        <v>Incomplete</v>
      </c>
      <c r="BX269" s="91" t="str">
        <f>_xlfn.XLOOKUP(BW269,'Normative data'!$V$3:$V$6,'Normative data'!$W$3:$W$6,"Not Found",-1)</f>
        <v>Very low risk</v>
      </c>
      <c r="BY269" s="91" t="str">
        <f t="shared" si="78"/>
        <v>Incomplete</v>
      </c>
      <c r="BZ269" s="91" t="str">
        <f>_xlfn.XLOOKUP(BY269,'Normative data'!$V$3:$V$6,'Normative data'!$W$3:$W$6,"Not Found",-1)</f>
        <v>Very low risk</v>
      </c>
      <c r="CA269" s="20"/>
      <c r="CC269" s="20"/>
      <c r="CE269" s="20">
        <v>7</v>
      </c>
      <c r="CG269" s="20"/>
      <c r="CH269" s="20" t="str">
        <f>_xlfn.XLOOKUP(CG269, 'Normative data'!$S$9:$S$15,'Normative data'!$T$9:$T$15, "Not Found", -1)</f>
        <v>not completed</v>
      </c>
      <c r="CI269" s="20"/>
      <c r="CJ269" s="20" t="str">
        <f>_xlfn.XLOOKUP(CI269, 'Normative data'!$S$9:$S$15, 'Normative data'!$T$9:$T$15, "Not Found", -1)</f>
        <v>not completed</v>
      </c>
      <c r="CK269" s="24">
        <v>2.23</v>
      </c>
      <c r="CL269" s="24">
        <v>4.4800000000000004</v>
      </c>
      <c r="CM269" s="24"/>
      <c r="CN269" s="24">
        <v>6.82</v>
      </c>
      <c r="CO269" s="24">
        <v>7.33</v>
      </c>
      <c r="CP269" s="24"/>
      <c r="CQ269" s="20"/>
      <c r="CR269" s="20" t="str" cm="1">
        <f t="array" ref="CR269">IF(OR(ISBLANK(E269),ISBLANK(CQ269)),"Incomplete",_xlfn.XLOOKUP(CQ269,_xlfn.XLOOKUP(E269,'Normative data'!$Y$3:$Y$6,'Normative data'!$Z$3:$AG$6,,-1),'Normative data'!$Z$2:$AG$2,"Not Found",-1))</f>
        <v>Incomplete</v>
      </c>
      <c r="CS269" s="20"/>
      <c r="CT269" s="20"/>
      <c r="CU269" s="20" t="str" cm="1">
        <f t="array" ref="CU269">_xlfn.XLOOKUP(CS269&amp;CT269,(VLOOKUP!$A$3:$A$250)&amp;(VLOOKUP!$B$3:$B$250),VLOOKUP!$C$3:$C$250,"Incomplete",-1)</f>
        <v>Incomplete</v>
      </c>
      <c r="CV269" s="20" t="str" cm="1">
        <f t="array" ref="CV269">_xlfn.XLOOKUP(CU269, _xlfn.XLOOKUP(E269, 'Normative data'!$Y$11:$Y$14, 'Normative data'!$Z$11:$AG$14, ,-1), 'Normative data'!$Z$10:$AG$10, "Not Found", -1)</f>
        <v>Excellent</v>
      </c>
      <c r="CW269" s="20" t="str" cm="1">
        <f t="array" ref="CW269">IF(OR(ISBLANK(CS269),ISBLANK(CT269)),"Incomplete",_xlfn.XLOOKUP(CS269&amp;CT269,VLOOKUP!$A$4:$A$250&amp;VLOOKUP!$B$4:$B$250,VLOOKUP!$D$4:$D$250,"0"))</f>
        <v>Incomplete</v>
      </c>
    </row>
    <row r="270" spans="1:101">
      <c r="A270" s="17" t="s">
        <v>730</v>
      </c>
      <c r="B270" s="17" t="s">
        <v>731</v>
      </c>
      <c r="C270" s="17" t="s">
        <v>86</v>
      </c>
      <c r="D270" s="26">
        <v>39910</v>
      </c>
      <c r="F270" s="17">
        <v>10</v>
      </c>
      <c r="G270" s="17">
        <v>2025</v>
      </c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41" t="str">
        <f t="shared" si="73"/>
        <v>Incomplete</v>
      </c>
      <c r="AZ270" s="20"/>
      <c r="BA270" s="20" t="str">
        <f t="shared" si="74"/>
        <v>Incomplete</v>
      </c>
      <c r="BB270" s="20"/>
      <c r="BC270" s="20" t="str">
        <f t="shared" si="75"/>
        <v>Incomplete</v>
      </c>
      <c r="BD270" s="20"/>
      <c r="BE270" s="20" t="str">
        <f t="shared" si="76"/>
        <v>Incomplete</v>
      </c>
      <c r="BF270" s="20"/>
      <c r="BG270" s="20">
        <v>18.5</v>
      </c>
      <c r="BH270" s="20">
        <v>41.5</v>
      </c>
      <c r="BI270" s="20" t="e">
        <f>IF(OR(ISBLANK(#REF!), ISBLANK(#REF!)),"Incomplete",(SUM(#REF!-#REF!)))</f>
        <v>#REF!</v>
      </c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91" t="str">
        <f t="shared" si="77"/>
        <v>Incomplete</v>
      </c>
      <c r="BX270" s="91" t="str">
        <f>_xlfn.XLOOKUP(BW270,'Normative data'!$V$3:$V$6,'Normative data'!$W$3:$W$6,"Not Found",-1)</f>
        <v>Very low risk</v>
      </c>
      <c r="BY270" s="91" t="str">
        <f t="shared" si="78"/>
        <v>Incomplete</v>
      </c>
      <c r="BZ270" s="91" t="str">
        <f>_xlfn.XLOOKUP(BY270,'Normative data'!$V$3:$V$6,'Normative data'!$W$3:$W$6,"Not Found",-1)</f>
        <v>Very low risk</v>
      </c>
      <c r="CA270" s="20"/>
      <c r="CC270" s="20"/>
      <c r="CE270" s="20">
        <v>9</v>
      </c>
      <c r="CG270" s="20"/>
      <c r="CH270" s="20" t="str">
        <f>_xlfn.XLOOKUP(CG270, 'Normative data'!$S$9:$S$15,'Normative data'!$T$9:$T$15, "Not Found", -1)</f>
        <v>not completed</v>
      </c>
      <c r="CI270" s="20"/>
      <c r="CJ270" s="20" t="str">
        <f>_xlfn.XLOOKUP(CI270, 'Normative data'!$S$9:$S$15, 'Normative data'!$T$9:$T$15, "Not Found", -1)</f>
        <v>not completed</v>
      </c>
      <c r="CK270" s="21">
        <v>2.19</v>
      </c>
      <c r="CL270" s="21">
        <v>4.57</v>
      </c>
      <c r="CM270" s="21"/>
      <c r="CN270" s="21">
        <v>6.77</v>
      </c>
      <c r="CO270" s="21">
        <v>7.39</v>
      </c>
      <c r="CP270" s="21"/>
      <c r="CQ270" s="20"/>
      <c r="CR270" s="20" t="str" cm="1">
        <f t="array" ref="CR270">IF(OR(ISBLANK(E270),ISBLANK(CQ270)),"Incomplete",_xlfn.XLOOKUP(CQ270,_xlfn.XLOOKUP(E270,'Normative data'!$Y$3:$Y$6,'Normative data'!$Z$3:$AG$6,,-1),'Normative data'!$Z$2:$AG$2,"Not Found",-1))</f>
        <v>Incomplete</v>
      </c>
      <c r="CS270" s="20"/>
      <c r="CT270" s="20"/>
      <c r="CU270" s="20" t="str" cm="1">
        <f t="array" ref="CU270">_xlfn.XLOOKUP(CS270&amp;CT270,(VLOOKUP!$A$3:$A$250)&amp;(VLOOKUP!$B$3:$B$250),VLOOKUP!$C$3:$C$250,"Incomplete",-1)</f>
        <v>Incomplete</v>
      </c>
      <c r="CV270" s="20" t="str" cm="1">
        <f t="array" ref="CV270">_xlfn.XLOOKUP(CU270, _xlfn.XLOOKUP(E270, 'Normative data'!$Y$11:$Y$14, 'Normative data'!$Z$11:$AG$14, ,-1), 'Normative data'!$Z$10:$AG$10, "Not Found", -1)</f>
        <v>Excellent</v>
      </c>
      <c r="CW270" s="20" t="str" cm="1">
        <f t="array" ref="CW270">IF(OR(ISBLANK(CS270),ISBLANK(CT270)),"Incomplete",_xlfn.XLOOKUP(CS270&amp;CT270,VLOOKUP!$A$4:$A$250&amp;VLOOKUP!$B$4:$B$250,VLOOKUP!$D$4:$D$250,"0"))</f>
        <v>Incomplete</v>
      </c>
    </row>
    <row r="271" spans="1:101">
      <c r="A271" s="18" t="s">
        <v>732</v>
      </c>
      <c r="B271" s="18" t="s">
        <v>733</v>
      </c>
      <c r="C271" s="17" t="s">
        <v>86</v>
      </c>
      <c r="D271" s="19">
        <v>40192</v>
      </c>
      <c r="F271" s="17">
        <v>9</v>
      </c>
      <c r="G271" s="17">
        <v>2025</v>
      </c>
      <c r="J271" s="17" t="s">
        <v>122</v>
      </c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41" t="str">
        <f t="shared" si="73"/>
        <v>Incomplete</v>
      </c>
      <c r="AZ271" s="20"/>
      <c r="BA271" s="20" t="str">
        <f t="shared" si="74"/>
        <v>Incomplete</v>
      </c>
      <c r="BB271" s="20"/>
      <c r="BC271" s="20" t="str">
        <f t="shared" si="75"/>
        <v>Incomplete</v>
      </c>
      <c r="BD271" s="20"/>
      <c r="BE271" s="20" t="str">
        <f t="shared" si="76"/>
        <v>Incomplete</v>
      </c>
      <c r="BF271" s="20"/>
      <c r="BG271" s="20">
        <v>12</v>
      </c>
      <c r="BH271" s="20">
        <v>49.5</v>
      </c>
      <c r="BI271" s="20">
        <f>IF(OR(ISBLANK(BG271), ISBLANK(BH271)),"Incomplete",(SUM(BH271-BG271)))</f>
        <v>37.5</v>
      </c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91" t="str">
        <f t="shared" si="77"/>
        <v>Incomplete</v>
      </c>
      <c r="BX271" s="91" t="str">
        <f>_xlfn.XLOOKUP(BW271,'Normative data'!$V$3:$V$6,'Normative data'!$W$3:$W$6,"Not Found",-1)</f>
        <v>Very low risk</v>
      </c>
      <c r="BY271" s="91" t="str">
        <f t="shared" si="78"/>
        <v>Incomplete</v>
      </c>
      <c r="BZ271" s="91" t="str">
        <f>_xlfn.XLOOKUP(BY271,'Normative data'!$V$3:$V$6,'Normative data'!$W$3:$W$6,"Not Found",-1)</f>
        <v>Very low risk</v>
      </c>
      <c r="CA271" s="20"/>
      <c r="CC271" s="20"/>
      <c r="CE271" s="20">
        <v>30</v>
      </c>
      <c r="CG271" s="20">
        <v>17.559999999999999</v>
      </c>
      <c r="CH271" s="20" t="e">
        <f>_xlfn.XLOOKUP(#REF!, 'Normative data'!$S$9:$S$15,'Normative data'!$T$9:$T$15, "Not Found", -1)</f>
        <v>#REF!</v>
      </c>
      <c r="CI271" s="20">
        <v>17.8</v>
      </c>
      <c r="CJ271" s="20" t="e">
        <f>_xlfn.XLOOKUP(#REF!, 'Normative data'!$S$9:$S$15, 'Normative data'!$T$9:$T$15, "Not Found", -1)</f>
        <v>#REF!</v>
      </c>
      <c r="CK271" s="21">
        <v>2.0699999999999998</v>
      </c>
      <c r="CL271" s="21">
        <v>4.83</v>
      </c>
      <c r="CM271" s="21"/>
      <c r="CN271" s="21">
        <v>6.47</v>
      </c>
      <c r="CO271" s="21">
        <v>7.73</v>
      </c>
      <c r="CP271" s="21"/>
      <c r="CQ271" s="20"/>
      <c r="CR271" s="20" t="str" cm="1">
        <f t="array" ref="CR271">IF(OR(ISBLANK(E271),ISBLANK(CQ271)),"Incomplete",_xlfn.XLOOKUP(CQ271,_xlfn.XLOOKUP(E271,'Normative data'!$Y$3:$Y$6,'Normative data'!$Z$3:$AG$6,,-1),'Normative data'!$Z$2:$AG$2,"Not Found",-1))</f>
        <v>Incomplete</v>
      </c>
      <c r="CS271" s="20"/>
      <c r="CT271" s="20"/>
      <c r="CU271" s="20" t="str" cm="1">
        <f t="array" ref="CU271">_xlfn.XLOOKUP(CS271&amp;CT271,(VLOOKUP!$A$3:$A$250)&amp;(VLOOKUP!$B$3:$B$250),VLOOKUP!$C$3:$C$250,"Incomplete",-1)</f>
        <v>Incomplete</v>
      </c>
      <c r="CV271" s="20" t="str" cm="1">
        <f t="array" ref="CV271">_xlfn.XLOOKUP(CU271, _xlfn.XLOOKUP(E271, 'Normative data'!$Y$11:$Y$14, 'Normative data'!$Z$11:$AG$14, ,-1), 'Normative data'!$Z$10:$AG$10, "Not Found", -1)</f>
        <v>Excellent</v>
      </c>
      <c r="CW271" s="20" t="str" cm="1">
        <f t="array" ref="CW271">IF(OR(ISBLANK(CS271),ISBLANK(CT271)),"Incomplete",_xlfn.XLOOKUP(CS271&amp;CT271,VLOOKUP!$A$4:$A$250&amp;VLOOKUP!$B$4:$B$250,VLOOKUP!$D$4:$D$250,"0"))</f>
        <v>Incomplete</v>
      </c>
    </row>
    <row r="272" spans="1:101">
      <c r="A272" s="17" t="s">
        <v>734</v>
      </c>
      <c r="B272" s="17" t="s">
        <v>733</v>
      </c>
      <c r="C272" s="17" t="s">
        <v>86</v>
      </c>
      <c r="D272" s="19">
        <v>40192</v>
      </c>
      <c r="F272" s="17">
        <v>9</v>
      </c>
      <c r="G272" s="17">
        <v>2025</v>
      </c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41" t="str">
        <f t="shared" si="73"/>
        <v>Incomplete</v>
      </c>
      <c r="AZ272" s="20"/>
      <c r="BA272" s="20" t="str">
        <f t="shared" si="74"/>
        <v>Incomplete</v>
      </c>
      <c r="BB272" s="20"/>
      <c r="BC272" s="20" t="str">
        <f t="shared" si="75"/>
        <v>Incomplete</v>
      </c>
      <c r="BD272" s="20"/>
      <c r="BE272" s="20" t="str">
        <f t="shared" si="76"/>
        <v>Incomplete</v>
      </c>
      <c r="BF272" s="20"/>
      <c r="BG272" s="20"/>
      <c r="BH272" s="20"/>
      <c r="BI272" s="20" t="str">
        <f>IF(OR(ISBLANK(BG272), ISBLANK(BH272)),"Incomplete",(SUM(BH272-BG272)))</f>
        <v>Incomplete</v>
      </c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91" t="str">
        <f t="shared" si="77"/>
        <v>Incomplete</v>
      </c>
      <c r="BX272" s="91" t="str">
        <f>_xlfn.XLOOKUP(BW272,'Normative data'!$V$3:$V$6,'Normative data'!$W$3:$W$6,"Not Found",-1)</f>
        <v>Very low risk</v>
      </c>
      <c r="BY272" s="91" t="str">
        <f t="shared" si="78"/>
        <v>Incomplete</v>
      </c>
      <c r="BZ272" s="91" t="str">
        <f>_xlfn.XLOOKUP(BY272,'Normative data'!$V$3:$V$6,'Normative data'!$W$3:$W$6,"Not Found",-1)</f>
        <v>Very low risk</v>
      </c>
      <c r="CA272" s="20"/>
      <c r="CC272" s="20"/>
      <c r="CE272" s="20"/>
      <c r="CG272" s="20"/>
      <c r="CH272" s="20" t="str">
        <f>_xlfn.XLOOKUP(CG272, 'Normative data'!$S$9:$S$15,'Normative data'!$T$9:$T$15, "Not Found", -1)</f>
        <v>not completed</v>
      </c>
      <c r="CI272" s="20"/>
      <c r="CJ272" s="20" t="str">
        <f>_xlfn.XLOOKUP(CI272, 'Normative data'!$S$9:$S$15, 'Normative data'!$T$9:$T$15, "Not Found", -1)</f>
        <v>not completed</v>
      </c>
      <c r="CK272" s="20" t="s">
        <v>735</v>
      </c>
      <c r="CL272" s="20" t="s">
        <v>361</v>
      </c>
      <c r="CN272" s="20" t="s">
        <v>736</v>
      </c>
      <c r="CO272" s="20" t="s">
        <v>737</v>
      </c>
      <c r="CQ272" s="20"/>
      <c r="CR272" s="20" t="str" cm="1">
        <f t="array" ref="CR272">IF(OR(ISBLANK(E272),ISBLANK(CQ272)),"Incomplete",_xlfn.XLOOKUP(CQ272,_xlfn.XLOOKUP(E272,'Normative data'!$Y$3:$Y$6,'Normative data'!$Z$3:$AG$6,,-1),'Normative data'!$Z$2:$AG$2,"Not Found",-1))</f>
        <v>Incomplete</v>
      </c>
      <c r="CS272" s="20"/>
      <c r="CT272" s="20"/>
      <c r="CU272" s="20" t="str" cm="1">
        <f t="array" ref="CU272">_xlfn.XLOOKUP(CS272&amp;CT272,(VLOOKUP!$A$3:$A$250)&amp;(VLOOKUP!$B$3:$B$250),VLOOKUP!$C$3:$C$250,"Incomplete",-1)</f>
        <v>Incomplete</v>
      </c>
      <c r="CV272" s="20" t="str" cm="1">
        <f t="array" ref="CV272">_xlfn.XLOOKUP(CU272, _xlfn.XLOOKUP(E272, 'Normative data'!$Y$11:$Y$14, 'Normative data'!$Z$11:$AG$14, ,-1), 'Normative data'!$Z$10:$AG$10, "Not Found", -1)</f>
        <v>Excellent</v>
      </c>
      <c r="CW272" s="20" t="str" cm="1">
        <f t="array" ref="CW272">IF(OR(ISBLANK(CS272),ISBLANK(CT272)),"Incomplete",_xlfn.XLOOKUP(CS272&amp;CT272,VLOOKUP!$A$4:$A$250&amp;VLOOKUP!$B$4:$B$250,VLOOKUP!$D$4:$D$250,"0"))</f>
        <v>Incomplete</v>
      </c>
    </row>
    <row r="273" spans="1:101">
      <c r="A273" s="17" t="s">
        <v>738</v>
      </c>
      <c r="B273" s="17" t="s">
        <v>733</v>
      </c>
      <c r="C273" s="17" t="s">
        <v>86</v>
      </c>
      <c r="D273" s="26"/>
      <c r="F273" s="17">
        <v>11</v>
      </c>
      <c r="G273" s="17">
        <v>2025</v>
      </c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41" t="str">
        <f t="shared" si="73"/>
        <v>Incomplete</v>
      </c>
      <c r="AZ273" s="20"/>
      <c r="BA273" s="20" t="str">
        <f t="shared" si="74"/>
        <v>Incomplete</v>
      </c>
      <c r="BB273" s="20"/>
      <c r="BC273" s="20" t="str">
        <f t="shared" si="75"/>
        <v>Incomplete</v>
      </c>
      <c r="BD273" s="20"/>
      <c r="BE273" s="20" t="str">
        <f t="shared" si="76"/>
        <v>Incomplete</v>
      </c>
      <c r="BF273" s="20"/>
      <c r="BG273" s="20">
        <v>14</v>
      </c>
      <c r="BH273" s="20">
        <v>43.5</v>
      </c>
      <c r="BI273" s="20">
        <f>IF(OR(ISBLANK(BG273), ISBLANK(BH273)),"Incomplete",(SUM(BH273-BG273)))</f>
        <v>29.5</v>
      </c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91" t="str">
        <f t="shared" si="77"/>
        <v>Incomplete</v>
      </c>
      <c r="BX273" s="91" t="str">
        <f>_xlfn.XLOOKUP(BW273,'Normative data'!$V$3:$V$6,'Normative data'!$W$3:$W$6,"Not Found",-1)</f>
        <v>Very low risk</v>
      </c>
      <c r="BY273" s="91" t="str">
        <f t="shared" si="78"/>
        <v>Incomplete</v>
      </c>
      <c r="BZ273" s="91" t="str">
        <f>_xlfn.XLOOKUP(BY273,'Normative data'!$V$3:$V$6,'Normative data'!$W$3:$W$6,"Not Found",-1)</f>
        <v>Very low risk</v>
      </c>
      <c r="CA273" s="20"/>
      <c r="CC273" s="20"/>
      <c r="CE273" s="20"/>
      <c r="CG273" s="20"/>
      <c r="CH273" s="20" t="str">
        <f>_xlfn.XLOOKUP(CG273, 'Normative data'!$S$9:$S$15,'Normative data'!$T$9:$T$15, "Not Found", -1)</f>
        <v>not completed</v>
      </c>
      <c r="CI273" s="20"/>
      <c r="CJ273" s="20" t="str">
        <f>_xlfn.XLOOKUP(CI273, 'Normative data'!$S$9:$S$15, 'Normative data'!$T$9:$T$15, "Not Found", -1)</f>
        <v>not completed</v>
      </c>
      <c r="CK273" s="21"/>
      <c r="CL273" s="21"/>
      <c r="CM273" s="21"/>
      <c r="CN273" s="21"/>
      <c r="CO273" s="21"/>
      <c r="CQ273" s="20"/>
      <c r="CR273" s="20" t="str" cm="1">
        <f t="array" ref="CR273">IF(OR(ISBLANK(E273),ISBLANK(CQ273)),"Incomplete",_xlfn.XLOOKUP(CQ273,_xlfn.XLOOKUP(E273,'Normative data'!$Y$3:$Y$6,'Normative data'!$Z$3:$AG$6,,-1),'Normative data'!$Z$2:$AG$2,"Not Found",-1))</f>
        <v>Incomplete</v>
      </c>
      <c r="CS273" s="20"/>
      <c r="CT273" s="20"/>
      <c r="CU273" s="20" t="str" cm="1">
        <f t="array" ref="CU273">_xlfn.XLOOKUP(CS273&amp;CT273,(VLOOKUP!$A$3:$A$250)&amp;(VLOOKUP!$B$3:$B$250),VLOOKUP!$C$3:$C$250,"Incomplete",-1)</f>
        <v>Incomplete</v>
      </c>
      <c r="CV273" s="20" t="str" cm="1">
        <f t="array" ref="CV273">_xlfn.XLOOKUP(CU273, _xlfn.XLOOKUP(E273, 'Normative data'!$Y$11:$Y$14, 'Normative data'!$Z$11:$AG$14, ,-1), 'Normative data'!$Z$10:$AG$10, "Not Found", -1)</f>
        <v>Excellent</v>
      </c>
      <c r="CW273" s="20" t="str" cm="1">
        <f t="array" ref="CW273">IF(OR(ISBLANK(CS273),ISBLANK(CT273)),"Incomplete",_xlfn.XLOOKUP(CS273&amp;CT273,VLOOKUP!$A$4:$A$250&amp;VLOOKUP!$B$4:$B$250,VLOOKUP!$D$4:$D$250,"0"))</f>
        <v>Incomplete</v>
      </c>
    </row>
    <row r="274" spans="1:101">
      <c r="A274" s="22" t="s">
        <v>739</v>
      </c>
      <c r="B274" s="22" t="s">
        <v>740</v>
      </c>
      <c r="C274" s="17" t="s">
        <v>86</v>
      </c>
      <c r="D274" s="23">
        <v>40134</v>
      </c>
      <c r="F274" s="17">
        <v>9</v>
      </c>
      <c r="G274" s="17">
        <v>2025</v>
      </c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41" t="str">
        <f t="shared" si="73"/>
        <v>Incomplete</v>
      </c>
      <c r="AZ274" s="20"/>
      <c r="BA274" s="20" t="str">
        <f t="shared" si="74"/>
        <v>Incomplete</v>
      </c>
      <c r="BB274" s="20"/>
      <c r="BC274" s="20" t="str">
        <f t="shared" si="75"/>
        <v>Incomplete</v>
      </c>
      <c r="BD274" s="20"/>
      <c r="BE274" s="20" t="str">
        <f t="shared" si="76"/>
        <v>Incomplete</v>
      </c>
      <c r="BF274" s="20"/>
      <c r="BG274" s="20"/>
      <c r="BH274" s="20"/>
      <c r="BI274" s="20" t="str">
        <f>IF(OR(ISBLANK(BG274), ISBLANK(BH274)),"Incomplete",(SUM(BH274-BG274)))</f>
        <v>Incomplete</v>
      </c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91" t="str">
        <f t="shared" si="77"/>
        <v>Incomplete</v>
      </c>
      <c r="BX274" s="91" t="str">
        <f>_xlfn.XLOOKUP(BW274,'Normative data'!$V$3:$V$6,'Normative data'!$W$3:$W$6,"Not Found",-1)</f>
        <v>Very low risk</v>
      </c>
      <c r="BY274" s="91" t="str">
        <f t="shared" si="78"/>
        <v>Incomplete</v>
      </c>
      <c r="BZ274" s="91" t="str">
        <f>_xlfn.XLOOKUP(BY274,'Normative data'!$V$3:$V$6,'Normative data'!$W$3:$W$6,"Not Found",-1)</f>
        <v>Very low risk</v>
      </c>
      <c r="CA274" s="20"/>
      <c r="CC274" s="20"/>
      <c r="CE274" s="20"/>
      <c r="CG274" s="20"/>
      <c r="CH274" s="20" t="str">
        <f>_xlfn.XLOOKUP(CG274, 'Normative data'!$S$9:$S$15,'Normative data'!$T$9:$T$15, "Not Found", -1)</f>
        <v>not completed</v>
      </c>
      <c r="CI274" s="20"/>
      <c r="CJ274" s="20" t="str">
        <f>_xlfn.XLOOKUP(CI274, 'Normative data'!$S$9:$S$15, 'Normative data'!$T$9:$T$15, "Not Found", -1)</f>
        <v>not completed</v>
      </c>
      <c r="CK274" s="21">
        <v>2.13</v>
      </c>
      <c r="CL274" s="21">
        <v>4.6900000000000004</v>
      </c>
      <c r="CM274" s="21"/>
      <c r="CN274" s="21">
        <v>6.95</v>
      </c>
      <c r="CO274" s="21">
        <v>7.19</v>
      </c>
      <c r="CP274" s="21"/>
      <c r="CQ274" s="20"/>
      <c r="CR274" s="20" t="str" cm="1">
        <f t="array" ref="CR274">IF(OR(ISBLANK(E274),ISBLANK(CQ274)),"Incomplete",_xlfn.XLOOKUP(CQ274,_xlfn.XLOOKUP(E274,'Normative data'!$Y$3:$Y$6,'Normative data'!$Z$3:$AG$6,,-1),'Normative data'!$Z$2:$AG$2,"Not Found",-1))</f>
        <v>Incomplete</v>
      </c>
      <c r="CS274" s="20"/>
      <c r="CT274" s="20"/>
      <c r="CU274" s="20" t="str" cm="1">
        <f t="array" ref="CU274">_xlfn.XLOOKUP(CS274&amp;CT274,(VLOOKUP!$A$3:$A$250)&amp;(VLOOKUP!$B$3:$B$250),VLOOKUP!$C$3:$C$250,"Incomplete",-1)</f>
        <v>Incomplete</v>
      </c>
      <c r="CV274" s="20" t="str" cm="1">
        <f t="array" ref="CV274">_xlfn.XLOOKUP(CU274, _xlfn.XLOOKUP(E274, 'Normative data'!$Y$11:$Y$14, 'Normative data'!$Z$11:$AG$14, ,-1), 'Normative data'!$Z$10:$AG$10, "Not Found", -1)</f>
        <v>Excellent</v>
      </c>
      <c r="CW274" s="20" t="str" cm="1">
        <f t="array" ref="CW274">IF(OR(ISBLANK(CS274),ISBLANK(CT274)),"Incomplete",_xlfn.XLOOKUP(CS274&amp;CT274,VLOOKUP!$A$4:$A$250&amp;VLOOKUP!$B$4:$B$250,VLOOKUP!$D$4:$D$250,"0"))</f>
        <v>Incomplete</v>
      </c>
    </row>
    <row r="275" spans="1:101">
      <c r="A275" s="22" t="s">
        <v>741</v>
      </c>
      <c r="B275" s="22" t="s">
        <v>742</v>
      </c>
      <c r="C275" s="17" t="s">
        <v>86</v>
      </c>
      <c r="D275" s="23">
        <v>40847</v>
      </c>
      <c r="F275" s="17">
        <v>8</v>
      </c>
      <c r="G275" s="17">
        <v>2025</v>
      </c>
      <c r="S275" s="20"/>
      <c r="T275" s="20">
        <v>170</v>
      </c>
      <c r="U275" s="20">
        <v>54.3</v>
      </c>
      <c r="V275" s="20"/>
      <c r="W275" s="20">
        <v>8.1999999999999993</v>
      </c>
      <c r="X275" s="20">
        <f>SUM(T275-W275)</f>
        <v>161.80000000000001</v>
      </c>
      <c r="Y275" s="20">
        <v>25.5</v>
      </c>
      <c r="Z275" s="20">
        <v>18.8</v>
      </c>
      <c r="AA275" s="20">
        <v>15.1</v>
      </c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41" t="str">
        <f t="shared" si="73"/>
        <v>Incomplete</v>
      </c>
      <c r="AZ275" s="20"/>
      <c r="BA275" s="20" t="str">
        <f t="shared" si="74"/>
        <v>Incomplete</v>
      </c>
      <c r="BB275" s="20"/>
      <c r="BC275" s="20" t="str">
        <f t="shared" si="75"/>
        <v>Incomplete</v>
      </c>
      <c r="BD275" s="20"/>
      <c r="BE275" s="20" t="str">
        <f t="shared" si="76"/>
        <v>Incomplete</v>
      </c>
      <c r="BF275" s="20"/>
      <c r="BG275" s="20">
        <v>10</v>
      </c>
      <c r="BH275" s="20">
        <v>47</v>
      </c>
      <c r="BI275" s="20" t="e">
        <f>IF(OR(ISBLANK(#REF!), ISBLANK(#REF!)),"Incomplete",(SUM(#REF!-#REF!)))</f>
        <v>#REF!</v>
      </c>
      <c r="BJ275" s="20"/>
      <c r="BK275" s="20">
        <v>12</v>
      </c>
      <c r="BL275" s="20"/>
      <c r="BM275" s="20">
        <v>9</v>
      </c>
      <c r="BN275" s="20"/>
      <c r="BO275" s="20"/>
      <c r="BP275" s="20"/>
      <c r="BQ275" s="20"/>
      <c r="BR275" s="20"/>
      <c r="BS275" s="20"/>
      <c r="BT275" s="20"/>
      <c r="BU275" s="20"/>
      <c r="BV275" s="20"/>
      <c r="BW275" s="91">
        <f t="shared" si="77"/>
        <v>0</v>
      </c>
      <c r="BX275" s="91" t="str">
        <f>_xlfn.XLOOKUP(BW275,'Normative data'!$V$3:$V$6,'Normative data'!$W$3:$W$6,"Not Found",-1)</f>
        <v>Not completed</v>
      </c>
      <c r="BY275" s="91">
        <f t="shared" si="78"/>
        <v>0</v>
      </c>
      <c r="BZ275" s="91" t="str">
        <f>_xlfn.XLOOKUP(BY275,'Normative data'!$V$3:$V$6,'Normative data'!$W$3:$W$6,"Not Found",-1)</f>
        <v>Not completed</v>
      </c>
      <c r="CA275" s="20"/>
      <c r="CC275" s="20"/>
      <c r="CE275" s="20">
        <v>7</v>
      </c>
      <c r="CG275" s="20">
        <v>17.329999999999998</v>
      </c>
      <c r="CH275" s="20" t="e">
        <f>_xlfn.XLOOKUP(#REF!, 'Normative data'!$S$9:$S$15,'Normative data'!$T$9:$T$15, "Not Found", -1)</f>
        <v>#REF!</v>
      </c>
      <c r="CI275" s="20">
        <v>17.5</v>
      </c>
      <c r="CJ275" s="20" t="e">
        <f>_xlfn.XLOOKUP(#REF!, 'Normative data'!$S$9:$S$15, 'Normative data'!$T$9:$T$15, "Not Found", -1)</f>
        <v>#REF!</v>
      </c>
      <c r="CK275" s="24">
        <v>2.0499999999999998</v>
      </c>
      <c r="CL275" s="24">
        <v>4.88</v>
      </c>
      <c r="CM275" s="21"/>
      <c r="CN275" s="24">
        <v>6.28</v>
      </c>
      <c r="CO275" s="24">
        <v>7.96</v>
      </c>
      <c r="CP275" s="24"/>
      <c r="CQ275" s="20"/>
      <c r="CR275" s="20" t="str" cm="1">
        <f t="array" ref="CR275">IF(OR(ISBLANK(E275),ISBLANK(CQ275)),"Incomplete",_xlfn.XLOOKUP(CQ275,_xlfn.XLOOKUP(E275,'Normative data'!$Y$3:$Y$6,'Normative data'!$Z$3:$AG$6,,-1),'Normative data'!$Z$2:$AG$2,"Not Found",-1))</f>
        <v>Incomplete</v>
      </c>
      <c r="CS275" s="20"/>
      <c r="CT275" s="20"/>
      <c r="CU275" s="20" t="str" cm="1">
        <f t="array" ref="CU275">_xlfn.XLOOKUP(CS275&amp;CT275,(VLOOKUP!$A$3:$A$250)&amp;(VLOOKUP!$B$3:$B$250),VLOOKUP!$C$3:$C$250,"Incomplete",-1)</f>
        <v>Incomplete</v>
      </c>
      <c r="CV275" s="20" t="str" cm="1">
        <f t="array" ref="CV275">_xlfn.XLOOKUP(CU275, _xlfn.XLOOKUP(E275, 'Normative data'!$Y$11:$Y$14, 'Normative data'!$Z$11:$AG$14, ,-1), 'Normative data'!$Z$10:$AG$10, "Not Found", -1)</f>
        <v>Excellent</v>
      </c>
      <c r="CW275" s="20" t="str" cm="1">
        <f t="array" ref="CW275">IF(OR(ISBLANK(CS275),ISBLANK(CT275)),"Incomplete",_xlfn.XLOOKUP(CS275&amp;CT275,VLOOKUP!$A$4:$A$250&amp;VLOOKUP!$B$4:$B$250,VLOOKUP!$D$4:$D$250,"0"))</f>
        <v>Incomplete</v>
      </c>
    </row>
    <row r="276" spans="1:101">
      <c r="A276" s="17" t="s">
        <v>743</v>
      </c>
      <c r="B276" s="17" t="s">
        <v>744</v>
      </c>
      <c r="C276" s="17" t="s">
        <v>86</v>
      </c>
      <c r="D276" s="26"/>
      <c r="F276" s="20" t="s">
        <v>99</v>
      </c>
      <c r="G276" s="17">
        <v>2026</v>
      </c>
      <c r="I276" s="20">
        <v>2</v>
      </c>
      <c r="J276" s="20" t="s">
        <v>100</v>
      </c>
      <c r="K276" s="20" t="s">
        <v>556</v>
      </c>
      <c r="L276" s="20"/>
      <c r="S276" s="20"/>
      <c r="T276" s="20"/>
      <c r="AQ276" s="20"/>
      <c r="AR276" s="20"/>
      <c r="AS276" s="20"/>
      <c r="AT276" s="20"/>
      <c r="AU276" s="20"/>
      <c r="AV276" s="20"/>
      <c r="AW276" s="20"/>
      <c r="AX276" s="20"/>
      <c r="AY276" s="41" t="str">
        <f t="shared" si="73"/>
        <v>Incomplete</v>
      </c>
      <c r="BA276" s="20" t="str">
        <f t="shared" si="74"/>
        <v>Incomplete</v>
      </c>
      <c r="BC276" s="20" t="str">
        <f t="shared" si="75"/>
        <v>Incomplete</v>
      </c>
      <c r="BE276" s="20" t="str">
        <f t="shared" si="76"/>
        <v>Incomplete</v>
      </c>
      <c r="BH276" s="20"/>
      <c r="BI276" s="20" t="str">
        <f>IF(OR(ISBLANK(BG276), ISBLANK(BH276)),"Incomplete",(SUM(BH276-BG276)))</f>
        <v>Incomplete</v>
      </c>
      <c r="BJ276" s="20"/>
      <c r="BL276" s="20"/>
      <c r="BM276" s="20"/>
      <c r="BN276" s="20"/>
      <c r="BW276" s="91" t="str">
        <f t="shared" si="77"/>
        <v>Incomplete</v>
      </c>
      <c r="BX276" s="91" t="str">
        <f>_xlfn.XLOOKUP(BW276,'Normative data'!$V$3:$V$6,'Normative data'!$W$3:$W$6,"Not Found",-1)</f>
        <v>Very low risk</v>
      </c>
      <c r="BY276" s="91" t="str">
        <f t="shared" si="78"/>
        <v>Incomplete</v>
      </c>
      <c r="BZ276" s="91" t="str">
        <f>_xlfn.XLOOKUP(BY276,'Normative data'!$V$3:$V$6,'Normative data'!$W$3:$W$6,"Not Found",-1)</f>
        <v>Very low risk</v>
      </c>
      <c r="CA276" s="20"/>
      <c r="CC276" s="20"/>
      <c r="CE276" s="17">
        <v>21</v>
      </c>
      <c r="CG276" s="17">
        <v>20.91</v>
      </c>
      <c r="CH276" s="20" t="str">
        <f>_xlfn.XLOOKUP(CG276, 'Normative data'!$S$9:$S$15,'Normative data'!$T$9:$T$15, "Not Found", -1)</f>
        <v>Average</v>
      </c>
      <c r="CI276" s="17">
        <v>20.56</v>
      </c>
      <c r="CJ276" s="20" t="str">
        <f>_xlfn.XLOOKUP(CI276, 'Normative data'!$S$9:$S$15, 'Normative data'!$T$9:$T$15, "Not Found", -1)</f>
        <v>Average</v>
      </c>
      <c r="CK276" s="17">
        <v>2.33</v>
      </c>
      <c r="CL276" s="17">
        <v>4.29</v>
      </c>
      <c r="CN276" s="17">
        <v>7.19</v>
      </c>
      <c r="CO276" s="17">
        <v>6.95</v>
      </c>
      <c r="CR276" s="20" t="str" cm="1">
        <f t="array" ref="CR276">IF(OR(ISBLANK(E276),ISBLANK(CQ276)),"Incomplete",_xlfn.XLOOKUP(CQ276,_xlfn.XLOOKUP(E276,'Normative data'!$Y$3:$Y$6,'Normative data'!$Z$3:$AG$6,,-1),'Normative data'!$Z$2:$AG$2,"Not Found",-1))</f>
        <v>Incomplete</v>
      </c>
      <c r="CS276" s="20"/>
      <c r="CT276" s="20"/>
      <c r="CU276" s="20" t="str" cm="1">
        <f t="array" ref="CU276">_xlfn.XLOOKUP(CS276&amp;CT276,(VLOOKUP!$A$3:$A$250)&amp;(VLOOKUP!$B$3:$B$250),VLOOKUP!$C$3:$C$250,"Incomplete",-1)</f>
        <v>Incomplete</v>
      </c>
      <c r="CV276" s="20" t="str" cm="1">
        <f t="array" ref="CV276">_xlfn.XLOOKUP(CU276, _xlfn.XLOOKUP(E276, 'Normative data'!$Y$11:$Y$14, 'Normative data'!$Z$11:$AG$14, ,-1), 'Normative data'!$Z$10:$AG$10, "Not Found", -1)</f>
        <v>Excellent</v>
      </c>
      <c r="CW276" s="20" t="str" cm="1">
        <f t="array" ref="CW276">IF(OR(ISBLANK(CS276),ISBLANK(CT276)),"Incomplete",_xlfn.XLOOKUP(CS276&amp;CT276,VLOOKUP!$A$4:$A$250&amp;VLOOKUP!$B$4:$B$250,VLOOKUP!$D$4:$D$250,"0"))</f>
        <v>Incomplete</v>
      </c>
    </row>
    <row r="277" spans="1:101">
      <c r="A277" s="18" t="s">
        <v>745</v>
      </c>
      <c r="B277" s="18" t="s">
        <v>746</v>
      </c>
      <c r="C277" s="17" t="s">
        <v>86</v>
      </c>
      <c r="D277" s="19">
        <v>40425</v>
      </c>
      <c r="F277" s="17">
        <v>9</v>
      </c>
      <c r="G277" s="17">
        <v>2025</v>
      </c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41" t="str">
        <f t="shared" si="73"/>
        <v>Incomplete</v>
      </c>
      <c r="AZ277" s="20"/>
      <c r="BA277" s="20" t="str">
        <f t="shared" si="74"/>
        <v>Incomplete</v>
      </c>
      <c r="BB277" s="20"/>
      <c r="BC277" s="20" t="str">
        <f t="shared" si="75"/>
        <v>Incomplete</v>
      </c>
      <c r="BD277" s="20"/>
      <c r="BE277" s="20" t="str">
        <f t="shared" si="76"/>
        <v>Incomplete</v>
      </c>
      <c r="BF277" s="20"/>
      <c r="BG277" s="20">
        <v>15.2</v>
      </c>
      <c r="BH277" s="20">
        <v>22</v>
      </c>
      <c r="BI277" s="20" t="e">
        <f>IF(OR(ISBLANK(#REF!), ISBLANK(#REF!)),"Incomplete",(SUM(#REF!-#REF!)))</f>
        <v>#REF!</v>
      </c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91" t="str">
        <f t="shared" si="77"/>
        <v>Incomplete</v>
      </c>
      <c r="BX277" s="91" t="str">
        <f>_xlfn.XLOOKUP(BW277,'Normative data'!$V$3:$V$6,'Normative data'!$W$3:$W$6,"Not Found",-1)</f>
        <v>Very low risk</v>
      </c>
      <c r="BY277" s="91" t="str">
        <f t="shared" si="78"/>
        <v>Incomplete</v>
      </c>
      <c r="BZ277" s="91" t="str">
        <f>_xlfn.XLOOKUP(BY277,'Normative data'!$V$3:$V$6,'Normative data'!$W$3:$W$6,"Not Found",-1)</f>
        <v>Very low risk</v>
      </c>
      <c r="CA277" s="20"/>
      <c r="CC277" s="20"/>
      <c r="CE277" s="20"/>
      <c r="CG277" s="20"/>
      <c r="CH277" s="20" t="str">
        <f>_xlfn.XLOOKUP(CG277, 'Normative data'!$S$9:$S$15,'Normative data'!$T$9:$T$15, "Not Found", -1)</f>
        <v>not completed</v>
      </c>
      <c r="CI277" s="20"/>
      <c r="CJ277" s="20" t="str">
        <f>_xlfn.XLOOKUP(CI277, 'Normative data'!$S$9:$S$15, 'Normative data'!$T$9:$T$15, "Not Found", -1)</f>
        <v>not completed</v>
      </c>
      <c r="CK277" s="21">
        <v>2.4500000000000002</v>
      </c>
      <c r="CL277" s="21">
        <v>4.08</v>
      </c>
      <c r="CM277" s="21"/>
      <c r="CN277" s="21">
        <v>7.43</v>
      </c>
      <c r="CO277" s="21">
        <v>6.73</v>
      </c>
      <c r="CP277" s="21"/>
      <c r="CQ277" s="20"/>
      <c r="CR277" s="20" t="str" cm="1">
        <f t="array" ref="CR277">IF(OR(ISBLANK(E277),ISBLANK(CQ277)),"Incomplete",_xlfn.XLOOKUP(CQ277,_xlfn.XLOOKUP(E277,'Normative data'!$Y$3:$Y$6,'Normative data'!$Z$3:$AG$6,,-1),'Normative data'!$Z$2:$AG$2,"Not Found",-1))</f>
        <v>Incomplete</v>
      </c>
      <c r="CS277" s="20"/>
      <c r="CT277" s="20"/>
      <c r="CU277" s="20" t="str" cm="1">
        <f t="array" ref="CU277">_xlfn.XLOOKUP(CS277&amp;CT277,(VLOOKUP!$A$3:$A$250)&amp;(VLOOKUP!$B$3:$B$250),VLOOKUP!$C$3:$C$250,"Incomplete",-1)</f>
        <v>Incomplete</v>
      </c>
      <c r="CV277" s="20" t="str" cm="1">
        <f t="array" ref="CV277">_xlfn.XLOOKUP(CU277, _xlfn.XLOOKUP(E277, 'Normative data'!$Y$11:$Y$14, 'Normative data'!$Z$11:$AG$14, ,-1), 'Normative data'!$Z$10:$AG$10, "Not Found", -1)</f>
        <v>Excellent</v>
      </c>
      <c r="CW277" s="20" t="str" cm="1">
        <f t="array" ref="CW277">IF(OR(ISBLANK(CS277),ISBLANK(CT277)),"Incomplete",_xlfn.XLOOKUP(CS277&amp;CT277,VLOOKUP!$A$4:$A$250&amp;VLOOKUP!$B$4:$B$250,VLOOKUP!$D$4:$D$250,"0"))</f>
        <v>Incomplete</v>
      </c>
    </row>
    <row r="278" spans="1:101">
      <c r="A278" s="17" t="s">
        <v>747</v>
      </c>
      <c r="B278" s="17" t="s">
        <v>746</v>
      </c>
      <c r="C278" s="17" t="s">
        <v>86</v>
      </c>
      <c r="D278" s="19">
        <v>40425</v>
      </c>
      <c r="F278" s="17">
        <v>9</v>
      </c>
      <c r="G278" s="17">
        <v>2025</v>
      </c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41" t="str">
        <f t="shared" si="73"/>
        <v>Incomplete</v>
      </c>
      <c r="AZ278" s="20"/>
      <c r="BA278" s="20" t="str">
        <f t="shared" si="74"/>
        <v>Incomplete</v>
      </c>
      <c r="BB278" s="20"/>
      <c r="BC278" s="20" t="str">
        <f t="shared" si="75"/>
        <v>Incomplete</v>
      </c>
      <c r="BD278" s="20"/>
      <c r="BE278" s="20" t="str">
        <f t="shared" si="76"/>
        <v>Incomplete</v>
      </c>
      <c r="BF278" s="20"/>
      <c r="BG278" s="20"/>
      <c r="BH278" s="20"/>
      <c r="BI278" s="20" t="str">
        <f>IF(OR(ISBLANK(BG278), ISBLANK(BH278)),"Incomplete",(SUM(BH278-BG278)))</f>
        <v>Incomplete</v>
      </c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91" t="str">
        <f t="shared" si="77"/>
        <v>Incomplete</v>
      </c>
      <c r="BX278" s="91" t="str">
        <f>_xlfn.XLOOKUP(BW278,'Normative data'!$V$3:$V$6,'Normative data'!$W$3:$W$6,"Not Found",-1)</f>
        <v>Very low risk</v>
      </c>
      <c r="BY278" s="91" t="str">
        <f t="shared" si="78"/>
        <v>Incomplete</v>
      </c>
      <c r="BZ278" s="91" t="str">
        <f>_xlfn.XLOOKUP(BY278,'Normative data'!$V$3:$V$6,'Normative data'!$W$3:$W$6,"Not Found",-1)</f>
        <v>Very low risk</v>
      </c>
      <c r="CA278" s="20"/>
      <c r="CC278" s="20"/>
      <c r="CE278" s="20"/>
      <c r="CG278" s="20"/>
      <c r="CH278" s="20" t="str">
        <f>_xlfn.XLOOKUP(CG278, 'Normative data'!$S$9:$S$15,'Normative data'!$T$9:$T$15, "Not Found", -1)</f>
        <v>not completed</v>
      </c>
      <c r="CI278" s="20"/>
      <c r="CJ278" s="20" t="str">
        <f>_xlfn.XLOOKUP(CI278, 'Normative data'!$S$9:$S$15, 'Normative data'!$T$9:$T$15, "Not Found", -1)</f>
        <v>not completed</v>
      </c>
      <c r="CK278" s="20" t="s">
        <v>116</v>
      </c>
      <c r="CL278" s="20" t="s">
        <v>117</v>
      </c>
      <c r="CN278" s="20" t="s">
        <v>748</v>
      </c>
      <c r="CO278" s="20" t="s">
        <v>749</v>
      </c>
      <c r="CQ278" s="20"/>
      <c r="CR278" s="20" t="str" cm="1">
        <f t="array" ref="CR278">IF(OR(ISBLANK(E278),ISBLANK(CQ278)),"Incomplete",_xlfn.XLOOKUP(CQ278,_xlfn.XLOOKUP(E278,'Normative data'!$Y$3:$Y$6,'Normative data'!$Z$3:$AG$6,,-1),'Normative data'!$Z$2:$AG$2,"Not Found",-1))</f>
        <v>Incomplete</v>
      </c>
      <c r="CS278" s="20"/>
      <c r="CT278" s="20"/>
      <c r="CU278" s="20" t="str" cm="1">
        <f t="array" ref="CU278">_xlfn.XLOOKUP(CS278&amp;CT278,(VLOOKUP!$A$3:$A$250)&amp;(VLOOKUP!$B$3:$B$250),VLOOKUP!$C$3:$C$250,"Incomplete",-1)</f>
        <v>Incomplete</v>
      </c>
      <c r="CV278" s="20" t="str" cm="1">
        <f t="array" ref="CV278">_xlfn.XLOOKUP(CU278, _xlfn.XLOOKUP(E278, 'Normative data'!$Y$11:$Y$14, 'Normative data'!$Z$11:$AG$14, ,-1), 'Normative data'!$Z$10:$AG$10, "Not Found", -1)</f>
        <v>Excellent</v>
      </c>
      <c r="CW278" s="20" t="str" cm="1">
        <f t="array" ref="CW278">IF(OR(ISBLANK(CS278),ISBLANK(CT278)),"Incomplete",_xlfn.XLOOKUP(CS278&amp;CT278,VLOOKUP!$A$4:$A$250&amp;VLOOKUP!$B$4:$B$250,VLOOKUP!$D$4:$D$250,"0"))</f>
        <v>Incomplete</v>
      </c>
    </row>
    <row r="279" spans="1:101">
      <c r="A279" s="18" t="s">
        <v>750</v>
      </c>
      <c r="B279" s="18" t="s">
        <v>746</v>
      </c>
      <c r="C279" s="17" t="s">
        <v>86</v>
      </c>
      <c r="D279" s="19">
        <v>39828</v>
      </c>
      <c r="F279" s="17">
        <v>10</v>
      </c>
      <c r="G279" s="17">
        <v>2025</v>
      </c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41" t="str">
        <f t="shared" si="73"/>
        <v>Incomplete</v>
      </c>
      <c r="AZ279" s="20"/>
      <c r="BA279" s="20" t="str">
        <f t="shared" si="74"/>
        <v>Incomplete</v>
      </c>
      <c r="BB279" s="20"/>
      <c r="BC279" s="20" t="str">
        <f t="shared" si="75"/>
        <v>Incomplete</v>
      </c>
      <c r="BD279" s="20"/>
      <c r="BE279" s="20" t="str">
        <f t="shared" si="76"/>
        <v>Incomplete</v>
      </c>
      <c r="BF279" s="20"/>
      <c r="BG279" s="20">
        <v>9.5</v>
      </c>
      <c r="BH279" s="20">
        <v>32.200000000000003</v>
      </c>
      <c r="BI279" s="20" t="e">
        <f>IF(OR(ISBLANK(#REF!), ISBLANK(#REF!)),"Incomplete",(SUM(#REF!-#REF!)))</f>
        <v>#REF!</v>
      </c>
      <c r="BJ279" s="20"/>
      <c r="BK279" s="20">
        <v>6</v>
      </c>
      <c r="BL279" s="20"/>
      <c r="BM279" s="20">
        <v>6</v>
      </c>
      <c r="BN279" s="20"/>
      <c r="BO279" s="20"/>
      <c r="BP279" s="20"/>
      <c r="BQ279" s="20"/>
      <c r="BR279" s="20"/>
      <c r="BS279" s="20"/>
      <c r="BT279" s="20"/>
      <c r="BU279" s="20"/>
      <c r="BV279" s="20"/>
      <c r="BW279" s="91" t="str">
        <f t="shared" si="77"/>
        <v>Incomplete</v>
      </c>
      <c r="BX279" s="91" t="str">
        <f>_xlfn.XLOOKUP(BW279,'Normative data'!$V$3:$V$6,'Normative data'!$W$3:$W$6,"Not Found",-1)</f>
        <v>Very low risk</v>
      </c>
      <c r="BY279" s="91" t="str">
        <f t="shared" si="78"/>
        <v>Incomplete</v>
      </c>
      <c r="BZ279" s="91" t="str">
        <f>_xlfn.XLOOKUP(BY279,'Normative data'!$V$3:$V$6,'Normative data'!$W$3:$W$6,"Not Found",-1)</f>
        <v>Very low risk</v>
      </c>
      <c r="CA279" s="20"/>
      <c r="CC279" s="20"/>
      <c r="CE279" s="20"/>
      <c r="CG279" s="20"/>
      <c r="CH279" s="20" t="str">
        <f>_xlfn.XLOOKUP(CG279, 'Normative data'!$S$9:$S$15,'Normative data'!$T$9:$T$15, "Not Found", -1)</f>
        <v>not completed</v>
      </c>
      <c r="CI279" s="20"/>
      <c r="CJ279" s="20" t="str">
        <f>_xlfn.XLOOKUP(CI279, 'Normative data'!$S$9:$S$15, 'Normative data'!$T$9:$T$15, "Not Found", -1)</f>
        <v>not completed</v>
      </c>
      <c r="CK279" s="21">
        <v>2.63</v>
      </c>
      <c r="CL279" s="21">
        <v>3.8</v>
      </c>
      <c r="CM279" s="21"/>
      <c r="CN279" s="21">
        <v>8.4</v>
      </c>
      <c r="CO279" s="21">
        <v>5.95</v>
      </c>
      <c r="CP279" s="21"/>
      <c r="CQ279" s="20"/>
      <c r="CR279" s="20" t="str" cm="1">
        <f t="array" ref="CR279">IF(OR(ISBLANK(E279),ISBLANK(CQ279)),"Incomplete",_xlfn.XLOOKUP(CQ279,_xlfn.XLOOKUP(E279,'Normative data'!$Y$3:$Y$6,'Normative data'!$Z$3:$AG$6,,-1),'Normative data'!$Z$2:$AG$2,"Not Found",-1))</f>
        <v>Incomplete</v>
      </c>
      <c r="CS279" s="20"/>
      <c r="CT279" s="20"/>
      <c r="CU279" s="20" t="str" cm="1">
        <f t="array" ref="CU279">_xlfn.XLOOKUP(CS279&amp;CT279,(VLOOKUP!$A$3:$A$250)&amp;(VLOOKUP!$B$3:$B$250),VLOOKUP!$C$3:$C$250,"Incomplete",-1)</f>
        <v>Incomplete</v>
      </c>
      <c r="CV279" s="20" t="str" cm="1">
        <f t="array" ref="CV279">_xlfn.XLOOKUP(CU279, _xlfn.XLOOKUP(E279, 'Normative data'!$Y$11:$Y$14, 'Normative data'!$Z$11:$AG$14, ,-1), 'Normative data'!$Z$10:$AG$10, "Not Found", -1)</f>
        <v>Excellent</v>
      </c>
      <c r="CW279" s="20" t="str" cm="1">
        <f t="array" ref="CW279">IF(OR(ISBLANK(CS279),ISBLANK(CT279)),"Incomplete",_xlfn.XLOOKUP(CS279&amp;CT279,VLOOKUP!$A$4:$A$250&amp;VLOOKUP!$B$4:$B$250,VLOOKUP!$D$4:$D$250,"0"))</f>
        <v>Incomplete</v>
      </c>
    </row>
    <row r="280" spans="1:101">
      <c r="A280" s="18" t="s">
        <v>751</v>
      </c>
      <c r="B280" s="18" t="s">
        <v>752</v>
      </c>
      <c r="C280" s="17" t="s">
        <v>86</v>
      </c>
      <c r="D280" s="19">
        <v>39675</v>
      </c>
      <c r="F280" s="17">
        <v>11</v>
      </c>
      <c r="G280" s="17">
        <v>2025</v>
      </c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41" t="str">
        <f t="shared" si="73"/>
        <v>Incomplete</v>
      </c>
      <c r="AZ280" s="20"/>
      <c r="BA280" s="20" t="str">
        <f t="shared" si="74"/>
        <v>Incomplete</v>
      </c>
      <c r="BB280" s="20"/>
      <c r="BC280" s="20" t="str">
        <f t="shared" si="75"/>
        <v>Incomplete</v>
      </c>
      <c r="BD280" s="20"/>
      <c r="BE280" s="20" t="str">
        <f t="shared" si="76"/>
        <v>Incomplete</v>
      </c>
      <c r="BF280" s="20"/>
      <c r="BG280" s="20"/>
      <c r="BH280" s="20"/>
      <c r="BI280" s="20" t="str">
        <f t="shared" ref="BI280:BI308" si="79">IF(OR(ISBLANK(BG280), ISBLANK(BH280)),"Incomplete",(SUM(BH280-BG280)))</f>
        <v>Incomplete</v>
      </c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91" t="str">
        <f t="shared" si="77"/>
        <v>Incomplete</v>
      </c>
      <c r="BX280" s="91" t="str">
        <f>_xlfn.XLOOKUP(BW280,'Normative data'!$V$3:$V$6,'Normative data'!$W$3:$W$6,"Not Found",-1)</f>
        <v>Very low risk</v>
      </c>
      <c r="BY280" s="91" t="str">
        <f t="shared" si="78"/>
        <v>Incomplete</v>
      </c>
      <c r="BZ280" s="91" t="str">
        <f>_xlfn.XLOOKUP(BY280,'Normative data'!$V$3:$V$6,'Normative data'!$W$3:$W$6,"Not Found",-1)</f>
        <v>Very low risk</v>
      </c>
      <c r="CA280" s="20"/>
      <c r="CC280" s="20"/>
      <c r="CE280" s="20">
        <v>5</v>
      </c>
      <c r="CG280" s="20"/>
      <c r="CH280" s="20" t="str">
        <f>_xlfn.XLOOKUP(CG280, 'Normative data'!$S$9:$S$15,'Normative data'!$T$9:$T$15, "Not Found", -1)</f>
        <v>not completed</v>
      </c>
      <c r="CI280" s="20"/>
      <c r="CJ280" s="20" t="str">
        <f>_xlfn.XLOOKUP(CI280, 'Normative data'!$S$9:$S$15, 'Normative data'!$T$9:$T$15, "Not Found", -1)</f>
        <v>not completed</v>
      </c>
      <c r="CK280" s="21">
        <v>2.33</v>
      </c>
      <c r="CL280" s="21">
        <v>4.29</v>
      </c>
      <c r="CM280" s="21"/>
      <c r="CN280" s="21">
        <v>7.02</v>
      </c>
      <c r="CO280" s="21">
        <v>7.12</v>
      </c>
      <c r="CP280" s="21"/>
      <c r="CQ280" s="20"/>
      <c r="CR280" s="20" t="str" cm="1">
        <f t="array" ref="CR280">IF(OR(ISBLANK(E280),ISBLANK(CQ280)),"Incomplete",_xlfn.XLOOKUP(CQ280,_xlfn.XLOOKUP(E280,'Normative data'!$Y$3:$Y$6,'Normative data'!$Z$3:$AG$6,,-1),'Normative data'!$Z$2:$AG$2,"Not Found",-1))</f>
        <v>Incomplete</v>
      </c>
      <c r="CS280" s="20"/>
      <c r="CT280" s="20"/>
      <c r="CU280" s="20" t="str" cm="1">
        <f t="array" ref="CU280">_xlfn.XLOOKUP(CS280&amp;CT280,(VLOOKUP!$A$3:$A$250)&amp;(VLOOKUP!$B$3:$B$250),VLOOKUP!$C$3:$C$250,"Incomplete",-1)</f>
        <v>Incomplete</v>
      </c>
      <c r="CV280" s="20" t="str" cm="1">
        <f t="array" ref="CV280">_xlfn.XLOOKUP(CU280, _xlfn.XLOOKUP(E280, 'Normative data'!$Y$11:$Y$14, 'Normative data'!$Z$11:$AG$14, ,-1), 'Normative data'!$Z$10:$AG$10, "Not Found", -1)</f>
        <v>Excellent</v>
      </c>
      <c r="CW280" s="20" t="str" cm="1">
        <f t="array" ref="CW280">IF(OR(ISBLANK(CS280),ISBLANK(CT280)),"Incomplete",_xlfn.XLOOKUP(CS280&amp;CT280,VLOOKUP!$A$4:$A$250&amp;VLOOKUP!$B$4:$B$250,VLOOKUP!$D$4:$D$250,"0"))</f>
        <v>Incomplete</v>
      </c>
    </row>
    <row r="281" spans="1:101">
      <c r="A281" s="22" t="s">
        <v>367</v>
      </c>
      <c r="B281" s="22" t="s">
        <v>752</v>
      </c>
      <c r="C281" s="17" t="s">
        <v>86</v>
      </c>
      <c r="D281" s="23">
        <v>39675</v>
      </c>
      <c r="F281" s="17">
        <v>11</v>
      </c>
      <c r="G281" s="17">
        <v>2025</v>
      </c>
      <c r="H281" s="20" t="s">
        <v>114</v>
      </c>
      <c r="I281" s="17">
        <v>1</v>
      </c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41" t="str">
        <f t="shared" si="73"/>
        <v>Incomplete</v>
      </c>
      <c r="AZ281" s="20"/>
      <c r="BA281" s="20" t="str">
        <f t="shared" si="74"/>
        <v>Incomplete</v>
      </c>
      <c r="BB281" s="20"/>
      <c r="BC281" s="20" t="str">
        <f t="shared" si="75"/>
        <v>Incomplete</v>
      </c>
      <c r="BD281" s="20"/>
      <c r="BE281" s="20" t="str">
        <f t="shared" si="76"/>
        <v>Incomplete</v>
      </c>
      <c r="BF281" s="20"/>
      <c r="BG281" s="20"/>
      <c r="BH281" s="20"/>
      <c r="BI281" s="20" t="str">
        <f t="shared" si="79"/>
        <v>Incomplete</v>
      </c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91" t="str">
        <f t="shared" si="77"/>
        <v>Incomplete</v>
      </c>
      <c r="BX281" s="91" t="str">
        <f>_xlfn.XLOOKUP(BW281,'Normative data'!$V$3:$V$6,'Normative data'!$W$3:$W$6,"Not Found",-1)</f>
        <v>Very low risk</v>
      </c>
      <c r="BY281" s="91" t="str">
        <f t="shared" si="78"/>
        <v>Incomplete</v>
      </c>
      <c r="BZ281" s="91" t="str">
        <f>_xlfn.XLOOKUP(BY281,'Normative data'!$V$3:$V$6,'Normative data'!$W$3:$W$6,"Not Found",-1)</f>
        <v>Very low risk</v>
      </c>
      <c r="CA281" s="20"/>
      <c r="CC281" s="20"/>
      <c r="CE281" s="20">
        <v>10</v>
      </c>
      <c r="CG281" s="20"/>
      <c r="CH281" s="20" t="str">
        <f>_xlfn.XLOOKUP(CG281, 'Normative data'!$S$9:$S$15,'Normative data'!$T$9:$T$15, "Not Found", -1)</f>
        <v>not completed</v>
      </c>
      <c r="CI281" s="20"/>
      <c r="CJ281" s="20" t="str">
        <f>_xlfn.XLOOKUP(CI281, 'Normative data'!$S$9:$S$15, 'Normative data'!$T$9:$T$15, "Not Found", -1)</f>
        <v>not completed</v>
      </c>
      <c r="CK281" s="24">
        <v>2.2799999999999998</v>
      </c>
      <c r="CL281" s="24">
        <v>4.3899999999999997</v>
      </c>
      <c r="CM281" s="24"/>
      <c r="CN281" s="24">
        <v>6.99</v>
      </c>
      <c r="CO281" s="24">
        <v>7.15</v>
      </c>
      <c r="CP281" s="24"/>
      <c r="CQ281" s="20"/>
      <c r="CR281" s="20" t="str" cm="1">
        <f t="array" ref="CR281">IF(OR(ISBLANK(E281),ISBLANK(CQ281)),"Incomplete",_xlfn.XLOOKUP(CQ281,_xlfn.XLOOKUP(E281,'Normative data'!$Y$3:$Y$6,'Normative data'!$Z$3:$AG$6,,-1),'Normative data'!$Z$2:$AG$2,"Not Found",-1))</f>
        <v>Incomplete</v>
      </c>
      <c r="CS281" s="20"/>
      <c r="CT281" s="20"/>
      <c r="CU281" s="20" t="str" cm="1">
        <f t="array" ref="CU281">_xlfn.XLOOKUP(CS281&amp;CT281,(VLOOKUP!$A$3:$A$250)&amp;(VLOOKUP!$B$3:$B$250),VLOOKUP!$C$3:$C$250,"Incomplete",-1)</f>
        <v>Incomplete</v>
      </c>
      <c r="CV281" s="20" t="str" cm="1">
        <f t="array" ref="CV281">_xlfn.XLOOKUP(CU281, _xlfn.XLOOKUP(E281, 'Normative data'!$Y$11:$Y$14, 'Normative data'!$Z$11:$AG$14, ,-1), 'Normative data'!$Z$10:$AG$10, "Not Found", -1)</f>
        <v>Excellent</v>
      </c>
      <c r="CW281" s="20" t="str" cm="1">
        <f t="array" ref="CW281">IF(OR(ISBLANK(CS281),ISBLANK(CT281)),"Incomplete",_xlfn.XLOOKUP(CS281&amp;CT281,VLOOKUP!$A$4:$A$250&amp;VLOOKUP!$B$4:$B$250,VLOOKUP!$D$4:$D$250,"0"))</f>
        <v>Incomplete</v>
      </c>
    </row>
    <row r="282" spans="1:101">
      <c r="A282" s="17" t="s">
        <v>367</v>
      </c>
      <c r="B282" s="17" t="s">
        <v>752</v>
      </c>
      <c r="C282" s="17" t="s">
        <v>86</v>
      </c>
      <c r="D282" s="23">
        <v>39675</v>
      </c>
      <c r="F282" s="17">
        <v>11</v>
      </c>
      <c r="G282" s="17">
        <v>2025</v>
      </c>
      <c r="H282" s="20" t="s">
        <v>124</v>
      </c>
      <c r="I282" s="17">
        <v>3</v>
      </c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41" t="str">
        <f t="shared" si="73"/>
        <v>Incomplete</v>
      </c>
      <c r="AZ282" s="20"/>
      <c r="BA282" s="20" t="str">
        <f t="shared" si="74"/>
        <v>Incomplete</v>
      </c>
      <c r="BB282" s="20"/>
      <c r="BC282" s="20" t="str">
        <f t="shared" si="75"/>
        <v>Incomplete</v>
      </c>
      <c r="BD282" s="20"/>
      <c r="BE282" s="20" t="str">
        <f t="shared" si="76"/>
        <v>Incomplete</v>
      </c>
      <c r="BF282" s="20"/>
      <c r="BG282" s="20"/>
      <c r="BH282" s="20"/>
      <c r="BI282" s="20" t="str">
        <f t="shared" si="79"/>
        <v>Incomplete</v>
      </c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91" t="str">
        <f t="shared" si="77"/>
        <v>Incomplete</v>
      </c>
      <c r="BX282" s="91" t="str">
        <f>_xlfn.XLOOKUP(BW282,'Normative data'!$V$3:$V$6,'Normative data'!$W$3:$W$6,"Not Found",-1)</f>
        <v>Very low risk</v>
      </c>
      <c r="BY282" s="91" t="str">
        <f t="shared" si="78"/>
        <v>Incomplete</v>
      </c>
      <c r="BZ282" s="91" t="str">
        <f>_xlfn.XLOOKUP(BY282,'Normative data'!$V$3:$V$6,'Normative data'!$W$3:$W$6,"Not Found",-1)</f>
        <v>Very low risk</v>
      </c>
      <c r="CA282" s="20"/>
      <c r="CC282" s="20"/>
      <c r="CE282" s="20"/>
      <c r="CG282" s="20"/>
      <c r="CH282" s="20" t="str">
        <f>_xlfn.XLOOKUP(CG282, 'Normative data'!$S$9:$S$15,'Normative data'!$T$9:$T$15, "Not Found", -1)</f>
        <v>not completed</v>
      </c>
      <c r="CI282" s="20"/>
      <c r="CJ282" s="20" t="str">
        <f>_xlfn.XLOOKUP(CI282, 'Normative data'!$S$9:$S$15, 'Normative data'!$T$9:$T$15, "Not Found", -1)</f>
        <v>not completed</v>
      </c>
      <c r="CK282" s="20" t="s">
        <v>652</v>
      </c>
      <c r="CL282" s="20" t="s">
        <v>653</v>
      </c>
      <c r="CN282" s="20" t="s">
        <v>373</v>
      </c>
      <c r="CO282" s="20" t="s">
        <v>337</v>
      </c>
      <c r="CQ282" s="20"/>
      <c r="CR282" s="20" t="str" cm="1">
        <f t="array" ref="CR282">IF(OR(ISBLANK(E282),ISBLANK(CQ282)),"Incomplete",_xlfn.XLOOKUP(CQ282,_xlfn.XLOOKUP(E282,'Normative data'!$Y$3:$Y$6,'Normative data'!$Z$3:$AG$6,,-1),'Normative data'!$Z$2:$AG$2,"Not Found",-1))</f>
        <v>Incomplete</v>
      </c>
      <c r="CS282" s="20"/>
      <c r="CT282" s="20"/>
      <c r="CU282" s="20" t="str" cm="1">
        <f t="array" ref="CU282">_xlfn.XLOOKUP(CS282&amp;CT282,(VLOOKUP!$A$3:$A$250)&amp;(VLOOKUP!$B$3:$B$250),VLOOKUP!$C$3:$C$250,"Incomplete",-1)</f>
        <v>Incomplete</v>
      </c>
      <c r="CV282" s="20" t="str" cm="1">
        <f t="array" ref="CV282">_xlfn.XLOOKUP(CU282, _xlfn.XLOOKUP(E282, 'Normative data'!$Y$11:$Y$14, 'Normative data'!$Z$11:$AG$14, ,-1), 'Normative data'!$Z$10:$AG$10, "Not Found", -1)</f>
        <v>Excellent</v>
      </c>
      <c r="CW282" s="20" t="str" cm="1">
        <f t="array" ref="CW282">IF(OR(ISBLANK(CS282),ISBLANK(CT282)),"Incomplete",_xlfn.XLOOKUP(CS282&amp;CT282,VLOOKUP!$A$4:$A$250&amp;VLOOKUP!$B$4:$B$250,VLOOKUP!$D$4:$D$250,"0"))</f>
        <v>Incomplete</v>
      </c>
    </row>
    <row r="283" spans="1:101">
      <c r="A283" s="17" t="s">
        <v>753</v>
      </c>
      <c r="B283" s="17" t="s">
        <v>754</v>
      </c>
      <c r="C283" s="17" t="s">
        <v>86</v>
      </c>
      <c r="D283" s="26"/>
      <c r="F283" s="20">
        <v>12</v>
      </c>
      <c r="G283" s="17">
        <v>2026</v>
      </c>
      <c r="I283" s="20">
        <v>2</v>
      </c>
      <c r="J283" s="20" t="s">
        <v>122</v>
      </c>
      <c r="K283" s="20" t="s">
        <v>228</v>
      </c>
      <c r="L283" s="20"/>
      <c r="S283" s="20"/>
      <c r="T283" s="20"/>
      <c r="AQ283" s="20"/>
      <c r="AR283" s="20"/>
      <c r="AS283" s="20"/>
      <c r="AT283" s="20"/>
      <c r="AU283" s="20"/>
      <c r="AV283" s="20"/>
      <c r="AW283" s="20"/>
      <c r="AX283" s="20"/>
      <c r="AY283" s="41" t="str">
        <f t="shared" si="73"/>
        <v>Incomplete</v>
      </c>
      <c r="BA283" s="20" t="str">
        <f t="shared" si="74"/>
        <v>Incomplete</v>
      </c>
      <c r="BC283" s="20" t="str">
        <f t="shared" si="75"/>
        <v>Incomplete</v>
      </c>
      <c r="BE283" s="20" t="str">
        <f t="shared" si="76"/>
        <v>Incomplete</v>
      </c>
      <c r="BH283" s="20"/>
      <c r="BI283" s="20" t="str">
        <f t="shared" si="79"/>
        <v>Incomplete</v>
      </c>
      <c r="BJ283" s="20"/>
      <c r="BL283" s="20"/>
      <c r="BM283" s="20"/>
      <c r="BN283" s="20"/>
      <c r="BW283" s="91" t="str">
        <f t="shared" si="77"/>
        <v>Incomplete</v>
      </c>
      <c r="BX283" s="91" t="str">
        <f>_xlfn.XLOOKUP(BW283,'Normative data'!$V$3:$V$6,'Normative data'!$W$3:$W$6,"Not Found",-1)</f>
        <v>Very low risk</v>
      </c>
      <c r="BY283" s="91" t="str">
        <f t="shared" si="78"/>
        <v>Incomplete</v>
      </c>
      <c r="BZ283" s="91" t="str">
        <f>_xlfn.XLOOKUP(BY283,'Normative data'!$V$3:$V$6,'Normative data'!$W$3:$W$6,"Not Found",-1)</f>
        <v>Very low risk</v>
      </c>
      <c r="CG283" s="20"/>
      <c r="CH283" s="20" t="str">
        <f>_xlfn.XLOOKUP(CG283, 'Normative data'!$S$9:$S$15,'Normative data'!$T$9:$T$15, "Not Found", -1)</f>
        <v>not completed</v>
      </c>
      <c r="CI283" s="20"/>
      <c r="CJ283" s="20" t="str">
        <f>_xlfn.XLOOKUP(CI283, 'Normative data'!$S$9:$S$15, 'Normative data'!$T$9:$T$15, "Not Found", -1)</f>
        <v>not completed</v>
      </c>
      <c r="CK283" s="21"/>
      <c r="CL283" s="21"/>
      <c r="CM283" s="21"/>
      <c r="CN283" s="21"/>
      <c r="CO283" s="21"/>
      <c r="CR283" s="20" t="str" cm="1">
        <f t="array" ref="CR283">IF(OR(ISBLANK(E283),ISBLANK(CQ283)),"Incomplete",_xlfn.XLOOKUP(CQ283,_xlfn.XLOOKUP(E283,'Normative data'!$Y$3:$Y$6,'Normative data'!$Z$3:$AG$6,,-1),'Normative data'!$Z$2:$AG$2,"Not Found",-1))</f>
        <v>Incomplete</v>
      </c>
      <c r="CS283" s="20"/>
      <c r="CT283" s="20"/>
      <c r="CU283" s="20" t="str" cm="1">
        <f t="array" ref="CU283">_xlfn.XLOOKUP(CS283&amp;CT283,(VLOOKUP!$A$3:$A$250)&amp;(VLOOKUP!$B$3:$B$250),VLOOKUP!$C$3:$C$250,"Incomplete",-1)</f>
        <v>Incomplete</v>
      </c>
      <c r="CV283" s="20" t="str" cm="1">
        <f t="array" ref="CV283">_xlfn.XLOOKUP(CU283, _xlfn.XLOOKUP(E283, 'Normative data'!$Y$11:$Y$14, 'Normative data'!$Z$11:$AG$14, ,-1), 'Normative data'!$Z$10:$AG$10, "Not Found", -1)</f>
        <v>Excellent</v>
      </c>
      <c r="CW283" s="20" t="str" cm="1">
        <f t="array" ref="CW283">IF(OR(ISBLANK(CS283),ISBLANK(CT283)),"Incomplete",_xlfn.XLOOKUP(CS283&amp;CT283,VLOOKUP!$A$4:$A$250&amp;VLOOKUP!$B$4:$B$250,VLOOKUP!$D$4:$D$250,"0"))</f>
        <v>Incomplete</v>
      </c>
    </row>
    <row r="284" spans="1:101">
      <c r="A284" s="17" t="s">
        <v>755</v>
      </c>
      <c r="B284" s="17" t="s">
        <v>756</v>
      </c>
      <c r="C284" s="17" t="s">
        <v>86</v>
      </c>
      <c r="D284" s="20"/>
      <c r="F284" s="20" t="s">
        <v>157</v>
      </c>
      <c r="G284" s="17">
        <v>2026</v>
      </c>
      <c r="I284" s="20">
        <v>2</v>
      </c>
      <c r="J284" s="20" t="s">
        <v>88</v>
      </c>
      <c r="K284" s="20" t="s">
        <v>184</v>
      </c>
      <c r="L284" s="20"/>
      <c r="S284" s="20">
        <v>89.7</v>
      </c>
      <c r="T284" s="20">
        <v>165</v>
      </c>
      <c r="AQ284" s="20"/>
      <c r="AR284" s="20"/>
      <c r="AS284" s="20"/>
      <c r="AT284" s="20"/>
      <c r="AU284" s="20"/>
      <c r="AV284" s="20"/>
      <c r="AW284" s="20"/>
      <c r="AX284" s="20"/>
      <c r="AY284" s="41" t="str">
        <f t="shared" si="73"/>
        <v>Incomplete</v>
      </c>
      <c r="BA284" s="20" t="str">
        <f t="shared" si="74"/>
        <v>Incomplete</v>
      </c>
      <c r="BC284" s="20" t="str">
        <f t="shared" si="75"/>
        <v>Incomplete</v>
      </c>
      <c r="BE284" s="20" t="str">
        <f t="shared" si="76"/>
        <v>Incomplete</v>
      </c>
      <c r="BH284" s="17">
        <v>46</v>
      </c>
      <c r="BI284" s="20" t="str">
        <f t="shared" si="79"/>
        <v>Incomplete</v>
      </c>
      <c r="BJ284" s="20"/>
      <c r="BK284" s="17">
        <v>5</v>
      </c>
      <c r="BL284" s="20"/>
      <c r="BM284" s="17">
        <v>6</v>
      </c>
      <c r="BN284" s="20"/>
      <c r="BW284" s="91">
        <f t="shared" si="77"/>
        <v>0</v>
      </c>
      <c r="BX284" s="91" t="str">
        <f>_xlfn.XLOOKUP(BW284,'Normative data'!$V$3:$V$6,'Normative data'!$W$3:$W$6,"Not Found",-1)</f>
        <v>Not completed</v>
      </c>
      <c r="BY284" s="91">
        <f t="shared" si="78"/>
        <v>0</v>
      </c>
      <c r="BZ284" s="91" t="str">
        <f>_xlfn.XLOOKUP(BY284,'Normative data'!$V$3:$V$6,'Normative data'!$W$3:$W$6,"Not Found",-1)</f>
        <v>Not completed</v>
      </c>
      <c r="CG284" s="20"/>
      <c r="CH284" s="20" t="str">
        <f>_xlfn.XLOOKUP(CG284, 'Normative data'!$S$9:$S$15,'Normative data'!$T$9:$T$15, "Not Found", -1)</f>
        <v>not completed</v>
      </c>
      <c r="CI284" s="20"/>
      <c r="CJ284" s="20" t="str">
        <f>_xlfn.XLOOKUP(CI284, 'Normative data'!$S$9:$S$15, 'Normative data'!$T$9:$T$15, "Not Found", -1)</f>
        <v>not completed</v>
      </c>
      <c r="CK284" s="17">
        <v>2.2599999999999998</v>
      </c>
      <c r="CL284" s="17">
        <v>4.42</v>
      </c>
      <c r="CN284" s="17">
        <v>7.45</v>
      </c>
      <c r="CO284" s="17">
        <v>6.71</v>
      </c>
      <c r="CR284" s="20" t="str" cm="1">
        <f t="array" ref="CR284">IF(OR(ISBLANK(E284),ISBLANK(CQ284)),"Incomplete",_xlfn.XLOOKUP(CQ284,_xlfn.XLOOKUP(E284,'Normative data'!$Y$3:$Y$6,'Normative data'!$Z$3:$AG$6,,-1),'Normative data'!$Z$2:$AG$2,"Not Found",-1))</f>
        <v>Incomplete</v>
      </c>
      <c r="CS284" s="20"/>
      <c r="CT284" s="20"/>
      <c r="CU284" s="20" t="str" cm="1">
        <f t="array" ref="CU284">_xlfn.XLOOKUP(CS284&amp;CT284,(VLOOKUP!$A$3:$A$250)&amp;(VLOOKUP!$B$3:$B$250),VLOOKUP!$C$3:$C$250,"Incomplete",-1)</f>
        <v>Incomplete</v>
      </c>
      <c r="CV284" s="20" t="str" cm="1">
        <f t="array" ref="CV284">_xlfn.XLOOKUP(CU284, _xlfn.XLOOKUP(E284, 'Normative data'!$Y$11:$Y$14, 'Normative data'!$Z$11:$AG$14, ,-1), 'Normative data'!$Z$10:$AG$10, "Not Found", -1)</f>
        <v>Excellent</v>
      </c>
      <c r="CW284" s="20" t="str" cm="1">
        <f t="array" ref="CW284">IF(OR(ISBLANK(CS284),ISBLANK(CT284)),"Incomplete",_xlfn.XLOOKUP(CS284&amp;CT284,VLOOKUP!$A$4:$A$250&amp;VLOOKUP!$B$4:$B$250,VLOOKUP!$D$4:$D$250,"0"))</f>
        <v>Incomplete</v>
      </c>
    </row>
    <row r="285" spans="1:101">
      <c r="A285" s="17" t="s">
        <v>757</v>
      </c>
      <c r="B285" s="17" t="s">
        <v>758</v>
      </c>
      <c r="C285" s="17" t="s">
        <v>86</v>
      </c>
      <c r="D285" s="26">
        <v>41206</v>
      </c>
      <c r="E285" s="17">
        <v>13.6</v>
      </c>
      <c r="F285" s="20" t="s">
        <v>97</v>
      </c>
      <c r="G285" s="17">
        <v>2026</v>
      </c>
      <c r="I285" s="20">
        <v>2</v>
      </c>
      <c r="J285" s="20" t="s">
        <v>88</v>
      </c>
      <c r="K285" s="20" t="s">
        <v>170</v>
      </c>
      <c r="L285" s="20"/>
      <c r="S285" s="20">
        <v>83.5</v>
      </c>
      <c r="T285" s="20">
        <v>170.2</v>
      </c>
      <c r="U285" s="17">
        <v>55.7</v>
      </c>
      <c r="V285" s="17">
        <v>9.4</v>
      </c>
      <c r="W285" s="17">
        <v>9.4</v>
      </c>
      <c r="X285" s="17">
        <v>46.3</v>
      </c>
      <c r="Y285" s="17">
        <v>25.4</v>
      </c>
      <c r="Z285" s="17">
        <v>19.2</v>
      </c>
      <c r="AA285" s="17">
        <v>16.899999999999999</v>
      </c>
      <c r="AB285" s="17">
        <v>7.36</v>
      </c>
      <c r="AC285" s="17">
        <v>114.4</v>
      </c>
      <c r="AD285" s="17">
        <v>7.22</v>
      </c>
      <c r="AE285" s="17">
        <v>112.2</v>
      </c>
      <c r="AF285" s="17">
        <v>1.6</v>
      </c>
      <c r="AG285" s="17">
        <v>61.8</v>
      </c>
      <c r="AH285" s="17">
        <v>1.6</v>
      </c>
      <c r="AI285" s="17">
        <v>61.1</v>
      </c>
      <c r="AJ285" s="17">
        <v>305.3</v>
      </c>
      <c r="AK285" s="17">
        <v>318.2</v>
      </c>
      <c r="AL285" s="17">
        <v>272.60000000000002</v>
      </c>
      <c r="AM285" s="17">
        <v>285.2</v>
      </c>
      <c r="AN285" s="17">
        <v>101</v>
      </c>
      <c r="AO285" s="17">
        <v>0.79</v>
      </c>
      <c r="AP285" s="17">
        <v>6.5</v>
      </c>
      <c r="AQ285" s="17">
        <v>23.4</v>
      </c>
      <c r="AR285" s="17">
        <v>0.437</v>
      </c>
      <c r="AS285" s="17">
        <v>25</v>
      </c>
      <c r="AT285" s="17">
        <v>0.45200000000000001</v>
      </c>
      <c r="AU285" s="17">
        <v>9.3000000000000007</v>
      </c>
      <c r="AV285" s="17">
        <v>0.27600000000000002</v>
      </c>
      <c r="AW285" s="17">
        <v>13</v>
      </c>
      <c r="AX285" s="17">
        <v>0.32600000000000001</v>
      </c>
      <c r="AY285" s="41">
        <f t="shared" si="73"/>
        <v>1888.5900000000001</v>
      </c>
      <c r="BA285" s="20">
        <f t="shared" si="74"/>
        <v>1985.71</v>
      </c>
      <c r="BC285" s="20">
        <f t="shared" si="75"/>
        <v>1032.7200000000003</v>
      </c>
      <c r="BE285" s="20">
        <f t="shared" si="76"/>
        <v>1257.31</v>
      </c>
      <c r="BG285" s="17">
        <v>8</v>
      </c>
      <c r="BH285" s="17">
        <v>51.4</v>
      </c>
      <c r="BI285" s="20">
        <f t="shared" si="79"/>
        <v>43.4</v>
      </c>
      <c r="BJ285" s="20"/>
      <c r="BK285" s="17">
        <v>8</v>
      </c>
      <c r="BL285" s="20"/>
      <c r="BM285" s="17">
        <v>8</v>
      </c>
      <c r="BN285" s="20"/>
      <c r="BO285" s="17">
        <v>45</v>
      </c>
      <c r="BP285" s="17">
        <v>46</v>
      </c>
      <c r="BQ285" s="17">
        <v>92</v>
      </c>
      <c r="BR285" s="17">
        <v>86</v>
      </c>
      <c r="BS285" s="17">
        <v>72</v>
      </c>
      <c r="BT285" s="17">
        <v>92</v>
      </c>
      <c r="BU285" s="17">
        <v>89</v>
      </c>
      <c r="BV285" s="17">
        <v>72</v>
      </c>
      <c r="BW285" s="91">
        <f t="shared" si="77"/>
        <v>96.116878123798557</v>
      </c>
      <c r="BX285" s="91" t="str">
        <f>_xlfn.XLOOKUP(BW285,'Normative data'!$V$3:$V$6,'Normative data'!$W$3:$W$6,"Not Found",-1)</f>
        <v>Low risk</v>
      </c>
      <c r="BY285" s="91">
        <f t="shared" si="78"/>
        <v>97.270280661284133</v>
      </c>
      <c r="BZ285" s="91" t="str">
        <f>_xlfn.XLOOKUP(BY285,'Normative data'!$V$3:$V$6,'Normative data'!$W$3:$W$6,"Not Found",-1)</f>
        <v>Low risk</v>
      </c>
      <c r="CA285" s="17">
        <v>35</v>
      </c>
      <c r="CC285" s="20"/>
      <c r="CE285" s="17">
        <v>34</v>
      </c>
      <c r="CG285" s="17">
        <v>17.850000000000001</v>
      </c>
      <c r="CH285" s="20" t="str">
        <f>_xlfn.XLOOKUP(CG285, 'Normative data'!$S$9:$S$15,'Normative data'!$T$9:$T$15, "Not Found", -1)</f>
        <v>Above Average</v>
      </c>
      <c r="CI285" s="17">
        <v>17.91</v>
      </c>
      <c r="CJ285" s="20" t="str">
        <f>_xlfn.XLOOKUP(CI285, 'Normative data'!$S$9:$S$15, 'Normative data'!$T$9:$T$15, "Not Found", -1)</f>
        <v>Above Average</v>
      </c>
      <c r="CK285" s="17">
        <v>2.31</v>
      </c>
      <c r="CL285" s="17">
        <v>4.33</v>
      </c>
      <c r="CN285" s="17">
        <v>6.86</v>
      </c>
      <c r="CO285" s="17">
        <v>7.29</v>
      </c>
      <c r="CQ285" s="17">
        <v>7.4</v>
      </c>
      <c r="CR285" s="20" t="str" cm="1">
        <f t="array" ref="CR285">IF(OR(ISBLANK(E285),ISBLANK(CQ285)),"Incomplete",_xlfn.XLOOKUP(CQ285,_xlfn.XLOOKUP(E285,'Normative data'!$Y$3:$Y$6,'Normative data'!$Z$3:$AG$6,,-1),'Normative data'!$Z$2:$AG$2,"Not Found",-1))</f>
        <v>Good</v>
      </c>
      <c r="CS285" s="20">
        <v>7</v>
      </c>
      <c r="CT285" s="20">
        <v>4</v>
      </c>
      <c r="CU285" s="20" cm="1">
        <f t="array" ref="CU285">_xlfn.XLOOKUP(CS285&amp;CT285,(VLOOKUP!$A$3:$A$250)&amp;(VLOOKUP!$B$3:$B$250),VLOOKUP!$C$3:$C$250,"Incomplete",-1)</f>
        <v>1100</v>
      </c>
      <c r="CV285" s="20" t="str" cm="1">
        <f t="array" ref="CV285">_xlfn.XLOOKUP(CU285, _xlfn.XLOOKUP(E285, 'Normative data'!$Y$11:$Y$14, 'Normative data'!$Z$11:$AG$14, ,-1), 'Normative data'!$Z$10:$AG$10, "Not Found", -1)</f>
        <v xml:space="preserve">Good </v>
      </c>
      <c r="CW285" s="20" cm="1">
        <f t="array" ref="CW285">IF(OR(ISBLANK(CS285),ISBLANK(CT285)),"Incomplete",_xlfn.XLOOKUP(CS285&amp;CT285,VLOOKUP!$A$4:$A$250&amp;VLOOKUP!$B$4:$B$250,VLOOKUP!$D$4:$D$250,"0"))</f>
        <v>38</v>
      </c>
    </row>
    <row r="286" spans="1:101">
      <c r="A286" s="17" t="s">
        <v>759</v>
      </c>
      <c r="B286" s="17" t="s">
        <v>758</v>
      </c>
      <c r="C286" s="17" t="s">
        <v>86</v>
      </c>
      <c r="D286" s="26"/>
      <c r="F286" s="20" t="s">
        <v>186</v>
      </c>
      <c r="G286" s="17">
        <v>2026</v>
      </c>
      <c r="I286" s="20">
        <v>2</v>
      </c>
      <c r="J286" s="20"/>
      <c r="K286" s="20"/>
      <c r="L286" s="20"/>
      <c r="S286" s="20">
        <v>86.2</v>
      </c>
      <c r="T286" s="20">
        <v>165</v>
      </c>
      <c r="AY286" s="41" t="str">
        <f t="shared" si="73"/>
        <v>Incomplete</v>
      </c>
      <c r="BA286" s="20" t="str">
        <f t="shared" si="74"/>
        <v>Incomplete</v>
      </c>
      <c r="BC286" s="20" t="str">
        <f t="shared" si="75"/>
        <v>Incomplete</v>
      </c>
      <c r="BE286" s="20" t="str">
        <f t="shared" si="76"/>
        <v>Incomplete</v>
      </c>
      <c r="BG286" s="17">
        <v>15</v>
      </c>
      <c r="BH286" s="17">
        <v>21</v>
      </c>
      <c r="BI286" s="20">
        <f t="shared" si="79"/>
        <v>6</v>
      </c>
      <c r="BJ286" s="20"/>
      <c r="BL286" s="20"/>
      <c r="BN286" s="20"/>
      <c r="BQ286" s="17">
        <v>81</v>
      </c>
      <c r="BR286" s="17">
        <v>69</v>
      </c>
      <c r="BS286" s="17">
        <v>59</v>
      </c>
      <c r="BT286" s="17">
        <v>73</v>
      </c>
      <c r="BU286" s="17">
        <v>60</v>
      </c>
      <c r="BV286" s="17">
        <v>70</v>
      </c>
      <c r="BW286" s="91">
        <f t="shared" si="77"/>
        <v>88.409475465313037</v>
      </c>
      <c r="BX286" s="91" t="str">
        <f>_xlfn.XLOOKUP(BW286,'Normative data'!$V$3:$V$6,'Normative data'!$W$3:$W$6,"Not Found",-1)</f>
        <v>High risk</v>
      </c>
      <c r="BY286" s="91">
        <f t="shared" si="78"/>
        <v>85.871404399323197</v>
      </c>
      <c r="BZ286" s="91" t="str">
        <f>_xlfn.XLOOKUP(BY286,'Normative data'!$V$3:$V$6,'Normative data'!$W$3:$W$6,"Not Found",-1)</f>
        <v>High risk</v>
      </c>
      <c r="CA286" s="20"/>
      <c r="CC286" s="20"/>
      <c r="CE286" s="17">
        <v>1</v>
      </c>
      <c r="CG286" s="17">
        <v>24.03</v>
      </c>
      <c r="CH286" s="20" t="str">
        <f>_xlfn.XLOOKUP(CG286, 'Normative data'!$S$9:$S$15,'Normative data'!$T$9:$T$15, "Not Found", -1)</f>
        <v>Poor</v>
      </c>
      <c r="CJ286" s="20" t="str">
        <f>_xlfn.XLOOKUP(CI286, 'Normative data'!$S$9:$S$15, 'Normative data'!$T$9:$T$15, "Not Found", -1)</f>
        <v>not completed</v>
      </c>
      <c r="CK286" s="17">
        <v>2.5099999999999998</v>
      </c>
      <c r="CL286" s="17">
        <v>3.98</v>
      </c>
      <c r="CN286" s="17">
        <v>8.42</v>
      </c>
      <c r="CO286" s="17">
        <v>5.94</v>
      </c>
      <c r="CR286" s="20" t="str" cm="1">
        <f t="array" ref="CR286">IF(OR(ISBLANK(E286),ISBLANK(CQ286)),"Incomplete",_xlfn.XLOOKUP(CQ286,_xlfn.XLOOKUP(E286,'Normative data'!$Y$3:$Y$6,'Normative data'!$Z$3:$AG$6,,-1),'Normative data'!$Z$2:$AG$2,"Not Found",-1))</f>
        <v>Incomplete</v>
      </c>
      <c r="CS286" s="20"/>
      <c r="CT286" s="20"/>
      <c r="CU286" s="20" t="str" cm="1">
        <f t="array" ref="CU286">_xlfn.XLOOKUP(CS286&amp;CT286,(VLOOKUP!$A$3:$A$250)&amp;(VLOOKUP!$B$3:$B$250),VLOOKUP!$C$3:$C$250,"Incomplete",-1)</f>
        <v>Incomplete</v>
      </c>
      <c r="CV286" s="20" t="str" cm="1">
        <f t="array" ref="CV286">_xlfn.XLOOKUP(CU286, _xlfn.XLOOKUP(E286, 'Normative data'!$Y$11:$Y$14, 'Normative data'!$Z$11:$AG$14, ,-1), 'Normative data'!$Z$10:$AG$10, "Not Found", -1)</f>
        <v>Excellent</v>
      </c>
      <c r="CW286" s="20" t="str" cm="1">
        <f t="array" ref="CW286">IF(OR(ISBLANK(CS286),ISBLANK(CT286)),"Incomplete",_xlfn.XLOOKUP(CS286&amp;CT286,VLOOKUP!$A$4:$A$250&amp;VLOOKUP!$B$4:$B$250,VLOOKUP!$D$4:$D$250,"0"))</f>
        <v>Incomplete</v>
      </c>
    </row>
    <row r="287" spans="1:101">
      <c r="A287" s="17" t="s">
        <v>760</v>
      </c>
      <c r="B287" s="17" t="s">
        <v>758</v>
      </c>
      <c r="C287" s="17" t="s">
        <v>86</v>
      </c>
      <c r="D287" s="26"/>
      <c r="F287" s="20" t="s">
        <v>235</v>
      </c>
      <c r="G287" s="17">
        <v>2026</v>
      </c>
      <c r="I287" s="20">
        <v>2</v>
      </c>
      <c r="J287" s="20"/>
      <c r="K287" s="20"/>
      <c r="L287" s="20"/>
      <c r="S287" s="20">
        <v>78.900000000000006</v>
      </c>
      <c r="T287" s="20">
        <v>157.30000000000001</v>
      </c>
      <c r="AY287" s="41" t="str">
        <f t="shared" si="73"/>
        <v>Incomplete</v>
      </c>
      <c r="BA287" s="20" t="str">
        <f t="shared" si="74"/>
        <v>Incomplete</v>
      </c>
      <c r="BC287" s="20" t="str">
        <f t="shared" si="75"/>
        <v>Incomplete</v>
      </c>
      <c r="BE287" s="20" t="str">
        <f t="shared" si="76"/>
        <v>Incomplete</v>
      </c>
      <c r="BH287" s="17">
        <v>29.3</v>
      </c>
      <c r="BI287" s="20" t="str">
        <f t="shared" si="79"/>
        <v>Incomplete</v>
      </c>
      <c r="BJ287" s="20"/>
      <c r="BK287" s="17">
        <v>9</v>
      </c>
      <c r="BL287" s="20"/>
      <c r="BM287" s="17">
        <v>10</v>
      </c>
      <c r="BN287" s="20"/>
      <c r="BW287" s="91">
        <f t="shared" si="77"/>
        <v>0</v>
      </c>
      <c r="BX287" s="91" t="str">
        <f>_xlfn.XLOOKUP(BW287,'Normative data'!$V$3:$V$6,'Normative data'!$W$3:$W$6,"Not Found",-1)</f>
        <v>Not completed</v>
      </c>
      <c r="BY287" s="91">
        <f t="shared" si="78"/>
        <v>0</v>
      </c>
      <c r="BZ287" s="91" t="str">
        <f>_xlfn.XLOOKUP(BY287,'Normative data'!$V$3:$V$6,'Normative data'!$W$3:$W$6,"Not Found",-1)</f>
        <v>Not completed</v>
      </c>
      <c r="CA287" s="20"/>
      <c r="CC287" s="20"/>
      <c r="CE287" s="17">
        <v>16</v>
      </c>
      <c r="CH287" s="20" t="str">
        <f>_xlfn.XLOOKUP(CG287, 'Normative data'!$S$9:$S$15,'Normative data'!$T$9:$T$15, "Not Found", -1)</f>
        <v>not completed</v>
      </c>
      <c r="CJ287" s="20" t="str">
        <f>_xlfn.XLOOKUP(CI287, 'Normative data'!$S$9:$S$15, 'Normative data'!$T$9:$T$15, "Not Found", -1)</f>
        <v>not completed</v>
      </c>
      <c r="CK287" s="17">
        <v>2.39</v>
      </c>
      <c r="CL287" s="17">
        <v>4.18</v>
      </c>
      <c r="CN287" s="17">
        <v>7.76</v>
      </c>
      <c r="CO287" s="17">
        <v>6.44</v>
      </c>
      <c r="CR287" s="20" t="str" cm="1">
        <f t="array" ref="CR287">IF(OR(ISBLANK(E287),ISBLANK(CQ287)),"Incomplete",_xlfn.XLOOKUP(CQ287,_xlfn.XLOOKUP(E287,'Normative data'!$Y$3:$Y$6,'Normative data'!$Z$3:$AG$6,,-1),'Normative data'!$Z$2:$AG$2,"Not Found",-1))</f>
        <v>Incomplete</v>
      </c>
      <c r="CS287" s="20"/>
      <c r="CT287" s="20"/>
      <c r="CU287" s="20" t="str" cm="1">
        <f t="array" ref="CU287">_xlfn.XLOOKUP(CS287&amp;CT287,(VLOOKUP!$A$3:$A$250)&amp;(VLOOKUP!$B$3:$B$250),VLOOKUP!$C$3:$C$250,"Incomplete",-1)</f>
        <v>Incomplete</v>
      </c>
      <c r="CV287" s="20" t="str" cm="1">
        <f t="array" ref="CV287">_xlfn.XLOOKUP(CU287, _xlfn.XLOOKUP(E287, 'Normative data'!$Y$11:$Y$14, 'Normative data'!$Z$11:$AG$14, ,-1), 'Normative data'!$Z$10:$AG$10, "Not Found", -1)</f>
        <v>Excellent</v>
      </c>
      <c r="CW287" s="20" t="str" cm="1">
        <f t="array" ref="CW287">IF(OR(ISBLANK(CS287),ISBLANK(CT287)),"Incomplete",_xlfn.XLOOKUP(CS287&amp;CT287,VLOOKUP!$A$4:$A$250&amp;VLOOKUP!$B$4:$B$250,VLOOKUP!$D$4:$D$250,"0"))</f>
        <v>Incomplete</v>
      </c>
    </row>
    <row r="288" spans="1:101">
      <c r="A288" s="17" t="s">
        <v>564</v>
      </c>
      <c r="B288" s="17" t="s">
        <v>563</v>
      </c>
      <c r="C288" s="17" t="s">
        <v>86</v>
      </c>
      <c r="D288" s="26">
        <v>40122</v>
      </c>
      <c r="E288" s="17">
        <v>17</v>
      </c>
      <c r="F288" s="20" t="s">
        <v>192</v>
      </c>
      <c r="G288" s="17">
        <v>2026</v>
      </c>
      <c r="I288" s="20">
        <v>2</v>
      </c>
      <c r="J288" s="20" t="s">
        <v>88</v>
      </c>
      <c r="K288" s="20" t="s">
        <v>111</v>
      </c>
      <c r="L288" s="20"/>
      <c r="S288" s="20">
        <v>84.6</v>
      </c>
      <c r="T288" s="20">
        <v>171</v>
      </c>
      <c r="U288" s="17">
        <v>72</v>
      </c>
      <c r="V288" s="17">
        <v>36.1</v>
      </c>
      <c r="W288" s="17">
        <v>22.6</v>
      </c>
      <c r="X288" s="17">
        <v>49.4</v>
      </c>
      <c r="Y288" s="17">
        <v>27.1</v>
      </c>
      <c r="Z288" s="17">
        <v>24.6</v>
      </c>
      <c r="AA288" s="17">
        <v>31.3</v>
      </c>
      <c r="AB288" s="17">
        <v>7.49</v>
      </c>
      <c r="AC288" s="17">
        <v>98.7</v>
      </c>
      <c r="AD288" s="17">
        <v>7.58</v>
      </c>
      <c r="AE288" s="17">
        <v>99.9</v>
      </c>
      <c r="AF288" s="17">
        <v>3.4</v>
      </c>
      <c r="AG288" s="17">
        <v>126.1</v>
      </c>
      <c r="AH288" s="17">
        <v>3.4</v>
      </c>
      <c r="AI288" s="17">
        <v>126.4</v>
      </c>
      <c r="AJ288" s="17">
        <v>300.39999999999998</v>
      </c>
      <c r="AK288" s="17">
        <v>291.60000000000002</v>
      </c>
      <c r="AL288" s="17">
        <v>270.3</v>
      </c>
      <c r="AM288" s="17">
        <v>262.39999999999998</v>
      </c>
      <c r="AN288" s="17">
        <v>93</v>
      </c>
      <c r="AO288" s="17">
        <v>0.91</v>
      </c>
      <c r="AP288" s="17">
        <v>6.8</v>
      </c>
      <c r="AQ288" s="17">
        <v>22.7</v>
      </c>
      <c r="AR288" s="17">
        <v>0.43</v>
      </c>
      <c r="AS288" s="17">
        <v>24.5</v>
      </c>
      <c r="AT288" s="17">
        <v>0.44700000000000001</v>
      </c>
      <c r="AU288" s="17">
        <v>10</v>
      </c>
      <c r="AV288" s="17">
        <v>0.28399999999999997</v>
      </c>
      <c r="AW288" s="17">
        <v>11.5</v>
      </c>
      <c r="AX288" s="17">
        <v>0.30599999999999999</v>
      </c>
      <c r="AY288" s="41">
        <f t="shared" si="73"/>
        <v>2584.4899999999998</v>
      </c>
      <c r="BA288" s="20">
        <f t="shared" si="74"/>
        <v>2693.75</v>
      </c>
      <c r="BC288" s="20">
        <f t="shared" si="75"/>
        <v>1813.6</v>
      </c>
      <c r="BE288" s="20">
        <f t="shared" si="76"/>
        <v>1904.65</v>
      </c>
      <c r="BG288" s="17">
        <v>11.2</v>
      </c>
      <c r="BH288" s="17">
        <v>34</v>
      </c>
      <c r="BI288" s="20">
        <f t="shared" si="79"/>
        <v>22.8</v>
      </c>
      <c r="BJ288" s="20"/>
      <c r="BK288" s="17">
        <v>12.5</v>
      </c>
      <c r="BL288" s="20"/>
      <c r="BM288" s="17">
        <v>12</v>
      </c>
      <c r="BN288" s="20"/>
      <c r="BO288" s="17">
        <v>51.5</v>
      </c>
      <c r="BP288" s="17">
        <v>50</v>
      </c>
      <c r="BQ288" s="17">
        <v>82</v>
      </c>
      <c r="BR288" s="17">
        <v>63</v>
      </c>
      <c r="BS288" s="17">
        <v>60</v>
      </c>
      <c r="BT288" s="17">
        <v>80</v>
      </c>
      <c r="BU288" s="17">
        <v>63</v>
      </c>
      <c r="BV288" s="17">
        <v>60</v>
      </c>
      <c r="BW288" s="91">
        <f t="shared" si="77"/>
        <v>79.089506172839492</v>
      </c>
      <c r="BX288" s="91" t="str">
        <f>_xlfn.XLOOKUP(BW288,'Normative data'!$V$3:$V$6,'Normative data'!$W$3:$W$6,"Not Found",-1)</f>
        <v>High risk</v>
      </c>
      <c r="BY288" s="91">
        <f t="shared" si="78"/>
        <v>78.317901234567884</v>
      </c>
      <c r="BZ288" s="91" t="str">
        <f>_xlfn.XLOOKUP(BY288,'Normative data'!$V$3:$V$6,'Normative data'!$W$3:$W$6,"Not Found",-1)</f>
        <v>High risk</v>
      </c>
      <c r="CA288" s="17">
        <v>24</v>
      </c>
      <c r="CC288" s="20"/>
      <c r="CE288" s="17">
        <v>5</v>
      </c>
      <c r="CG288" s="17">
        <v>20.65</v>
      </c>
      <c r="CH288" s="20" t="str">
        <f>_xlfn.XLOOKUP(CG288, 'Normative data'!$S$9:$S$15,'Normative data'!$T$9:$T$15, "Not Found", -1)</f>
        <v>Average</v>
      </c>
      <c r="CI288" s="17">
        <v>20.48</v>
      </c>
      <c r="CJ288" s="20" t="str">
        <f>_xlfn.XLOOKUP(CI288, 'Normative data'!$S$9:$S$15, 'Normative data'!$T$9:$T$15, "Not Found", -1)</f>
        <v>Average</v>
      </c>
      <c r="CK288" s="21"/>
      <c r="CL288" s="21"/>
      <c r="CM288" s="21"/>
      <c r="CN288" s="21"/>
      <c r="CO288" s="21"/>
      <c r="CQ288" s="17">
        <v>3.4</v>
      </c>
      <c r="CR288" s="20" t="str" cm="1">
        <f t="array" ref="CR288">IF(OR(ISBLANK(E288),ISBLANK(CQ288)),"Incomplete",_xlfn.XLOOKUP(CQ288,_xlfn.XLOOKUP(E288,'Normative data'!$Y$3:$Y$6,'Normative data'!$Z$3:$AG$6,,-1),'Normative data'!$Z$2:$AG$2,"Not Found",-1))</f>
        <v>Very poor</v>
      </c>
      <c r="CS288" s="20">
        <v>3</v>
      </c>
      <c r="CT288" s="20">
        <v>4</v>
      </c>
      <c r="CU288" s="20" cm="1">
        <f t="array" ref="CU288">_xlfn.XLOOKUP(CS288&amp;CT288,(VLOOKUP!$A$3:$A$250)&amp;(VLOOKUP!$B$3:$B$250),VLOOKUP!$C$3:$C$250,"Incomplete",-1)</f>
        <v>380</v>
      </c>
      <c r="CV288" s="20" t="str" cm="1">
        <f t="array" ref="CV288">_xlfn.XLOOKUP(CU288, _xlfn.XLOOKUP(E288, 'Normative data'!$Y$11:$Y$14, 'Normative data'!$Z$11:$AG$14, ,-1), 'Normative data'!$Z$10:$AG$10, "Not Found", -1)</f>
        <v xml:space="preserve">Very poor </v>
      </c>
      <c r="CW288" s="20" cm="1">
        <f t="array" ref="CW288">IF(OR(ISBLANK(CS288),ISBLANK(CT288)),"Incomplete",_xlfn.XLOOKUP(CS288&amp;CT288,VLOOKUP!$A$4:$A$250&amp;VLOOKUP!$B$4:$B$250,VLOOKUP!$D$4:$D$250,"0"))</f>
        <v>24</v>
      </c>
    </row>
    <row r="289" spans="1:101">
      <c r="A289" s="17" t="s">
        <v>761</v>
      </c>
      <c r="B289" s="17" t="s">
        <v>563</v>
      </c>
      <c r="C289" s="17" t="s">
        <v>86</v>
      </c>
      <c r="D289" s="20"/>
      <c r="F289" s="20" t="s">
        <v>157</v>
      </c>
      <c r="G289" s="17">
        <v>2026</v>
      </c>
      <c r="I289" s="20">
        <v>2</v>
      </c>
      <c r="J289" s="20" t="s">
        <v>88</v>
      </c>
      <c r="K289" s="20" t="s">
        <v>196</v>
      </c>
      <c r="L289" s="20"/>
      <c r="S289" s="20">
        <v>90.5</v>
      </c>
      <c r="T289" s="20">
        <v>168.8</v>
      </c>
      <c r="AQ289" s="20"/>
      <c r="AR289" s="20"/>
      <c r="AS289" s="20"/>
      <c r="AT289" s="20"/>
      <c r="AU289" s="20"/>
      <c r="AV289" s="20"/>
      <c r="AW289" s="20"/>
      <c r="AX289" s="20"/>
      <c r="AY289" s="41" t="str">
        <f t="shared" si="73"/>
        <v>Incomplete</v>
      </c>
      <c r="BA289" s="20" t="str">
        <f t="shared" si="74"/>
        <v>Incomplete</v>
      </c>
      <c r="BC289" s="20" t="str">
        <f t="shared" si="75"/>
        <v>Incomplete</v>
      </c>
      <c r="BE289" s="20" t="str">
        <f t="shared" si="76"/>
        <v>Incomplete</v>
      </c>
      <c r="BH289" s="17">
        <v>45.5</v>
      </c>
      <c r="BI289" s="20" t="str">
        <f t="shared" si="79"/>
        <v>Incomplete</v>
      </c>
      <c r="BJ289" s="20"/>
      <c r="BK289" s="17">
        <v>8</v>
      </c>
      <c r="BL289" s="20"/>
      <c r="BM289" s="17">
        <v>8</v>
      </c>
      <c r="BN289" s="20"/>
      <c r="BQ289" s="17">
        <v>77</v>
      </c>
      <c r="BR289" s="17">
        <v>87</v>
      </c>
      <c r="BS289" s="17">
        <v>76</v>
      </c>
      <c r="BT289" s="17">
        <v>76</v>
      </c>
      <c r="BU289" s="17">
        <v>72</v>
      </c>
      <c r="BV289" s="17">
        <v>83</v>
      </c>
      <c r="BW289" s="91">
        <f t="shared" si="77"/>
        <v>102.17113665389526</v>
      </c>
      <c r="BX289" s="91" t="str">
        <f>_xlfn.XLOOKUP(BW289,'Normative data'!$V$3:$V$6,'Normative data'!$W$3:$W$6,"Not Found",-1)</f>
        <v>Low risk</v>
      </c>
      <c r="BY289" s="91">
        <f t="shared" si="78"/>
        <v>98.33971902937418</v>
      </c>
      <c r="BZ289" s="91" t="str">
        <f>_xlfn.XLOOKUP(BY289,'Normative data'!$V$3:$V$6,'Normative data'!$W$3:$W$6,"Not Found",-1)</f>
        <v>Low risk</v>
      </c>
      <c r="CG289" s="20"/>
      <c r="CH289" s="20" t="str">
        <f>_xlfn.XLOOKUP(CG289, 'Normative data'!$S$9:$S$15,'Normative data'!$T$9:$T$15, "Not Found", -1)</f>
        <v>not completed</v>
      </c>
      <c r="CI289" s="20"/>
      <c r="CJ289" s="20" t="str">
        <f>_xlfn.XLOOKUP(CI289, 'Normative data'!$S$9:$S$15, 'Normative data'!$T$9:$T$15, "Not Found", -1)</f>
        <v>not completed</v>
      </c>
      <c r="CK289" s="17">
        <v>2.12</v>
      </c>
      <c r="CL289" s="17">
        <v>4.72</v>
      </c>
      <c r="CN289" s="17">
        <v>6.69</v>
      </c>
      <c r="CO289" s="17">
        <v>7.47</v>
      </c>
      <c r="CQ289" s="17">
        <v>7.5</v>
      </c>
      <c r="CR289" s="20" t="str" cm="1">
        <f t="array" ref="CR289">IF(OR(ISBLANK(E289),ISBLANK(CQ289)),"Incomplete",_xlfn.XLOOKUP(CQ289,_xlfn.XLOOKUP(E289,'Normative data'!$Y$3:$Y$6,'Normative data'!$Z$3:$AG$6,,-1),'Normative data'!$Z$2:$AG$2,"Not Found",-1))</f>
        <v>Incomplete</v>
      </c>
      <c r="CS289" s="20">
        <v>7</v>
      </c>
      <c r="CT289" s="20">
        <v>5</v>
      </c>
      <c r="CU289" s="20" cm="1">
        <f t="array" ref="CU289">_xlfn.XLOOKUP(CS289&amp;CT289,(VLOOKUP!$A$3:$A$250)&amp;(VLOOKUP!$B$3:$B$250),VLOOKUP!$C$3:$C$250,"Incomplete",-1)</f>
        <v>1120</v>
      </c>
      <c r="CV289" s="20" t="str" cm="1">
        <f t="array" ref="CV289">_xlfn.XLOOKUP(CU289, _xlfn.XLOOKUP(E289, 'Normative data'!$Y$11:$Y$14, 'Normative data'!$Z$11:$AG$14, ,-1), 'Normative data'!$Z$10:$AG$10, "Not Found", -1)</f>
        <v>Average</v>
      </c>
      <c r="CW289" s="20" cm="1">
        <f t="array" ref="CW289">IF(OR(ISBLANK(CS289),ISBLANK(CT289)),"Incomplete",_xlfn.XLOOKUP(CS289&amp;CT289,VLOOKUP!$A$4:$A$250&amp;VLOOKUP!$B$4:$B$250,VLOOKUP!$D$4:$D$250,"0"))</f>
        <v>38</v>
      </c>
    </row>
    <row r="290" spans="1:101">
      <c r="A290" s="17" t="s">
        <v>762</v>
      </c>
      <c r="B290" s="17" t="s">
        <v>563</v>
      </c>
      <c r="C290" s="17" t="s">
        <v>86</v>
      </c>
      <c r="D290" s="26">
        <v>40316</v>
      </c>
      <c r="F290" s="20" t="s">
        <v>178</v>
      </c>
      <c r="G290" s="17">
        <v>2026</v>
      </c>
      <c r="I290" s="20">
        <v>2</v>
      </c>
      <c r="J290" s="20" t="s">
        <v>100</v>
      </c>
      <c r="K290" s="20" t="s">
        <v>101</v>
      </c>
      <c r="L290" s="20" t="s">
        <v>102</v>
      </c>
      <c r="S290" s="20">
        <v>84.5</v>
      </c>
      <c r="T290" s="20">
        <v>163.6</v>
      </c>
      <c r="U290" s="17">
        <v>56.4</v>
      </c>
      <c r="V290" s="17">
        <v>32.5</v>
      </c>
      <c r="W290" s="17">
        <v>11.9</v>
      </c>
      <c r="X290" s="17">
        <v>44.5</v>
      </c>
      <c r="Y290" s="17">
        <v>24.5</v>
      </c>
      <c r="Z290" s="17">
        <v>21.1</v>
      </c>
      <c r="AA290" s="17">
        <v>21.1</v>
      </c>
      <c r="AB290" s="17">
        <v>6.6</v>
      </c>
      <c r="AC290" s="17">
        <v>101.2</v>
      </c>
      <c r="AD290" s="17">
        <v>6.65</v>
      </c>
      <c r="AE290" s="17">
        <v>102.1</v>
      </c>
      <c r="AF290" s="17">
        <v>1.9</v>
      </c>
      <c r="AG290" s="17">
        <v>77</v>
      </c>
      <c r="AH290" s="17">
        <v>1.9</v>
      </c>
      <c r="AI290" s="17">
        <v>77.099999999999994</v>
      </c>
      <c r="AJ290" s="17">
        <v>309.7</v>
      </c>
      <c r="AK290" s="17">
        <v>303.39999999999998</v>
      </c>
      <c r="AL290" s="17">
        <v>272.60000000000002</v>
      </c>
      <c r="AM290" s="17">
        <v>267.3</v>
      </c>
      <c r="AN290" s="17">
        <v>103</v>
      </c>
      <c r="AO290" s="17">
        <v>0.84</v>
      </c>
      <c r="AP290" s="17">
        <v>6.6</v>
      </c>
      <c r="AQ290" s="17">
        <v>17</v>
      </c>
      <c r="AR290" s="17">
        <v>0.372</v>
      </c>
      <c r="AS290" s="17">
        <v>34.299999999999997</v>
      </c>
      <c r="AT290" s="17">
        <v>0.52900000000000003</v>
      </c>
      <c r="AU290" s="17">
        <v>15.9</v>
      </c>
      <c r="AV290" s="17">
        <v>0.36</v>
      </c>
      <c r="AW290" s="17">
        <v>16.100000000000001</v>
      </c>
      <c r="AX290" s="17">
        <v>0.36199999999999999</v>
      </c>
      <c r="AY290" s="41">
        <f t="shared" si="73"/>
        <v>1531.8199999999997</v>
      </c>
      <c r="BA290" s="20">
        <f t="shared" si="74"/>
        <v>2581.9299999999994</v>
      </c>
      <c r="BC290" s="20">
        <f t="shared" si="75"/>
        <v>1465.0499999999997</v>
      </c>
      <c r="BE290" s="20">
        <f t="shared" si="76"/>
        <v>1477.1899999999996</v>
      </c>
      <c r="BG290" s="17">
        <v>14.9</v>
      </c>
      <c r="BH290" s="17">
        <v>34.1</v>
      </c>
      <c r="BI290" s="20">
        <f t="shared" si="79"/>
        <v>19.200000000000003</v>
      </c>
      <c r="BJ290" s="20"/>
      <c r="BK290" s="17">
        <v>12.1</v>
      </c>
      <c r="BL290" s="20"/>
      <c r="BM290" s="17">
        <v>11</v>
      </c>
      <c r="BN290" s="20"/>
      <c r="BO290" s="17">
        <v>44.3</v>
      </c>
      <c r="BP290" s="17">
        <v>45</v>
      </c>
      <c r="BQ290" s="17">
        <v>81</v>
      </c>
      <c r="BR290" s="17">
        <v>83</v>
      </c>
      <c r="BS290" s="17">
        <v>80</v>
      </c>
      <c r="BT290" s="17">
        <v>80</v>
      </c>
      <c r="BU290" s="17">
        <v>79</v>
      </c>
      <c r="BV290" s="17">
        <v>67</v>
      </c>
      <c r="BW290" s="91">
        <f t="shared" si="77"/>
        <v>102.82343025705858</v>
      </c>
      <c r="BX290" s="91" t="str">
        <f>_xlfn.XLOOKUP(BW290,'Normative data'!$V$3:$V$6,'Normative data'!$W$3:$W$6,"Not Found",-1)</f>
        <v>Low risk</v>
      </c>
      <c r="BY290" s="91">
        <f t="shared" si="78"/>
        <v>95.238095238095241</v>
      </c>
      <c r="BZ290" s="91" t="str">
        <f>_xlfn.XLOOKUP(BY290,'Normative data'!$V$3:$V$6,'Normative data'!$W$3:$W$6,"Not Found",-1)</f>
        <v>High risk</v>
      </c>
      <c r="CA290" s="17">
        <v>39</v>
      </c>
      <c r="CC290" s="20"/>
      <c r="CE290" s="17">
        <v>20</v>
      </c>
      <c r="CG290" s="17">
        <v>17.05</v>
      </c>
      <c r="CH290" s="20" t="str">
        <f>_xlfn.XLOOKUP(CG290, 'Normative data'!$S$9:$S$15,'Normative data'!$T$9:$T$15, "Not Found", -1)</f>
        <v>Above Average</v>
      </c>
      <c r="CI290" s="17">
        <v>17.260000000000002</v>
      </c>
      <c r="CJ290" s="20" t="str">
        <f>_xlfn.XLOOKUP(CI290, 'Normative data'!$S$9:$S$15, 'Normative data'!$T$9:$T$15, "Not Found", -1)</f>
        <v>Above Average</v>
      </c>
      <c r="CK290" s="17">
        <v>2.0699999999999998</v>
      </c>
      <c r="CL290" s="17">
        <v>4.83</v>
      </c>
      <c r="CN290" s="17">
        <v>6.03</v>
      </c>
      <c r="CO290" s="17">
        <v>8.2899999999999991</v>
      </c>
      <c r="CQ290" s="17">
        <v>8.6</v>
      </c>
      <c r="CR290" s="20" t="str" cm="1">
        <f t="array" ref="CR290">IF(OR(ISBLANK(E290),ISBLANK(CQ290)),"Incomplete",_xlfn.XLOOKUP(CQ290,_xlfn.XLOOKUP(E290,'Normative data'!$Y$3:$Y$6,'Normative data'!$Z$3:$AG$6,,-1),'Normative data'!$Z$2:$AG$2,"Not Found",-1))</f>
        <v>Incomplete</v>
      </c>
      <c r="CS290" s="20">
        <v>8</v>
      </c>
      <c r="CT290" s="20">
        <v>6</v>
      </c>
      <c r="CU290" s="20" cm="1">
        <f t="array" ref="CU290">_xlfn.XLOOKUP(CS290&amp;CT290,(VLOOKUP!$A$3:$A$250)&amp;(VLOOKUP!$B$3:$B$250),VLOOKUP!$C$3:$C$250,"Incomplete",-1)</f>
        <v>1340</v>
      </c>
      <c r="CV290" s="20" t="str" cm="1">
        <f t="array" ref="CV290">_xlfn.XLOOKUP(CU290, _xlfn.XLOOKUP(E290, 'Normative data'!$Y$11:$Y$14, 'Normative data'!$Z$11:$AG$14, ,-1), 'Normative data'!$Z$10:$AG$10, "Not Found", -1)</f>
        <v>Average</v>
      </c>
      <c r="CW290" s="20" cm="1">
        <f t="array" ref="CW290">IF(OR(ISBLANK(CS290),ISBLANK(CT290)),"Incomplete",_xlfn.XLOOKUP(CS290&amp;CT290,VLOOKUP!$A$4:$A$250&amp;VLOOKUP!$B$4:$B$250,VLOOKUP!$D$4:$D$250,"0"))</f>
        <v>42</v>
      </c>
    </row>
    <row r="291" spans="1:101">
      <c r="A291" s="17" t="s">
        <v>763</v>
      </c>
      <c r="B291" s="17" t="s">
        <v>563</v>
      </c>
      <c r="C291" s="17" t="s">
        <v>86</v>
      </c>
      <c r="D291" s="26">
        <v>40954</v>
      </c>
      <c r="E291" s="17">
        <v>14.3</v>
      </c>
      <c r="F291" s="20" t="s">
        <v>97</v>
      </c>
      <c r="G291" s="17">
        <v>2026</v>
      </c>
      <c r="I291" s="20">
        <v>2</v>
      </c>
      <c r="J291" s="20" t="s">
        <v>100</v>
      </c>
      <c r="K291" s="20" t="s">
        <v>170</v>
      </c>
      <c r="L291" s="20"/>
      <c r="S291" s="20">
        <v>80.2</v>
      </c>
      <c r="T291" s="20">
        <v>159.80000000000001</v>
      </c>
      <c r="U291" s="17">
        <v>46.4</v>
      </c>
      <c r="V291" s="17">
        <v>28</v>
      </c>
      <c r="W291" s="17">
        <v>8.1999999999999993</v>
      </c>
      <c r="X291" s="17">
        <v>38.200000000000003</v>
      </c>
      <c r="Y291" s="17">
        <v>20.8</v>
      </c>
      <c r="Z291" s="17">
        <v>18.2</v>
      </c>
      <c r="AA291" s="17">
        <v>17.600000000000001</v>
      </c>
      <c r="AB291" s="17">
        <v>5.59</v>
      </c>
      <c r="AC291" s="17">
        <v>104.3</v>
      </c>
      <c r="AD291" s="17">
        <v>5.59</v>
      </c>
      <c r="AE291" s="17">
        <v>104.1</v>
      </c>
      <c r="AF291" s="17">
        <v>1.4</v>
      </c>
      <c r="AG291" s="17">
        <v>65.900000000000006</v>
      </c>
      <c r="AH291" s="17">
        <v>1.4</v>
      </c>
      <c r="AI291" s="17">
        <v>65.8</v>
      </c>
      <c r="AJ291" s="17">
        <v>382.4</v>
      </c>
      <c r="AK291" s="17">
        <v>384</v>
      </c>
      <c r="AL291" s="17">
        <v>337.5</v>
      </c>
      <c r="AM291" s="17">
        <v>340.4</v>
      </c>
      <c r="AN291" s="17">
        <v>94</v>
      </c>
      <c r="AO291" s="17">
        <v>0.84</v>
      </c>
      <c r="AP291" s="17">
        <v>5.8</v>
      </c>
      <c r="AQ291" s="17">
        <v>17.600000000000001</v>
      </c>
      <c r="AR291" s="17">
        <v>0.379</v>
      </c>
      <c r="AS291" s="17">
        <v>29.4</v>
      </c>
      <c r="AT291" s="17">
        <v>0.49</v>
      </c>
      <c r="AU291" s="17">
        <v>16.100000000000001</v>
      </c>
      <c r="AV291" s="17">
        <v>0.36199999999999999</v>
      </c>
      <c r="AW291" s="17">
        <v>18.5</v>
      </c>
      <c r="AX291" s="17">
        <v>0.38800000000000001</v>
      </c>
      <c r="AY291" s="41">
        <f t="shared" si="73"/>
        <v>1115.2399999999998</v>
      </c>
      <c r="BA291" s="20">
        <f t="shared" si="74"/>
        <v>1831.4999999999995</v>
      </c>
      <c r="BC291" s="20">
        <f t="shared" si="75"/>
        <v>1024.1899999999996</v>
      </c>
      <c r="BE291" s="20">
        <f t="shared" si="76"/>
        <v>1169.8699999999999</v>
      </c>
      <c r="BG291" s="17">
        <v>21.5</v>
      </c>
      <c r="BH291" s="17">
        <v>52.5</v>
      </c>
      <c r="BI291" s="20">
        <f t="shared" si="79"/>
        <v>31</v>
      </c>
      <c r="BJ291" s="20"/>
      <c r="BK291" s="17">
        <v>7</v>
      </c>
      <c r="BL291" s="20"/>
      <c r="BM291" s="17">
        <v>7</v>
      </c>
      <c r="BN291" s="20"/>
      <c r="BO291" s="17">
        <v>39.9</v>
      </c>
      <c r="BP291" s="17">
        <v>40.1</v>
      </c>
      <c r="BQ291" s="17">
        <v>63</v>
      </c>
      <c r="BR291" s="17">
        <v>80</v>
      </c>
      <c r="BS291" s="17">
        <v>65</v>
      </c>
      <c r="BT291" s="17">
        <v>80</v>
      </c>
      <c r="BU291" s="17">
        <v>63</v>
      </c>
      <c r="BV291" s="17">
        <v>60</v>
      </c>
      <c r="BW291" s="91">
        <f t="shared" si="77"/>
        <v>87.102177554438853</v>
      </c>
      <c r="BX291" s="91" t="str">
        <f>_xlfn.XLOOKUP(BW291,'Normative data'!$V$3:$V$6,'Normative data'!$W$3:$W$6,"Not Found",-1)</f>
        <v>High risk</v>
      </c>
      <c r="BY291" s="91">
        <f t="shared" si="78"/>
        <v>85.008375209380233</v>
      </c>
      <c r="BZ291" s="91" t="str">
        <f>_xlfn.XLOOKUP(BY291,'Normative data'!$V$3:$V$6,'Normative data'!$W$3:$W$6,"Not Found",-1)</f>
        <v>High risk</v>
      </c>
      <c r="CA291" s="17">
        <v>34</v>
      </c>
      <c r="CC291" s="20"/>
      <c r="CE291" s="17">
        <v>22</v>
      </c>
      <c r="CG291" s="17">
        <v>17.04</v>
      </c>
      <c r="CH291" s="20" t="str">
        <f>_xlfn.XLOOKUP(CG291, 'Normative data'!$S$9:$S$15,'Normative data'!$T$9:$T$15, "Not Found", -1)</f>
        <v>Above Average</v>
      </c>
      <c r="CI291" s="17">
        <v>17.440000000000001</v>
      </c>
      <c r="CJ291" s="20" t="str">
        <f>_xlfn.XLOOKUP(CI291, 'Normative data'!$S$9:$S$15, 'Normative data'!$T$9:$T$15, "Not Found", -1)</f>
        <v>Above Average</v>
      </c>
      <c r="CK291" s="21"/>
      <c r="CL291" s="21"/>
      <c r="CM291" s="21"/>
      <c r="CN291" s="21"/>
      <c r="CO291" s="21"/>
      <c r="CQ291" s="17">
        <v>7.2</v>
      </c>
      <c r="CR291" s="20" t="str" cm="1">
        <f t="array" ref="CR291">IF(OR(ISBLANK(E291),ISBLANK(CQ291)),"Incomplete",_xlfn.XLOOKUP(CQ291,_xlfn.XLOOKUP(E291,'Normative data'!$Y$3:$Y$6,'Normative data'!$Z$3:$AG$6,,-1),'Normative data'!$Z$2:$AG$2,"Not Found",-1))</f>
        <v>Average</v>
      </c>
      <c r="CS291" s="20">
        <v>7</v>
      </c>
      <c r="CT291" s="20">
        <v>2</v>
      </c>
      <c r="CU291" s="20" cm="1">
        <f t="array" ref="CU291">_xlfn.XLOOKUP(CS291&amp;CT291,(VLOOKUP!$A$3:$A$250)&amp;(VLOOKUP!$B$3:$B$250),VLOOKUP!$C$3:$C$250,"Incomplete",-1)</f>
        <v>1060</v>
      </c>
      <c r="CV291" s="20" t="str" cm="1">
        <f t="array" ref="CV291">_xlfn.XLOOKUP(CU291, _xlfn.XLOOKUP(E291, 'Normative data'!$Y$11:$Y$14, 'Normative data'!$Z$11:$AG$14, ,-1), 'Normative data'!$Z$10:$AG$10, "Not Found", -1)</f>
        <v>Average</v>
      </c>
      <c r="CW291" s="20" cm="1">
        <f t="array" ref="CW291">IF(OR(ISBLANK(CS291),ISBLANK(CT291)),"Incomplete",_xlfn.XLOOKUP(CS291&amp;CT291,VLOOKUP!$A$4:$A$250&amp;VLOOKUP!$B$4:$B$250,VLOOKUP!$D$4:$D$250,"0"))</f>
        <v>37</v>
      </c>
    </row>
    <row r="292" spans="1:101">
      <c r="A292" s="17" t="s">
        <v>764</v>
      </c>
      <c r="B292" s="17" t="s">
        <v>563</v>
      </c>
      <c r="C292" s="17" t="s">
        <v>86</v>
      </c>
      <c r="D292" s="26">
        <v>40751</v>
      </c>
      <c r="E292" s="17">
        <v>14.8</v>
      </c>
      <c r="F292" s="20" t="s">
        <v>154</v>
      </c>
      <c r="G292" s="17">
        <v>2026</v>
      </c>
      <c r="I292" s="20">
        <v>2</v>
      </c>
      <c r="J292" s="20" t="s">
        <v>88</v>
      </c>
      <c r="K292" s="20" t="s">
        <v>765</v>
      </c>
      <c r="L292" s="20"/>
      <c r="S292" s="20">
        <v>90.2</v>
      </c>
      <c r="T292" s="20">
        <v>175.9</v>
      </c>
      <c r="U292" s="17">
        <v>64.8</v>
      </c>
      <c r="V292" s="17">
        <v>39.6</v>
      </c>
      <c r="W292" s="17">
        <v>10.6</v>
      </c>
      <c r="X292" s="17">
        <v>54.2</v>
      </c>
      <c r="Y292" s="17">
        <v>29.9</v>
      </c>
      <c r="Z292" s="17">
        <v>20.9</v>
      </c>
      <c r="AA292" s="17">
        <v>16.399999999999999</v>
      </c>
      <c r="AB292" s="17">
        <v>8.48</v>
      </c>
      <c r="AC292" s="17">
        <v>113.2</v>
      </c>
      <c r="AD292" s="17">
        <v>8.4700000000000006</v>
      </c>
      <c r="AE292" s="17">
        <v>113.1</v>
      </c>
      <c r="AF292" s="17">
        <v>1.7</v>
      </c>
      <c r="AG292" s="17">
        <v>60.7</v>
      </c>
      <c r="AH292" s="17">
        <v>1.7</v>
      </c>
      <c r="AI292" s="17">
        <v>60.4</v>
      </c>
      <c r="AJ292" s="17">
        <v>268.3</v>
      </c>
      <c r="AK292" s="17">
        <v>267</v>
      </c>
      <c r="AL292" s="17">
        <v>241.1</v>
      </c>
      <c r="AM292" s="17">
        <v>240.7</v>
      </c>
      <c r="AN292" s="17">
        <v>121</v>
      </c>
      <c r="AO292" s="17">
        <v>0.8</v>
      </c>
      <c r="AP292" s="17">
        <v>7.2</v>
      </c>
      <c r="AQ292" s="17">
        <v>20.5</v>
      </c>
      <c r="AR292" s="17">
        <v>0.40899999999999997</v>
      </c>
      <c r="AS292" s="17">
        <v>23.9</v>
      </c>
      <c r="AT292" s="17">
        <v>0.442</v>
      </c>
      <c r="AU292" s="17">
        <v>11.9</v>
      </c>
      <c r="AV292" s="17">
        <v>0.311</v>
      </c>
      <c r="AW292" s="17">
        <v>12.3</v>
      </c>
      <c r="AX292" s="17">
        <v>0.317</v>
      </c>
      <c r="AY292" s="41">
        <f t="shared" si="73"/>
        <v>2124.79</v>
      </c>
      <c r="BA292" s="20">
        <f t="shared" si="74"/>
        <v>2331.17</v>
      </c>
      <c r="BC292" s="20">
        <f t="shared" si="75"/>
        <v>1602.7699999999995</v>
      </c>
      <c r="BE292" s="20">
        <f t="shared" si="76"/>
        <v>1627.0499999999997</v>
      </c>
      <c r="BG292" s="17">
        <v>8.5</v>
      </c>
      <c r="BH292" s="17">
        <v>51</v>
      </c>
      <c r="BI292" s="20">
        <f t="shared" si="79"/>
        <v>42.5</v>
      </c>
      <c r="BJ292" s="20"/>
      <c r="BL292" s="20"/>
      <c r="BN292" s="20"/>
      <c r="BO292" s="17">
        <v>43.2</v>
      </c>
      <c r="BP292" s="17">
        <v>44.5</v>
      </c>
      <c r="BQ292" s="17">
        <v>81</v>
      </c>
      <c r="BR292" s="17">
        <v>92</v>
      </c>
      <c r="BS292" s="17">
        <v>91</v>
      </c>
      <c r="BT292" s="17">
        <v>79</v>
      </c>
      <c r="BU292" s="17">
        <v>93</v>
      </c>
      <c r="BV292" s="17">
        <v>91</v>
      </c>
      <c r="BW292" s="91">
        <f t="shared" si="77"/>
        <v>102.68378063010502</v>
      </c>
      <c r="BX292" s="91" t="str">
        <f>_xlfn.XLOOKUP(BW292,'Normative data'!$V$3:$V$6,'Normative data'!$W$3:$W$6,"Not Found",-1)</f>
        <v>Low risk</v>
      </c>
      <c r="BY292" s="91">
        <f t="shared" si="78"/>
        <v>102.29482691559704</v>
      </c>
      <c r="BZ292" s="91" t="str">
        <f>_xlfn.XLOOKUP(BY292,'Normative data'!$V$3:$V$6,'Normative data'!$W$3:$W$6,"Not Found",-1)</f>
        <v>Low risk</v>
      </c>
      <c r="CA292" s="17">
        <v>36</v>
      </c>
      <c r="CC292" s="20"/>
      <c r="CE292" s="17">
        <v>30</v>
      </c>
      <c r="CG292" s="17">
        <v>18.27</v>
      </c>
      <c r="CH292" s="20" t="str">
        <f>_xlfn.XLOOKUP(CG292, 'Normative data'!$S$9:$S$15,'Normative data'!$T$9:$T$15, "Not Found", -1)</f>
        <v>Average</v>
      </c>
      <c r="CI292" s="17">
        <v>19.329999999999998</v>
      </c>
      <c r="CJ292" s="20" t="str">
        <f>_xlfn.XLOOKUP(CI292, 'Normative data'!$S$9:$S$15, 'Normative data'!$T$9:$T$15, "Not Found", -1)</f>
        <v>Average</v>
      </c>
      <c r="CK292" s="17">
        <v>2.2799999999999998</v>
      </c>
      <c r="CL292" s="17">
        <v>4.3899999999999997</v>
      </c>
      <c r="CN292" s="17">
        <v>6.91</v>
      </c>
      <c r="CO292" s="17">
        <v>7.24</v>
      </c>
      <c r="CQ292" s="17">
        <v>8.5</v>
      </c>
      <c r="CR292" s="20" t="str" cm="1">
        <f t="array" ref="CR292">IF(OR(ISBLANK(E292),ISBLANK(CQ292)),"Incomplete",_xlfn.XLOOKUP(CQ292,_xlfn.XLOOKUP(E292,'Normative data'!$Y$3:$Y$6,'Normative data'!$Z$3:$AG$6,,-1),'Normative data'!$Z$2:$AG$2,"Not Found",-1))</f>
        <v>Good</v>
      </c>
      <c r="CS292" s="20">
        <v>8</v>
      </c>
      <c r="CT292" s="20">
        <v>5</v>
      </c>
      <c r="CU292" s="20" cm="1">
        <f t="array" ref="CU292">_xlfn.XLOOKUP(CS292&amp;CT292,(VLOOKUP!$A$3:$A$250)&amp;(VLOOKUP!$B$3:$B$250),VLOOKUP!$C$3:$C$250,"Incomplete",-1)</f>
        <v>1320</v>
      </c>
      <c r="CV292" s="20" t="str" cm="1">
        <f t="array" ref="CV292">_xlfn.XLOOKUP(CU292, _xlfn.XLOOKUP(E292, 'Normative data'!$Y$11:$Y$14, 'Normative data'!$Z$11:$AG$14, ,-1), 'Normative data'!$Z$10:$AG$10, "Not Found", -1)</f>
        <v>Average</v>
      </c>
      <c r="CW292" s="20" cm="1">
        <f t="array" ref="CW292">IF(OR(ISBLANK(CS292),ISBLANK(CT292)),"Incomplete",_xlfn.XLOOKUP(CS292&amp;CT292,VLOOKUP!$A$4:$A$250&amp;VLOOKUP!$B$4:$B$250,VLOOKUP!$D$4:$D$250,"0"))</f>
        <v>42</v>
      </c>
    </row>
    <row r="293" spans="1:101">
      <c r="A293" s="17" t="s">
        <v>766</v>
      </c>
      <c r="B293" s="17" t="s">
        <v>767</v>
      </c>
      <c r="C293" s="17" t="s">
        <v>86</v>
      </c>
      <c r="D293" s="26"/>
      <c r="F293" s="20" t="s">
        <v>186</v>
      </c>
      <c r="G293" s="17">
        <v>2026</v>
      </c>
      <c r="I293" s="20">
        <v>2</v>
      </c>
      <c r="J293" s="20"/>
      <c r="K293" s="20"/>
      <c r="L293" s="20"/>
      <c r="S293" s="20"/>
      <c r="T293" s="20"/>
      <c r="AY293" s="41" t="str">
        <f t="shared" si="73"/>
        <v>Incomplete</v>
      </c>
      <c r="BA293" s="20" t="str">
        <f t="shared" si="74"/>
        <v>Incomplete</v>
      </c>
      <c r="BC293" s="20" t="str">
        <f t="shared" si="75"/>
        <v>Incomplete</v>
      </c>
      <c r="BE293" s="20" t="str">
        <f t="shared" si="76"/>
        <v>Incomplete</v>
      </c>
      <c r="BH293" s="20"/>
      <c r="BI293" s="20" t="str">
        <f t="shared" si="79"/>
        <v>Incomplete</v>
      </c>
      <c r="BJ293" s="20"/>
      <c r="BL293" s="20"/>
      <c r="BN293" s="20"/>
      <c r="BW293" s="91" t="str">
        <f t="shared" si="77"/>
        <v>Incomplete</v>
      </c>
      <c r="BX293" s="91" t="str">
        <f>_xlfn.XLOOKUP(BW293,'Normative data'!$V$3:$V$6,'Normative data'!$W$3:$W$6,"Not Found",-1)</f>
        <v>Very low risk</v>
      </c>
      <c r="BY293" s="91" t="str">
        <f t="shared" si="78"/>
        <v>Incomplete</v>
      </c>
      <c r="BZ293" s="91" t="str">
        <f>_xlfn.XLOOKUP(BY293,'Normative data'!$V$3:$V$6,'Normative data'!$W$3:$W$6,"Not Found",-1)</f>
        <v>Very low risk</v>
      </c>
      <c r="CA293" s="17">
        <v>24</v>
      </c>
      <c r="CC293" s="20"/>
      <c r="CE293" s="17">
        <v>3</v>
      </c>
      <c r="CH293" s="20" t="str">
        <f>_xlfn.XLOOKUP(CG293, 'Normative data'!$S$9:$S$15,'Normative data'!$T$9:$T$15, "Not Found", -1)</f>
        <v>not completed</v>
      </c>
      <c r="CJ293" s="20" t="str">
        <f>_xlfn.XLOOKUP(CI293, 'Normative data'!$S$9:$S$15, 'Normative data'!$T$9:$T$15, "Not Found", -1)</f>
        <v>not completed</v>
      </c>
      <c r="CK293" s="17">
        <v>2.2200000000000002</v>
      </c>
      <c r="CL293" s="17">
        <v>4.5</v>
      </c>
      <c r="CN293" s="17">
        <v>7.79</v>
      </c>
      <c r="CO293" s="17">
        <v>6.42</v>
      </c>
      <c r="CR293" s="20" t="str" cm="1">
        <f t="array" ref="CR293">IF(OR(ISBLANK(E293),ISBLANK(CQ293)),"Incomplete",_xlfn.XLOOKUP(CQ293,_xlfn.XLOOKUP(E293,'Normative data'!$Y$3:$Y$6,'Normative data'!$Z$3:$AG$6,,-1),'Normative data'!$Z$2:$AG$2,"Not Found",-1))</f>
        <v>Incomplete</v>
      </c>
      <c r="CS293" s="20"/>
      <c r="CT293" s="20"/>
      <c r="CU293" s="20" t="str" cm="1">
        <f t="array" ref="CU293">_xlfn.XLOOKUP(CS293&amp;CT293,(VLOOKUP!$A$3:$A$250)&amp;(VLOOKUP!$B$3:$B$250),VLOOKUP!$C$3:$C$250,"Incomplete",-1)</f>
        <v>Incomplete</v>
      </c>
      <c r="CV293" s="20" t="str" cm="1">
        <f t="array" ref="CV293">_xlfn.XLOOKUP(CU293, _xlfn.XLOOKUP(E293, 'Normative data'!$Y$11:$Y$14, 'Normative data'!$Z$11:$AG$14, ,-1), 'Normative data'!$Z$10:$AG$10, "Not Found", -1)</f>
        <v>Excellent</v>
      </c>
      <c r="CW293" s="20" t="str" cm="1">
        <f t="array" ref="CW293">IF(OR(ISBLANK(CS293),ISBLANK(CT293)),"Incomplete",_xlfn.XLOOKUP(CS293&amp;CT293,VLOOKUP!$A$4:$A$250&amp;VLOOKUP!$B$4:$B$250,VLOOKUP!$D$4:$D$250,"0"))</f>
        <v>Incomplete</v>
      </c>
    </row>
    <row r="294" spans="1:101">
      <c r="A294" s="17" t="s">
        <v>768</v>
      </c>
      <c r="B294" s="17" t="s">
        <v>769</v>
      </c>
      <c r="C294" s="17" t="s">
        <v>86</v>
      </c>
      <c r="D294" s="26">
        <v>41170</v>
      </c>
      <c r="E294" s="17">
        <v>13.7</v>
      </c>
      <c r="F294" s="20" t="s">
        <v>107</v>
      </c>
      <c r="G294" s="17">
        <v>2026</v>
      </c>
      <c r="I294" s="20">
        <v>2</v>
      </c>
      <c r="J294" s="20" t="s">
        <v>88</v>
      </c>
      <c r="K294" s="20" t="s">
        <v>170</v>
      </c>
      <c r="L294" s="20"/>
      <c r="S294" s="20">
        <v>81.8</v>
      </c>
      <c r="T294" s="20">
        <v>168.1</v>
      </c>
      <c r="U294" s="17">
        <v>59.2</v>
      </c>
      <c r="V294" s="17">
        <v>34.1</v>
      </c>
      <c r="W294" s="17">
        <v>12.5</v>
      </c>
      <c r="X294" s="17">
        <v>46.7</v>
      </c>
      <c r="Y294" s="17">
        <v>25.6</v>
      </c>
      <c r="Z294" s="17">
        <v>21</v>
      </c>
      <c r="AA294" s="17">
        <v>21.2</v>
      </c>
      <c r="AB294" s="17">
        <v>6.95</v>
      </c>
      <c r="AC294" s="17">
        <v>101.6</v>
      </c>
      <c r="AD294" s="17">
        <v>6.99</v>
      </c>
      <c r="AE294" s="17">
        <v>102.1</v>
      </c>
      <c r="AF294" s="17">
        <v>2</v>
      </c>
      <c r="AG294" s="17">
        <v>75.3</v>
      </c>
      <c r="AH294" s="17">
        <v>2</v>
      </c>
      <c r="AI294" s="17">
        <v>75.5</v>
      </c>
      <c r="AJ294" s="17">
        <v>306.7</v>
      </c>
      <c r="AK294" s="17">
        <v>302.7</v>
      </c>
      <c r="AL294" s="17">
        <v>275.7</v>
      </c>
      <c r="AM294" s="17">
        <v>271.8</v>
      </c>
      <c r="AN294" s="17">
        <v>106</v>
      </c>
      <c r="AO294" s="17">
        <v>0.84</v>
      </c>
      <c r="AP294" s="17">
        <v>6.5</v>
      </c>
      <c r="AQ294" s="17">
        <v>24.8</v>
      </c>
      <c r="AR294" s="17">
        <v>0.45</v>
      </c>
      <c r="AS294" s="17">
        <v>22.4</v>
      </c>
      <c r="AT294" s="17">
        <v>0.42699999999999999</v>
      </c>
      <c r="AU294" s="17">
        <v>16.5</v>
      </c>
      <c r="AV294" s="17">
        <v>0.36699999999999999</v>
      </c>
      <c r="AW294" s="17">
        <v>17.8</v>
      </c>
      <c r="AX294" s="17">
        <v>0.38100000000000001</v>
      </c>
      <c r="AY294" s="41">
        <f t="shared" si="73"/>
        <v>2132.12</v>
      </c>
      <c r="BA294" s="20">
        <f t="shared" si="74"/>
        <v>1986.4399999999996</v>
      </c>
      <c r="BC294" s="20">
        <f t="shared" si="75"/>
        <v>1628.31</v>
      </c>
      <c r="BE294" s="20">
        <f t="shared" si="76"/>
        <v>1707.2199999999998</v>
      </c>
      <c r="BG294" s="17">
        <v>15.4</v>
      </c>
      <c r="BH294" s="17">
        <v>45.9</v>
      </c>
      <c r="BI294" s="20">
        <f t="shared" si="79"/>
        <v>30.5</v>
      </c>
      <c r="BJ294" s="20"/>
      <c r="BK294" s="17">
        <v>8.6</v>
      </c>
      <c r="BL294" s="20"/>
      <c r="BM294" s="17">
        <v>11.5</v>
      </c>
      <c r="BN294" s="20"/>
      <c r="BQ294" s="17">
        <v>80</v>
      </c>
      <c r="BR294" s="17">
        <v>78</v>
      </c>
      <c r="BS294" s="17">
        <v>72</v>
      </c>
      <c r="BT294" s="17">
        <v>82</v>
      </c>
      <c r="BU294" s="17">
        <v>89</v>
      </c>
      <c r="BV294" s="17">
        <v>72</v>
      </c>
      <c r="BW294" s="91">
        <f t="shared" si="77"/>
        <v>88.837388953263812</v>
      </c>
      <c r="BX294" s="91" t="str">
        <f>_xlfn.XLOOKUP(BW294,'Normative data'!$V$3:$V$6,'Normative data'!$W$3:$W$6,"Not Found",-1)</f>
        <v>High risk</v>
      </c>
      <c r="BY294" s="91">
        <f t="shared" si="78"/>
        <v>93.858632676709163</v>
      </c>
      <c r="BZ294" s="91" t="str">
        <f>_xlfn.XLOOKUP(BY294,'Normative data'!$V$3:$V$6,'Normative data'!$W$3:$W$6,"Not Found",-1)</f>
        <v>High risk</v>
      </c>
      <c r="CA294" s="17">
        <v>49</v>
      </c>
      <c r="CC294" s="20"/>
      <c r="CE294" s="17">
        <v>30</v>
      </c>
      <c r="CG294" s="17">
        <v>18.86</v>
      </c>
      <c r="CH294" s="20" t="str">
        <f>_xlfn.XLOOKUP(CG294, 'Normative data'!$S$9:$S$15,'Normative data'!$T$9:$T$15, "Not Found", -1)</f>
        <v>Average</v>
      </c>
      <c r="CI294" s="17">
        <v>18.8</v>
      </c>
      <c r="CJ294" s="20" t="str">
        <f>_xlfn.XLOOKUP(CI294, 'Normative data'!$S$9:$S$15, 'Normative data'!$T$9:$T$15, "Not Found", -1)</f>
        <v>Average</v>
      </c>
      <c r="CK294" s="17">
        <v>2.09</v>
      </c>
      <c r="CL294" s="17">
        <v>4.78</v>
      </c>
      <c r="CN294" s="17">
        <v>6.66</v>
      </c>
      <c r="CO294" s="17">
        <v>7.51</v>
      </c>
      <c r="CQ294" s="17">
        <v>7.9</v>
      </c>
      <c r="CR294" s="20" t="str" cm="1">
        <f t="array" ref="CR294">IF(OR(ISBLANK(E294),ISBLANK(CQ294)),"Incomplete",_xlfn.XLOOKUP(CQ294,_xlfn.XLOOKUP(E294,'Normative data'!$Y$3:$Y$6,'Normative data'!$Z$3:$AG$6,,-1),'Normative data'!$Z$2:$AG$2,"Not Found",-1))</f>
        <v>Very good</v>
      </c>
      <c r="CS294" s="20">
        <v>7</v>
      </c>
      <c r="CT294" s="20">
        <v>9</v>
      </c>
      <c r="CU294" s="20" cm="1">
        <f t="array" ref="CU294">_xlfn.XLOOKUP(CS294&amp;CT294,(VLOOKUP!$A$3:$A$250)&amp;(VLOOKUP!$B$3:$B$250),VLOOKUP!$C$3:$C$250,"Incomplete",-1)</f>
        <v>1200</v>
      </c>
      <c r="CV294" s="20" t="str" cm="1">
        <f t="array" ref="CV294">_xlfn.XLOOKUP(CU294, _xlfn.XLOOKUP(E294, 'Normative data'!$Y$11:$Y$14, 'Normative data'!$Z$11:$AG$14, ,-1), 'Normative data'!$Z$10:$AG$10, "Not Found", -1)</f>
        <v xml:space="preserve">Very good </v>
      </c>
      <c r="CW294" s="20" cm="1">
        <f t="array" ref="CW294">IF(OR(ISBLANK(CS294),ISBLANK(CT294)),"Incomplete",_xlfn.XLOOKUP(CS294&amp;CT294,VLOOKUP!$A$4:$A$250&amp;VLOOKUP!$B$4:$B$250,VLOOKUP!$D$4:$D$250,"0"))</f>
        <v>40</v>
      </c>
    </row>
    <row r="295" spans="1:101">
      <c r="A295" s="17" t="s">
        <v>770</v>
      </c>
      <c r="B295" s="17" t="s">
        <v>771</v>
      </c>
      <c r="C295" s="17" t="s">
        <v>86</v>
      </c>
      <c r="D295" s="26">
        <v>40227</v>
      </c>
      <c r="E295" s="17">
        <v>16.2</v>
      </c>
      <c r="F295" s="20" t="s">
        <v>186</v>
      </c>
      <c r="G295" s="17">
        <v>2026</v>
      </c>
      <c r="I295" s="20">
        <v>2</v>
      </c>
      <c r="J295" s="20" t="s">
        <v>100</v>
      </c>
      <c r="K295" s="20" t="s">
        <v>297</v>
      </c>
      <c r="L295" s="20" t="s">
        <v>567</v>
      </c>
      <c r="S295" s="20">
        <v>83</v>
      </c>
      <c r="T295" s="20">
        <v>158.30000000000001</v>
      </c>
      <c r="U295" s="17">
        <v>51.2</v>
      </c>
      <c r="V295" s="17">
        <v>29.6</v>
      </c>
      <c r="W295" s="17">
        <v>10.7</v>
      </c>
      <c r="X295" s="17">
        <v>40.5</v>
      </c>
      <c r="Y295" s="17">
        <v>22</v>
      </c>
      <c r="Z295" s="17">
        <v>20.399999999999999</v>
      </c>
      <c r="AA295" s="17">
        <v>21</v>
      </c>
      <c r="AB295" s="17">
        <v>5.64</v>
      </c>
      <c r="AC295" s="17">
        <v>98.8</v>
      </c>
      <c r="AD295" s="17">
        <v>5.6</v>
      </c>
      <c r="AE295" s="17">
        <v>98</v>
      </c>
      <c r="AF295" s="17">
        <v>1.7</v>
      </c>
      <c r="AG295" s="17">
        <v>81.099999999999994</v>
      </c>
      <c r="AH295" s="17">
        <v>1.7</v>
      </c>
      <c r="AI295" s="17">
        <v>80.8</v>
      </c>
      <c r="AJ295" s="17">
        <v>323.39999999999998</v>
      </c>
      <c r="AK295" s="17">
        <v>328.6</v>
      </c>
      <c r="AL295" s="17">
        <v>286.60000000000002</v>
      </c>
      <c r="AM295" s="17">
        <v>291.5</v>
      </c>
      <c r="AN295" s="17">
        <v>95</v>
      </c>
      <c r="AO295" s="17">
        <v>0.84</v>
      </c>
      <c r="AP295" s="17">
        <v>6</v>
      </c>
      <c r="AQ295" s="17">
        <v>24.4</v>
      </c>
      <c r="AR295" s="17">
        <v>0.44600000000000001</v>
      </c>
      <c r="AS295" s="17">
        <v>30.6</v>
      </c>
      <c r="AT295" s="17">
        <v>0.5</v>
      </c>
      <c r="AU295" s="17">
        <v>16.600000000000001</v>
      </c>
      <c r="AV295" s="17">
        <v>0.36799999999999999</v>
      </c>
      <c r="AW295" s="17">
        <v>17</v>
      </c>
      <c r="AX295" s="17">
        <v>0.372</v>
      </c>
      <c r="AY295" s="41">
        <f t="shared" si="73"/>
        <v>1745.44</v>
      </c>
      <c r="BA295" s="20">
        <f t="shared" si="74"/>
        <v>2121.7800000000007</v>
      </c>
      <c r="BC295" s="20">
        <f t="shared" si="75"/>
        <v>1271.9800000000005</v>
      </c>
      <c r="BE295" s="20">
        <f t="shared" si="76"/>
        <v>1296.2600000000002</v>
      </c>
      <c r="BG295" s="17">
        <v>20</v>
      </c>
      <c r="BH295" s="17">
        <v>34.5</v>
      </c>
      <c r="BI295" s="20">
        <f t="shared" si="79"/>
        <v>14.5</v>
      </c>
      <c r="BJ295" s="20"/>
      <c r="BK295" s="17">
        <v>3.3</v>
      </c>
      <c r="BL295" s="20"/>
      <c r="BM295" s="17">
        <v>1.9</v>
      </c>
      <c r="BN295" s="20"/>
      <c r="BO295" s="17">
        <v>48</v>
      </c>
      <c r="BP295" s="17">
        <v>47.5</v>
      </c>
      <c r="BQ295" s="17">
        <v>68</v>
      </c>
      <c r="BR295" s="17">
        <v>69</v>
      </c>
      <c r="BS295" s="17">
        <v>69</v>
      </c>
      <c r="BT295" s="17">
        <v>64</v>
      </c>
      <c r="BU295" s="17">
        <v>74</v>
      </c>
      <c r="BV295" s="17">
        <v>74</v>
      </c>
      <c r="BW295" s="91">
        <f t="shared" si="77"/>
        <v>91.190792386011495</v>
      </c>
      <c r="BX295" s="91" t="str">
        <f>_xlfn.XLOOKUP(BW295,'Normative data'!$V$3:$V$6,'Normative data'!$W$3:$W$6,"Not Found",-1)</f>
        <v>High risk</v>
      </c>
      <c r="BY295" s="91">
        <f t="shared" si="78"/>
        <v>93.846834882691439</v>
      </c>
      <c r="BZ295" s="91" t="str">
        <f>_xlfn.XLOOKUP(BY295,'Normative data'!$V$3:$V$6,'Normative data'!$W$3:$W$6,"Not Found",-1)</f>
        <v>High risk</v>
      </c>
      <c r="CA295" s="17">
        <v>25</v>
      </c>
      <c r="CC295" s="20"/>
      <c r="CE295" s="17">
        <v>14</v>
      </c>
      <c r="CG295" s="17">
        <v>18.66</v>
      </c>
      <c r="CH295" s="20" t="str">
        <f>_xlfn.XLOOKUP(CG295, 'Normative data'!$S$9:$S$15,'Normative data'!$T$9:$T$15, "Not Found", -1)</f>
        <v>Average</v>
      </c>
      <c r="CI295" s="17">
        <v>17.37</v>
      </c>
      <c r="CJ295" s="20" t="str">
        <f>_xlfn.XLOOKUP(CI295, 'Normative data'!$S$9:$S$15, 'Normative data'!$T$9:$T$15, "Not Found", -1)</f>
        <v>Above Average</v>
      </c>
      <c r="CK295" s="21"/>
      <c r="CL295" s="21"/>
      <c r="CM295" s="21"/>
      <c r="CN295" s="21"/>
      <c r="CO295" s="21"/>
      <c r="CQ295" s="17">
        <v>8.3000000000000007</v>
      </c>
      <c r="CR295" s="20" t="str" cm="1">
        <f t="array" ref="CR295">IF(OR(ISBLANK(E295),ISBLANK(CQ295)),"Incomplete",_xlfn.XLOOKUP(CQ295,_xlfn.XLOOKUP(E295,'Normative data'!$Y$3:$Y$6,'Normative data'!$Z$3:$AG$6,,-1),'Normative data'!$Z$2:$AG$2,"Not Found",-1))</f>
        <v>Average</v>
      </c>
      <c r="CS295" s="20">
        <v>8</v>
      </c>
      <c r="CT295" s="20">
        <v>3</v>
      </c>
      <c r="CU295" s="20" cm="1">
        <f t="array" ref="CU295">_xlfn.XLOOKUP(CS295&amp;CT295,(VLOOKUP!$A$3:$A$250)&amp;(VLOOKUP!$B$3:$B$250),VLOOKUP!$C$3:$C$250,"Incomplete",-1)</f>
        <v>1280</v>
      </c>
      <c r="CV295" s="20" t="str" cm="1">
        <f t="array" ref="CV295">_xlfn.XLOOKUP(CU295, _xlfn.XLOOKUP(E295, 'Normative data'!$Y$11:$Y$14, 'Normative data'!$Z$11:$AG$14, ,-1), 'Normative data'!$Z$10:$AG$10, "Not Found", -1)</f>
        <v>Average</v>
      </c>
      <c r="CW295" s="20" cm="1">
        <f t="array" ref="CW295">IF(OR(ISBLANK(CS295),ISBLANK(CT295)),"Incomplete",_xlfn.XLOOKUP(CS295&amp;CT295,VLOOKUP!$A$4:$A$250&amp;VLOOKUP!$B$4:$B$250,VLOOKUP!$D$4:$D$250,"0"))</f>
        <v>41</v>
      </c>
    </row>
    <row r="296" spans="1:101">
      <c r="A296" s="17" t="s">
        <v>177</v>
      </c>
      <c r="B296" s="17" t="s">
        <v>176</v>
      </c>
      <c r="C296" s="17" t="s">
        <v>86</v>
      </c>
      <c r="D296" s="23">
        <v>40457</v>
      </c>
      <c r="F296" s="17">
        <v>9</v>
      </c>
      <c r="G296" s="17">
        <v>2025</v>
      </c>
      <c r="H296" s="20" t="s">
        <v>124</v>
      </c>
      <c r="I296" s="17">
        <v>3</v>
      </c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41" t="str">
        <f t="shared" si="73"/>
        <v>Incomplete</v>
      </c>
      <c r="AZ296" s="20"/>
      <c r="BA296" s="20" t="str">
        <f t="shared" si="74"/>
        <v>Incomplete</v>
      </c>
      <c r="BB296" s="20"/>
      <c r="BC296" s="20" t="str">
        <f t="shared" si="75"/>
        <v>Incomplete</v>
      </c>
      <c r="BD296" s="20"/>
      <c r="BE296" s="20" t="str">
        <f t="shared" si="76"/>
        <v>Incomplete</v>
      </c>
      <c r="BF296" s="20"/>
      <c r="BG296" s="20"/>
      <c r="BH296" s="20"/>
      <c r="BI296" s="20" t="str">
        <f t="shared" si="79"/>
        <v>Incomplete</v>
      </c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91" t="str">
        <f t="shared" si="77"/>
        <v>Incomplete</v>
      </c>
      <c r="BX296" s="91" t="str">
        <f>_xlfn.XLOOKUP(BW296,'Normative data'!$V$3:$V$6,'Normative data'!$W$3:$W$6,"Not Found",-1)</f>
        <v>Very low risk</v>
      </c>
      <c r="BY296" s="91" t="str">
        <f t="shared" si="78"/>
        <v>Incomplete</v>
      </c>
      <c r="BZ296" s="91" t="str">
        <f>_xlfn.XLOOKUP(BY296,'Normative data'!$V$3:$V$6,'Normative data'!$W$3:$W$6,"Not Found",-1)</f>
        <v>Very low risk</v>
      </c>
      <c r="CA296" s="20"/>
      <c r="CC296" s="20"/>
      <c r="CE296" s="20"/>
      <c r="CG296" s="20"/>
      <c r="CH296" s="20" t="str">
        <f>_xlfn.XLOOKUP(CG296, 'Normative data'!$S$9:$S$15,'Normative data'!$T$9:$T$15, "Not Found", -1)</f>
        <v>not completed</v>
      </c>
      <c r="CI296" s="20"/>
      <c r="CJ296" s="20" t="str">
        <f>_xlfn.XLOOKUP(CI296, 'Normative data'!$S$9:$S$15, 'Normative data'!$T$9:$T$15, "Not Found", -1)</f>
        <v>not completed</v>
      </c>
      <c r="CK296" s="20" t="s">
        <v>360</v>
      </c>
      <c r="CL296" s="20" t="s">
        <v>451</v>
      </c>
      <c r="CN296" s="20" t="s">
        <v>772</v>
      </c>
      <c r="CO296" s="20" t="s">
        <v>773</v>
      </c>
      <c r="CQ296" s="20"/>
      <c r="CR296" s="20" t="str" cm="1">
        <f t="array" ref="CR296">IF(OR(ISBLANK(E296),ISBLANK(CQ296)),"Incomplete",_xlfn.XLOOKUP(CQ296,_xlfn.XLOOKUP(E296,'Normative data'!$Y$3:$Y$6,'Normative data'!$Z$3:$AG$6,,-1),'Normative data'!$Z$2:$AG$2,"Not Found",-1))</f>
        <v>Incomplete</v>
      </c>
      <c r="CS296" s="20"/>
      <c r="CT296" s="20"/>
      <c r="CU296" s="20" t="str" cm="1">
        <f t="array" ref="CU296">_xlfn.XLOOKUP(CS296&amp;CT296,(VLOOKUP!$A$3:$A$250)&amp;(VLOOKUP!$B$3:$B$250),VLOOKUP!$C$3:$C$250,"Incomplete",-1)</f>
        <v>Incomplete</v>
      </c>
      <c r="CV296" s="20" t="str" cm="1">
        <f t="array" ref="CV296">_xlfn.XLOOKUP(CU296, _xlfn.XLOOKUP(E296, 'Normative data'!$Y$11:$Y$14, 'Normative data'!$Z$11:$AG$14, ,-1), 'Normative data'!$Z$10:$AG$10, "Not Found", -1)</f>
        <v>Excellent</v>
      </c>
      <c r="CW296" s="20" t="str" cm="1">
        <f t="array" ref="CW296">IF(OR(ISBLANK(CS296),ISBLANK(CT296)),"Incomplete",_xlfn.XLOOKUP(CS296&amp;CT296,VLOOKUP!$A$4:$A$250&amp;VLOOKUP!$B$4:$B$250,VLOOKUP!$D$4:$D$250,"0"))</f>
        <v>Incomplete</v>
      </c>
    </row>
    <row r="297" spans="1:101">
      <c r="A297" s="17" t="s">
        <v>774</v>
      </c>
      <c r="B297" s="17" t="s">
        <v>775</v>
      </c>
      <c r="C297" s="17" t="s">
        <v>86</v>
      </c>
      <c r="D297" s="20"/>
      <c r="F297" s="20" t="s">
        <v>107</v>
      </c>
      <c r="G297" s="17">
        <v>2026</v>
      </c>
      <c r="I297" s="20">
        <v>2</v>
      </c>
      <c r="J297" s="20"/>
      <c r="K297" s="20"/>
      <c r="L297" s="20"/>
      <c r="S297" s="20">
        <v>79</v>
      </c>
      <c r="T297" s="20">
        <v>159.69999999999999</v>
      </c>
      <c r="AQ297" s="20"/>
      <c r="AR297" s="20"/>
      <c r="AS297" s="20"/>
      <c r="AT297" s="20"/>
      <c r="AU297" s="20"/>
      <c r="AV297" s="20"/>
      <c r="AW297" s="20"/>
      <c r="AX297" s="20"/>
      <c r="AY297" s="41" t="str">
        <f t="shared" si="73"/>
        <v>Incomplete</v>
      </c>
      <c r="BA297" s="20" t="str">
        <f t="shared" si="74"/>
        <v>Incomplete</v>
      </c>
      <c r="BC297" s="20" t="str">
        <f t="shared" si="75"/>
        <v>Incomplete</v>
      </c>
      <c r="BE297" s="20" t="str">
        <f t="shared" si="76"/>
        <v>Incomplete</v>
      </c>
      <c r="BH297" s="17">
        <v>27.5</v>
      </c>
      <c r="BI297" s="20" t="str">
        <f t="shared" si="79"/>
        <v>Incomplete</v>
      </c>
      <c r="BJ297" s="20"/>
      <c r="BK297" s="17">
        <v>12.2</v>
      </c>
      <c r="BL297" s="20"/>
      <c r="BM297" s="17">
        <v>10.4</v>
      </c>
      <c r="BN297" s="20"/>
      <c r="BW297" s="91">
        <f t="shared" si="77"/>
        <v>0</v>
      </c>
      <c r="BX297" s="91" t="str">
        <f>_xlfn.XLOOKUP(BW297,'Normative data'!$V$3:$V$6,'Normative data'!$W$3:$W$6,"Not Found",-1)</f>
        <v>Not completed</v>
      </c>
      <c r="BY297" s="91">
        <f t="shared" si="78"/>
        <v>0</v>
      </c>
      <c r="BZ297" s="91" t="str">
        <f>_xlfn.XLOOKUP(BY297,'Normative data'!$V$3:$V$6,'Normative data'!$W$3:$W$6,"Not Found",-1)</f>
        <v>Not completed</v>
      </c>
      <c r="CA297" s="20"/>
      <c r="CC297" s="20"/>
      <c r="CE297" s="17">
        <v>8</v>
      </c>
      <c r="CG297" s="17">
        <v>21.01</v>
      </c>
      <c r="CH297" s="20" t="str">
        <f>_xlfn.XLOOKUP(CG297, 'Normative data'!$S$9:$S$15,'Normative data'!$T$9:$T$15, "Not Found", -1)</f>
        <v>Average</v>
      </c>
      <c r="CI297" s="17">
        <v>20.43</v>
      </c>
      <c r="CJ297" s="20" t="str">
        <f>_xlfn.XLOOKUP(CI297, 'Normative data'!$S$9:$S$15, 'Normative data'!$T$9:$T$15, "Not Found", -1)</f>
        <v>Average</v>
      </c>
      <c r="CK297" s="17">
        <v>2.62</v>
      </c>
      <c r="CL297" s="17">
        <v>3.82</v>
      </c>
      <c r="CN297" s="17">
        <v>8.2100000000000009</v>
      </c>
      <c r="CO297" s="17">
        <v>6.09</v>
      </c>
      <c r="CQ297" s="17">
        <v>6.1</v>
      </c>
      <c r="CR297" s="20" t="str" cm="1">
        <f t="array" ref="CR297">IF(OR(ISBLANK(E297),ISBLANK(CQ297)),"Incomplete",_xlfn.XLOOKUP(CQ297,_xlfn.XLOOKUP(E297,'Normative data'!$Y$3:$Y$6,'Normative data'!$Z$3:$AG$6,,-1),'Normative data'!$Z$2:$AG$2,"Not Found",-1))</f>
        <v>Incomplete</v>
      </c>
      <c r="CS297" s="20">
        <v>6</v>
      </c>
      <c r="CT297" s="20">
        <v>1</v>
      </c>
      <c r="CU297" s="20" cm="1">
        <f t="array" ref="CU297">_xlfn.XLOOKUP(CS297&amp;CT297,(VLOOKUP!$A$3:$A$250)&amp;(VLOOKUP!$B$3:$B$250),VLOOKUP!$C$3:$C$250,"Incomplete",-1)</f>
        <v>840</v>
      </c>
      <c r="CV297" s="20" t="str" cm="1">
        <f t="array" ref="CV297">_xlfn.XLOOKUP(CU297, _xlfn.XLOOKUP(E297, 'Normative data'!$Y$11:$Y$14, 'Normative data'!$Z$11:$AG$14, ,-1), 'Normative data'!$Z$10:$AG$10, "Not Found", -1)</f>
        <v xml:space="preserve">Fair </v>
      </c>
      <c r="CW297" s="20" cm="1">
        <f t="array" ref="CW297">IF(OR(ISBLANK(CS297),ISBLANK(CT297)),"Incomplete",_xlfn.XLOOKUP(CS297&amp;CT297,VLOOKUP!$A$4:$A$250&amp;VLOOKUP!$B$4:$B$250,VLOOKUP!$D$4:$D$250,"0"))</f>
        <v>33</v>
      </c>
    </row>
    <row r="298" spans="1:101">
      <c r="A298" s="17" t="s">
        <v>776</v>
      </c>
      <c r="B298" s="17" t="s">
        <v>775</v>
      </c>
      <c r="C298" s="17" t="s">
        <v>86</v>
      </c>
      <c r="D298" s="26"/>
      <c r="F298" s="20" t="s">
        <v>154</v>
      </c>
      <c r="G298" s="17">
        <v>2026</v>
      </c>
      <c r="I298" s="20">
        <v>2</v>
      </c>
      <c r="J298" s="20"/>
      <c r="K298" s="20"/>
      <c r="L298" s="20"/>
      <c r="S298" s="20"/>
      <c r="T298" s="20"/>
      <c r="AY298" s="41" t="str">
        <f t="shared" si="73"/>
        <v>Incomplete</v>
      </c>
      <c r="BA298" s="20" t="str">
        <f t="shared" si="74"/>
        <v>Incomplete</v>
      </c>
      <c r="BC298" s="20" t="str">
        <f t="shared" si="75"/>
        <v>Incomplete</v>
      </c>
      <c r="BE298" s="20" t="str">
        <f t="shared" si="76"/>
        <v>Incomplete</v>
      </c>
      <c r="BH298" s="20"/>
      <c r="BI298" s="20" t="str">
        <f t="shared" si="79"/>
        <v>Incomplete</v>
      </c>
      <c r="BJ298" s="20"/>
      <c r="BL298" s="20"/>
      <c r="BN298" s="20"/>
      <c r="BQ298" s="17">
        <v>72</v>
      </c>
      <c r="BR298" s="17">
        <v>64</v>
      </c>
      <c r="BS298" s="17">
        <v>60</v>
      </c>
      <c r="BT298" s="17">
        <v>66</v>
      </c>
      <c r="BU298" s="17">
        <v>65</v>
      </c>
      <c r="BV298" s="17">
        <v>60</v>
      </c>
      <c r="BW298" s="91" t="str">
        <f t="shared" si="77"/>
        <v>Incomplete</v>
      </c>
      <c r="BX298" s="91" t="str">
        <f>_xlfn.XLOOKUP(BW298,'Normative data'!$V$3:$V$6,'Normative data'!$W$3:$W$6,"Not Found",-1)</f>
        <v>Very low risk</v>
      </c>
      <c r="BY298" s="91" t="str">
        <f t="shared" si="78"/>
        <v>Incomplete</v>
      </c>
      <c r="BZ298" s="91" t="str">
        <f>_xlfn.XLOOKUP(BY298,'Normative data'!$V$3:$V$6,'Normative data'!$W$3:$W$6,"Not Found",-1)</f>
        <v>Very low risk</v>
      </c>
      <c r="CA298" s="17">
        <v>25</v>
      </c>
      <c r="CC298" s="20"/>
      <c r="CE298" s="17">
        <v>7</v>
      </c>
      <c r="CG298" s="20"/>
      <c r="CH298" s="20" t="str">
        <f>_xlfn.XLOOKUP(CG298, 'Normative data'!$S$9:$S$15,'Normative data'!$T$9:$T$15, "Not Found", -1)</f>
        <v>not completed</v>
      </c>
      <c r="CI298" s="20"/>
      <c r="CJ298" s="20" t="str">
        <f>_xlfn.XLOOKUP(CI298, 'Normative data'!$S$9:$S$15, 'Normative data'!$T$9:$T$15, "Not Found", -1)</f>
        <v>not completed</v>
      </c>
      <c r="CK298" s="17">
        <v>2.41</v>
      </c>
      <c r="CL298" s="17">
        <v>4.1500000000000004</v>
      </c>
      <c r="CN298" s="17">
        <v>7.7</v>
      </c>
      <c r="CO298" s="17">
        <v>6.49</v>
      </c>
      <c r="CR298" s="20" t="str" cm="1">
        <f t="array" ref="CR298">IF(OR(ISBLANK(E298),ISBLANK(CQ298)),"Incomplete",_xlfn.XLOOKUP(CQ298,_xlfn.XLOOKUP(E298,'Normative data'!$Y$3:$Y$6,'Normative data'!$Z$3:$AG$6,,-1),'Normative data'!$Z$2:$AG$2,"Not Found",-1))</f>
        <v>Incomplete</v>
      </c>
      <c r="CS298" s="20"/>
      <c r="CT298" s="20"/>
      <c r="CU298" s="20" t="str" cm="1">
        <f t="array" ref="CU298">_xlfn.XLOOKUP(CS298&amp;CT298,(VLOOKUP!$A$3:$A$250)&amp;(VLOOKUP!$B$3:$B$250),VLOOKUP!$C$3:$C$250,"Incomplete",-1)</f>
        <v>Incomplete</v>
      </c>
      <c r="CV298" s="20" t="str" cm="1">
        <f t="array" ref="CV298">_xlfn.XLOOKUP(CU298, _xlfn.XLOOKUP(E298, 'Normative data'!$Y$11:$Y$14, 'Normative data'!$Z$11:$AG$14, ,-1), 'Normative data'!$Z$10:$AG$10, "Not Found", -1)</f>
        <v>Excellent</v>
      </c>
      <c r="CW298" s="20" t="str" cm="1">
        <f t="array" ref="CW298">IF(OR(ISBLANK(CS298),ISBLANK(CT298)),"Incomplete",_xlfn.XLOOKUP(CS298&amp;CT298,VLOOKUP!$A$4:$A$250&amp;VLOOKUP!$B$4:$B$250,VLOOKUP!$D$4:$D$250,"0"))</f>
        <v>Incomplete</v>
      </c>
    </row>
    <row r="299" spans="1:101">
      <c r="A299" s="17" t="s">
        <v>396</v>
      </c>
      <c r="B299" s="17" t="s">
        <v>725</v>
      </c>
      <c r="C299" s="17" t="s">
        <v>86</v>
      </c>
      <c r="D299" s="26">
        <v>41163</v>
      </c>
      <c r="E299" s="17">
        <v>13.5</v>
      </c>
      <c r="F299" s="20" t="s">
        <v>157</v>
      </c>
      <c r="G299" s="17">
        <v>2026</v>
      </c>
      <c r="I299" s="20">
        <v>2</v>
      </c>
      <c r="J299" s="20" t="s">
        <v>100</v>
      </c>
      <c r="K299" s="20" t="s">
        <v>158</v>
      </c>
      <c r="L299" s="20"/>
      <c r="S299" s="20">
        <v>84</v>
      </c>
      <c r="T299" s="20">
        <v>163.5</v>
      </c>
      <c r="U299" s="17">
        <v>59.2</v>
      </c>
      <c r="V299" s="17">
        <v>29.5</v>
      </c>
      <c r="W299" s="17">
        <v>18.8</v>
      </c>
      <c r="X299" s="17">
        <v>40.4</v>
      </c>
      <c r="Y299" s="17">
        <v>22</v>
      </c>
      <c r="Z299" s="17">
        <v>22.1</v>
      </c>
      <c r="AA299" s="17">
        <v>31.8</v>
      </c>
      <c r="AB299" s="17">
        <v>6.54</v>
      </c>
      <c r="AC299" s="17">
        <v>97.5</v>
      </c>
      <c r="AD299" s="17">
        <v>6.51</v>
      </c>
      <c r="AE299" s="17">
        <v>97.1</v>
      </c>
      <c r="AF299" s="17">
        <v>3.1</v>
      </c>
      <c r="AG299" s="17">
        <v>126.1</v>
      </c>
      <c r="AH299" s="17">
        <v>3.1</v>
      </c>
      <c r="AI299" s="17">
        <v>125.9</v>
      </c>
      <c r="AJ299" s="17">
        <v>313.60000000000002</v>
      </c>
      <c r="AK299" s="17">
        <v>315.89999999999998</v>
      </c>
      <c r="AL299" s="17">
        <v>276</v>
      </c>
      <c r="AM299" s="17">
        <v>278</v>
      </c>
      <c r="AN299" s="17">
        <v>96</v>
      </c>
      <c r="AO299" s="17">
        <v>0.85</v>
      </c>
      <c r="AP299" s="17">
        <v>6.3</v>
      </c>
      <c r="AQ299" s="17">
        <v>18.8</v>
      </c>
      <c r="AR299" s="17">
        <v>0.39200000000000002</v>
      </c>
      <c r="AS299" s="17">
        <v>24.6</v>
      </c>
      <c r="AT299" s="17">
        <v>0.44800000000000001</v>
      </c>
      <c r="AU299" s="17">
        <v>10.199999999999999</v>
      </c>
      <c r="AV299" s="17">
        <v>0.28799999999999998</v>
      </c>
      <c r="AW299" s="17">
        <v>13.6</v>
      </c>
      <c r="AX299" s="17">
        <v>0.33300000000000002</v>
      </c>
      <c r="AY299" s="41">
        <f t="shared" si="73"/>
        <v>1767.92</v>
      </c>
      <c r="BA299" s="20">
        <f t="shared" si="74"/>
        <v>2119.9799999999996</v>
      </c>
      <c r="BC299" s="20">
        <f t="shared" si="75"/>
        <v>1245.8999999999996</v>
      </c>
      <c r="BE299" s="20">
        <f t="shared" si="76"/>
        <v>1452.2799999999997</v>
      </c>
      <c r="BG299" s="17">
        <v>17</v>
      </c>
      <c r="BH299" s="17">
        <v>38</v>
      </c>
      <c r="BI299" s="20">
        <f t="shared" si="79"/>
        <v>21</v>
      </c>
      <c r="BJ299" s="20"/>
      <c r="BK299" s="17">
        <v>8</v>
      </c>
      <c r="BL299" s="20"/>
      <c r="BM299" s="17">
        <v>8.5</v>
      </c>
      <c r="BN299" s="20"/>
      <c r="BO299" s="17">
        <v>49</v>
      </c>
      <c r="BP299" s="17">
        <v>48.5</v>
      </c>
      <c r="BQ299" s="17">
        <v>79</v>
      </c>
      <c r="BR299" s="17">
        <v>79</v>
      </c>
      <c r="BS299" s="17">
        <v>70</v>
      </c>
      <c r="BT299" s="17">
        <v>78</v>
      </c>
      <c r="BU299" s="17">
        <v>80</v>
      </c>
      <c r="BV299" s="17">
        <v>76</v>
      </c>
      <c r="BW299" s="91">
        <f t="shared" si="77"/>
        <v>95.59748427672956</v>
      </c>
      <c r="BX299" s="91" t="str">
        <f>_xlfn.XLOOKUP(BW299,'Normative data'!$V$3:$V$6,'Normative data'!$W$3:$W$6,"Not Found",-1)</f>
        <v>High risk</v>
      </c>
      <c r="BY299" s="91">
        <f t="shared" si="78"/>
        <v>98.113207547169807</v>
      </c>
      <c r="BZ299" s="91" t="str">
        <f>_xlfn.XLOOKUP(BY299,'Normative data'!$V$3:$V$6,'Normative data'!$W$3:$W$6,"Not Found",-1)</f>
        <v>Low risk</v>
      </c>
      <c r="CA299" s="17">
        <v>28</v>
      </c>
      <c r="CC299" s="20"/>
      <c r="CE299" s="17">
        <v>14</v>
      </c>
      <c r="CG299" s="17">
        <v>18.600000000000001</v>
      </c>
      <c r="CH299" s="20" t="str">
        <f>_xlfn.XLOOKUP(CG299, 'Normative data'!$S$9:$S$15,'Normative data'!$T$9:$T$15, "Not Found", -1)</f>
        <v>Average</v>
      </c>
      <c r="CI299" s="17">
        <v>17.989999999999998</v>
      </c>
      <c r="CJ299" s="20" t="str">
        <f>_xlfn.XLOOKUP(CI299, 'Normative data'!$S$9:$S$15, 'Normative data'!$T$9:$T$15, "Not Found", -1)</f>
        <v>Above Average</v>
      </c>
      <c r="CK299" s="17">
        <v>2.11</v>
      </c>
      <c r="CL299" s="17">
        <v>4.74</v>
      </c>
      <c r="CN299" s="17">
        <v>6.95</v>
      </c>
      <c r="CO299" s="17">
        <v>7.19</v>
      </c>
      <c r="CQ299" s="17">
        <v>6.1</v>
      </c>
      <c r="CR299" s="20" t="str" cm="1">
        <f t="array" ref="CR299">IF(OR(ISBLANK(E299),ISBLANK(CQ299)),"Incomplete",_xlfn.XLOOKUP(CQ299,_xlfn.XLOOKUP(E299,'Normative data'!$Y$3:$Y$6,'Normative data'!$Z$3:$AG$6,,-1),'Normative data'!$Z$2:$AG$2,"Not Found",-1))</f>
        <v>Average</v>
      </c>
      <c r="CS299" s="20">
        <v>3</v>
      </c>
      <c r="CT299" s="20">
        <v>1</v>
      </c>
      <c r="CU299" s="20" cm="1">
        <f t="array" ref="CU299">_xlfn.XLOOKUP(CS299&amp;CT299,(VLOOKUP!$A$3:$A$250)&amp;(VLOOKUP!$B$3:$B$250),VLOOKUP!$C$3:$C$250,"Incomplete",-1)</f>
        <v>320</v>
      </c>
      <c r="CV299" s="20" t="str" cm="1">
        <f t="array" ref="CV299">_xlfn.XLOOKUP(CU299, _xlfn.XLOOKUP(E299, 'Normative data'!$Y$11:$Y$14, 'Normative data'!$Z$11:$AG$14, ,-1), 'Normative data'!$Z$10:$AG$10, "Not Found", -1)</f>
        <v xml:space="preserve">Poor </v>
      </c>
      <c r="CW299" s="20" cm="1">
        <f t="array" ref="CW299">IF(OR(ISBLANK(CS299),ISBLANK(CT299)),"Incomplete",_xlfn.XLOOKUP(CS299&amp;CT299,VLOOKUP!$A$4:$A$250&amp;VLOOKUP!$B$4:$B$250,VLOOKUP!$D$4:$D$250,"0"))</f>
        <v>23</v>
      </c>
    </row>
    <row r="300" spans="1:101">
      <c r="A300" s="17" t="s">
        <v>726</v>
      </c>
      <c r="B300" s="17" t="s">
        <v>725</v>
      </c>
      <c r="C300" s="17" t="s">
        <v>86</v>
      </c>
      <c r="D300" s="26">
        <v>39448</v>
      </c>
      <c r="F300" s="20">
        <v>12</v>
      </c>
      <c r="G300" s="17">
        <v>2026</v>
      </c>
      <c r="I300" s="20">
        <v>2</v>
      </c>
      <c r="J300" s="20" t="s">
        <v>122</v>
      </c>
      <c r="K300" s="20" t="s">
        <v>101</v>
      </c>
      <c r="L300" s="20" t="s">
        <v>224</v>
      </c>
      <c r="S300" s="20">
        <v>83.8</v>
      </c>
      <c r="T300" s="20">
        <v>160.4</v>
      </c>
      <c r="U300" s="17">
        <v>54.6</v>
      </c>
      <c r="V300" s="17">
        <v>32.9</v>
      </c>
      <c r="W300" s="17">
        <v>9.6</v>
      </c>
      <c r="X300" s="17">
        <v>45</v>
      </c>
      <c r="Y300" s="17">
        <v>25</v>
      </c>
      <c r="Z300" s="17">
        <v>21.2</v>
      </c>
      <c r="AA300" s="17">
        <v>17.600000000000001</v>
      </c>
      <c r="AB300" s="17">
        <v>6.9</v>
      </c>
      <c r="AC300" s="17">
        <v>110.1</v>
      </c>
      <c r="AD300" s="17">
        <v>6.83</v>
      </c>
      <c r="AE300" s="17">
        <v>109</v>
      </c>
      <c r="AF300" s="17">
        <v>1.7</v>
      </c>
      <c r="AG300" s="17">
        <v>72.7</v>
      </c>
      <c r="AH300" s="17">
        <v>1.7</v>
      </c>
      <c r="AI300" s="17">
        <v>72.400000000000006</v>
      </c>
      <c r="AJ300" s="17">
        <v>276.3</v>
      </c>
      <c r="AK300" s="17">
        <v>281.39999999999998</v>
      </c>
      <c r="AL300" s="17">
        <v>240.7</v>
      </c>
      <c r="AM300" s="17">
        <v>244.1</v>
      </c>
      <c r="AN300" s="17">
        <v>83</v>
      </c>
      <c r="AO300" s="17">
        <v>0.77</v>
      </c>
      <c r="AP300" s="17">
        <v>7</v>
      </c>
      <c r="AQ300" s="17">
        <v>27.3</v>
      </c>
      <c r="AR300" s="17">
        <v>0.47199999999999998</v>
      </c>
      <c r="AS300" s="17">
        <v>38.6</v>
      </c>
      <c r="AT300" s="17">
        <v>0.56100000000000005</v>
      </c>
      <c r="AU300" s="17">
        <v>18.2</v>
      </c>
      <c r="AV300" s="17">
        <v>0.38500000000000001</v>
      </c>
      <c r="AW300" s="17">
        <v>18.100000000000001</v>
      </c>
      <c r="AX300" s="17">
        <v>0.38400000000000001</v>
      </c>
      <c r="AY300" s="41">
        <f t="shared" ref="AY300:AY330" si="80">IF(OR(ISBLANK(U300), ISBLANK(AQ300)), "Incomplete", (60.7*AQ300)+(45.3*U300)-2055)</f>
        <v>2075.4899999999998</v>
      </c>
      <c r="BA300" s="20">
        <f t="shared" ref="BA300:BA330" si="81">IF(OR(ISBLANK(U300), ISBLANK(AS300)), "Incomplete", (60.7*AS300)+(45.3*U300)-2055)</f>
        <v>2761.3999999999996</v>
      </c>
      <c r="BC300" s="20">
        <f t="shared" ref="BC300:BC330" si="82">IF(OR(ISBLANK(U300), ISBLANK(AU300)), "Incomplete", (60.7*AU300)+(45.3*U300)-2055)</f>
        <v>1523.12</v>
      </c>
      <c r="BE300" s="20">
        <f t="shared" ref="BE300:BE330" si="83">IF(OR(ISBLANK(U300), ISBLANK(AW300)), "Incomplete", (60.7*AW300)+(45.3*U300)-2055)</f>
        <v>1517.0500000000002</v>
      </c>
      <c r="BG300" s="17">
        <v>16</v>
      </c>
      <c r="BH300" s="17">
        <v>37</v>
      </c>
      <c r="BI300" s="20">
        <f t="shared" si="79"/>
        <v>21</v>
      </c>
      <c r="BJ300" s="20"/>
      <c r="BK300" s="17">
        <v>7.4</v>
      </c>
      <c r="BL300" s="20"/>
      <c r="BM300" s="17">
        <v>7.6</v>
      </c>
      <c r="BN300" s="20"/>
      <c r="BO300" s="17">
        <v>48.5</v>
      </c>
      <c r="BP300" s="17">
        <v>48</v>
      </c>
      <c r="BQ300" s="17">
        <v>84</v>
      </c>
      <c r="BR300" s="17">
        <v>84</v>
      </c>
      <c r="BS300" s="17">
        <v>79</v>
      </c>
      <c r="BT300" s="17">
        <v>80</v>
      </c>
      <c r="BU300" s="17">
        <v>88</v>
      </c>
      <c r="BV300" s="17">
        <v>78</v>
      </c>
      <c r="BW300" s="91">
        <f t="shared" ref="BW300:BW330" si="84">IFERROR(SUM(BQ300+BR300+BS300)/(3*(T300-S300))*100, "Incomplete")</f>
        <v>107.48476936466491</v>
      </c>
      <c r="BX300" s="91" t="str">
        <f>_xlfn.XLOOKUP(BW300,'Normative data'!$V$3:$V$6,'Normative data'!$W$3:$W$6,"Not Found",-1)</f>
        <v>Low risk</v>
      </c>
      <c r="BY300" s="91">
        <f t="shared" ref="BY300:BY330" si="85">IFERROR(SUM(BT300+BU300+BV300)/(3*(T300-S300))*100, "Incomplete")</f>
        <v>107.04960835509138</v>
      </c>
      <c r="BZ300" s="91" t="str">
        <f>_xlfn.XLOOKUP(BY300,'Normative data'!$V$3:$V$6,'Normative data'!$W$3:$W$6,"Not Found",-1)</f>
        <v>Low risk</v>
      </c>
      <c r="CG300" s="17">
        <v>17.62</v>
      </c>
      <c r="CH300" s="20" t="str">
        <f>_xlfn.XLOOKUP(CG300, 'Normative data'!$S$9:$S$15,'Normative data'!$T$9:$T$15, "Not Found", -1)</f>
        <v>Above Average</v>
      </c>
      <c r="CI300" s="17">
        <v>18.559999999999999</v>
      </c>
      <c r="CJ300" s="20" t="str">
        <f>_xlfn.XLOOKUP(CI300, 'Normative data'!$S$9:$S$15, 'Normative data'!$T$9:$T$15, "Not Found", -1)</f>
        <v>Average</v>
      </c>
      <c r="CK300" s="21"/>
      <c r="CL300" s="21"/>
      <c r="CM300" s="21"/>
      <c r="CN300" s="21"/>
      <c r="CO300" s="21"/>
      <c r="CQ300" s="17">
        <v>6.1</v>
      </c>
      <c r="CR300" s="20" t="str" cm="1">
        <f t="array" ref="CR300">IF(OR(ISBLANK(E300),ISBLANK(CQ300)),"Incomplete",_xlfn.XLOOKUP(CQ300,_xlfn.XLOOKUP(E300,'Normative data'!$Y$3:$Y$6,'Normative data'!$Z$3:$AG$6,,-1),'Normative data'!$Z$2:$AG$2,"Not Found",-1))</f>
        <v>Incomplete</v>
      </c>
      <c r="CS300" s="20">
        <v>6</v>
      </c>
      <c r="CT300" s="20">
        <v>1</v>
      </c>
      <c r="CU300" s="20" cm="1">
        <f t="array" ref="CU300">_xlfn.XLOOKUP(CS300&amp;CT300,(VLOOKUP!$A$3:$A$250)&amp;(VLOOKUP!$B$3:$B$250),VLOOKUP!$C$3:$C$250,"Incomplete",-1)</f>
        <v>840</v>
      </c>
      <c r="CV300" s="20" t="str" cm="1">
        <f t="array" ref="CV300">_xlfn.XLOOKUP(CU300, _xlfn.XLOOKUP(E300, 'Normative data'!$Y$11:$Y$14, 'Normative data'!$Z$11:$AG$14, ,-1), 'Normative data'!$Z$10:$AG$10, "Not Found", -1)</f>
        <v xml:space="preserve">Fair </v>
      </c>
      <c r="CW300" s="20" cm="1">
        <f t="array" ref="CW300">IF(OR(ISBLANK(CS300),ISBLANK(CT300)),"Incomplete",_xlfn.XLOOKUP(CS300&amp;CT300,VLOOKUP!$A$4:$A$250&amp;VLOOKUP!$B$4:$B$250,VLOOKUP!$D$4:$D$250,"0"))</f>
        <v>33</v>
      </c>
    </row>
    <row r="301" spans="1:101">
      <c r="A301" s="95" t="s">
        <v>777</v>
      </c>
      <c r="B301" s="95" t="s">
        <v>725</v>
      </c>
      <c r="C301" s="95" t="s">
        <v>86</v>
      </c>
      <c r="D301" s="99">
        <v>41207</v>
      </c>
      <c r="E301" s="100">
        <v>13.6</v>
      </c>
      <c r="F301" s="100" t="s">
        <v>97</v>
      </c>
      <c r="G301" s="100">
        <v>2026</v>
      </c>
      <c r="H301" s="100"/>
      <c r="I301" s="100">
        <v>2</v>
      </c>
      <c r="J301" s="100" t="s">
        <v>88</v>
      </c>
      <c r="K301" s="100" t="s">
        <v>170</v>
      </c>
      <c r="L301" s="100"/>
      <c r="M301" s="100"/>
      <c r="N301" s="100"/>
      <c r="O301" s="100"/>
      <c r="P301" s="100"/>
      <c r="Q301" s="100"/>
      <c r="R301" s="100"/>
      <c r="S301" s="100">
        <v>78</v>
      </c>
      <c r="T301" s="100">
        <v>160.9</v>
      </c>
      <c r="U301" s="100">
        <v>57.8</v>
      </c>
      <c r="V301" s="100">
        <v>28.1</v>
      </c>
      <c r="W301" s="100">
        <v>19.3</v>
      </c>
      <c r="X301" s="100">
        <v>38.5</v>
      </c>
      <c r="Y301" s="100">
        <v>20.8</v>
      </c>
      <c r="Z301" s="100">
        <v>22.3</v>
      </c>
      <c r="AA301" s="100">
        <v>33.5</v>
      </c>
      <c r="AB301" s="100">
        <v>5.99</v>
      </c>
      <c r="AC301" s="100">
        <v>97.1</v>
      </c>
      <c r="AD301" s="100">
        <v>5.95</v>
      </c>
      <c r="AE301" s="100">
        <v>94.6</v>
      </c>
      <c r="AF301" s="100">
        <v>3.2</v>
      </c>
      <c r="AG301" s="100">
        <v>144.5</v>
      </c>
      <c r="AH301" s="100">
        <v>3.2</v>
      </c>
      <c r="AI301" s="100">
        <v>144</v>
      </c>
      <c r="AJ301" s="100">
        <v>312.10000000000002</v>
      </c>
      <c r="AK301" s="100">
        <v>316.5</v>
      </c>
      <c r="AL301" s="100">
        <v>279.39999999999998</v>
      </c>
      <c r="AM301" s="100">
        <v>283.8</v>
      </c>
      <c r="AN301" s="100">
        <v>85</v>
      </c>
      <c r="AO301" s="100">
        <v>0.85</v>
      </c>
      <c r="AP301" s="100">
        <v>5.9</v>
      </c>
      <c r="AQ301" s="100">
        <v>20.5</v>
      </c>
      <c r="AR301" s="100">
        <v>0.40899999999999997</v>
      </c>
      <c r="AS301" s="100">
        <v>22.9</v>
      </c>
      <c r="AT301" s="100">
        <v>0.432</v>
      </c>
      <c r="AU301" s="100">
        <v>7.5</v>
      </c>
      <c r="AV301" s="100">
        <v>0.248</v>
      </c>
      <c r="AW301" s="100">
        <v>9.3000000000000007</v>
      </c>
      <c r="AX301" s="100">
        <v>0.27500000000000002</v>
      </c>
      <c r="AY301" s="41">
        <f t="shared" si="80"/>
        <v>1807.6899999999996</v>
      </c>
      <c r="AZ301" s="100"/>
      <c r="BA301" s="20">
        <f t="shared" si="81"/>
        <v>1953.37</v>
      </c>
      <c r="BB301" s="100"/>
      <c r="BC301" s="20">
        <f t="shared" si="82"/>
        <v>1018.5899999999997</v>
      </c>
      <c r="BD301" s="100"/>
      <c r="BE301" s="20">
        <f t="shared" si="83"/>
        <v>1127.8499999999999</v>
      </c>
      <c r="BF301" s="100"/>
      <c r="BG301" s="100">
        <v>16</v>
      </c>
      <c r="BH301" s="100">
        <v>36</v>
      </c>
      <c r="BI301" s="20">
        <f t="shared" si="79"/>
        <v>20</v>
      </c>
      <c r="BJ301" s="100"/>
      <c r="BK301" s="100">
        <v>8.5</v>
      </c>
      <c r="BL301" s="100"/>
      <c r="BM301" s="100">
        <v>8.5</v>
      </c>
      <c r="BN301" s="100"/>
      <c r="BO301" s="100">
        <v>51</v>
      </c>
      <c r="BP301" s="100">
        <v>49</v>
      </c>
      <c r="BQ301" s="100">
        <v>79</v>
      </c>
      <c r="BR301" s="100">
        <v>78</v>
      </c>
      <c r="BS301" s="100">
        <v>81</v>
      </c>
      <c r="BT301" s="100">
        <v>82</v>
      </c>
      <c r="BU301" s="100">
        <v>79</v>
      </c>
      <c r="BV301" s="100">
        <v>76</v>
      </c>
      <c r="BW301" s="91">
        <f t="shared" si="84"/>
        <v>95.697627663852032</v>
      </c>
      <c r="BX301" s="91" t="str">
        <f>_xlfn.XLOOKUP(BW301,'Normative data'!$V$3:$V$6,'Normative data'!$W$3:$W$6,"Not Found",-1)</f>
        <v>Low risk</v>
      </c>
      <c r="BY301" s="91">
        <f t="shared" si="85"/>
        <v>95.295536791314831</v>
      </c>
      <c r="BZ301" s="91" t="str">
        <f>_xlfn.XLOOKUP(BY301,'Normative data'!$V$3:$V$6,'Normative data'!$W$3:$W$6,"Not Found",-1)</f>
        <v>High risk</v>
      </c>
      <c r="CA301" s="100">
        <v>26</v>
      </c>
      <c r="CB301" s="100"/>
      <c r="CC301" s="20"/>
      <c r="CD301" s="100"/>
      <c r="CE301" s="100">
        <v>10</v>
      </c>
      <c r="CF301" s="100"/>
      <c r="CG301" s="100">
        <v>18.91</v>
      </c>
      <c r="CH301" s="20" t="str">
        <f>_xlfn.XLOOKUP(CG301, 'Normative data'!$S$9:$S$15,'Normative data'!$T$9:$T$15, "Not Found", -1)</f>
        <v>Average</v>
      </c>
      <c r="CI301" s="100">
        <v>18.95</v>
      </c>
      <c r="CJ301" s="20" t="str">
        <f>_xlfn.XLOOKUP(CI301, 'Normative data'!$S$9:$S$15, 'Normative data'!$T$9:$T$15, "Not Found", -1)</f>
        <v>Average</v>
      </c>
      <c r="CK301" s="100">
        <v>2.1800000000000002</v>
      </c>
      <c r="CL301" s="100">
        <v>4.59</v>
      </c>
      <c r="CM301" s="100"/>
      <c r="CN301" s="100">
        <v>7.25</v>
      </c>
      <c r="CO301" s="100">
        <v>6.9</v>
      </c>
      <c r="CP301" s="100"/>
      <c r="CQ301" s="100">
        <v>6.1</v>
      </c>
      <c r="CR301" s="20" t="str" cm="1">
        <f t="array" ref="CR301">IF(OR(ISBLANK(E301),ISBLANK(CQ301)),"Incomplete",_xlfn.XLOOKUP(CQ301,_xlfn.XLOOKUP(E301,'Normative data'!$Y$3:$Y$6,'Normative data'!$Z$3:$AG$6,,-1),'Normative data'!$Z$2:$AG$2,"Not Found",-1))</f>
        <v>Average</v>
      </c>
      <c r="CS301" s="100">
        <v>6</v>
      </c>
      <c r="CT301" s="100">
        <v>1</v>
      </c>
      <c r="CU301" s="20" cm="1">
        <f t="array" ref="CU301">_xlfn.XLOOKUP(CS301&amp;CT301,(VLOOKUP!$A$3:$A$250)&amp;(VLOOKUP!$B$3:$B$250),VLOOKUP!$C$3:$C$250,"Incomplete",-1)</f>
        <v>840</v>
      </c>
      <c r="CV301" s="20" t="str" cm="1">
        <f t="array" ref="CV301">_xlfn.XLOOKUP(CU301, _xlfn.XLOOKUP(E301, 'Normative data'!$Y$11:$Y$14, 'Normative data'!$Z$11:$AG$14, ,-1), 'Normative data'!$Z$10:$AG$10, "Not Found", -1)</f>
        <v>Average</v>
      </c>
      <c r="CW301" s="20" cm="1">
        <f t="array" ref="CW301">IF(OR(ISBLANK(CS301),ISBLANK(CT301)),"Incomplete",_xlfn.XLOOKUP(CS301&amp;CT301,VLOOKUP!$A$4:$A$250&amp;VLOOKUP!$B$4:$B$250,VLOOKUP!$D$4:$D$250,"0"))</f>
        <v>33</v>
      </c>
    </row>
    <row r="302" spans="1:101">
      <c r="A302" s="17" t="s">
        <v>778</v>
      </c>
      <c r="B302" s="17" t="s">
        <v>725</v>
      </c>
      <c r="C302" s="17" t="s">
        <v>86</v>
      </c>
      <c r="D302" s="26">
        <v>40223</v>
      </c>
      <c r="E302" s="17">
        <v>16.2</v>
      </c>
      <c r="F302" s="20" t="s">
        <v>162</v>
      </c>
      <c r="G302" s="17">
        <v>2026</v>
      </c>
      <c r="I302" s="20">
        <v>2</v>
      </c>
      <c r="J302" s="20" t="s">
        <v>100</v>
      </c>
      <c r="K302" s="20" t="s">
        <v>297</v>
      </c>
      <c r="L302" s="20" t="s">
        <v>102</v>
      </c>
      <c r="S302" s="20">
        <v>88.5</v>
      </c>
      <c r="T302" s="20">
        <v>176</v>
      </c>
      <c r="U302" s="17">
        <v>57.2</v>
      </c>
      <c r="V302" s="17">
        <v>35.1</v>
      </c>
      <c r="W302" s="17">
        <v>9.3000000000000007</v>
      </c>
      <c r="X302" s="17">
        <v>47.9</v>
      </c>
      <c r="Y302" s="17">
        <v>26.3</v>
      </c>
      <c r="Z302" s="17">
        <v>18.5</v>
      </c>
      <c r="AA302" s="17">
        <v>16.3</v>
      </c>
      <c r="AB302" s="17">
        <v>7.74</v>
      </c>
      <c r="AC302" s="17">
        <v>117.1</v>
      </c>
      <c r="AD302" s="17">
        <v>7.74</v>
      </c>
      <c r="AE302" s="17">
        <v>117.1</v>
      </c>
      <c r="AF302" s="17">
        <v>1.6</v>
      </c>
      <c r="AG302" s="17">
        <v>55.1</v>
      </c>
      <c r="AH302" s="17">
        <v>1.6</v>
      </c>
      <c r="AI302" s="17">
        <v>55.2</v>
      </c>
      <c r="AJ302" s="17">
        <v>322.3</v>
      </c>
      <c r="AK302" s="17">
        <v>322.5</v>
      </c>
      <c r="AL302" s="17">
        <v>292</v>
      </c>
      <c r="AM302" s="17">
        <v>291.3</v>
      </c>
      <c r="AN302" s="17">
        <v>97</v>
      </c>
      <c r="AO302" s="17">
        <v>0.84</v>
      </c>
      <c r="AP302" s="17">
        <v>6.5</v>
      </c>
      <c r="AQ302" s="17">
        <v>21.6</v>
      </c>
      <c r="AR302" s="17">
        <v>0.42</v>
      </c>
      <c r="AS302" s="17">
        <v>29.3</v>
      </c>
      <c r="AT302" s="17">
        <v>0.48899999999999999</v>
      </c>
      <c r="AU302" s="17">
        <v>13.2</v>
      </c>
      <c r="AV302" s="17">
        <v>0.32800000000000001</v>
      </c>
      <c r="AW302" s="17">
        <v>14.1</v>
      </c>
      <c r="AX302" s="17">
        <v>0.33900000000000002</v>
      </c>
      <c r="AY302" s="41">
        <f t="shared" si="80"/>
        <v>1847.2799999999997</v>
      </c>
      <c r="BA302" s="20">
        <f t="shared" si="81"/>
        <v>2314.67</v>
      </c>
      <c r="BC302" s="20">
        <f t="shared" si="82"/>
        <v>1337.3999999999996</v>
      </c>
      <c r="BE302" s="20">
        <f t="shared" si="83"/>
        <v>1392.0299999999997</v>
      </c>
      <c r="BG302" s="17">
        <v>17.5</v>
      </c>
      <c r="BH302" s="17">
        <v>32</v>
      </c>
      <c r="BI302" s="20">
        <f t="shared" si="79"/>
        <v>14.5</v>
      </c>
      <c r="BJ302" s="20"/>
      <c r="BK302" s="17">
        <v>11.8</v>
      </c>
      <c r="BL302" s="20"/>
      <c r="BM302" s="17">
        <v>10.199999999999999</v>
      </c>
      <c r="BN302" s="20"/>
      <c r="BO302" s="17">
        <v>47</v>
      </c>
      <c r="BP302" s="17">
        <v>46.5</v>
      </c>
      <c r="BQ302" s="17">
        <v>94</v>
      </c>
      <c r="BR302" s="17">
        <v>97</v>
      </c>
      <c r="BS302" s="17">
        <v>80</v>
      </c>
      <c r="BT302" s="17">
        <v>92</v>
      </c>
      <c r="BU302" s="17">
        <v>93</v>
      </c>
      <c r="BV302" s="17">
        <v>83</v>
      </c>
      <c r="BW302" s="91">
        <f t="shared" si="84"/>
        <v>103.23809523809524</v>
      </c>
      <c r="BX302" s="91" t="str">
        <f>_xlfn.XLOOKUP(BW302,'Normative data'!$V$3:$V$6,'Normative data'!$W$3:$W$6,"Not Found",-1)</f>
        <v>Low risk</v>
      </c>
      <c r="BY302" s="91">
        <f t="shared" si="85"/>
        <v>102.0952380952381</v>
      </c>
      <c r="BZ302" s="91" t="str">
        <f>_xlfn.XLOOKUP(BY302,'Normative data'!$V$3:$V$6,'Normative data'!$W$3:$W$6,"Not Found",-1)</f>
        <v>Low risk</v>
      </c>
      <c r="CA302" s="17">
        <v>40</v>
      </c>
      <c r="CC302" s="20"/>
      <c r="CE302" s="17">
        <v>20</v>
      </c>
      <c r="CG302" s="17">
        <v>17.53</v>
      </c>
      <c r="CH302" s="20" t="str">
        <f>_xlfn.XLOOKUP(CG302, 'Normative data'!$S$9:$S$15,'Normative data'!$T$9:$T$15, "Not Found", -1)</f>
        <v>Above Average</v>
      </c>
      <c r="CI302" s="17">
        <v>17.11</v>
      </c>
      <c r="CJ302" s="20" t="str">
        <f>_xlfn.XLOOKUP(CI302, 'Normative data'!$S$9:$S$15, 'Normative data'!$T$9:$T$15, "Not Found", -1)</f>
        <v>Above Average</v>
      </c>
      <c r="CK302" s="17">
        <v>2.02</v>
      </c>
      <c r="CL302" s="17">
        <v>4.95</v>
      </c>
      <c r="CN302" s="17">
        <v>6.43</v>
      </c>
      <c r="CO302" s="17">
        <v>7.84</v>
      </c>
      <c r="CQ302" s="17">
        <v>9.11</v>
      </c>
      <c r="CR302" s="20" t="str" cm="1">
        <f t="array" ref="CR302">IF(OR(ISBLANK(E302),ISBLANK(CQ302)),"Incomplete",_xlfn.XLOOKUP(CQ302,_xlfn.XLOOKUP(E302,'Normative data'!$Y$3:$Y$6,'Normative data'!$Z$3:$AG$6,,-1),'Normative data'!$Z$2:$AG$2,"Not Found",-1))</f>
        <v>Good</v>
      </c>
      <c r="CS302" s="20">
        <v>9</v>
      </c>
      <c r="CT302" s="20">
        <v>11</v>
      </c>
      <c r="CU302" s="20" cm="1">
        <f t="array" ref="CU302">_xlfn.XLOOKUP(CS302&amp;CT302,(VLOOKUP!$A$3:$A$250)&amp;(VLOOKUP!$B$3:$B$250),VLOOKUP!$C$3:$C$250,"Incomplete",-1)</f>
        <v>1660</v>
      </c>
      <c r="CV302" s="20" t="str" cm="1">
        <f t="array" ref="CV302">_xlfn.XLOOKUP(CU302, _xlfn.XLOOKUP(E302, 'Normative data'!$Y$11:$Y$14, 'Normative data'!$Z$11:$AG$14, ,-1), 'Normative data'!$Z$10:$AG$10, "Not Found", -1)</f>
        <v xml:space="preserve">Good </v>
      </c>
      <c r="CW302" s="20" cm="1">
        <f t="array" ref="CW302">IF(OR(ISBLANK(CS302),ISBLANK(CT302)),"Incomplete",_xlfn.XLOOKUP(CS302&amp;CT302,VLOOKUP!$A$4:$A$250&amp;VLOOKUP!$B$4:$B$250,VLOOKUP!$D$4:$D$250,"0"))</f>
        <v>47</v>
      </c>
    </row>
    <row r="303" spans="1:101">
      <c r="A303" s="17" t="s">
        <v>779</v>
      </c>
      <c r="B303" s="17" t="s">
        <v>725</v>
      </c>
      <c r="C303" s="17" t="s">
        <v>86</v>
      </c>
      <c r="D303" s="26"/>
      <c r="F303" s="20" t="s">
        <v>110</v>
      </c>
      <c r="G303" s="17">
        <v>2026</v>
      </c>
      <c r="I303" s="20">
        <v>2</v>
      </c>
      <c r="J303" s="20"/>
      <c r="K303" s="20"/>
      <c r="L303" s="20"/>
      <c r="S303" s="20"/>
      <c r="T303" s="20"/>
      <c r="AY303" s="41" t="str">
        <f t="shared" si="80"/>
        <v>Incomplete</v>
      </c>
      <c r="BA303" s="20" t="str">
        <f t="shared" si="81"/>
        <v>Incomplete</v>
      </c>
      <c r="BC303" s="20" t="str">
        <f t="shared" si="82"/>
        <v>Incomplete</v>
      </c>
      <c r="BE303" s="20" t="str">
        <f t="shared" si="83"/>
        <v>Incomplete</v>
      </c>
      <c r="BH303" s="20"/>
      <c r="BI303" s="20" t="str">
        <f t="shared" si="79"/>
        <v>Incomplete</v>
      </c>
      <c r="BJ303" s="20"/>
      <c r="BL303" s="20"/>
      <c r="BN303" s="20"/>
      <c r="BQ303" s="17">
        <v>76</v>
      </c>
      <c r="BR303" s="17">
        <v>85</v>
      </c>
      <c r="BS303" s="17">
        <v>83</v>
      </c>
      <c r="BT303" s="17">
        <v>74</v>
      </c>
      <c r="BU303" s="17">
        <v>88</v>
      </c>
      <c r="BV303" s="17">
        <v>87</v>
      </c>
      <c r="BW303" s="91" t="str">
        <f t="shared" si="84"/>
        <v>Incomplete</v>
      </c>
      <c r="BX303" s="91" t="str">
        <f>_xlfn.XLOOKUP(BW303,'Normative data'!$V$3:$V$6,'Normative data'!$W$3:$W$6,"Not Found",-1)</f>
        <v>Very low risk</v>
      </c>
      <c r="BY303" s="91" t="str">
        <f t="shared" si="85"/>
        <v>Incomplete</v>
      </c>
      <c r="BZ303" s="91" t="str">
        <f>_xlfn.XLOOKUP(BY303,'Normative data'!$V$3:$V$6,'Normative data'!$W$3:$W$6,"Not Found",-1)</f>
        <v>Very low risk</v>
      </c>
      <c r="CG303" s="17">
        <v>17.48</v>
      </c>
      <c r="CH303" s="20" t="str">
        <f>_xlfn.XLOOKUP(CG303, 'Normative data'!$S$9:$S$15,'Normative data'!$T$9:$T$15, "Not Found", -1)</f>
        <v>Above Average</v>
      </c>
      <c r="CI303" s="17">
        <v>17.579999999999998</v>
      </c>
      <c r="CJ303" s="20" t="str">
        <f>_xlfn.XLOOKUP(CI303, 'Normative data'!$S$9:$S$15, 'Normative data'!$T$9:$T$15, "Not Found", -1)</f>
        <v>Above Average</v>
      </c>
      <c r="CK303" s="21"/>
      <c r="CL303" s="21"/>
      <c r="CM303" s="21"/>
      <c r="CN303" s="21"/>
      <c r="CO303" s="21"/>
      <c r="CR303" s="20" t="str" cm="1">
        <f t="array" ref="CR303">IF(OR(ISBLANK(E303),ISBLANK(CQ303)),"Incomplete",_xlfn.XLOOKUP(CQ303,_xlfn.XLOOKUP(E303,'Normative data'!$Y$3:$Y$6,'Normative data'!$Z$3:$AG$6,,-1),'Normative data'!$Z$2:$AG$2,"Not Found",-1))</f>
        <v>Incomplete</v>
      </c>
      <c r="CS303" s="20"/>
      <c r="CT303" s="20"/>
      <c r="CU303" s="20" t="str" cm="1">
        <f t="array" ref="CU303">_xlfn.XLOOKUP(CS303&amp;CT303,(VLOOKUP!$A$3:$A$250)&amp;(VLOOKUP!$B$3:$B$250),VLOOKUP!$C$3:$C$250,"Incomplete",-1)</f>
        <v>Incomplete</v>
      </c>
      <c r="CV303" s="20" t="str" cm="1">
        <f t="array" ref="CV303">_xlfn.XLOOKUP(CU303, _xlfn.XLOOKUP(E303, 'Normative data'!$Y$11:$Y$14, 'Normative data'!$Z$11:$AG$14, ,-1), 'Normative data'!$Z$10:$AG$10, "Not Found", -1)</f>
        <v>Excellent</v>
      </c>
      <c r="CW303" s="20" t="str" cm="1">
        <f t="array" ref="CW303">IF(OR(ISBLANK(CS303),ISBLANK(CT303)),"Incomplete",_xlfn.XLOOKUP(CS303&amp;CT303,VLOOKUP!$A$4:$A$250&amp;VLOOKUP!$B$4:$B$250,VLOOKUP!$D$4:$D$250,"0"))</f>
        <v>Incomplete</v>
      </c>
    </row>
    <row r="304" spans="1:101">
      <c r="A304" s="17" t="s">
        <v>504</v>
      </c>
      <c r="B304" s="17" t="s">
        <v>503</v>
      </c>
      <c r="C304" s="17" t="s">
        <v>86</v>
      </c>
      <c r="D304" s="26"/>
      <c r="F304" s="20" t="s">
        <v>104</v>
      </c>
      <c r="G304" s="17">
        <v>2026</v>
      </c>
      <c r="I304" s="20">
        <v>2</v>
      </c>
      <c r="J304" s="20" t="s">
        <v>88</v>
      </c>
      <c r="K304" s="20" t="s">
        <v>765</v>
      </c>
      <c r="L304" s="20"/>
      <c r="S304" s="20">
        <v>83</v>
      </c>
      <c r="T304" s="20">
        <v>157</v>
      </c>
      <c r="AQ304" s="20"/>
      <c r="AR304" s="20"/>
      <c r="AS304" s="20"/>
      <c r="AT304" s="20"/>
      <c r="AU304" s="20"/>
      <c r="AV304" s="20"/>
      <c r="AW304" s="20"/>
      <c r="AX304" s="20"/>
      <c r="AY304" s="41" t="str">
        <f t="shared" si="80"/>
        <v>Incomplete</v>
      </c>
      <c r="BA304" s="20" t="str">
        <f t="shared" si="81"/>
        <v>Incomplete</v>
      </c>
      <c r="BC304" s="20" t="str">
        <f t="shared" si="82"/>
        <v>Incomplete</v>
      </c>
      <c r="BE304" s="20" t="str">
        <f t="shared" si="83"/>
        <v>Incomplete</v>
      </c>
      <c r="BG304" s="17">
        <v>11.5</v>
      </c>
      <c r="BH304" s="17">
        <v>42.4</v>
      </c>
      <c r="BI304" s="20">
        <f t="shared" si="79"/>
        <v>30.9</v>
      </c>
      <c r="BJ304" s="20"/>
      <c r="BK304" s="17">
        <v>5</v>
      </c>
      <c r="BL304" s="20"/>
      <c r="BM304" s="17">
        <v>7</v>
      </c>
      <c r="BN304" s="20"/>
      <c r="BO304" s="17">
        <v>52</v>
      </c>
      <c r="BP304" s="17">
        <v>52.5</v>
      </c>
      <c r="BQ304" s="17">
        <v>84</v>
      </c>
      <c r="BR304" s="17">
        <v>91</v>
      </c>
      <c r="BS304" s="17">
        <v>80</v>
      </c>
      <c r="BT304" s="17">
        <v>73</v>
      </c>
      <c r="BU304" s="17">
        <v>92</v>
      </c>
      <c r="BV304" s="17">
        <v>75</v>
      </c>
      <c r="BW304" s="91">
        <f t="shared" si="84"/>
        <v>114.86486486486487</v>
      </c>
      <c r="BX304" s="91" t="str">
        <f>_xlfn.XLOOKUP(BW304,'Normative data'!$V$3:$V$6,'Normative data'!$W$3:$W$6,"Not Found",-1)</f>
        <v>Low risk</v>
      </c>
      <c r="BY304" s="91">
        <f t="shared" si="85"/>
        <v>108.10810810810811</v>
      </c>
      <c r="BZ304" s="91" t="str">
        <f>_xlfn.XLOOKUP(BY304,'Normative data'!$V$3:$V$6,'Normative data'!$W$3:$W$6,"Not Found",-1)</f>
        <v>Low risk</v>
      </c>
      <c r="CA304" s="17">
        <v>29</v>
      </c>
      <c r="CC304" s="20"/>
      <c r="CE304" s="17">
        <v>14</v>
      </c>
      <c r="CG304" s="17">
        <v>18.920000000000002</v>
      </c>
      <c r="CH304" s="20" t="str">
        <f>_xlfn.XLOOKUP(CG304, 'Normative data'!$S$9:$S$15,'Normative data'!$T$9:$T$15, "Not Found", -1)</f>
        <v>Average</v>
      </c>
      <c r="CI304" s="17">
        <v>18.690000000000001</v>
      </c>
      <c r="CJ304" s="20" t="str">
        <f>_xlfn.XLOOKUP(CI304, 'Normative data'!$S$9:$S$15, 'Normative data'!$T$9:$T$15, "Not Found", -1)</f>
        <v>Average</v>
      </c>
      <c r="CK304" s="17">
        <v>2.25</v>
      </c>
      <c r="CL304" s="17">
        <v>4.4400000000000004</v>
      </c>
      <c r="CN304" s="17">
        <v>6.82</v>
      </c>
      <c r="CO304" s="17">
        <v>7.33</v>
      </c>
      <c r="CR304" s="20" t="str" cm="1">
        <f t="array" ref="CR304">IF(OR(ISBLANK(E304),ISBLANK(CQ304)),"Incomplete",_xlfn.XLOOKUP(CQ304,_xlfn.XLOOKUP(E304,'Normative data'!$Y$3:$Y$6,'Normative data'!$Z$3:$AG$6,,-1),'Normative data'!$Z$2:$AG$2,"Not Found",-1))</f>
        <v>Incomplete</v>
      </c>
      <c r="CS304" s="20"/>
      <c r="CT304" s="20"/>
      <c r="CU304" s="20" t="str" cm="1">
        <f t="array" ref="CU304">_xlfn.XLOOKUP(CS304&amp;CT304,(VLOOKUP!$A$3:$A$250)&amp;(VLOOKUP!$B$3:$B$250),VLOOKUP!$C$3:$C$250,"Incomplete",-1)</f>
        <v>Incomplete</v>
      </c>
      <c r="CV304" s="20" t="str" cm="1">
        <f t="array" ref="CV304">_xlfn.XLOOKUP(CU304, _xlfn.XLOOKUP(E304, 'Normative data'!$Y$11:$Y$14, 'Normative data'!$Z$11:$AG$14, ,-1), 'Normative data'!$Z$10:$AG$10, "Not Found", -1)</f>
        <v>Excellent</v>
      </c>
      <c r="CW304" s="20" t="str" cm="1">
        <f t="array" ref="CW304">IF(OR(ISBLANK(CS304),ISBLANK(CT304)),"Incomplete",_xlfn.XLOOKUP(CS304&amp;CT304,VLOOKUP!$A$4:$A$250&amp;VLOOKUP!$B$4:$B$250,VLOOKUP!$D$4:$D$250,"0"))</f>
        <v>Incomplete</v>
      </c>
    </row>
    <row r="305" spans="1:101">
      <c r="A305" s="17" t="s">
        <v>780</v>
      </c>
      <c r="B305" s="17" t="s">
        <v>503</v>
      </c>
      <c r="C305" s="17" t="s">
        <v>86</v>
      </c>
      <c r="D305" s="26">
        <v>41152</v>
      </c>
      <c r="E305" s="17">
        <v>13.8</v>
      </c>
      <c r="F305" s="20" t="s">
        <v>235</v>
      </c>
      <c r="G305" s="17">
        <v>2026</v>
      </c>
      <c r="I305" s="20">
        <v>2</v>
      </c>
      <c r="J305" s="20" t="s">
        <v>269</v>
      </c>
      <c r="K305" s="20" t="s">
        <v>101</v>
      </c>
      <c r="L305" s="20"/>
      <c r="S305" s="20">
        <v>84.7</v>
      </c>
      <c r="T305" s="20">
        <v>167.7</v>
      </c>
      <c r="U305" s="17">
        <v>54.2</v>
      </c>
      <c r="V305" s="17">
        <v>31.7</v>
      </c>
      <c r="W305" s="17">
        <v>10.9</v>
      </c>
      <c r="X305" s="17">
        <v>43.3</v>
      </c>
      <c r="Y305" s="17">
        <v>23.6</v>
      </c>
      <c r="Z305" s="17">
        <v>19.600000000000001</v>
      </c>
      <c r="AA305" s="17">
        <v>20.2</v>
      </c>
      <c r="AB305" s="17">
        <v>7.03</v>
      </c>
      <c r="AC305" s="17">
        <v>112.2</v>
      </c>
      <c r="AD305" s="17">
        <v>6.99</v>
      </c>
      <c r="AE305" s="17">
        <v>111.6</v>
      </c>
      <c r="AF305" s="17">
        <v>2</v>
      </c>
      <c r="AG305" s="17">
        <v>77</v>
      </c>
      <c r="AH305" s="17">
        <v>1.9</v>
      </c>
      <c r="AI305" s="17">
        <v>76.7</v>
      </c>
      <c r="AJ305" s="17">
        <v>272.89999999999998</v>
      </c>
      <c r="AK305" s="17">
        <v>274.2</v>
      </c>
      <c r="AL305" s="17">
        <v>244</v>
      </c>
      <c r="AM305" s="17">
        <v>245.5</v>
      </c>
      <c r="AN305" s="17">
        <v>91</v>
      </c>
      <c r="AQ305" s="17">
        <v>17.399999999999999</v>
      </c>
      <c r="AR305" s="17">
        <v>0.377</v>
      </c>
      <c r="AS305" s="17">
        <v>18</v>
      </c>
      <c r="AT305" s="17">
        <v>0.38300000000000001</v>
      </c>
      <c r="AU305" s="17">
        <v>7.8</v>
      </c>
      <c r="AV305" s="17">
        <v>0.253</v>
      </c>
      <c r="AW305" s="17">
        <v>9.5</v>
      </c>
      <c r="AX305" s="17">
        <v>0.27800000000000002</v>
      </c>
      <c r="AY305" s="41">
        <f t="shared" si="80"/>
        <v>1456.4399999999996</v>
      </c>
      <c r="BA305" s="20">
        <f t="shared" si="81"/>
        <v>1492.8599999999997</v>
      </c>
      <c r="BC305" s="20">
        <f t="shared" si="82"/>
        <v>873.7199999999998</v>
      </c>
      <c r="BE305" s="20">
        <f t="shared" si="83"/>
        <v>976.90999999999985</v>
      </c>
      <c r="BH305" s="17">
        <v>57</v>
      </c>
      <c r="BI305" s="20" t="str">
        <f t="shared" si="79"/>
        <v>Incomplete</v>
      </c>
      <c r="BJ305" s="20"/>
      <c r="BK305" s="17">
        <v>11.5</v>
      </c>
      <c r="BL305" s="20"/>
      <c r="BM305" s="17">
        <v>8.5</v>
      </c>
      <c r="BN305" s="20"/>
      <c r="BO305" s="17">
        <v>43.7</v>
      </c>
      <c r="BP305" s="17">
        <v>43.9</v>
      </c>
      <c r="BQ305" s="17">
        <v>62</v>
      </c>
      <c r="BR305" s="17">
        <v>68</v>
      </c>
      <c r="BS305" s="17">
        <v>64</v>
      </c>
      <c r="BT305" s="17">
        <v>67</v>
      </c>
      <c r="BU305" s="17">
        <v>65</v>
      </c>
      <c r="BV305" s="17">
        <v>58</v>
      </c>
      <c r="BW305" s="91">
        <f t="shared" si="84"/>
        <v>77.911646586345398</v>
      </c>
      <c r="BX305" s="91" t="str">
        <f>_xlfn.XLOOKUP(BW305,'Normative data'!$V$3:$V$6,'Normative data'!$W$3:$W$6,"Not Found",-1)</f>
        <v>High risk</v>
      </c>
      <c r="BY305" s="91">
        <f t="shared" si="85"/>
        <v>76.305220883534147</v>
      </c>
      <c r="BZ305" s="91" t="str">
        <f>_xlfn.XLOOKUP(BY305,'Normative data'!$V$3:$V$6,'Normative data'!$W$3:$W$6,"Not Found",-1)</f>
        <v>High risk</v>
      </c>
      <c r="CA305" s="20"/>
      <c r="CC305" s="20"/>
      <c r="CE305" s="17">
        <v>21</v>
      </c>
      <c r="CG305" s="17">
        <v>18.52</v>
      </c>
      <c r="CH305" s="20" t="str">
        <f>_xlfn.XLOOKUP(CG305, 'Normative data'!$S$9:$S$15,'Normative data'!$T$9:$T$15, "Not Found", -1)</f>
        <v>Average</v>
      </c>
      <c r="CI305" s="17">
        <v>18.239999999999998</v>
      </c>
      <c r="CJ305" s="20" t="str">
        <f>_xlfn.XLOOKUP(CI305, 'Normative data'!$S$9:$S$15, 'Normative data'!$T$9:$T$15, "Not Found", -1)</f>
        <v>Average</v>
      </c>
      <c r="CK305" s="17">
        <v>3</v>
      </c>
      <c r="CL305" s="17">
        <v>3.33</v>
      </c>
      <c r="CN305" s="17">
        <v>7.65</v>
      </c>
      <c r="CO305" s="17">
        <v>6.54</v>
      </c>
      <c r="CQ305" s="17">
        <v>8.4</v>
      </c>
      <c r="CR305" s="20" t="str" cm="1">
        <f t="array" ref="CR305">IF(OR(ISBLANK(E305),ISBLANK(CQ305)),"Incomplete",_xlfn.XLOOKUP(CQ305,_xlfn.XLOOKUP(E305,'Normative data'!$Y$3:$Y$6,'Normative data'!$Z$3:$AG$6,,-1),'Normative data'!$Z$2:$AG$2,"Not Found",-1))</f>
        <v>Very good</v>
      </c>
      <c r="CS305" s="20">
        <v>8</v>
      </c>
      <c r="CT305" s="20">
        <v>4</v>
      </c>
      <c r="CU305" s="20" cm="1">
        <f t="array" ref="CU305">_xlfn.XLOOKUP(CS305&amp;CT305,(VLOOKUP!$A$3:$A$250)&amp;(VLOOKUP!$B$3:$B$250),VLOOKUP!$C$3:$C$250,"Incomplete",-1)</f>
        <v>1300</v>
      </c>
      <c r="CV305" s="20" t="str" cm="1">
        <f t="array" ref="CV305">_xlfn.XLOOKUP(CU305, _xlfn.XLOOKUP(E305, 'Normative data'!$Y$11:$Y$14, 'Normative data'!$Z$11:$AG$14, ,-1), 'Normative data'!$Z$10:$AG$10, "Not Found", -1)</f>
        <v xml:space="preserve">Very good </v>
      </c>
      <c r="CW305" s="20" cm="1">
        <f t="array" ref="CW305">IF(OR(ISBLANK(CS305),ISBLANK(CT305)),"Incomplete",_xlfn.XLOOKUP(CS305&amp;CT305,VLOOKUP!$A$4:$A$250&amp;VLOOKUP!$B$4:$B$250,VLOOKUP!$D$4:$D$250,"0"))</f>
        <v>41</v>
      </c>
    </row>
    <row r="306" spans="1:101">
      <c r="A306" s="17" t="s">
        <v>781</v>
      </c>
      <c r="B306" s="17" t="s">
        <v>503</v>
      </c>
      <c r="C306" s="17" t="s">
        <v>86</v>
      </c>
      <c r="D306" s="26"/>
      <c r="F306" s="20" t="s">
        <v>154</v>
      </c>
      <c r="G306" s="17">
        <v>2026</v>
      </c>
      <c r="I306" s="20">
        <v>2</v>
      </c>
      <c r="J306" s="20"/>
      <c r="K306" s="20"/>
      <c r="L306" s="20"/>
      <c r="S306" s="20">
        <v>84.8</v>
      </c>
      <c r="T306" s="20">
        <v>170.2</v>
      </c>
      <c r="AQ306" s="20"/>
      <c r="AR306" s="20"/>
      <c r="AS306" s="20"/>
      <c r="AT306" s="20"/>
      <c r="AU306" s="20"/>
      <c r="AV306" s="20"/>
      <c r="AW306" s="20"/>
      <c r="AX306" s="20"/>
      <c r="AY306" s="41" t="str">
        <f t="shared" si="80"/>
        <v>Incomplete</v>
      </c>
      <c r="BA306" s="20" t="str">
        <f t="shared" si="81"/>
        <v>Incomplete</v>
      </c>
      <c r="BC306" s="20" t="str">
        <f t="shared" si="82"/>
        <v>Incomplete</v>
      </c>
      <c r="BE306" s="20" t="str">
        <f t="shared" si="83"/>
        <v>Incomplete</v>
      </c>
      <c r="BG306" s="17">
        <v>16</v>
      </c>
      <c r="BH306" s="17">
        <v>26.5</v>
      </c>
      <c r="BI306" s="20">
        <f t="shared" si="79"/>
        <v>10.5</v>
      </c>
      <c r="BJ306" s="20"/>
      <c r="BL306" s="20"/>
      <c r="BM306" s="20"/>
      <c r="BN306" s="20"/>
      <c r="BO306" s="17">
        <v>61</v>
      </c>
      <c r="BP306" s="17">
        <v>62</v>
      </c>
      <c r="BQ306" s="17">
        <v>78</v>
      </c>
      <c r="BR306" s="17">
        <v>73</v>
      </c>
      <c r="BS306" s="17">
        <v>72</v>
      </c>
      <c r="BT306" s="17">
        <v>77</v>
      </c>
      <c r="BU306" s="17">
        <v>79</v>
      </c>
      <c r="BV306" s="17">
        <v>65</v>
      </c>
      <c r="BW306" s="91">
        <f t="shared" si="84"/>
        <v>87.041373926619841</v>
      </c>
      <c r="BX306" s="91" t="str">
        <f>_xlfn.XLOOKUP(BW306,'Normative data'!$V$3:$V$6,'Normative data'!$W$3:$W$6,"Not Found",-1)</f>
        <v>High risk</v>
      </c>
      <c r="BY306" s="91">
        <f t="shared" si="85"/>
        <v>86.260733801717421</v>
      </c>
      <c r="BZ306" s="91" t="str">
        <f>_xlfn.XLOOKUP(BY306,'Normative data'!$V$3:$V$6,'Normative data'!$W$3:$W$6,"Not Found",-1)</f>
        <v>High risk</v>
      </c>
      <c r="CG306" s="20"/>
      <c r="CH306" s="20" t="str">
        <f>_xlfn.XLOOKUP(CG306, 'Normative data'!$S$9:$S$15,'Normative data'!$T$9:$T$15, "Not Found", -1)</f>
        <v>not completed</v>
      </c>
      <c r="CI306" s="20"/>
      <c r="CJ306" s="20" t="str">
        <f>_xlfn.XLOOKUP(CI306, 'Normative data'!$S$9:$S$15, 'Normative data'!$T$9:$T$15, "Not Found", -1)</f>
        <v>not completed</v>
      </c>
      <c r="CK306" s="21"/>
      <c r="CL306" s="21"/>
      <c r="CM306" s="21"/>
      <c r="CN306" s="21"/>
      <c r="CO306" s="21"/>
      <c r="CR306" s="20" t="str" cm="1">
        <f t="array" ref="CR306">IF(OR(ISBLANK(E306),ISBLANK(CQ306)),"Incomplete",_xlfn.XLOOKUP(CQ306,_xlfn.XLOOKUP(E306,'Normative data'!$Y$3:$Y$6,'Normative data'!$Z$3:$AG$6,,-1),'Normative data'!$Z$2:$AG$2,"Not Found",-1))</f>
        <v>Incomplete</v>
      </c>
      <c r="CS306" s="20"/>
      <c r="CT306" s="20"/>
      <c r="CU306" s="20" t="str" cm="1">
        <f t="array" ref="CU306">_xlfn.XLOOKUP(CS306&amp;CT306,(VLOOKUP!$A$3:$A$250)&amp;(VLOOKUP!$B$3:$B$250),VLOOKUP!$C$3:$C$250,"Incomplete",-1)</f>
        <v>Incomplete</v>
      </c>
      <c r="CV306" s="20" t="str" cm="1">
        <f t="array" ref="CV306">_xlfn.XLOOKUP(CU306, _xlfn.XLOOKUP(E306, 'Normative data'!$Y$11:$Y$14, 'Normative data'!$Z$11:$AG$14, ,-1), 'Normative data'!$Z$10:$AG$10, "Not Found", -1)</f>
        <v>Excellent</v>
      </c>
      <c r="CW306" s="20" t="str" cm="1">
        <f t="array" ref="CW306">IF(OR(ISBLANK(CS306),ISBLANK(CT306)),"Incomplete",_xlfn.XLOOKUP(CS306&amp;CT306,VLOOKUP!$A$4:$A$250&amp;VLOOKUP!$B$4:$B$250,VLOOKUP!$D$4:$D$250,"0"))</f>
        <v>Incomplete</v>
      </c>
    </row>
    <row r="307" spans="1:101">
      <c r="A307" s="17" t="s">
        <v>782</v>
      </c>
      <c r="B307" s="17" t="s">
        <v>503</v>
      </c>
      <c r="C307" s="17" t="s">
        <v>86</v>
      </c>
      <c r="D307" s="26">
        <v>40471</v>
      </c>
      <c r="E307" s="17">
        <v>15.5</v>
      </c>
      <c r="F307" s="20" t="s">
        <v>186</v>
      </c>
      <c r="G307" s="17">
        <v>2026</v>
      </c>
      <c r="I307" s="20">
        <v>2</v>
      </c>
      <c r="J307" s="20" t="s">
        <v>88</v>
      </c>
      <c r="K307" s="20" t="s">
        <v>556</v>
      </c>
      <c r="L307" s="20"/>
      <c r="S307" s="20">
        <v>90.6</v>
      </c>
      <c r="T307" s="20">
        <v>175.6</v>
      </c>
      <c r="U307" s="17">
        <v>61.2</v>
      </c>
      <c r="V307" s="17">
        <v>34.6</v>
      </c>
      <c r="W307" s="17">
        <v>14</v>
      </c>
      <c r="X307" s="17">
        <v>47.2</v>
      </c>
      <c r="Y307" s="17">
        <v>25.8</v>
      </c>
      <c r="Z307" s="17">
        <v>19.8</v>
      </c>
      <c r="AA307" s="17">
        <v>22.9</v>
      </c>
      <c r="AB307" s="17">
        <v>7.65</v>
      </c>
      <c r="AC307" s="17">
        <v>108.2</v>
      </c>
      <c r="AD307" s="17">
        <v>7.56</v>
      </c>
      <c r="AE307" s="17">
        <v>106.9</v>
      </c>
      <c r="AF307" s="17">
        <v>2.2000000000000002</v>
      </c>
      <c r="AG307" s="17">
        <v>76.2</v>
      </c>
      <c r="AH307" s="17">
        <v>2.2000000000000002</v>
      </c>
      <c r="AI307" s="17">
        <v>75.5</v>
      </c>
      <c r="AJ307" s="17">
        <v>312.10000000000002</v>
      </c>
      <c r="AK307" s="17">
        <v>319.39999999999998</v>
      </c>
      <c r="AL307" s="17">
        <v>284.60000000000002</v>
      </c>
      <c r="AM307" s="17">
        <v>293.3</v>
      </c>
      <c r="AN307" s="17">
        <v>109</v>
      </c>
      <c r="AO307" s="17">
        <v>0.89</v>
      </c>
      <c r="AP307" s="17">
        <v>6.4</v>
      </c>
      <c r="AQ307" s="17">
        <v>14.1</v>
      </c>
      <c r="AR307" s="17">
        <v>0.33900000000000002</v>
      </c>
      <c r="AS307" s="17">
        <v>19.600000000000001</v>
      </c>
      <c r="AT307" s="17">
        <v>0.4</v>
      </c>
      <c r="AU307" s="17">
        <v>6.5</v>
      </c>
      <c r="AV307" s="17">
        <v>0.23</v>
      </c>
      <c r="AW307" s="17">
        <v>7.8</v>
      </c>
      <c r="AX307" s="17">
        <v>0.252</v>
      </c>
      <c r="AY307" s="41">
        <f t="shared" si="80"/>
        <v>1573.23</v>
      </c>
      <c r="BA307" s="20">
        <f t="shared" si="81"/>
        <v>1907.0800000000004</v>
      </c>
      <c r="BC307" s="20">
        <f t="shared" si="82"/>
        <v>1111.9100000000003</v>
      </c>
      <c r="BE307" s="20">
        <f t="shared" si="83"/>
        <v>1190.8200000000002</v>
      </c>
      <c r="BH307" s="20"/>
      <c r="BI307" s="20" t="str">
        <f t="shared" si="79"/>
        <v>Incomplete</v>
      </c>
      <c r="BJ307" s="20"/>
      <c r="BK307" s="17">
        <v>16.7</v>
      </c>
      <c r="BL307" s="20"/>
      <c r="BM307" s="17">
        <v>12.1</v>
      </c>
      <c r="BN307" s="20"/>
      <c r="BO307" s="17">
        <v>49</v>
      </c>
      <c r="BP307" s="17">
        <v>49</v>
      </c>
      <c r="BQ307" s="17">
        <v>85</v>
      </c>
      <c r="BR307" s="17">
        <v>84</v>
      </c>
      <c r="BS307" s="17">
        <v>79</v>
      </c>
      <c r="BT307" s="17">
        <v>83</v>
      </c>
      <c r="BU307" s="17">
        <v>83</v>
      </c>
      <c r="BV307" s="17">
        <v>78</v>
      </c>
      <c r="BW307" s="91">
        <f t="shared" si="84"/>
        <v>97.254901960784309</v>
      </c>
      <c r="BX307" s="91" t="str">
        <f>_xlfn.XLOOKUP(BW307,'Normative data'!$V$3:$V$6,'Normative data'!$W$3:$W$6,"Not Found",-1)</f>
        <v>Low risk</v>
      </c>
      <c r="BY307" s="91">
        <f t="shared" si="85"/>
        <v>95.686274509803923</v>
      </c>
      <c r="BZ307" s="91" t="str">
        <f>_xlfn.XLOOKUP(BY307,'Normative data'!$V$3:$V$6,'Normative data'!$W$3:$W$6,"Not Found",-1)</f>
        <v>Low risk</v>
      </c>
      <c r="CA307" s="17">
        <v>22</v>
      </c>
      <c r="CC307" s="20"/>
      <c r="CE307" s="17">
        <v>15</v>
      </c>
      <c r="CG307" s="17">
        <v>20.079999999999998</v>
      </c>
      <c r="CH307" s="20" t="str">
        <f>_xlfn.XLOOKUP(CG307, 'Normative data'!$S$9:$S$15,'Normative data'!$T$9:$T$15, "Not Found", -1)</f>
        <v>Average</v>
      </c>
      <c r="CI307" s="17">
        <v>19.29</v>
      </c>
      <c r="CJ307" s="20" t="str">
        <f>_xlfn.XLOOKUP(CI307, 'Normative data'!$S$9:$S$15, 'Normative data'!$T$9:$T$15, "Not Found", -1)</f>
        <v>Average</v>
      </c>
      <c r="CK307" s="17">
        <v>2.0499999999999998</v>
      </c>
      <c r="CL307" s="17">
        <v>4.88</v>
      </c>
      <c r="CN307" s="17">
        <v>2.0099999999999998</v>
      </c>
      <c r="CO307" s="17">
        <v>7.13</v>
      </c>
      <c r="CR307" s="20" t="str" cm="1">
        <f t="array" ref="CR307">IF(OR(ISBLANK(E307),ISBLANK(CQ307)),"Incomplete",_xlfn.XLOOKUP(CQ307,_xlfn.XLOOKUP(E307,'Normative data'!$Y$3:$Y$6,'Normative data'!$Z$3:$AG$6,,-1),'Normative data'!$Z$2:$AG$2,"Not Found",-1))</f>
        <v>Incomplete</v>
      </c>
      <c r="CS307" s="20"/>
      <c r="CT307" s="20"/>
      <c r="CU307" s="20" t="str" cm="1">
        <f t="array" ref="CU307">_xlfn.XLOOKUP(CS307&amp;CT307,(VLOOKUP!$A$3:$A$250)&amp;(VLOOKUP!$B$3:$B$250),VLOOKUP!$C$3:$C$250,"Incomplete",-1)</f>
        <v>Incomplete</v>
      </c>
      <c r="CV307" s="20" t="str" cm="1">
        <f t="array" ref="CV307">_xlfn.XLOOKUP(CU307, _xlfn.XLOOKUP(E307, 'Normative data'!$Y$11:$Y$14, 'Normative data'!$Z$11:$AG$14, ,-1), 'Normative data'!$Z$10:$AG$10, "Not Found", -1)</f>
        <v>Excellent</v>
      </c>
      <c r="CW307" s="20" t="str" cm="1">
        <f t="array" ref="CW307">IF(OR(ISBLANK(CS307),ISBLANK(CT307)),"Incomplete",_xlfn.XLOOKUP(CS307&amp;CT307,VLOOKUP!$A$4:$A$250&amp;VLOOKUP!$B$4:$B$250,VLOOKUP!$D$4:$D$250,"0"))</f>
        <v>Incomplete</v>
      </c>
    </row>
    <row r="308" spans="1:101">
      <c r="A308" s="17" t="s">
        <v>783</v>
      </c>
      <c r="B308" s="17" t="s">
        <v>503</v>
      </c>
      <c r="C308" s="17" t="s">
        <v>86</v>
      </c>
      <c r="D308" s="26">
        <v>40812</v>
      </c>
      <c r="E308" s="17">
        <v>14.7</v>
      </c>
      <c r="F308" s="20" t="s">
        <v>104</v>
      </c>
      <c r="G308" s="17">
        <v>2026</v>
      </c>
      <c r="I308" s="20">
        <v>2</v>
      </c>
      <c r="J308" s="20" t="s">
        <v>122</v>
      </c>
      <c r="K308" s="20" t="s">
        <v>297</v>
      </c>
      <c r="L308" s="20" t="s">
        <v>102</v>
      </c>
      <c r="S308" s="20">
        <v>88.2</v>
      </c>
      <c r="T308" s="20">
        <v>165.1</v>
      </c>
      <c r="U308" s="17">
        <v>52.4</v>
      </c>
      <c r="V308" s="17">
        <v>31.4</v>
      </c>
      <c r="W308" s="17">
        <v>9.5</v>
      </c>
      <c r="X308" s="17">
        <v>42.9</v>
      </c>
      <c r="Y308" s="17">
        <v>23.4</v>
      </c>
      <c r="Z308" s="17">
        <v>19.2</v>
      </c>
      <c r="AA308" s="17">
        <v>18.2</v>
      </c>
      <c r="AB308" s="17">
        <v>7.22</v>
      </c>
      <c r="AC308" s="17">
        <v>119.2</v>
      </c>
      <c r="AD308" s="17">
        <v>7.1</v>
      </c>
      <c r="AE308" s="17">
        <v>117.2</v>
      </c>
      <c r="AF308" s="17">
        <v>1.8</v>
      </c>
      <c r="AG308" s="17">
        <v>71.7</v>
      </c>
      <c r="AH308" s="17">
        <v>1.8</v>
      </c>
      <c r="AI308" s="17">
        <v>70.900000000000006</v>
      </c>
      <c r="AJ308" s="17">
        <v>249.2</v>
      </c>
      <c r="AK308" s="17">
        <v>255.1</v>
      </c>
      <c r="AL308" s="17">
        <v>222.7</v>
      </c>
      <c r="AM308" s="17">
        <v>228.7</v>
      </c>
      <c r="AN308" s="17">
        <v>97</v>
      </c>
      <c r="AO308" s="17">
        <v>0.74</v>
      </c>
      <c r="AP308" s="17">
        <v>6.5</v>
      </c>
      <c r="AQ308" s="17">
        <v>27.1</v>
      </c>
      <c r="AR308" s="17">
        <v>0.47</v>
      </c>
      <c r="AS308" s="17">
        <v>29.9</v>
      </c>
      <c r="AT308" s="17">
        <v>0.49399999999999999</v>
      </c>
      <c r="AU308" s="17">
        <v>14.6</v>
      </c>
      <c r="AV308" s="17">
        <v>0.34499999999999997</v>
      </c>
      <c r="AW308" s="17">
        <v>15.2</v>
      </c>
      <c r="AX308" s="17">
        <v>0.35199999999999998</v>
      </c>
      <c r="AY308" s="41">
        <f t="shared" si="80"/>
        <v>1963.69</v>
      </c>
      <c r="BA308" s="20">
        <f t="shared" si="81"/>
        <v>2133.6499999999996</v>
      </c>
      <c r="BC308" s="20">
        <f t="shared" si="82"/>
        <v>1204.9399999999996</v>
      </c>
      <c r="BE308" s="20">
        <f t="shared" si="83"/>
        <v>1241.3599999999997</v>
      </c>
      <c r="BG308" s="17">
        <v>18.5</v>
      </c>
      <c r="BH308" s="17">
        <v>42.5</v>
      </c>
      <c r="BI308" s="20">
        <f t="shared" si="79"/>
        <v>24</v>
      </c>
      <c r="BJ308" s="20"/>
      <c r="BK308" s="17">
        <v>4</v>
      </c>
      <c r="BL308" s="20"/>
      <c r="BM308" s="17">
        <v>4</v>
      </c>
      <c r="BN308" s="20"/>
      <c r="BO308" s="17">
        <v>46</v>
      </c>
      <c r="BP308" s="17">
        <v>45.5</v>
      </c>
      <c r="BQ308" s="17">
        <v>79</v>
      </c>
      <c r="BR308" s="17">
        <v>78</v>
      </c>
      <c r="BS308" s="17">
        <v>71</v>
      </c>
      <c r="BT308" s="17">
        <v>78</v>
      </c>
      <c r="BU308" s="17">
        <v>77</v>
      </c>
      <c r="BV308" s="17">
        <v>66</v>
      </c>
      <c r="BW308" s="91">
        <f t="shared" si="84"/>
        <v>98.829648894668409</v>
      </c>
      <c r="BX308" s="91" t="str">
        <f>_xlfn.XLOOKUP(BW308,'Normative data'!$V$3:$V$6,'Normative data'!$W$3:$W$6,"Not Found",-1)</f>
        <v>Low risk</v>
      </c>
      <c r="BY308" s="91">
        <f t="shared" si="85"/>
        <v>95.79540528825315</v>
      </c>
      <c r="BZ308" s="91" t="str">
        <f>_xlfn.XLOOKUP(BY308,'Normative data'!$V$3:$V$6,'Normative data'!$W$3:$W$6,"Not Found",-1)</f>
        <v>Low risk</v>
      </c>
      <c r="CA308" s="17">
        <v>24</v>
      </c>
      <c r="CC308" s="20"/>
      <c r="CE308" s="17">
        <v>21</v>
      </c>
      <c r="CG308" s="17">
        <v>16.45</v>
      </c>
      <c r="CH308" s="20" t="str">
        <f>_xlfn.XLOOKUP(CG308, 'Normative data'!$S$9:$S$15,'Normative data'!$T$9:$T$15, "Not Found", -1)</f>
        <v>Excellent</v>
      </c>
      <c r="CI308" s="17">
        <v>16.54</v>
      </c>
      <c r="CJ308" s="20" t="str">
        <f>_xlfn.XLOOKUP(CI308, 'Normative data'!$S$9:$S$15, 'Normative data'!$T$9:$T$15, "Not Found", -1)</f>
        <v>Excellent</v>
      </c>
      <c r="CK308" s="17">
        <v>2.12</v>
      </c>
      <c r="CL308" s="17">
        <v>4.72</v>
      </c>
      <c r="CN308" s="17">
        <v>6.23</v>
      </c>
      <c r="CO308" s="17">
        <v>8.0299999999999994</v>
      </c>
      <c r="CQ308" s="17">
        <v>9.8000000000000007</v>
      </c>
      <c r="CR308" s="20" t="str" cm="1">
        <f t="array" ref="CR308">IF(OR(ISBLANK(E308),ISBLANK(CQ308)),"Incomplete",_xlfn.XLOOKUP(CQ308,_xlfn.XLOOKUP(E308,'Normative data'!$Y$3:$Y$6,'Normative data'!$Z$3:$AG$6,,-1),'Normative data'!$Z$2:$AG$2,"Not Found",-1))</f>
        <v>Very good</v>
      </c>
      <c r="CS308" s="20">
        <v>9</v>
      </c>
      <c r="CT308" s="20">
        <v>8</v>
      </c>
      <c r="CU308" s="20" cm="1">
        <f t="array" ref="CU308">_xlfn.XLOOKUP(CS308&amp;CT308,(VLOOKUP!$A$3:$A$250)&amp;(VLOOKUP!$B$3:$B$250),VLOOKUP!$C$3:$C$250,"Incomplete",-1)</f>
        <v>1600</v>
      </c>
      <c r="CV308" s="20" t="str" cm="1">
        <f t="array" ref="CV308">_xlfn.XLOOKUP(CU308, _xlfn.XLOOKUP(E308, 'Normative data'!$Y$11:$Y$14, 'Normative data'!$Z$11:$AG$14, ,-1), 'Normative data'!$Z$10:$AG$10, "Not Found", -1)</f>
        <v xml:space="preserve">Good </v>
      </c>
      <c r="CW308" s="20" cm="1">
        <f t="array" ref="CW308">IF(OR(ISBLANK(CS308),ISBLANK(CT308)),"Incomplete",_xlfn.XLOOKUP(CS308&amp;CT308,VLOOKUP!$A$4:$A$250&amp;VLOOKUP!$B$4:$B$250,VLOOKUP!$D$4:$D$250,"0"))</f>
        <v>46</v>
      </c>
    </row>
    <row r="309" spans="1:101">
      <c r="A309" s="22" t="s">
        <v>390</v>
      </c>
      <c r="B309" s="22" t="s">
        <v>590</v>
      </c>
      <c r="C309" s="17" t="s">
        <v>86</v>
      </c>
      <c r="D309" s="23"/>
      <c r="F309" s="17">
        <v>10</v>
      </c>
      <c r="G309" s="17">
        <v>2025</v>
      </c>
      <c r="H309" s="20" t="s">
        <v>114</v>
      </c>
      <c r="I309" s="17">
        <v>1</v>
      </c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41" t="str">
        <f t="shared" si="80"/>
        <v>Incomplete</v>
      </c>
      <c r="AZ309" s="20"/>
      <c r="BA309" s="20" t="str">
        <f t="shared" si="81"/>
        <v>Incomplete</v>
      </c>
      <c r="BB309" s="20"/>
      <c r="BC309" s="20" t="str">
        <f t="shared" si="82"/>
        <v>Incomplete</v>
      </c>
      <c r="BD309" s="20"/>
      <c r="BE309" s="20" t="str">
        <f t="shared" si="83"/>
        <v>Incomplete</v>
      </c>
      <c r="BF309" s="20"/>
      <c r="BG309" s="20">
        <v>20</v>
      </c>
      <c r="BH309" s="20">
        <v>32.5</v>
      </c>
      <c r="BI309" s="20" t="e">
        <f>IF(OR(ISBLANK(#REF!), ISBLANK(#REF!)),"Incomplete",(SUM(#REF!-#REF!)))</f>
        <v>#REF!</v>
      </c>
      <c r="BJ309" s="20"/>
      <c r="BK309" s="20">
        <v>2</v>
      </c>
      <c r="BL309" s="20"/>
      <c r="BM309" s="20">
        <v>2</v>
      </c>
      <c r="BN309" s="20"/>
      <c r="BO309" s="20"/>
      <c r="BP309" s="20"/>
      <c r="BQ309" s="20"/>
      <c r="BR309" s="20"/>
      <c r="BS309" s="20"/>
      <c r="BT309" s="20"/>
      <c r="BU309" s="20"/>
      <c r="BV309" s="20"/>
      <c r="BW309" s="91" t="str">
        <f t="shared" si="84"/>
        <v>Incomplete</v>
      </c>
      <c r="BX309" s="91" t="str">
        <f>_xlfn.XLOOKUP(BW309,'Normative data'!$V$3:$V$6,'Normative data'!$W$3:$W$6,"Not Found",-1)</f>
        <v>Very low risk</v>
      </c>
      <c r="BY309" s="91" t="str">
        <f t="shared" si="85"/>
        <v>Incomplete</v>
      </c>
      <c r="BZ309" s="91" t="str">
        <f>_xlfn.XLOOKUP(BY309,'Normative data'!$V$3:$V$6,'Normative data'!$W$3:$W$6,"Not Found",-1)</f>
        <v>Very low risk</v>
      </c>
      <c r="CA309" s="20"/>
      <c r="CC309" s="20"/>
      <c r="CE309" s="20">
        <v>12</v>
      </c>
      <c r="CG309" s="20"/>
      <c r="CH309" s="20" t="str">
        <f>_xlfn.XLOOKUP(CG309, 'Normative data'!$S$9:$S$15,'Normative data'!$T$9:$T$15, "Not Found", -1)</f>
        <v>not completed</v>
      </c>
      <c r="CI309" s="20"/>
      <c r="CJ309" s="20" t="str">
        <f>_xlfn.XLOOKUP(CI309, 'Normative data'!$S$9:$S$15, 'Normative data'!$T$9:$T$15, "Not Found", -1)</f>
        <v>not completed</v>
      </c>
      <c r="CK309" s="24">
        <v>2.37</v>
      </c>
      <c r="CL309" s="24">
        <v>4.22</v>
      </c>
      <c r="CM309" s="24"/>
      <c r="CN309" s="24">
        <v>7.37</v>
      </c>
      <c r="CO309" s="24">
        <v>6.78</v>
      </c>
      <c r="CP309" s="24"/>
      <c r="CQ309" s="20"/>
      <c r="CR309" s="20" t="str" cm="1">
        <f t="array" ref="CR309">IF(OR(ISBLANK(E309),ISBLANK(CQ309)),"Incomplete",_xlfn.XLOOKUP(CQ309,_xlfn.XLOOKUP(E309,'Normative data'!$Y$3:$Y$6,'Normative data'!$Z$3:$AG$6,,-1),'Normative data'!$Z$2:$AG$2,"Not Found",-1))</f>
        <v>Incomplete</v>
      </c>
      <c r="CS309" s="20"/>
      <c r="CT309" s="20"/>
      <c r="CU309" s="20" t="str" cm="1">
        <f t="array" ref="CU309">_xlfn.XLOOKUP(CS309&amp;CT309,(VLOOKUP!$A$3:$A$250)&amp;(VLOOKUP!$B$3:$B$250),VLOOKUP!$C$3:$C$250,"Incomplete",-1)</f>
        <v>Incomplete</v>
      </c>
      <c r="CV309" s="20" t="str" cm="1">
        <f t="array" ref="CV309">_xlfn.XLOOKUP(CU309, _xlfn.XLOOKUP(E309, 'Normative data'!$Y$11:$Y$14, 'Normative data'!$Z$11:$AG$14, ,-1), 'Normative data'!$Z$10:$AG$10, "Not Found", -1)</f>
        <v>Excellent</v>
      </c>
      <c r="CW309" s="20" t="str" cm="1">
        <f t="array" ref="CW309">IF(OR(ISBLANK(CS309),ISBLANK(CT309)),"Incomplete",_xlfn.XLOOKUP(CS309&amp;CT309,VLOOKUP!$A$4:$A$250&amp;VLOOKUP!$B$4:$B$250,VLOOKUP!$D$4:$D$250,"0"))</f>
        <v>Incomplete</v>
      </c>
    </row>
    <row r="310" spans="1:101">
      <c r="A310" s="17" t="s">
        <v>394</v>
      </c>
      <c r="B310" s="17" t="s">
        <v>590</v>
      </c>
      <c r="C310" s="17" t="s">
        <v>86</v>
      </c>
      <c r="D310" s="26"/>
      <c r="F310" s="17">
        <v>10</v>
      </c>
      <c r="G310" s="17">
        <v>2025</v>
      </c>
      <c r="H310" s="20" t="s">
        <v>124</v>
      </c>
      <c r="I310" s="17">
        <v>3</v>
      </c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41" t="str">
        <f t="shared" si="80"/>
        <v>Incomplete</v>
      </c>
      <c r="AZ310" s="20"/>
      <c r="BA310" s="20" t="str">
        <f t="shared" si="81"/>
        <v>Incomplete</v>
      </c>
      <c r="BB310" s="20"/>
      <c r="BC310" s="20" t="str">
        <f t="shared" si="82"/>
        <v>Incomplete</v>
      </c>
      <c r="BD310" s="20"/>
      <c r="BE310" s="20" t="str">
        <f t="shared" si="83"/>
        <v>Incomplete</v>
      </c>
      <c r="BF310" s="20"/>
      <c r="BG310" s="20"/>
      <c r="BH310" s="20"/>
      <c r="BI310" s="20" t="str">
        <f>IF(OR(ISBLANK(BG310), ISBLANK(BH310)),"Incomplete",(SUM(BH310-BG310)))</f>
        <v>Incomplete</v>
      </c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91" t="str">
        <f t="shared" si="84"/>
        <v>Incomplete</v>
      </c>
      <c r="BX310" s="91" t="str">
        <f>_xlfn.XLOOKUP(BW310,'Normative data'!$V$3:$V$6,'Normative data'!$W$3:$W$6,"Not Found",-1)</f>
        <v>Very low risk</v>
      </c>
      <c r="BY310" s="91" t="str">
        <f t="shared" si="85"/>
        <v>Incomplete</v>
      </c>
      <c r="BZ310" s="91" t="str">
        <f>_xlfn.XLOOKUP(BY310,'Normative data'!$V$3:$V$6,'Normative data'!$W$3:$W$6,"Not Found",-1)</f>
        <v>Very low risk</v>
      </c>
      <c r="CA310" s="20"/>
      <c r="CC310" s="20"/>
      <c r="CE310" s="20"/>
      <c r="CG310" s="20"/>
      <c r="CH310" s="20" t="str">
        <f>_xlfn.XLOOKUP(CG310, 'Normative data'!$S$9:$S$15,'Normative data'!$T$9:$T$15, "Not Found", -1)</f>
        <v>not completed</v>
      </c>
      <c r="CI310" s="20"/>
      <c r="CJ310" s="20" t="str">
        <f>_xlfn.XLOOKUP(CI310, 'Normative data'!$S$9:$S$15, 'Normative data'!$T$9:$T$15, "Not Found", -1)</f>
        <v>not completed</v>
      </c>
      <c r="CK310" s="20" t="s">
        <v>328</v>
      </c>
      <c r="CL310" s="20" t="s">
        <v>784</v>
      </c>
      <c r="CN310" s="20" t="s">
        <v>785</v>
      </c>
      <c r="CO310" s="20" t="s">
        <v>305</v>
      </c>
      <c r="CQ310" s="20"/>
      <c r="CR310" s="20" t="str" cm="1">
        <f t="array" ref="CR310">IF(OR(ISBLANK(E310),ISBLANK(CQ310)),"Incomplete",_xlfn.XLOOKUP(CQ310,_xlfn.XLOOKUP(E310,'Normative data'!$Y$3:$Y$6,'Normative data'!$Z$3:$AG$6,,-1),'Normative data'!$Z$2:$AG$2,"Not Found",-1))</f>
        <v>Incomplete</v>
      </c>
      <c r="CS310" s="20"/>
      <c r="CT310" s="20"/>
      <c r="CU310" s="20" t="str" cm="1">
        <f t="array" ref="CU310">_xlfn.XLOOKUP(CS310&amp;CT310,(VLOOKUP!$A$3:$A$250)&amp;(VLOOKUP!$B$3:$B$250),VLOOKUP!$C$3:$C$250,"Incomplete",-1)</f>
        <v>Incomplete</v>
      </c>
      <c r="CV310" s="20" t="str" cm="1">
        <f t="array" ref="CV310">_xlfn.XLOOKUP(CU310, _xlfn.XLOOKUP(E310, 'Normative data'!$Y$11:$Y$14, 'Normative data'!$Z$11:$AG$14, ,-1), 'Normative data'!$Z$10:$AG$10, "Not Found", -1)</f>
        <v>Excellent</v>
      </c>
      <c r="CW310" s="20" t="str" cm="1">
        <f t="array" ref="CW310">IF(OR(ISBLANK(CS310),ISBLANK(CT310)),"Incomplete",_xlfn.XLOOKUP(CS310&amp;CT310,VLOOKUP!$A$4:$A$250&amp;VLOOKUP!$B$4:$B$250,VLOOKUP!$D$4:$D$250,"0"))</f>
        <v>Incomplete</v>
      </c>
    </row>
    <row r="311" spans="1:101">
      <c r="A311" s="17" t="s">
        <v>390</v>
      </c>
      <c r="B311" s="17" t="s">
        <v>786</v>
      </c>
      <c r="C311" s="17" t="s">
        <v>86</v>
      </c>
      <c r="D311" s="33"/>
      <c r="G311" s="17">
        <v>2026</v>
      </c>
      <c r="H311" s="20" t="s">
        <v>114</v>
      </c>
      <c r="I311" s="17">
        <v>1</v>
      </c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>
        <v>20</v>
      </c>
      <c r="AR311" s="20">
        <v>0.40400000000000003</v>
      </c>
      <c r="AS311" s="20">
        <v>19.100000000000001</v>
      </c>
      <c r="AT311" s="20">
        <v>0.39500000000000002</v>
      </c>
      <c r="AU311" s="20">
        <v>11.6</v>
      </c>
      <c r="AV311" s="20">
        <v>0.311</v>
      </c>
      <c r="AW311" s="20">
        <v>11.6</v>
      </c>
      <c r="AX311" s="20">
        <v>0.308</v>
      </c>
      <c r="AY311" s="41" t="str">
        <f t="shared" si="80"/>
        <v>Incomplete</v>
      </c>
      <c r="AZ311" s="20"/>
      <c r="BA311" s="20" t="str">
        <f t="shared" si="81"/>
        <v>Incomplete</v>
      </c>
      <c r="BB311" s="20"/>
      <c r="BC311" s="20" t="str">
        <f t="shared" si="82"/>
        <v>Incomplete</v>
      </c>
      <c r="BD311" s="20"/>
      <c r="BE311" s="20" t="str">
        <f t="shared" si="83"/>
        <v>Incomplete</v>
      </c>
      <c r="BF311" s="20"/>
      <c r="BG311" s="20">
        <v>16</v>
      </c>
      <c r="BH311" s="20">
        <v>39</v>
      </c>
      <c r="BI311" s="20">
        <f>IF(OR(ISBLANK(BG311), ISBLANK(BH311)),"Incomplete",(SUM(BH311-BG311)))</f>
        <v>23</v>
      </c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91" t="str">
        <f t="shared" si="84"/>
        <v>Incomplete</v>
      </c>
      <c r="BX311" s="91" t="str">
        <f>_xlfn.XLOOKUP(BW311,'Normative data'!$V$3:$V$6,'Normative data'!$W$3:$W$6,"Not Found",-1)</f>
        <v>Very low risk</v>
      </c>
      <c r="BY311" s="91" t="str">
        <f t="shared" si="85"/>
        <v>Incomplete</v>
      </c>
      <c r="BZ311" s="91" t="str">
        <f>_xlfn.XLOOKUP(BY311,'Normative data'!$V$3:$V$6,'Normative data'!$W$3:$W$6,"Not Found",-1)</f>
        <v>Very low risk</v>
      </c>
      <c r="CA311" s="20"/>
      <c r="CC311" s="20"/>
      <c r="CE311" s="20"/>
      <c r="CG311" s="20"/>
      <c r="CH311" s="20" t="str">
        <f>_xlfn.XLOOKUP(CG311, 'Normative data'!$S$9:$S$15,'Normative data'!$T$9:$T$15, "Not Found", -1)</f>
        <v>not completed</v>
      </c>
      <c r="CI311" s="20"/>
      <c r="CJ311" s="20" t="str">
        <f>_xlfn.XLOOKUP(CI311, 'Normative data'!$S$9:$S$15, 'Normative data'!$T$9:$T$15, "Not Found", -1)</f>
        <v>not completed</v>
      </c>
      <c r="CK311" s="20">
        <v>2.34</v>
      </c>
      <c r="CL311" s="20">
        <v>4.2699999999999996</v>
      </c>
      <c r="CN311" s="20">
        <v>7.38</v>
      </c>
      <c r="CO311" s="20">
        <v>6.78</v>
      </c>
      <c r="CQ311" s="20">
        <v>3.3</v>
      </c>
      <c r="CR311" s="20" t="str" cm="1">
        <f t="array" ref="CR311">IF(OR(ISBLANK(E311),ISBLANK(CQ311)),"Incomplete",_xlfn.XLOOKUP(CQ311,_xlfn.XLOOKUP(E311,'Normative data'!$Y$3:$Y$6,'Normative data'!$Z$3:$AG$6,,-1),'Normative data'!$Z$2:$AG$2,"Not Found",-1))</f>
        <v>Incomplete</v>
      </c>
      <c r="CS311" s="20">
        <v>3</v>
      </c>
      <c r="CT311" s="20">
        <v>3</v>
      </c>
      <c r="CU311" s="20" cm="1">
        <f t="array" ref="CU311">_xlfn.XLOOKUP(CS311&amp;CT311,(VLOOKUP!$A$3:$A$250)&amp;(VLOOKUP!$B$3:$B$250),VLOOKUP!$C$3:$C$250,"Incomplete",-1)</f>
        <v>360</v>
      </c>
      <c r="CV311" s="20" t="str" cm="1">
        <f t="array" ref="CV311">_xlfn.XLOOKUP(CU311, _xlfn.XLOOKUP(E311, 'Normative data'!$Y$11:$Y$14, 'Normative data'!$Z$11:$AG$14, ,-1), 'Normative data'!$Z$10:$AG$10, "Not Found", -1)</f>
        <v xml:space="preserve">Very poor </v>
      </c>
      <c r="CW311" s="20" cm="1">
        <f t="array" ref="CW311">IF(OR(ISBLANK(CS311),ISBLANK(CT311)),"Incomplete",_xlfn.XLOOKUP(CS311&amp;CT311,VLOOKUP!$A$4:$A$250&amp;VLOOKUP!$B$4:$B$250,VLOOKUP!$D$4:$D$250,"0"))</f>
        <v>24</v>
      </c>
    </row>
    <row r="312" spans="1:101">
      <c r="A312" s="17" t="s">
        <v>787</v>
      </c>
      <c r="B312" s="17" t="s">
        <v>788</v>
      </c>
      <c r="C312" s="17" t="s">
        <v>86</v>
      </c>
      <c r="D312" s="26">
        <v>41134</v>
      </c>
      <c r="E312" s="17">
        <v>13.7</v>
      </c>
      <c r="F312" s="20" t="s">
        <v>97</v>
      </c>
      <c r="G312" s="17">
        <v>2026</v>
      </c>
      <c r="I312" s="20">
        <v>2</v>
      </c>
      <c r="J312" s="20" t="s">
        <v>100</v>
      </c>
      <c r="K312" s="20" t="s">
        <v>108</v>
      </c>
      <c r="L312" s="20"/>
      <c r="S312" s="20">
        <v>87.1</v>
      </c>
      <c r="T312" s="20">
        <v>169.8</v>
      </c>
      <c r="U312" s="17">
        <v>65.099999999999994</v>
      </c>
      <c r="V312" s="17">
        <v>35.6</v>
      </c>
      <c r="W312" s="17">
        <v>16.3</v>
      </c>
      <c r="X312" s="17">
        <v>48.8</v>
      </c>
      <c r="Y312" s="17">
        <v>26.8</v>
      </c>
      <c r="Z312" s="17">
        <v>22.6</v>
      </c>
      <c r="AA312" s="17">
        <v>25.1</v>
      </c>
      <c r="AB312" s="17">
        <v>7.4</v>
      </c>
      <c r="AC312" s="17">
        <v>101.7</v>
      </c>
      <c r="AD312" s="17">
        <v>7.44</v>
      </c>
      <c r="AE312" s="17">
        <v>102.3</v>
      </c>
      <c r="AF312" s="17">
        <v>2.5</v>
      </c>
      <c r="AG312" s="17">
        <v>95.8</v>
      </c>
      <c r="AH312" s="17">
        <v>2.5</v>
      </c>
      <c r="AI312" s="17">
        <v>95.8</v>
      </c>
      <c r="AJ312" s="17">
        <v>294.89999999999998</v>
      </c>
      <c r="AK312" s="17">
        <v>290.3</v>
      </c>
      <c r="AL312" s="17">
        <v>262.2</v>
      </c>
      <c r="AM312" s="17">
        <v>258.60000000000002</v>
      </c>
      <c r="AN312" s="17">
        <v>120</v>
      </c>
      <c r="AO312" s="17">
        <v>0.85</v>
      </c>
      <c r="AP312" s="17">
        <v>6.8</v>
      </c>
      <c r="AQ312" s="20"/>
      <c r="AR312" s="20"/>
      <c r="AS312" s="20"/>
      <c r="AT312" s="20"/>
      <c r="AU312" s="20"/>
      <c r="AV312" s="20"/>
      <c r="AW312" s="20"/>
      <c r="AX312" s="20"/>
      <c r="AY312" s="41" t="str">
        <f t="shared" si="80"/>
        <v>Incomplete</v>
      </c>
      <c r="BA312" s="20" t="str">
        <f t="shared" si="81"/>
        <v>Incomplete</v>
      </c>
      <c r="BC312" s="20" t="str">
        <f t="shared" si="82"/>
        <v>Incomplete</v>
      </c>
      <c r="BE312" s="20" t="str">
        <f t="shared" si="83"/>
        <v>Incomplete</v>
      </c>
      <c r="BG312" s="17">
        <v>14.5</v>
      </c>
      <c r="BH312" s="17">
        <v>42.5</v>
      </c>
      <c r="BI312" s="20">
        <f>IF(OR(ISBLANK(BG312), ISBLANK(BH312)),"Incomplete",(SUM(BH312-BG312)))</f>
        <v>28</v>
      </c>
      <c r="BJ312" s="20"/>
      <c r="BK312" s="17">
        <v>3</v>
      </c>
      <c r="BL312" s="20"/>
      <c r="BM312" s="17">
        <v>2</v>
      </c>
      <c r="BN312" s="20"/>
      <c r="BO312" s="17">
        <v>52</v>
      </c>
      <c r="BP312" s="17">
        <v>52.5</v>
      </c>
      <c r="BQ312" s="17">
        <v>85</v>
      </c>
      <c r="BR312" s="17">
        <v>79</v>
      </c>
      <c r="BS312" s="17">
        <v>80</v>
      </c>
      <c r="BT312" s="17">
        <v>82</v>
      </c>
      <c r="BU312" s="17">
        <v>80</v>
      </c>
      <c r="BV312" s="17">
        <v>74</v>
      </c>
      <c r="BW312" s="91">
        <f t="shared" si="84"/>
        <v>98.347440548166048</v>
      </c>
      <c r="BX312" s="91" t="str">
        <f>_xlfn.XLOOKUP(BW312,'Normative data'!$V$3:$V$6,'Normative data'!$W$3:$W$6,"Not Found",-1)</f>
        <v>Low risk</v>
      </c>
      <c r="BY312" s="91">
        <f t="shared" si="85"/>
        <v>95.122934300685188</v>
      </c>
      <c r="BZ312" s="91" t="str">
        <f>_xlfn.XLOOKUP(BY312,'Normative data'!$V$3:$V$6,'Normative data'!$W$3:$W$6,"Not Found",-1)</f>
        <v>High risk</v>
      </c>
      <c r="CA312" s="17">
        <v>23</v>
      </c>
      <c r="CC312" s="20"/>
      <c r="CE312" s="17">
        <v>3</v>
      </c>
      <c r="CG312" s="17">
        <v>19.73</v>
      </c>
      <c r="CH312" s="20" t="str">
        <f>_xlfn.XLOOKUP(CG312, 'Normative data'!$S$9:$S$15,'Normative data'!$T$9:$T$15, "Not Found", -1)</f>
        <v>Average</v>
      </c>
      <c r="CI312" s="17">
        <v>19.72</v>
      </c>
      <c r="CJ312" s="20" t="str">
        <f>_xlfn.XLOOKUP(CI312, 'Normative data'!$S$9:$S$15, 'Normative data'!$T$9:$T$15, "Not Found", -1)</f>
        <v>Average</v>
      </c>
      <c r="CK312" s="17">
        <v>2.0099999999999998</v>
      </c>
      <c r="CL312" s="17">
        <v>4.9800000000000004</v>
      </c>
      <c r="CN312" s="17">
        <v>6.47</v>
      </c>
      <c r="CO312" s="17">
        <v>7.73</v>
      </c>
      <c r="CR312" s="20" t="str" cm="1">
        <f t="array" ref="CR312">IF(OR(ISBLANK(E312),ISBLANK(CQ312)),"Incomplete",_xlfn.XLOOKUP(CQ312,_xlfn.XLOOKUP(E312,'Normative data'!$Y$3:$Y$6,'Normative data'!$Z$3:$AG$6,,-1),'Normative data'!$Z$2:$AG$2,"Not Found",-1))</f>
        <v>Incomplete</v>
      </c>
      <c r="CS312" s="20"/>
      <c r="CT312" s="20"/>
      <c r="CU312" s="20" t="str" cm="1">
        <f t="array" ref="CU312">_xlfn.XLOOKUP(CS312&amp;CT312,(VLOOKUP!$A$3:$A$250)&amp;(VLOOKUP!$B$3:$B$250),VLOOKUP!$C$3:$C$250,"Incomplete",-1)</f>
        <v>Incomplete</v>
      </c>
      <c r="CV312" s="20" t="str" cm="1">
        <f t="array" ref="CV312">_xlfn.XLOOKUP(CU312, _xlfn.XLOOKUP(E312, 'Normative data'!$Y$11:$Y$14, 'Normative data'!$Z$11:$AG$14, ,-1), 'Normative data'!$Z$10:$AG$10, "Not Found", -1)</f>
        <v>Excellent</v>
      </c>
      <c r="CW312" s="20" t="str" cm="1">
        <f t="array" ref="CW312">IF(OR(ISBLANK(CS312),ISBLANK(CT312)),"Incomplete",_xlfn.XLOOKUP(CS312&amp;CT312,VLOOKUP!$A$4:$A$250&amp;VLOOKUP!$B$4:$B$250,VLOOKUP!$D$4:$D$250,"0"))</f>
        <v>Incomplete</v>
      </c>
    </row>
    <row r="313" spans="1:101">
      <c r="A313" s="18" t="s">
        <v>789</v>
      </c>
      <c r="B313" s="18" t="s">
        <v>790</v>
      </c>
      <c r="C313" s="17" t="s">
        <v>86</v>
      </c>
      <c r="D313" s="19">
        <v>39458</v>
      </c>
      <c r="F313" s="17">
        <v>11</v>
      </c>
      <c r="G313" s="17">
        <v>2025</v>
      </c>
      <c r="H313" s="20" t="s">
        <v>124</v>
      </c>
      <c r="I313" s="17">
        <v>3</v>
      </c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41" t="str">
        <f t="shared" si="80"/>
        <v>Incomplete</v>
      </c>
      <c r="AZ313" s="20"/>
      <c r="BA313" s="20" t="str">
        <f t="shared" si="81"/>
        <v>Incomplete</v>
      </c>
      <c r="BB313" s="20"/>
      <c r="BC313" s="20" t="str">
        <f t="shared" si="82"/>
        <v>Incomplete</v>
      </c>
      <c r="BD313" s="20"/>
      <c r="BE313" s="20" t="str">
        <f t="shared" si="83"/>
        <v>Incomplete</v>
      </c>
      <c r="BF313" s="20"/>
      <c r="BG313" s="20">
        <v>14</v>
      </c>
      <c r="BH313" s="20">
        <v>51.4</v>
      </c>
      <c r="BI313" s="20" t="e">
        <f>IF(OR(ISBLANK(#REF!), ISBLANK(#REF!)),"Incomplete",(SUM(#REF!-#REF!)))</f>
        <v>#REF!</v>
      </c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91" t="str">
        <f t="shared" si="84"/>
        <v>Incomplete</v>
      </c>
      <c r="BX313" s="91" t="str">
        <f>_xlfn.XLOOKUP(BW313,'Normative data'!$V$3:$V$6,'Normative data'!$W$3:$W$6,"Not Found",-1)</f>
        <v>Very low risk</v>
      </c>
      <c r="BY313" s="91" t="str">
        <f t="shared" si="85"/>
        <v>Incomplete</v>
      </c>
      <c r="BZ313" s="91" t="str">
        <f>_xlfn.XLOOKUP(BY313,'Normative data'!$V$3:$V$6,'Normative data'!$W$3:$W$6,"Not Found",-1)</f>
        <v>Very low risk</v>
      </c>
      <c r="CA313" s="20"/>
      <c r="CC313" s="20"/>
      <c r="CE313" s="20">
        <v>7</v>
      </c>
      <c r="CG313" s="20"/>
      <c r="CH313" s="20" t="str">
        <f>_xlfn.XLOOKUP(CG313, 'Normative data'!$S$9:$S$15,'Normative data'!$T$9:$T$15, "Not Found", -1)</f>
        <v>not completed</v>
      </c>
      <c r="CI313" s="20"/>
      <c r="CJ313" s="20" t="str">
        <f>_xlfn.XLOOKUP(CI313, 'Normative data'!$S$9:$S$15, 'Normative data'!$T$9:$T$15, "Not Found", -1)</f>
        <v>not completed</v>
      </c>
      <c r="CK313" s="21">
        <v>2.2799999999999998</v>
      </c>
      <c r="CL313" s="21">
        <v>4.3899999999999997</v>
      </c>
      <c r="CM313" s="21"/>
      <c r="CN313" s="21">
        <v>6.93</v>
      </c>
      <c r="CO313" s="21">
        <v>7.22</v>
      </c>
      <c r="CP313" s="21"/>
      <c r="CQ313" s="20"/>
      <c r="CR313" s="20" t="str" cm="1">
        <f t="array" ref="CR313">IF(OR(ISBLANK(E313),ISBLANK(CQ313)),"Incomplete",_xlfn.XLOOKUP(CQ313,_xlfn.XLOOKUP(E313,'Normative data'!$Y$3:$Y$6,'Normative data'!$Z$3:$AG$6,,-1),'Normative data'!$Z$2:$AG$2,"Not Found",-1))</f>
        <v>Incomplete</v>
      </c>
      <c r="CS313" s="20"/>
      <c r="CT313" s="20"/>
      <c r="CU313" s="20" t="str" cm="1">
        <f t="array" ref="CU313">_xlfn.XLOOKUP(CS313&amp;CT313,(VLOOKUP!$A$3:$A$250)&amp;(VLOOKUP!$B$3:$B$250),VLOOKUP!$C$3:$C$250,"Incomplete",-1)</f>
        <v>Incomplete</v>
      </c>
      <c r="CV313" s="20" t="str" cm="1">
        <f t="array" ref="CV313">_xlfn.XLOOKUP(CU313, _xlfn.XLOOKUP(E313, 'Normative data'!$Y$11:$Y$14, 'Normative data'!$Z$11:$AG$14, ,-1), 'Normative data'!$Z$10:$AG$10, "Not Found", -1)</f>
        <v>Excellent</v>
      </c>
      <c r="CW313" s="20" t="str" cm="1">
        <f t="array" ref="CW313">IF(OR(ISBLANK(CS313),ISBLANK(CT313)),"Incomplete",_xlfn.XLOOKUP(CS313&amp;CT313,VLOOKUP!$A$4:$A$250&amp;VLOOKUP!$B$4:$B$250,VLOOKUP!$D$4:$D$250,"0"))</f>
        <v>Incomplete</v>
      </c>
    </row>
    <row r="314" spans="1:101">
      <c r="A314" s="17" t="s">
        <v>791</v>
      </c>
      <c r="B314" s="17" t="s">
        <v>792</v>
      </c>
      <c r="C314" s="17" t="s">
        <v>86</v>
      </c>
      <c r="D314" s="26"/>
      <c r="F314" s="20" t="s">
        <v>99</v>
      </c>
      <c r="G314" s="17">
        <v>2026</v>
      </c>
      <c r="I314" s="20">
        <v>2</v>
      </c>
      <c r="J314" s="20" t="s">
        <v>100</v>
      </c>
      <c r="K314" s="20" t="s">
        <v>105</v>
      </c>
      <c r="L314" s="20"/>
      <c r="S314" s="20">
        <v>86.8</v>
      </c>
      <c r="T314" s="20">
        <v>173.4</v>
      </c>
      <c r="AQ314" s="20"/>
      <c r="AR314" s="20"/>
      <c r="AS314" s="20"/>
      <c r="AT314" s="20"/>
      <c r="AU314" s="20"/>
      <c r="AV314" s="20"/>
      <c r="AW314" s="20"/>
      <c r="AX314" s="20"/>
      <c r="AY314" s="41" t="str">
        <f t="shared" si="80"/>
        <v>Incomplete</v>
      </c>
      <c r="BA314" s="20" t="str">
        <f t="shared" si="81"/>
        <v>Incomplete</v>
      </c>
      <c r="BC314" s="20" t="str">
        <f t="shared" si="82"/>
        <v>Incomplete</v>
      </c>
      <c r="BE314" s="20" t="str">
        <f t="shared" si="83"/>
        <v>Incomplete</v>
      </c>
      <c r="BG314" s="17">
        <v>5.9</v>
      </c>
      <c r="BH314" s="17">
        <v>33.6</v>
      </c>
      <c r="BI314" s="20">
        <f t="shared" ref="BI314:BI325" si="86">IF(OR(ISBLANK(BG314), ISBLANK(BH314)),"Incomplete",(SUM(BH314-BG314)))</f>
        <v>27.700000000000003</v>
      </c>
      <c r="BJ314" s="20"/>
      <c r="BL314" s="20"/>
      <c r="BM314" s="20"/>
      <c r="BN314" s="20"/>
      <c r="BQ314" s="17">
        <v>82</v>
      </c>
      <c r="BR314" s="17">
        <v>80</v>
      </c>
      <c r="BS314" s="17">
        <v>70</v>
      </c>
      <c r="BT314" s="17">
        <v>80</v>
      </c>
      <c r="BU314" s="17">
        <v>82</v>
      </c>
      <c r="BV314" s="17">
        <v>71</v>
      </c>
      <c r="BW314" s="91">
        <f t="shared" si="84"/>
        <v>89.299461123941498</v>
      </c>
      <c r="BX314" s="91" t="str">
        <f>_xlfn.XLOOKUP(BW314,'Normative data'!$V$3:$V$6,'Normative data'!$W$3:$W$6,"Not Found",-1)</f>
        <v>High risk</v>
      </c>
      <c r="BY314" s="91">
        <f t="shared" si="85"/>
        <v>89.684372594303312</v>
      </c>
      <c r="BZ314" s="91" t="str">
        <f>_xlfn.XLOOKUP(BY314,'Normative data'!$V$3:$V$6,'Normative data'!$W$3:$W$6,"Not Found",-1)</f>
        <v>High risk</v>
      </c>
      <c r="CA314" s="17">
        <v>15</v>
      </c>
      <c r="CC314" s="20"/>
      <c r="CE314" s="17">
        <v>10</v>
      </c>
      <c r="CG314" s="17">
        <v>20.059999999999999</v>
      </c>
      <c r="CH314" s="20" t="str">
        <f>_xlfn.XLOOKUP(CG314, 'Normative data'!$S$9:$S$15,'Normative data'!$T$9:$T$15, "Not Found", -1)</f>
        <v>Average</v>
      </c>
      <c r="CI314" s="17">
        <v>19.739999999999998</v>
      </c>
      <c r="CJ314" s="20" t="str">
        <f>_xlfn.XLOOKUP(CI314, 'Normative data'!$S$9:$S$15, 'Normative data'!$T$9:$T$15, "Not Found", -1)</f>
        <v>Average</v>
      </c>
      <c r="CK314" s="17">
        <v>2.2999999999999998</v>
      </c>
      <c r="CL314" s="17">
        <v>4.3499999999999996</v>
      </c>
      <c r="CN314" s="17">
        <v>7.47</v>
      </c>
      <c r="CO314" s="17">
        <v>6.69</v>
      </c>
      <c r="CR314" s="20" t="str" cm="1">
        <f t="array" ref="CR314">IF(OR(ISBLANK(E314),ISBLANK(CQ314)),"Incomplete",_xlfn.XLOOKUP(CQ314,_xlfn.XLOOKUP(E314,'Normative data'!$Y$3:$Y$6,'Normative data'!$Z$3:$AG$6,,-1),'Normative data'!$Z$2:$AG$2,"Not Found",-1))</f>
        <v>Incomplete</v>
      </c>
      <c r="CS314" s="20"/>
      <c r="CT314" s="20"/>
      <c r="CU314" s="20" t="str" cm="1">
        <f t="array" ref="CU314">_xlfn.XLOOKUP(CS314&amp;CT314,(VLOOKUP!$A$3:$A$250)&amp;(VLOOKUP!$B$3:$B$250),VLOOKUP!$C$3:$C$250,"Incomplete",-1)</f>
        <v>Incomplete</v>
      </c>
      <c r="CV314" s="20" t="str" cm="1">
        <f t="array" ref="CV314">_xlfn.XLOOKUP(CU314, _xlfn.XLOOKUP(E314, 'Normative data'!$Y$11:$Y$14, 'Normative data'!$Z$11:$AG$14, ,-1), 'Normative data'!$Z$10:$AG$10, "Not Found", -1)</f>
        <v>Excellent</v>
      </c>
      <c r="CW314" s="20" t="str" cm="1">
        <f t="array" ref="CW314">IF(OR(ISBLANK(CS314),ISBLANK(CT314)),"Incomplete",_xlfn.XLOOKUP(CS314&amp;CT314,VLOOKUP!$A$4:$A$250&amp;VLOOKUP!$B$4:$B$250,VLOOKUP!$D$4:$D$250,"0"))</f>
        <v>Incomplete</v>
      </c>
    </row>
    <row r="315" spans="1:101">
      <c r="A315" s="17" t="s">
        <v>793</v>
      </c>
      <c r="B315" s="17" t="s">
        <v>792</v>
      </c>
      <c r="C315" s="17" t="s">
        <v>86</v>
      </c>
      <c r="D315" s="26">
        <v>40413</v>
      </c>
      <c r="F315" s="20" t="s">
        <v>186</v>
      </c>
      <c r="G315" s="17">
        <v>2026</v>
      </c>
      <c r="I315" s="20">
        <v>2</v>
      </c>
      <c r="J315" s="20" t="s">
        <v>88</v>
      </c>
      <c r="K315" s="20" t="s">
        <v>101</v>
      </c>
      <c r="L315" s="20"/>
      <c r="S315" s="20">
        <v>84.4</v>
      </c>
      <c r="T315" s="20">
        <v>171.5</v>
      </c>
      <c r="U315" s="17">
        <v>70.8</v>
      </c>
      <c r="V315" s="17">
        <v>39.5</v>
      </c>
      <c r="W315" s="17">
        <v>16.600000000000001</v>
      </c>
      <c r="X315" s="17">
        <v>54.2</v>
      </c>
      <c r="Y315" s="17">
        <v>30.3</v>
      </c>
      <c r="Z315" s="17">
        <v>24.1</v>
      </c>
      <c r="AA315" s="17">
        <v>23.5</v>
      </c>
      <c r="AB315" s="17">
        <v>8.34</v>
      </c>
      <c r="AC315" s="17">
        <v>110.1</v>
      </c>
      <c r="AD315" s="17">
        <v>8.32</v>
      </c>
      <c r="AE315" s="17">
        <v>109.8</v>
      </c>
      <c r="AF315" s="17">
        <v>2.6</v>
      </c>
      <c r="AG315" s="17">
        <v>94.6</v>
      </c>
      <c r="AH315" s="17">
        <v>2.6</v>
      </c>
      <c r="AI315" s="17">
        <v>94.3</v>
      </c>
      <c r="AJ315" s="17">
        <v>279.10000000000002</v>
      </c>
      <c r="AK315" s="17">
        <v>279.5</v>
      </c>
      <c r="AL315" s="17">
        <v>245.3</v>
      </c>
      <c r="AM315" s="17">
        <v>245.6</v>
      </c>
      <c r="AN315" s="17">
        <v>115</v>
      </c>
      <c r="AO315" s="17">
        <v>0.86</v>
      </c>
      <c r="AP315" s="17">
        <v>7.6</v>
      </c>
      <c r="AQ315" s="17">
        <v>24.2</v>
      </c>
      <c r="AR315" s="17">
        <v>0.44400000000000001</v>
      </c>
      <c r="AS315" s="17">
        <v>23.6</v>
      </c>
      <c r="AT315" s="17">
        <v>0.439</v>
      </c>
      <c r="AU315" s="17">
        <v>12.2</v>
      </c>
      <c r="AV315" s="17">
        <v>0.315</v>
      </c>
      <c r="AW315" s="17">
        <v>14.2</v>
      </c>
      <c r="AX315" s="17">
        <v>0.34</v>
      </c>
      <c r="AY315" s="41">
        <f t="shared" si="80"/>
        <v>2621.1800000000003</v>
      </c>
      <c r="BA315" s="20">
        <f t="shared" si="81"/>
        <v>2584.7600000000002</v>
      </c>
      <c r="BC315" s="20">
        <f t="shared" si="82"/>
        <v>1892.7799999999997</v>
      </c>
      <c r="BE315" s="20">
        <f t="shared" si="83"/>
        <v>2014.1799999999998</v>
      </c>
      <c r="BG315" s="17">
        <v>22</v>
      </c>
      <c r="BH315" s="17">
        <v>64</v>
      </c>
      <c r="BI315" s="20">
        <f t="shared" si="86"/>
        <v>42</v>
      </c>
      <c r="BJ315" s="20"/>
      <c r="BK315" s="17">
        <v>12</v>
      </c>
      <c r="BL315" s="20"/>
      <c r="BM315" s="17">
        <v>13</v>
      </c>
      <c r="BN315" s="20"/>
      <c r="BO315" s="17">
        <v>50</v>
      </c>
      <c r="BP315" s="17">
        <v>50</v>
      </c>
      <c r="BQ315" s="17">
        <v>88</v>
      </c>
      <c r="BR315" s="17">
        <v>72</v>
      </c>
      <c r="BS315" s="17">
        <v>75</v>
      </c>
      <c r="BT315" s="17">
        <v>88</v>
      </c>
      <c r="BU315" s="17">
        <v>81</v>
      </c>
      <c r="BV315" s="17">
        <v>88</v>
      </c>
      <c r="BW315" s="91">
        <f t="shared" si="84"/>
        <v>89.934940681209355</v>
      </c>
      <c r="BX315" s="91" t="str">
        <f>_xlfn.XLOOKUP(BW315,'Normative data'!$V$3:$V$6,'Normative data'!$W$3:$W$6,"Not Found",-1)</f>
        <v>High risk</v>
      </c>
      <c r="BY315" s="91">
        <f t="shared" si="85"/>
        <v>98.354381936471498</v>
      </c>
      <c r="BZ315" s="91" t="str">
        <f>_xlfn.XLOOKUP(BY315,'Normative data'!$V$3:$V$6,'Normative data'!$W$3:$W$6,"Not Found",-1)</f>
        <v>Low risk</v>
      </c>
      <c r="CA315" s="17">
        <v>29</v>
      </c>
      <c r="CC315" s="20"/>
      <c r="CE315" s="17">
        <v>18</v>
      </c>
      <c r="CG315" s="17">
        <v>18.27</v>
      </c>
      <c r="CH315" s="20" t="str">
        <f>_xlfn.XLOOKUP(CG315, 'Normative data'!$S$9:$S$15,'Normative data'!$T$9:$T$15, "Not Found", -1)</f>
        <v>Average</v>
      </c>
      <c r="CI315" s="17">
        <v>17.190000000000001</v>
      </c>
      <c r="CJ315" s="20" t="str">
        <f>_xlfn.XLOOKUP(CI315, 'Normative data'!$S$9:$S$15, 'Normative data'!$T$9:$T$15, "Not Found", -1)</f>
        <v>Above Average</v>
      </c>
      <c r="CK315" s="17">
        <v>2.2200000000000002</v>
      </c>
      <c r="CL315" s="17">
        <v>4.5</v>
      </c>
      <c r="CN315" s="17">
        <v>6.75</v>
      </c>
      <c r="CO315" s="17">
        <v>7.41</v>
      </c>
      <c r="CQ315" s="17">
        <v>8.1</v>
      </c>
      <c r="CR315" s="20" t="str" cm="1">
        <f t="array" ref="CR315">IF(OR(ISBLANK(E315),ISBLANK(CQ315)),"Incomplete",_xlfn.XLOOKUP(CQ315,_xlfn.XLOOKUP(E315,'Normative data'!$Y$3:$Y$6,'Normative data'!$Z$3:$AG$6,,-1),'Normative data'!$Z$2:$AG$2,"Not Found",-1))</f>
        <v>Incomplete</v>
      </c>
      <c r="CS315" s="20">
        <v>8</v>
      </c>
      <c r="CT315" s="20">
        <v>1</v>
      </c>
      <c r="CU315" s="20" cm="1">
        <f t="array" ref="CU315">_xlfn.XLOOKUP(CS315&amp;CT315,(VLOOKUP!$A$3:$A$250)&amp;(VLOOKUP!$B$3:$B$250),VLOOKUP!$C$3:$C$250,"Incomplete",-1)</f>
        <v>1240</v>
      </c>
      <c r="CV315" s="20" t="str" cm="1">
        <f t="array" ref="CV315">_xlfn.XLOOKUP(CU315, _xlfn.XLOOKUP(E315, 'Normative data'!$Y$11:$Y$14, 'Normative data'!$Z$11:$AG$14, ,-1), 'Normative data'!$Z$10:$AG$10, "Not Found", -1)</f>
        <v>Average</v>
      </c>
      <c r="CW315" s="20" cm="1">
        <f t="array" ref="CW315">IF(OR(ISBLANK(CS315),ISBLANK(CT315)),"Incomplete",_xlfn.XLOOKUP(CS315&amp;CT315,VLOOKUP!$A$4:$A$250&amp;VLOOKUP!$B$4:$B$250,VLOOKUP!$D$4:$D$250,"0"))</f>
        <v>40</v>
      </c>
    </row>
    <row r="316" spans="1:101">
      <c r="A316" s="17" t="s">
        <v>794</v>
      </c>
      <c r="B316" s="17" t="s">
        <v>795</v>
      </c>
      <c r="C316" s="17" t="s">
        <v>86</v>
      </c>
      <c r="D316" s="26">
        <v>41248</v>
      </c>
      <c r="E316" s="17">
        <v>14</v>
      </c>
      <c r="F316" s="20" t="s">
        <v>235</v>
      </c>
      <c r="G316" s="17">
        <v>2026</v>
      </c>
      <c r="I316" s="20">
        <v>2</v>
      </c>
      <c r="J316" s="20" t="s">
        <v>100</v>
      </c>
      <c r="K316" s="20" t="s">
        <v>170</v>
      </c>
      <c r="L316" s="20"/>
      <c r="S316" s="20">
        <v>85.5</v>
      </c>
      <c r="T316" s="20">
        <v>159.6</v>
      </c>
      <c r="U316" s="17">
        <v>57.4</v>
      </c>
      <c r="V316" s="17">
        <v>31.5</v>
      </c>
      <c r="W316" s="17">
        <v>14.4</v>
      </c>
      <c r="X316" s="17">
        <v>43</v>
      </c>
      <c r="Y316" s="17">
        <v>23.7</v>
      </c>
      <c r="Z316" s="17">
        <v>22.5</v>
      </c>
      <c r="AA316" s="17">
        <v>25.1</v>
      </c>
      <c r="AB316" s="17">
        <v>6.27</v>
      </c>
      <c r="AC316" s="17">
        <v>104</v>
      </c>
      <c r="AD316" s="17">
        <v>6.29</v>
      </c>
      <c r="AE316" s="17">
        <v>104.3</v>
      </c>
      <c r="AF316" s="17">
        <v>2.2000000000000002</v>
      </c>
      <c r="AG316" s="17">
        <v>104.6</v>
      </c>
      <c r="AH316" s="17">
        <v>2.2000000000000002</v>
      </c>
      <c r="AI316" s="17">
        <v>104.3</v>
      </c>
      <c r="AJ316" s="17">
        <v>304.39999999999998</v>
      </c>
      <c r="AK316" s="17">
        <v>301</v>
      </c>
      <c r="AL316" s="17">
        <v>266</v>
      </c>
      <c r="AM316" s="17">
        <v>264.10000000000002</v>
      </c>
      <c r="AN316" s="17">
        <v>96</v>
      </c>
      <c r="AO316" s="17">
        <v>0.85</v>
      </c>
      <c r="AP316" s="17">
        <v>6.6</v>
      </c>
      <c r="AQ316" s="17">
        <v>21.2</v>
      </c>
      <c r="AR316" s="17">
        <v>0.41599999999999998</v>
      </c>
      <c r="AS316" s="17">
        <v>26.2</v>
      </c>
      <c r="AT316" s="17">
        <v>0.46200000000000002</v>
      </c>
      <c r="AU316" s="17">
        <v>10</v>
      </c>
      <c r="AV316" s="17">
        <v>0.28499999999999998</v>
      </c>
      <c r="AW316" s="17">
        <v>14.3</v>
      </c>
      <c r="AX316" s="17">
        <v>0.34100000000000003</v>
      </c>
      <c r="AY316" s="41">
        <f t="shared" si="80"/>
        <v>1832.0599999999995</v>
      </c>
      <c r="BA316" s="20">
        <f t="shared" si="81"/>
        <v>2135.5599999999995</v>
      </c>
      <c r="BC316" s="20">
        <f t="shared" si="82"/>
        <v>1152.2199999999998</v>
      </c>
      <c r="BE316" s="20">
        <f t="shared" si="83"/>
        <v>1413.23</v>
      </c>
      <c r="BG316" s="17">
        <v>17</v>
      </c>
      <c r="BH316" s="17">
        <v>34</v>
      </c>
      <c r="BI316" s="20">
        <f t="shared" si="86"/>
        <v>17</v>
      </c>
      <c r="BJ316" s="20"/>
      <c r="BK316" s="17">
        <v>12</v>
      </c>
      <c r="BL316" s="20"/>
      <c r="BM316" s="17">
        <v>9</v>
      </c>
      <c r="BN316" s="20"/>
      <c r="BO316" s="17">
        <v>49</v>
      </c>
      <c r="BP316" s="17">
        <v>49</v>
      </c>
      <c r="BQ316" s="17">
        <v>80</v>
      </c>
      <c r="BR316" s="17">
        <v>86</v>
      </c>
      <c r="BS316" s="17">
        <v>85</v>
      </c>
      <c r="BT316" s="17">
        <v>76</v>
      </c>
      <c r="BU316" s="17">
        <v>84</v>
      </c>
      <c r="BV316" s="17">
        <v>77</v>
      </c>
      <c r="BW316" s="91">
        <f t="shared" si="84"/>
        <v>112.91048133153396</v>
      </c>
      <c r="BX316" s="91" t="str">
        <f>_xlfn.XLOOKUP(BW316,'Normative data'!$V$3:$V$6,'Normative data'!$W$3:$W$6,"Not Found",-1)</f>
        <v>Low risk</v>
      </c>
      <c r="BY316" s="91">
        <f t="shared" si="85"/>
        <v>106.61268556005399</v>
      </c>
      <c r="BZ316" s="91" t="str">
        <f>_xlfn.XLOOKUP(BY316,'Normative data'!$V$3:$V$6,'Normative data'!$W$3:$W$6,"Not Found",-1)</f>
        <v>Low risk</v>
      </c>
      <c r="CA316" s="17">
        <v>40</v>
      </c>
      <c r="CC316" s="20"/>
      <c r="CE316" s="17">
        <v>14</v>
      </c>
      <c r="CH316" s="20" t="str">
        <f>_xlfn.XLOOKUP(CG316, 'Normative data'!$S$9:$S$15,'Normative data'!$T$9:$T$15, "Not Found", -1)</f>
        <v>not completed</v>
      </c>
      <c r="CI316" s="17">
        <v>17.12</v>
      </c>
      <c r="CJ316" s="20" t="str">
        <f>_xlfn.XLOOKUP(CI316, 'Normative data'!$S$9:$S$15, 'Normative data'!$T$9:$T$15, "Not Found", -1)</f>
        <v>Above Average</v>
      </c>
      <c r="CK316" s="17">
        <v>2.2599999999999998</v>
      </c>
      <c r="CL316" s="17">
        <v>4.42</v>
      </c>
      <c r="CN316" s="17">
        <v>651</v>
      </c>
      <c r="CO316" s="17">
        <v>7.6</v>
      </c>
      <c r="CQ316" s="17">
        <v>7.1</v>
      </c>
      <c r="CR316" s="20" t="str" cm="1">
        <f t="array" ref="CR316">IF(OR(ISBLANK(E316),ISBLANK(CQ316)),"Incomplete",_xlfn.XLOOKUP(CQ316,_xlfn.XLOOKUP(E316,'Normative data'!$Y$3:$Y$6,'Normative data'!$Z$3:$AG$6,,-1),'Normative data'!$Z$2:$AG$2,"Not Found",-1))</f>
        <v>Average</v>
      </c>
      <c r="CS316" s="20">
        <v>7</v>
      </c>
      <c r="CT316" s="20">
        <v>1</v>
      </c>
      <c r="CU316" s="20" cm="1">
        <f t="array" ref="CU316">_xlfn.XLOOKUP(CS316&amp;CT316,(VLOOKUP!$A$3:$A$250)&amp;(VLOOKUP!$B$3:$B$250),VLOOKUP!$C$3:$C$250,"Incomplete",-1)</f>
        <v>1040</v>
      </c>
      <c r="CV316" s="20" t="str" cm="1">
        <f t="array" ref="CV316">_xlfn.XLOOKUP(CU316, _xlfn.XLOOKUP(E316, 'Normative data'!$Y$11:$Y$14, 'Normative data'!$Z$11:$AG$14, ,-1), 'Normative data'!$Z$10:$AG$10, "Not Found", -1)</f>
        <v>Average</v>
      </c>
      <c r="CW316" s="20" cm="1">
        <f t="array" ref="CW316">IF(OR(ISBLANK(CS316),ISBLANK(CT316)),"Incomplete",_xlfn.XLOOKUP(CS316&amp;CT316,VLOOKUP!$A$4:$A$250&amp;VLOOKUP!$B$4:$B$250,VLOOKUP!$D$4:$D$250,"0"))</f>
        <v>37</v>
      </c>
    </row>
    <row r="317" spans="1:101">
      <c r="A317" s="17" t="s">
        <v>796</v>
      </c>
      <c r="B317" s="17" t="s">
        <v>797</v>
      </c>
      <c r="C317" s="17" t="s">
        <v>86</v>
      </c>
      <c r="D317" s="26">
        <v>40640</v>
      </c>
      <c r="E317" s="17">
        <v>14.8</v>
      </c>
      <c r="F317" s="20" t="s">
        <v>92</v>
      </c>
      <c r="G317" s="17">
        <v>2026</v>
      </c>
      <c r="I317" s="20">
        <v>2</v>
      </c>
      <c r="J317" s="20" t="s">
        <v>88</v>
      </c>
      <c r="K317" s="20" t="s">
        <v>765</v>
      </c>
      <c r="L317" s="20"/>
      <c r="S317" s="20">
        <v>82.1</v>
      </c>
      <c r="T317" s="20">
        <v>172.1</v>
      </c>
      <c r="U317" s="17">
        <v>63.2</v>
      </c>
      <c r="V317" s="17">
        <v>36.6</v>
      </c>
      <c r="W317" s="17">
        <v>12.9</v>
      </c>
      <c r="X317" s="17">
        <v>50.3</v>
      </c>
      <c r="Y317" s="17">
        <v>27.8</v>
      </c>
      <c r="Z317" s="17">
        <v>21.3</v>
      </c>
      <c r="AA317" s="17">
        <v>20.3</v>
      </c>
      <c r="AB317" s="17">
        <v>7.84</v>
      </c>
      <c r="AC317" s="17">
        <v>107.3</v>
      </c>
      <c r="AD317" s="17">
        <v>7.88</v>
      </c>
      <c r="AE317" s="17">
        <v>107.9</v>
      </c>
      <c r="AF317" s="17">
        <v>2.1</v>
      </c>
      <c r="AG317" s="17">
        <v>78.8</v>
      </c>
      <c r="AH317" s="17">
        <v>2.2000000000000002</v>
      </c>
      <c r="AI317" s="17">
        <v>79.5</v>
      </c>
      <c r="AJ317" s="17">
        <v>311.2</v>
      </c>
      <c r="AK317" s="17">
        <v>308.89999999999998</v>
      </c>
      <c r="AL317" s="17">
        <v>275.60000000000002</v>
      </c>
      <c r="AM317" s="17">
        <v>269.8</v>
      </c>
      <c r="AN317" s="17">
        <v>120</v>
      </c>
      <c r="AO317" s="17">
        <v>0.8</v>
      </c>
      <c r="AP317" s="17">
        <v>6.9</v>
      </c>
      <c r="AQ317" s="17">
        <v>26.3</v>
      </c>
      <c r="AR317" s="17">
        <v>0.46300000000000002</v>
      </c>
      <c r="AS317" s="17">
        <v>34</v>
      </c>
      <c r="AT317" s="17">
        <v>0.52700000000000002</v>
      </c>
      <c r="AU317" s="17">
        <v>14.1</v>
      </c>
      <c r="AV317" s="17">
        <v>0.33900000000000002</v>
      </c>
      <c r="AW317" s="17">
        <v>12.2</v>
      </c>
      <c r="AX317" s="17">
        <v>0.315</v>
      </c>
      <c r="AY317" s="41">
        <f t="shared" si="80"/>
        <v>2404.37</v>
      </c>
      <c r="BA317" s="20">
        <f t="shared" si="81"/>
        <v>2871.76</v>
      </c>
      <c r="BC317" s="20">
        <f t="shared" si="82"/>
        <v>1663.83</v>
      </c>
      <c r="BE317" s="20">
        <f t="shared" si="83"/>
        <v>1548.5</v>
      </c>
      <c r="BG317" s="17">
        <v>19</v>
      </c>
      <c r="BH317" s="17">
        <v>52</v>
      </c>
      <c r="BI317" s="20">
        <f t="shared" si="86"/>
        <v>33</v>
      </c>
      <c r="BJ317" s="20"/>
      <c r="BK317" s="17">
        <v>13</v>
      </c>
      <c r="BL317" s="20"/>
      <c r="BM317" s="17">
        <v>11</v>
      </c>
      <c r="BN317" s="20"/>
      <c r="BO317" s="17">
        <v>44.5</v>
      </c>
      <c r="BP317" s="17">
        <v>44.5</v>
      </c>
      <c r="BQ317" s="17">
        <v>66</v>
      </c>
      <c r="BR317" s="17">
        <v>70</v>
      </c>
      <c r="BS317" s="17">
        <v>74</v>
      </c>
      <c r="BT317" s="17">
        <v>90</v>
      </c>
      <c r="BU317" s="17">
        <v>78</v>
      </c>
      <c r="BV317" s="17">
        <v>70</v>
      </c>
      <c r="BW317" s="91">
        <f t="shared" si="84"/>
        <v>77.777777777777786</v>
      </c>
      <c r="BX317" s="91" t="str">
        <f>_xlfn.XLOOKUP(BW317,'Normative data'!$V$3:$V$6,'Normative data'!$W$3:$W$6,"Not Found",-1)</f>
        <v>High risk</v>
      </c>
      <c r="BY317" s="91">
        <f t="shared" si="85"/>
        <v>88.148148148148152</v>
      </c>
      <c r="BZ317" s="91" t="str">
        <f>_xlfn.XLOOKUP(BY317,'Normative data'!$V$3:$V$6,'Normative data'!$W$3:$W$6,"Not Found",-1)</f>
        <v>High risk</v>
      </c>
      <c r="CA317" s="17">
        <v>31</v>
      </c>
      <c r="CC317" s="20"/>
      <c r="CE317" s="17">
        <v>12</v>
      </c>
      <c r="CG317" s="17">
        <v>19.21</v>
      </c>
      <c r="CH317" s="20" t="str">
        <f>_xlfn.XLOOKUP(CG317, 'Normative data'!$S$9:$S$15,'Normative data'!$T$9:$T$15, "Not Found", -1)</f>
        <v>Average</v>
      </c>
      <c r="CI317" s="17">
        <v>18.95</v>
      </c>
      <c r="CJ317" s="20" t="str">
        <f>_xlfn.XLOOKUP(CI317, 'Normative data'!$S$9:$S$15, 'Normative data'!$T$9:$T$15, "Not Found", -1)</f>
        <v>Average</v>
      </c>
      <c r="CK317" s="17">
        <v>1.98</v>
      </c>
      <c r="CL317" s="17">
        <v>5.05</v>
      </c>
      <c r="CN317" s="17">
        <v>6.1</v>
      </c>
      <c r="CO317" s="17">
        <v>8.1999999999999993</v>
      </c>
      <c r="CQ317" s="17">
        <v>7.2</v>
      </c>
      <c r="CR317" s="20" t="str" cm="1">
        <f t="array" ref="CR317">IF(OR(ISBLANK(E317),ISBLANK(CQ317)),"Incomplete",_xlfn.XLOOKUP(CQ317,_xlfn.XLOOKUP(E317,'Normative data'!$Y$3:$Y$6,'Normative data'!$Z$3:$AG$6,,-1),'Normative data'!$Z$2:$AG$2,"Not Found",-1))</f>
        <v>Average</v>
      </c>
      <c r="CS317" s="20">
        <v>7</v>
      </c>
      <c r="CT317" s="20">
        <v>2</v>
      </c>
      <c r="CU317" s="20" cm="1">
        <f t="array" ref="CU317">_xlfn.XLOOKUP(CS317&amp;CT317,(VLOOKUP!$A$3:$A$250)&amp;(VLOOKUP!$B$3:$B$250),VLOOKUP!$C$3:$C$250,"Incomplete",-1)</f>
        <v>1060</v>
      </c>
      <c r="CV317" s="20" t="str" cm="1">
        <f t="array" ref="CV317">_xlfn.XLOOKUP(CU317, _xlfn.XLOOKUP(E317, 'Normative data'!$Y$11:$Y$14, 'Normative data'!$Z$11:$AG$14, ,-1), 'Normative data'!$Z$10:$AG$10, "Not Found", -1)</f>
        <v>Average</v>
      </c>
      <c r="CW317" s="20" cm="1">
        <f t="array" ref="CW317">IF(OR(ISBLANK(CS317),ISBLANK(CT317)),"Incomplete",_xlfn.XLOOKUP(CS317&amp;CT317,VLOOKUP!$A$4:$A$250&amp;VLOOKUP!$B$4:$B$250,VLOOKUP!$D$4:$D$250,"0"))</f>
        <v>37</v>
      </c>
    </row>
    <row r="318" spans="1:101">
      <c r="A318" s="18" t="s">
        <v>798</v>
      </c>
      <c r="B318" s="18" t="s">
        <v>799</v>
      </c>
      <c r="C318" s="17" t="s">
        <v>86</v>
      </c>
      <c r="D318" s="19">
        <v>40106</v>
      </c>
      <c r="F318" s="17">
        <v>10</v>
      </c>
      <c r="G318" s="17">
        <v>2025</v>
      </c>
      <c r="H318" s="20" t="s">
        <v>114</v>
      </c>
      <c r="I318" s="17">
        <v>1</v>
      </c>
      <c r="J318" s="17" t="s">
        <v>800</v>
      </c>
      <c r="S318" s="20"/>
      <c r="T318" s="20">
        <v>168.8</v>
      </c>
      <c r="U318" s="20">
        <v>52.9</v>
      </c>
      <c r="V318" s="20"/>
      <c r="W318" s="20">
        <v>8.4</v>
      </c>
      <c r="X318" s="20">
        <f>SUM(T318-W318)</f>
        <v>160.4</v>
      </c>
      <c r="Y318" s="20">
        <v>24.4</v>
      </c>
      <c r="Z318" s="20">
        <v>18.899999999999999</v>
      </c>
      <c r="AA318" s="20">
        <v>16</v>
      </c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>
        <v>25.6</v>
      </c>
      <c r="AR318" s="20">
        <v>0.45700000000000002</v>
      </c>
      <c r="AS318" s="20">
        <v>30.9</v>
      </c>
      <c r="AT318" s="20">
        <v>0.502</v>
      </c>
      <c r="AU318" s="20">
        <v>18.5</v>
      </c>
      <c r="AV318" s="20">
        <v>0.36799999999999999</v>
      </c>
      <c r="AW318" s="20">
        <v>15.1</v>
      </c>
      <c r="AX318" s="20">
        <v>0.35099999999999998</v>
      </c>
      <c r="AY318" s="41">
        <f t="shared" si="80"/>
        <v>1895.29</v>
      </c>
      <c r="AZ318" s="20"/>
      <c r="BA318" s="20">
        <f t="shared" si="81"/>
        <v>2217</v>
      </c>
      <c r="BB318" s="20"/>
      <c r="BC318" s="20">
        <f t="shared" si="82"/>
        <v>1464.3199999999997</v>
      </c>
      <c r="BD318" s="20"/>
      <c r="BE318" s="20">
        <f t="shared" si="83"/>
        <v>1257.94</v>
      </c>
      <c r="BF318" s="20"/>
      <c r="BG318" s="20"/>
      <c r="BH318" s="20"/>
      <c r="BI318" s="20" t="str">
        <f t="shared" si="86"/>
        <v>Incomplete</v>
      </c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91">
        <f t="shared" si="84"/>
        <v>0</v>
      </c>
      <c r="BX318" s="91" t="str">
        <f>_xlfn.XLOOKUP(BW318,'Normative data'!$V$3:$V$6,'Normative data'!$W$3:$W$6,"Not Found",-1)</f>
        <v>Not completed</v>
      </c>
      <c r="BY318" s="91">
        <f t="shared" si="85"/>
        <v>0</v>
      </c>
      <c r="BZ318" s="91" t="str">
        <f>_xlfn.XLOOKUP(BY318,'Normative data'!$V$3:$V$6,'Normative data'!$W$3:$W$6,"Not Found",-1)</f>
        <v>Not completed</v>
      </c>
      <c r="CA318" s="20"/>
      <c r="CC318" s="20"/>
      <c r="CE318" s="20"/>
      <c r="CG318" s="20"/>
      <c r="CH318" s="20" t="str">
        <f>_xlfn.XLOOKUP(CG318, 'Normative data'!$S$9:$S$15,'Normative data'!$T$9:$T$15, "Not Found", -1)</f>
        <v>not completed</v>
      </c>
      <c r="CI318" s="20"/>
      <c r="CJ318" s="20" t="str">
        <f>_xlfn.XLOOKUP(CI318, 'Normative data'!$S$9:$S$15, 'Normative data'!$T$9:$T$15, "Not Found", -1)</f>
        <v>not completed</v>
      </c>
      <c r="CK318" s="24">
        <v>2.06</v>
      </c>
      <c r="CL318" s="24">
        <v>4.8499999999999996</v>
      </c>
      <c r="CM318" s="21"/>
      <c r="CN318" s="24">
        <v>6.36</v>
      </c>
      <c r="CO318" s="24">
        <v>7.66</v>
      </c>
      <c r="CQ318" s="20"/>
      <c r="CR318" s="20" t="str" cm="1">
        <f t="array" ref="CR318">IF(OR(ISBLANK(E318),ISBLANK(CQ318)),"Incomplete",_xlfn.XLOOKUP(CQ318,_xlfn.XLOOKUP(E318,'Normative data'!$Y$3:$Y$6,'Normative data'!$Z$3:$AG$6,,-1),'Normative data'!$Z$2:$AG$2,"Not Found",-1))</f>
        <v>Incomplete</v>
      </c>
      <c r="CS318" s="20"/>
      <c r="CT318" s="20"/>
      <c r="CU318" s="20" t="str" cm="1">
        <f t="array" ref="CU318">_xlfn.XLOOKUP(CS318&amp;CT318,(VLOOKUP!$A$3:$A$250)&amp;(VLOOKUP!$B$3:$B$250),VLOOKUP!$C$3:$C$250,"Incomplete",-1)</f>
        <v>Incomplete</v>
      </c>
      <c r="CV318" s="20" t="str" cm="1">
        <f t="array" ref="CV318">_xlfn.XLOOKUP(CU318, _xlfn.XLOOKUP(E318, 'Normative data'!$Y$11:$Y$14, 'Normative data'!$Z$11:$AG$14, ,-1), 'Normative data'!$Z$10:$AG$10, "Not Found", -1)</f>
        <v>Excellent</v>
      </c>
      <c r="CW318" s="20" t="str" cm="1">
        <f t="array" ref="CW318">IF(OR(ISBLANK(CS318),ISBLANK(CT318)),"Incomplete",_xlfn.XLOOKUP(CS318&amp;CT318,VLOOKUP!$A$4:$A$250&amp;VLOOKUP!$B$4:$B$250,VLOOKUP!$D$4:$D$250,"0"))</f>
        <v>Incomplete</v>
      </c>
    </row>
    <row r="319" spans="1:101" ht="14.45" customHeight="1">
      <c r="A319" s="17" t="s">
        <v>798</v>
      </c>
      <c r="B319" s="17" t="s">
        <v>801</v>
      </c>
      <c r="C319" s="17" t="s">
        <v>86</v>
      </c>
      <c r="D319" s="19">
        <v>40106</v>
      </c>
      <c r="F319" s="17">
        <v>10</v>
      </c>
      <c r="G319" s="17">
        <v>2025</v>
      </c>
      <c r="H319" s="20" t="s">
        <v>124</v>
      </c>
      <c r="I319" s="17">
        <v>3</v>
      </c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41" t="str">
        <f t="shared" si="80"/>
        <v>Incomplete</v>
      </c>
      <c r="AZ319" s="20"/>
      <c r="BA319" s="20" t="str">
        <f t="shared" si="81"/>
        <v>Incomplete</v>
      </c>
      <c r="BB319" s="20"/>
      <c r="BC319" s="20" t="str">
        <f t="shared" si="82"/>
        <v>Incomplete</v>
      </c>
      <c r="BD319" s="20"/>
      <c r="BE319" s="20" t="str">
        <f t="shared" si="83"/>
        <v>Incomplete</v>
      </c>
      <c r="BF319" s="20"/>
      <c r="BG319" s="20"/>
      <c r="BH319" s="20"/>
      <c r="BI319" s="20" t="str">
        <f t="shared" si="86"/>
        <v>Incomplete</v>
      </c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91" t="str">
        <f t="shared" si="84"/>
        <v>Incomplete</v>
      </c>
      <c r="BX319" s="91" t="str">
        <f>_xlfn.XLOOKUP(BW319,'Normative data'!$V$3:$V$6,'Normative data'!$W$3:$W$6,"Not Found",-1)</f>
        <v>Very low risk</v>
      </c>
      <c r="BY319" s="91" t="str">
        <f t="shared" si="85"/>
        <v>Incomplete</v>
      </c>
      <c r="BZ319" s="91" t="str">
        <f>_xlfn.XLOOKUP(BY319,'Normative data'!$V$3:$V$6,'Normative data'!$W$3:$W$6,"Not Found",-1)</f>
        <v>Very low risk</v>
      </c>
      <c r="CA319" s="20"/>
      <c r="CC319" s="20"/>
      <c r="CE319" s="20"/>
      <c r="CG319" s="20"/>
      <c r="CH319" s="20" t="str">
        <f>_xlfn.XLOOKUP(CG319, 'Normative data'!$S$9:$S$15,'Normative data'!$T$9:$T$15, "Not Found", -1)</f>
        <v>not completed</v>
      </c>
      <c r="CI319" s="20"/>
      <c r="CJ319" s="20" t="str">
        <f>_xlfn.XLOOKUP(CI319, 'Normative data'!$S$9:$S$15, 'Normative data'!$T$9:$T$15, "Not Found", -1)</f>
        <v>not completed</v>
      </c>
      <c r="CK319" s="20" t="s">
        <v>204</v>
      </c>
      <c r="CL319" s="20" t="s">
        <v>802</v>
      </c>
      <c r="CN319" s="20" t="s">
        <v>736</v>
      </c>
      <c r="CO319" s="20" t="s">
        <v>492</v>
      </c>
      <c r="CQ319" s="20"/>
      <c r="CR319" s="20" t="str" cm="1">
        <f t="array" ref="CR319">IF(OR(ISBLANK(E319),ISBLANK(CQ319)),"Incomplete",_xlfn.XLOOKUP(CQ319,_xlfn.XLOOKUP(E319,'Normative data'!$Y$3:$Y$6,'Normative data'!$Z$3:$AG$6,,-1),'Normative data'!$Z$2:$AG$2,"Not Found",-1))</f>
        <v>Incomplete</v>
      </c>
      <c r="CS319" s="20"/>
      <c r="CT319" s="20"/>
      <c r="CU319" s="20" t="str" cm="1">
        <f t="array" ref="CU319">_xlfn.XLOOKUP(CS319&amp;CT319,(VLOOKUP!$A$3:$A$250)&amp;(VLOOKUP!$B$3:$B$250),VLOOKUP!$C$3:$C$250,"Incomplete",-1)</f>
        <v>Incomplete</v>
      </c>
      <c r="CV319" s="20" t="str" cm="1">
        <f t="array" ref="CV319">_xlfn.XLOOKUP(CU319, _xlfn.XLOOKUP(E319, 'Normative data'!$Y$11:$Y$14, 'Normative data'!$Z$11:$AG$14, ,-1), 'Normative data'!$Z$10:$AG$10, "Not Found", -1)</f>
        <v>Excellent</v>
      </c>
      <c r="CW319" s="20" t="str" cm="1">
        <f t="array" ref="CW319">IF(OR(ISBLANK(CS319),ISBLANK(CT319)),"Incomplete",_xlfn.XLOOKUP(CS319&amp;CT319,VLOOKUP!$A$4:$A$250&amp;VLOOKUP!$B$4:$B$250,VLOOKUP!$D$4:$D$250,"0"))</f>
        <v>Incomplete</v>
      </c>
    </row>
    <row r="320" spans="1:101">
      <c r="A320" s="17" t="s">
        <v>803</v>
      </c>
      <c r="B320" s="17" t="s">
        <v>804</v>
      </c>
      <c r="C320" s="17" t="s">
        <v>86</v>
      </c>
      <c r="D320" s="26">
        <v>40509</v>
      </c>
      <c r="F320" s="20" t="s">
        <v>186</v>
      </c>
      <c r="G320" s="17">
        <v>2026</v>
      </c>
      <c r="I320" s="20">
        <v>2</v>
      </c>
      <c r="J320" s="20"/>
      <c r="K320" s="20"/>
      <c r="L320" s="20"/>
      <c r="S320" s="20"/>
      <c r="T320" s="20"/>
      <c r="AY320" s="41" t="str">
        <f t="shared" si="80"/>
        <v>Incomplete</v>
      </c>
      <c r="BA320" s="20" t="str">
        <f t="shared" si="81"/>
        <v>Incomplete</v>
      </c>
      <c r="BC320" s="20" t="str">
        <f t="shared" si="82"/>
        <v>Incomplete</v>
      </c>
      <c r="BE320" s="20" t="str">
        <f t="shared" si="83"/>
        <v>Incomplete</v>
      </c>
      <c r="BH320" s="20"/>
      <c r="BI320" s="20" t="str">
        <f t="shared" si="86"/>
        <v>Incomplete</v>
      </c>
      <c r="BJ320" s="20"/>
      <c r="BK320" s="17">
        <v>9</v>
      </c>
      <c r="BL320" s="20"/>
      <c r="BM320" s="17">
        <v>7</v>
      </c>
      <c r="BN320" s="20"/>
      <c r="BW320" s="91" t="str">
        <f t="shared" si="84"/>
        <v>Incomplete</v>
      </c>
      <c r="BX320" s="91" t="str">
        <f>_xlfn.XLOOKUP(BW320,'Normative data'!$V$3:$V$6,'Normative data'!$W$3:$W$6,"Not Found",-1)</f>
        <v>Very low risk</v>
      </c>
      <c r="BY320" s="91" t="str">
        <f t="shared" si="85"/>
        <v>Incomplete</v>
      </c>
      <c r="BZ320" s="91" t="str">
        <f>_xlfn.XLOOKUP(BY320,'Normative data'!$V$3:$V$6,'Normative data'!$W$3:$W$6,"Not Found",-1)</f>
        <v>Very low risk</v>
      </c>
      <c r="CA320" s="17">
        <v>28</v>
      </c>
      <c r="CC320" s="20"/>
      <c r="CE320" s="17">
        <v>10</v>
      </c>
      <c r="CH320" s="20" t="str">
        <f>_xlfn.XLOOKUP(CG320, 'Normative data'!$S$9:$S$15,'Normative data'!$T$9:$T$15, "Not Found", -1)</f>
        <v>not completed</v>
      </c>
      <c r="CJ320" s="20" t="str">
        <f>_xlfn.XLOOKUP(CI320, 'Normative data'!$S$9:$S$15, 'Normative data'!$T$9:$T$15, "Not Found", -1)</f>
        <v>not completed</v>
      </c>
      <c r="CK320" s="17">
        <v>2.36</v>
      </c>
      <c r="CL320" s="17">
        <v>4.42</v>
      </c>
      <c r="CN320" s="17">
        <v>7.2</v>
      </c>
      <c r="CO320" s="17">
        <v>6.94</v>
      </c>
      <c r="CQ320" s="17">
        <v>8.1</v>
      </c>
      <c r="CR320" s="20" t="str" cm="1">
        <f t="array" ref="CR320">IF(OR(ISBLANK(E320),ISBLANK(CQ320)),"Incomplete",_xlfn.XLOOKUP(CQ320,_xlfn.XLOOKUP(E320,'Normative data'!$Y$3:$Y$6,'Normative data'!$Z$3:$AG$6,,-1),'Normative data'!$Z$2:$AG$2,"Not Found",-1))</f>
        <v>Incomplete</v>
      </c>
      <c r="CS320" s="20">
        <v>8</v>
      </c>
      <c r="CT320" s="20">
        <v>1</v>
      </c>
      <c r="CU320" s="20" cm="1">
        <f t="array" ref="CU320">_xlfn.XLOOKUP(CS320&amp;CT320,(VLOOKUP!$A$3:$A$250)&amp;(VLOOKUP!$B$3:$B$250),VLOOKUP!$C$3:$C$250,"Incomplete",-1)</f>
        <v>1240</v>
      </c>
      <c r="CV320" s="20" t="str" cm="1">
        <f t="array" ref="CV320">_xlfn.XLOOKUP(CU320, _xlfn.XLOOKUP(E320, 'Normative data'!$Y$11:$Y$14, 'Normative data'!$Z$11:$AG$14, ,-1), 'Normative data'!$Z$10:$AG$10, "Not Found", -1)</f>
        <v>Average</v>
      </c>
      <c r="CW320" s="20" cm="1">
        <f t="array" ref="CW320">IF(OR(ISBLANK(CS320),ISBLANK(CT320)),"Incomplete",_xlfn.XLOOKUP(CS320&amp;CT320,VLOOKUP!$A$4:$A$250&amp;VLOOKUP!$B$4:$B$250,VLOOKUP!$D$4:$D$250,"0"))</f>
        <v>40</v>
      </c>
    </row>
    <row r="321" spans="1:101">
      <c r="A321" s="18" t="s">
        <v>805</v>
      </c>
      <c r="B321" s="18" t="s">
        <v>806</v>
      </c>
      <c r="C321" s="17" t="s">
        <v>86</v>
      </c>
      <c r="D321" s="19">
        <v>40589</v>
      </c>
      <c r="F321" s="17">
        <v>8</v>
      </c>
      <c r="G321" s="17">
        <v>2025</v>
      </c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41" t="str">
        <f t="shared" si="80"/>
        <v>Incomplete</v>
      </c>
      <c r="AZ321" s="20"/>
      <c r="BA321" s="20" t="str">
        <f t="shared" si="81"/>
        <v>Incomplete</v>
      </c>
      <c r="BB321" s="20"/>
      <c r="BC321" s="20" t="str">
        <f t="shared" si="82"/>
        <v>Incomplete</v>
      </c>
      <c r="BD321" s="20"/>
      <c r="BE321" s="20" t="str">
        <f t="shared" si="83"/>
        <v>Incomplete</v>
      </c>
      <c r="BF321" s="20"/>
      <c r="BG321" s="20">
        <v>18</v>
      </c>
      <c r="BH321" s="20">
        <v>27</v>
      </c>
      <c r="BI321" s="20">
        <f t="shared" si="86"/>
        <v>9</v>
      </c>
      <c r="BJ321" s="20"/>
      <c r="BK321" s="20">
        <v>2</v>
      </c>
      <c r="BL321" s="20"/>
      <c r="BM321" s="20">
        <v>3</v>
      </c>
      <c r="BN321" s="20"/>
      <c r="BO321" s="20"/>
      <c r="BP321" s="20"/>
      <c r="BQ321" s="20"/>
      <c r="BR321" s="20"/>
      <c r="BS321" s="20"/>
      <c r="BT321" s="20"/>
      <c r="BU321" s="20"/>
      <c r="BV321" s="20"/>
      <c r="BW321" s="91" t="str">
        <f t="shared" si="84"/>
        <v>Incomplete</v>
      </c>
      <c r="BX321" s="91" t="str">
        <f>_xlfn.XLOOKUP(BW321,'Normative data'!$V$3:$V$6,'Normative data'!$W$3:$W$6,"Not Found",-1)</f>
        <v>Very low risk</v>
      </c>
      <c r="BY321" s="91" t="str">
        <f t="shared" si="85"/>
        <v>Incomplete</v>
      </c>
      <c r="BZ321" s="91" t="str">
        <f>_xlfn.XLOOKUP(BY321,'Normative data'!$V$3:$V$6,'Normative data'!$W$3:$W$6,"Not Found",-1)</f>
        <v>Very low risk</v>
      </c>
      <c r="CA321" s="20"/>
      <c r="CC321" s="20"/>
      <c r="CE321" s="20"/>
      <c r="CG321" s="20"/>
      <c r="CH321" s="20" t="str">
        <f>_xlfn.XLOOKUP(CG321, 'Normative data'!$S$9:$S$15,'Normative data'!$T$9:$T$15, "Not Found", -1)</f>
        <v>not completed</v>
      </c>
      <c r="CI321" s="20"/>
      <c r="CJ321" s="20" t="str">
        <f>_xlfn.XLOOKUP(CI321, 'Normative data'!$S$9:$S$15, 'Normative data'!$T$9:$T$15, "Not Found", -1)</f>
        <v>not completed</v>
      </c>
      <c r="CK321" s="21">
        <v>2.36</v>
      </c>
      <c r="CL321" s="21">
        <v>4.24</v>
      </c>
      <c r="CM321" s="21"/>
      <c r="CN321" s="21">
        <v>7.68</v>
      </c>
      <c r="CO321" s="21">
        <v>6.51</v>
      </c>
      <c r="CP321" s="21"/>
      <c r="CQ321" s="20"/>
      <c r="CR321" s="20" t="str" cm="1">
        <f t="array" ref="CR321">IF(OR(ISBLANK(E321),ISBLANK(CQ321)),"Incomplete",_xlfn.XLOOKUP(CQ321,_xlfn.XLOOKUP(E321,'Normative data'!$Y$3:$Y$6,'Normative data'!$Z$3:$AG$6,,-1),'Normative data'!$Z$2:$AG$2,"Not Found",-1))</f>
        <v>Incomplete</v>
      </c>
      <c r="CS321" s="20"/>
      <c r="CT321" s="20"/>
      <c r="CU321" s="20" t="str" cm="1">
        <f t="array" ref="CU321">_xlfn.XLOOKUP(CS321&amp;CT321,(VLOOKUP!$A$3:$A$250)&amp;(VLOOKUP!$B$3:$B$250),VLOOKUP!$C$3:$C$250,"Incomplete",-1)</f>
        <v>Incomplete</v>
      </c>
      <c r="CV321" s="20" t="str" cm="1">
        <f t="array" ref="CV321">_xlfn.XLOOKUP(CU321, _xlfn.XLOOKUP(E321, 'Normative data'!$Y$11:$Y$14, 'Normative data'!$Z$11:$AG$14, ,-1), 'Normative data'!$Z$10:$AG$10, "Not Found", -1)</f>
        <v>Excellent</v>
      </c>
      <c r="CW321" s="20" t="str" cm="1">
        <f t="array" ref="CW321">IF(OR(ISBLANK(CS321),ISBLANK(CT321)),"Incomplete",_xlfn.XLOOKUP(CS321&amp;CT321,VLOOKUP!$A$4:$A$250&amp;VLOOKUP!$B$4:$B$250,VLOOKUP!$D$4:$D$250,"0"))</f>
        <v>Incomplete</v>
      </c>
    </row>
    <row r="322" spans="1:101">
      <c r="A322" s="17" t="s">
        <v>807</v>
      </c>
      <c r="B322" s="17" t="s">
        <v>808</v>
      </c>
      <c r="C322" s="17" t="s">
        <v>86</v>
      </c>
      <c r="D322" s="26"/>
      <c r="F322" s="20" t="s">
        <v>157</v>
      </c>
      <c r="G322" s="17">
        <v>2026</v>
      </c>
      <c r="I322" s="20">
        <v>2</v>
      </c>
      <c r="J322" s="20" t="s">
        <v>100</v>
      </c>
      <c r="K322" s="20" t="s">
        <v>158</v>
      </c>
      <c r="L322" s="20"/>
      <c r="S322" s="20">
        <v>79.400000000000006</v>
      </c>
      <c r="T322" s="20">
        <v>154.9</v>
      </c>
      <c r="AQ322" s="20"/>
      <c r="AR322" s="20"/>
      <c r="AS322" s="20"/>
      <c r="AT322" s="20"/>
      <c r="AU322" s="20"/>
      <c r="AV322" s="20"/>
      <c r="AW322" s="20"/>
      <c r="AX322" s="20"/>
      <c r="AY322" s="41" t="str">
        <f t="shared" si="80"/>
        <v>Incomplete</v>
      </c>
      <c r="BA322" s="20" t="str">
        <f t="shared" si="81"/>
        <v>Incomplete</v>
      </c>
      <c r="BC322" s="20" t="str">
        <f t="shared" si="82"/>
        <v>Incomplete</v>
      </c>
      <c r="BE322" s="20" t="str">
        <f t="shared" si="83"/>
        <v>Incomplete</v>
      </c>
      <c r="BH322" s="20"/>
      <c r="BI322" s="20" t="str">
        <f t="shared" si="86"/>
        <v>Incomplete</v>
      </c>
      <c r="BJ322" s="20"/>
      <c r="BL322" s="20"/>
      <c r="BM322" s="20"/>
      <c r="BN322" s="20"/>
      <c r="BW322" s="91">
        <f t="shared" si="84"/>
        <v>0</v>
      </c>
      <c r="BX322" s="91" t="str">
        <f>_xlfn.XLOOKUP(BW322,'Normative data'!$V$3:$V$6,'Normative data'!$W$3:$W$6,"Not Found",-1)</f>
        <v>Not completed</v>
      </c>
      <c r="BY322" s="91">
        <f t="shared" si="85"/>
        <v>0</v>
      </c>
      <c r="BZ322" s="91" t="str">
        <f>_xlfn.XLOOKUP(BY322,'Normative data'!$V$3:$V$6,'Normative data'!$W$3:$W$6,"Not Found",-1)</f>
        <v>Not completed</v>
      </c>
      <c r="CG322" s="20"/>
      <c r="CH322" s="20" t="str">
        <f>_xlfn.XLOOKUP(CG322, 'Normative data'!$S$9:$S$15,'Normative data'!$T$9:$T$15, "Not Found", -1)</f>
        <v>not completed</v>
      </c>
      <c r="CI322" s="20"/>
      <c r="CJ322" s="20" t="str">
        <f>_xlfn.XLOOKUP(CI322, 'Normative data'!$S$9:$S$15, 'Normative data'!$T$9:$T$15, "Not Found", -1)</f>
        <v>not completed</v>
      </c>
      <c r="CK322" s="17">
        <v>2.0499999999999998</v>
      </c>
      <c r="CL322" s="17">
        <v>4.88</v>
      </c>
      <c r="CN322" s="17">
        <v>6.54</v>
      </c>
      <c r="CO322" s="17">
        <v>7.65</v>
      </c>
      <c r="CQ322" s="17">
        <v>5.0999999999999996</v>
      </c>
      <c r="CR322" s="20" t="str" cm="1">
        <f t="array" ref="CR322">IF(OR(ISBLANK(E322),ISBLANK(CQ322)),"Incomplete",_xlfn.XLOOKUP(CQ322,_xlfn.XLOOKUP(E322,'Normative data'!$Y$3:$Y$6,'Normative data'!$Z$3:$AG$6,,-1),'Normative data'!$Z$2:$AG$2,"Not Found",-1))</f>
        <v>Incomplete</v>
      </c>
      <c r="CS322" s="20">
        <v>5</v>
      </c>
      <c r="CT322" s="20">
        <v>1</v>
      </c>
      <c r="CU322" s="20" cm="1">
        <f t="array" ref="CU322">_xlfn.XLOOKUP(CS322&amp;CT322,(VLOOKUP!$A$3:$A$250)&amp;(VLOOKUP!$B$3:$B$250),VLOOKUP!$C$3:$C$250,"Incomplete",-1)</f>
        <v>660</v>
      </c>
      <c r="CV322" s="20" t="str" cm="1">
        <f t="array" ref="CV322">_xlfn.XLOOKUP(CU322, _xlfn.XLOOKUP(E322, 'Normative data'!$Y$11:$Y$14, 'Normative data'!$Z$11:$AG$14, ,-1), 'Normative data'!$Z$10:$AG$10, "Not Found", -1)</f>
        <v xml:space="preserve">Poor </v>
      </c>
      <c r="CW322" s="20" cm="1">
        <f t="array" ref="CW322">IF(OR(ISBLANK(CS322),ISBLANK(CT322)),"Incomplete",_xlfn.XLOOKUP(CS322&amp;CT322,VLOOKUP!$A$4:$A$250&amp;VLOOKUP!$B$4:$B$250,VLOOKUP!$D$4:$D$250,"0"))</f>
        <v>30</v>
      </c>
    </row>
    <row r="323" spans="1:101">
      <c r="A323" s="17" t="s">
        <v>809</v>
      </c>
      <c r="B323" s="17" t="s">
        <v>810</v>
      </c>
      <c r="C323" s="17" t="s">
        <v>86</v>
      </c>
      <c r="D323" s="26"/>
      <c r="F323" s="20" t="s">
        <v>99</v>
      </c>
      <c r="G323" s="17">
        <v>2026</v>
      </c>
      <c r="I323" s="20">
        <v>2</v>
      </c>
      <c r="J323" s="20"/>
      <c r="K323" s="20"/>
      <c r="L323" s="20"/>
      <c r="S323" s="20">
        <v>80.900000000000006</v>
      </c>
      <c r="T323" s="20">
        <v>160.69999999999999</v>
      </c>
      <c r="AQ323" s="20"/>
      <c r="AR323" s="20"/>
      <c r="AS323" s="20"/>
      <c r="AT323" s="20"/>
      <c r="AU323" s="20"/>
      <c r="AV323" s="20"/>
      <c r="AW323" s="20"/>
      <c r="AX323" s="20"/>
      <c r="AY323" s="41" t="str">
        <f t="shared" si="80"/>
        <v>Incomplete</v>
      </c>
      <c r="BA323" s="20" t="str">
        <f t="shared" si="81"/>
        <v>Incomplete</v>
      </c>
      <c r="BC323" s="20" t="str">
        <f t="shared" si="82"/>
        <v>Incomplete</v>
      </c>
      <c r="BE323" s="20" t="str">
        <f t="shared" si="83"/>
        <v>Incomplete</v>
      </c>
      <c r="BH323" s="20"/>
      <c r="BI323" s="20" t="str">
        <f t="shared" si="86"/>
        <v>Incomplete</v>
      </c>
      <c r="BJ323" s="20"/>
      <c r="BL323" s="20"/>
      <c r="BM323" s="20"/>
      <c r="BN323" s="20"/>
      <c r="BW323" s="91">
        <f t="shared" si="84"/>
        <v>0</v>
      </c>
      <c r="BX323" s="91" t="str">
        <f>_xlfn.XLOOKUP(BW323,'Normative data'!$V$3:$V$6,'Normative data'!$W$3:$W$6,"Not Found",-1)</f>
        <v>Not completed</v>
      </c>
      <c r="BY323" s="91">
        <f t="shared" si="85"/>
        <v>0</v>
      </c>
      <c r="BZ323" s="91" t="str">
        <f>_xlfn.XLOOKUP(BY323,'Normative data'!$V$3:$V$6,'Normative data'!$W$3:$W$6,"Not Found",-1)</f>
        <v>Not completed</v>
      </c>
      <c r="CA323" s="20"/>
      <c r="CC323" s="20"/>
      <c r="CE323" s="17">
        <v>11</v>
      </c>
      <c r="CG323" s="17">
        <v>19.68</v>
      </c>
      <c r="CH323" s="20" t="str">
        <f>_xlfn.XLOOKUP(CG323, 'Normative data'!$S$9:$S$15,'Normative data'!$T$9:$T$15, "Not Found", -1)</f>
        <v>Average</v>
      </c>
      <c r="CI323" s="17">
        <v>19.53</v>
      </c>
      <c r="CJ323" s="20" t="str">
        <f>_xlfn.XLOOKUP(CI323, 'Normative data'!$S$9:$S$15, 'Normative data'!$T$9:$T$15, "Not Found", -1)</f>
        <v>Average</v>
      </c>
      <c r="CK323" s="17">
        <v>2.21</v>
      </c>
      <c r="CL323" s="17">
        <v>4.5199999999999996</v>
      </c>
      <c r="CN323" s="17">
        <v>7.12</v>
      </c>
      <c r="CO323" s="17">
        <v>7.02</v>
      </c>
      <c r="CR323" s="20" t="str" cm="1">
        <f t="array" ref="CR323">IF(OR(ISBLANK(E323),ISBLANK(CQ323)),"Incomplete",_xlfn.XLOOKUP(CQ323,_xlfn.XLOOKUP(E323,'Normative data'!$Y$3:$Y$6,'Normative data'!$Z$3:$AG$6,,-1),'Normative data'!$Z$2:$AG$2,"Not Found",-1))</f>
        <v>Incomplete</v>
      </c>
      <c r="CS323" s="20"/>
      <c r="CT323" s="20"/>
      <c r="CU323" s="20" t="str" cm="1">
        <f t="array" ref="CU323">_xlfn.XLOOKUP(CS323&amp;CT323,(VLOOKUP!$A$3:$A$250)&amp;(VLOOKUP!$B$3:$B$250),VLOOKUP!$C$3:$C$250,"Incomplete",-1)</f>
        <v>Incomplete</v>
      </c>
      <c r="CV323" s="20" t="str" cm="1">
        <f t="array" ref="CV323">_xlfn.XLOOKUP(CU323, _xlfn.XLOOKUP(E323, 'Normative data'!$Y$11:$Y$14, 'Normative data'!$Z$11:$AG$14, ,-1), 'Normative data'!$Z$10:$AG$10, "Not Found", -1)</f>
        <v>Excellent</v>
      </c>
      <c r="CW323" s="20" t="str" cm="1">
        <f t="array" ref="CW323">IF(OR(ISBLANK(CS323),ISBLANK(CT323)),"Incomplete",_xlfn.XLOOKUP(CS323&amp;CT323,VLOOKUP!$A$4:$A$250&amp;VLOOKUP!$B$4:$B$250,VLOOKUP!$D$4:$D$250,"0"))</f>
        <v>Incomplete</v>
      </c>
    </row>
    <row r="324" spans="1:101">
      <c r="A324" s="17" t="s">
        <v>244</v>
      </c>
      <c r="B324" s="17" t="s">
        <v>243</v>
      </c>
      <c r="C324" s="17" t="s">
        <v>86</v>
      </c>
      <c r="D324" s="26"/>
      <c r="F324" s="20" t="s">
        <v>178</v>
      </c>
      <c r="G324" s="17">
        <v>2026</v>
      </c>
      <c r="I324" s="20">
        <v>2</v>
      </c>
      <c r="J324" s="20"/>
      <c r="K324" s="20"/>
      <c r="L324" s="20"/>
      <c r="S324" s="20">
        <v>81.5</v>
      </c>
      <c r="T324" s="20">
        <v>158.6</v>
      </c>
      <c r="AQ324" s="20"/>
      <c r="AR324" s="20"/>
      <c r="AS324" s="20"/>
      <c r="AT324" s="20"/>
      <c r="AU324" s="20"/>
      <c r="AV324" s="20"/>
      <c r="AW324" s="20"/>
      <c r="AX324" s="20"/>
      <c r="AY324" s="41" t="str">
        <f t="shared" si="80"/>
        <v>Incomplete</v>
      </c>
      <c r="BA324" s="20" t="str">
        <f t="shared" si="81"/>
        <v>Incomplete</v>
      </c>
      <c r="BC324" s="20" t="str">
        <f t="shared" si="82"/>
        <v>Incomplete</v>
      </c>
      <c r="BE324" s="20" t="str">
        <f t="shared" si="83"/>
        <v>Incomplete</v>
      </c>
      <c r="BG324" s="17">
        <v>15.1</v>
      </c>
      <c r="BH324" s="17">
        <v>46.7</v>
      </c>
      <c r="BI324" s="20">
        <f t="shared" si="86"/>
        <v>31.6</v>
      </c>
      <c r="BJ324" s="20"/>
      <c r="BL324" s="20"/>
      <c r="BM324" s="20"/>
      <c r="BN324" s="20"/>
      <c r="BQ324" s="17">
        <v>74</v>
      </c>
      <c r="BR324" s="17">
        <v>74</v>
      </c>
      <c r="BS324" s="17">
        <v>72</v>
      </c>
      <c r="BT324" s="17">
        <v>74</v>
      </c>
      <c r="BU324" s="17">
        <v>69</v>
      </c>
      <c r="BV324" s="17">
        <v>75</v>
      </c>
      <c r="BW324" s="91">
        <f t="shared" si="84"/>
        <v>95.114569822741032</v>
      </c>
      <c r="BX324" s="91" t="str">
        <f>_xlfn.XLOOKUP(BW324,'Normative data'!$V$3:$V$6,'Normative data'!$W$3:$W$6,"Not Found",-1)</f>
        <v>High risk</v>
      </c>
      <c r="BY324" s="91">
        <f t="shared" si="85"/>
        <v>94.249891915261571</v>
      </c>
      <c r="BZ324" s="91" t="str">
        <f>_xlfn.XLOOKUP(BY324,'Normative data'!$V$3:$V$6,'Normative data'!$W$3:$W$6,"Not Found",-1)</f>
        <v>High risk</v>
      </c>
      <c r="CA324" s="20"/>
      <c r="CC324" s="20"/>
      <c r="CE324" s="17">
        <v>6</v>
      </c>
      <c r="CG324" s="17">
        <v>19.079999999999998</v>
      </c>
      <c r="CH324" s="20" t="str">
        <f>_xlfn.XLOOKUP(CG324, 'Normative data'!$S$9:$S$15,'Normative data'!$T$9:$T$15, "Not Found", -1)</f>
        <v>Average</v>
      </c>
      <c r="CI324" s="17">
        <v>18.95</v>
      </c>
      <c r="CJ324" s="20" t="str">
        <f>_xlfn.XLOOKUP(CI324, 'Normative data'!$S$9:$S$15, 'Normative data'!$T$9:$T$15, "Not Found", -1)</f>
        <v>Average</v>
      </c>
      <c r="CK324" s="17">
        <v>2.21</v>
      </c>
      <c r="CL324" s="17">
        <v>4.5199999999999996</v>
      </c>
      <c r="CN324" s="17">
        <v>7.13</v>
      </c>
      <c r="CO324" s="17">
        <v>7.01</v>
      </c>
      <c r="CQ324" s="17">
        <v>10.199999999999999</v>
      </c>
      <c r="CR324" s="20" t="str" cm="1">
        <f t="array" ref="CR324">IF(OR(ISBLANK(E324),ISBLANK(CQ324)),"Incomplete",_xlfn.XLOOKUP(CQ324,_xlfn.XLOOKUP(E324,'Normative data'!$Y$3:$Y$6,'Normative data'!$Z$3:$AG$6,,-1),'Normative data'!$Z$2:$AG$2,"Not Found",-1))</f>
        <v>Incomplete</v>
      </c>
      <c r="CS324" s="20">
        <v>10</v>
      </c>
      <c r="CT324" s="20">
        <v>2</v>
      </c>
      <c r="CU324" s="20" cm="1">
        <f t="array" ref="CU324">_xlfn.XLOOKUP(CS324&amp;CT324,(VLOOKUP!$A$3:$A$250)&amp;(VLOOKUP!$B$3:$B$250),VLOOKUP!$C$3:$C$250,"Incomplete",-1)</f>
        <v>1700</v>
      </c>
      <c r="CV324" s="20" t="str" cm="1">
        <f t="array" ref="CV324">_xlfn.XLOOKUP(CU324, _xlfn.XLOOKUP(E324, 'Normative data'!$Y$11:$Y$14, 'Normative data'!$Z$11:$AG$14, ,-1), 'Normative data'!$Z$10:$AG$10, "Not Found", -1)</f>
        <v xml:space="preserve">Good </v>
      </c>
      <c r="CW324" s="20" cm="1">
        <f t="array" ref="CW324">IF(OR(ISBLANK(CS324),ISBLANK(CT324)),"Incomplete",_xlfn.XLOOKUP(CS324&amp;CT324,VLOOKUP!$A$4:$A$250&amp;VLOOKUP!$B$4:$B$250,VLOOKUP!$D$4:$D$250,"0"))</f>
        <v>47</v>
      </c>
    </row>
    <row r="325" spans="1:101">
      <c r="A325" s="17" t="s">
        <v>620</v>
      </c>
      <c r="B325" s="17" t="s">
        <v>407</v>
      </c>
      <c r="C325" s="17" t="s">
        <v>86</v>
      </c>
      <c r="D325" s="26">
        <v>40617</v>
      </c>
      <c r="E325" s="17">
        <v>15.1</v>
      </c>
      <c r="F325" s="20" t="s">
        <v>92</v>
      </c>
      <c r="G325" s="17">
        <v>2026</v>
      </c>
      <c r="I325" s="20">
        <v>2</v>
      </c>
      <c r="J325" s="20" t="s">
        <v>122</v>
      </c>
      <c r="K325" s="20" t="s">
        <v>556</v>
      </c>
      <c r="L325" s="20"/>
      <c r="S325" s="20">
        <v>82.6</v>
      </c>
      <c r="T325" s="20">
        <v>157.5</v>
      </c>
      <c r="U325" s="17">
        <v>48.9</v>
      </c>
      <c r="V325" s="17">
        <v>28.8</v>
      </c>
      <c r="W325" s="17">
        <v>9.5</v>
      </c>
      <c r="X325" s="17">
        <v>39.4</v>
      </c>
      <c r="Y325" s="17">
        <v>21.5</v>
      </c>
      <c r="Z325" s="17">
        <v>19.7</v>
      </c>
      <c r="AA325" s="17">
        <v>19.5</v>
      </c>
      <c r="AB325" s="17">
        <v>5.77</v>
      </c>
      <c r="AC325" s="17">
        <v>102.7</v>
      </c>
      <c r="AD325" s="17">
        <v>5.87</v>
      </c>
      <c r="AE325" s="17">
        <v>104.4</v>
      </c>
      <c r="AF325" s="17">
        <v>1.6</v>
      </c>
      <c r="AG325" s="17">
        <v>84.4</v>
      </c>
      <c r="AH325" s="17">
        <v>1.7</v>
      </c>
      <c r="AI325" s="17">
        <v>84.9</v>
      </c>
      <c r="AJ325" s="17">
        <v>323.39999999999998</v>
      </c>
      <c r="AK325" s="17">
        <v>311.2</v>
      </c>
      <c r="AL325" s="17">
        <v>285.7</v>
      </c>
      <c r="AM325" s="17">
        <v>275</v>
      </c>
      <c r="AN325" s="17">
        <v>95</v>
      </c>
      <c r="AO325" s="17">
        <v>0.8</v>
      </c>
      <c r="AP325" s="17">
        <v>6.1</v>
      </c>
      <c r="AQ325" s="17">
        <v>26.1</v>
      </c>
      <c r="AR325" s="17">
        <v>0.46100000000000002</v>
      </c>
      <c r="AS325" s="17">
        <v>27.7</v>
      </c>
      <c r="AT325" s="17">
        <v>0.47499999999999998</v>
      </c>
      <c r="AU325" s="17">
        <v>12.6</v>
      </c>
      <c r="AV325" s="17">
        <v>0.32</v>
      </c>
      <c r="AW325" s="17">
        <v>15.3</v>
      </c>
      <c r="AX325" s="17">
        <v>0.35299999999999998</v>
      </c>
      <c r="AY325" s="41">
        <f t="shared" si="80"/>
        <v>1744.4399999999996</v>
      </c>
      <c r="BA325" s="20">
        <f t="shared" si="81"/>
        <v>1841.5599999999995</v>
      </c>
      <c r="BC325" s="20">
        <f t="shared" si="82"/>
        <v>924.98999999999978</v>
      </c>
      <c r="BE325" s="20">
        <f t="shared" si="83"/>
        <v>1088.8799999999997</v>
      </c>
      <c r="BG325" s="17">
        <v>10.6</v>
      </c>
      <c r="BH325" s="17">
        <v>51</v>
      </c>
      <c r="BI325" s="20">
        <f t="shared" si="86"/>
        <v>40.4</v>
      </c>
      <c r="BJ325" s="20"/>
      <c r="BL325" s="20"/>
      <c r="BM325" s="20"/>
      <c r="BN325" s="20"/>
      <c r="BO325" s="17">
        <v>44.5</v>
      </c>
      <c r="BP325" s="17">
        <v>43.2</v>
      </c>
      <c r="BQ325" s="17">
        <v>81</v>
      </c>
      <c r="BR325" s="17">
        <v>84</v>
      </c>
      <c r="BS325" s="17">
        <v>83</v>
      </c>
      <c r="BT325" s="17">
        <v>90</v>
      </c>
      <c r="BU325" s="17">
        <v>89</v>
      </c>
      <c r="BV325" s="17">
        <v>85</v>
      </c>
      <c r="BW325" s="91">
        <f t="shared" si="84"/>
        <v>110.36938139741876</v>
      </c>
      <c r="BX325" s="91" t="str">
        <f>_xlfn.XLOOKUP(BW325,'Normative data'!$V$3:$V$6,'Normative data'!$W$3:$W$6,"Not Found",-1)</f>
        <v>Low risk</v>
      </c>
      <c r="BY325" s="91">
        <f t="shared" si="85"/>
        <v>117.48998664886514</v>
      </c>
      <c r="BZ325" s="91" t="str">
        <f>_xlfn.XLOOKUP(BY325,'Normative data'!$V$3:$V$6,'Normative data'!$W$3:$W$6,"Not Found",-1)</f>
        <v>Low risk</v>
      </c>
      <c r="CA325" s="17">
        <v>20</v>
      </c>
      <c r="CC325" s="20"/>
      <c r="CE325" s="17">
        <v>14</v>
      </c>
      <c r="CG325" s="17">
        <v>18.72</v>
      </c>
      <c r="CH325" s="20" t="str">
        <f>_xlfn.XLOOKUP(CG325, 'Normative data'!$S$9:$S$15,'Normative data'!$T$9:$T$15, "Not Found", -1)</f>
        <v>Average</v>
      </c>
      <c r="CI325" s="17">
        <v>19.510000000000002</v>
      </c>
      <c r="CJ325" s="20" t="str">
        <f>_xlfn.XLOOKUP(CI325, 'Normative data'!$S$9:$S$15, 'Normative data'!$T$9:$T$15, "Not Found", -1)</f>
        <v>Average</v>
      </c>
      <c r="CK325" s="21"/>
      <c r="CL325" s="21"/>
      <c r="CM325" s="21"/>
      <c r="CN325" s="21"/>
      <c r="CO325" s="21"/>
      <c r="CQ325" s="17">
        <v>8.8000000000000007</v>
      </c>
      <c r="CR325" s="20" t="str" cm="1">
        <f t="array" ref="CR325">IF(OR(ISBLANK(E325),ISBLANK(CQ325)),"Incomplete",_xlfn.XLOOKUP(CQ325,_xlfn.XLOOKUP(E325,'Normative data'!$Y$3:$Y$6,'Normative data'!$Z$3:$AG$6,,-1),'Normative data'!$Z$2:$AG$2,"Not Found",-1))</f>
        <v>Very good</v>
      </c>
      <c r="CS325" s="20">
        <v>8</v>
      </c>
      <c r="CT325" s="20">
        <v>8</v>
      </c>
      <c r="CU325" s="20" cm="1">
        <f t="array" ref="CU325">_xlfn.XLOOKUP(CS325&amp;CT325,(VLOOKUP!$A$3:$A$250)&amp;(VLOOKUP!$B$3:$B$250),VLOOKUP!$C$3:$C$250,"Incomplete",-1)</f>
        <v>1380</v>
      </c>
      <c r="CV325" s="20" t="str" cm="1">
        <f t="array" ref="CV325">_xlfn.XLOOKUP(CU325, _xlfn.XLOOKUP(E325, 'Normative data'!$Y$11:$Y$14, 'Normative data'!$Z$11:$AG$14, ,-1), 'Normative data'!$Z$10:$AG$10, "Not Found", -1)</f>
        <v xml:space="preserve">Good </v>
      </c>
      <c r="CW325" s="20" cm="1">
        <f t="array" ref="CW325">IF(OR(ISBLANK(CS325),ISBLANK(CT325)),"Incomplete",_xlfn.XLOOKUP(CS325&amp;CT325,VLOOKUP!$A$4:$A$250&amp;VLOOKUP!$B$4:$B$250,VLOOKUP!$D$4:$D$250,"0"))</f>
        <v>43</v>
      </c>
    </row>
    <row r="326" spans="1:101">
      <c r="A326" s="17" t="s">
        <v>811</v>
      </c>
      <c r="B326" s="17" t="s">
        <v>812</v>
      </c>
      <c r="C326" s="17" t="s">
        <v>86</v>
      </c>
      <c r="D326" s="19">
        <v>39730</v>
      </c>
      <c r="G326" s="17">
        <v>2025</v>
      </c>
      <c r="J326" s="17" t="s">
        <v>122</v>
      </c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41" t="str">
        <f t="shared" si="80"/>
        <v>Incomplete</v>
      </c>
      <c r="AZ326" s="20"/>
      <c r="BA326" s="20" t="str">
        <f t="shared" si="81"/>
        <v>Incomplete</v>
      </c>
      <c r="BB326" s="20"/>
      <c r="BC326" s="20" t="str">
        <f t="shared" si="82"/>
        <v>Incomplete</v>
      </c>
      <c r="BD326" s="20"/>
      <c r="BE326" s="20" t="str">
        <f t="shared" si="83"/>
        <v>Incomplete</v>
      </c>
      <c r="BF326" s="20"/>
      <c r="BG326" s="20">
        <v>9.5</v>
      </c>
      <c r="BH326" s="20">
        <v>38</v>
      </c>
      <c r="BI326" s="20" t="e">
        <f>IF(OR(ISBLANK(#REF!), ISBLANK(#REF!)),"Incomplete",(SUM(#REF!-#REF!)))</f>
        <v>#REF!</v>
      </c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91" t="str">
        <f t="shared" si="84"/>
        <v>Incomplete</v>
      </c>
      <c r="BX326" s="91" t="str">
        <f>_xlfn.XLOOKUP(BW326,'Normative data'!$V$3:$V$6,'Normative data'!$W$3:$W$6,"Not Found",-1)</f>
        <v>Very low risk</v>
      </c>
      <c r="BY326" s="91" t="str">
        <f t="shared" si="85"/>
        <v>Incomplete</v>
      </c>
      <c r="BZ326" s="91" t="str">
        <f>_xlfn.XLOOKUP(BY326,'Normative data'!$V$3:$V$6,'Normative data'!$W$3:$W$6,"Not Found",-1)</f>
        <v>Very low risk</v>
      </c>
      <c r="CA326" s="20"/>
      <c r="CC326" s="20"/>
      <c r="CE326" s="20"/>
      <c r="CG326" s="20">
        <v>16.03</v>
      </c>
      <c r="CH326" s="20" t="str">
        <f>_xlfn.XLOOKUP(CG326, 'Normative data'!$S$9:$S$15,'Normative data'!$T$9:$T$15, "Not Found", -1)</f>
        <v>Excellent</v>
      </c>
      <c r="CI326" s="20">
        <v>16</v>
      </c>
      <c r="CJ326" s="20" t="str">
        <f>_xlfn.XLOOKUP(CI326, 'Normative data'!$S$9:$S$15, 'Normative data'!$T$9:$T$15, "Not Found", -1)</f>
        <v>Excellent</v>
      </c>
      <c r="CK326" s="21">
        <v>2.0299999999999998</v>
      </c>
      <c r="CL326" s="21">
        <v>4.93</v>
      </c>
      <c r="CM326" s="21"/>
      <c r="CN326" s="21">
        <v>5.94</v>
      </c>
      <c r="CO326" s="21">
        <v>8.42</v>
      </c>
      <c r="CQ326" s="20"/>
      <c r="CR326" s="20" t="str" cm="1">
        <f t="array" ref="CR326">IF(OR(ISBLANK(E326),ISBLANK(CQ326)),"Incomplete",_xlfn.XLOOKUP(CQ326,_xlfn.XLOOKUP(E326,'Normative data'!$Y$3:$Y$6,'Normative data'!$Z$3:$AG$6,,-1),'Normative data'!$Z$2:$AG$2,"Not Found",-1))</f>
        <v>Incomplete</v>
      </c>
      <c r="CS326" s="20"/>
      <c r="CT326" s="20"/>
      <c r="CU326" s="20" t="str" cm="1">
        <f t="array" ref="CU326">_xlfn.XLOOKUP(CS326&amp;CT326,(VLOOKUP!$A$3:$A$250)&amp;(VLOOKUP!$B$3:$B$250),VLOOKUP!$C$3:$C$250,"Incomplete",-1)</f>
        <v>Incomplete</v>
      </c>
      <c r="CV326" s="20" t="str" cm="1">
        <f t="array" ref="CV326">_xlfn.XLOOKUP(CU326, _xlfn.XLOOKUP(E326, 'Normative data'!$Y$11:$Y$14, 'Normative data'!$Z$11:$AG$14, ,-1), 'Normative data'!$Z$10:$AG$10, "Not Found", -1)</f>
        <v>Excellent</v>
      </c>
      <c r="CW326" s="20" t="str" cm="1">
        <f t="array" ref="CW326">IF(OR(ISBLANK(CS326),ISBLANK(CT326)),"Incomplete",_xlfn.XLOOKUP(CS326&amp;CT326,VLOOKUP!$A$4:$A$250&amp;VLOOKUP!$B$4:$B$250,VLOOKUP!$D$4:$D$250,"0"))</f>
        <v>Incomplete</v>
      </c>
    </row>
    <row r="327" spans="1:101">
      <c r="A327" s="17" t="s">
        <v>811</v>
      </c>
      <c r="B327" s="17" t="s">
        <v>812</v>
      </c>
      <c r="C327" s="17" t="s">
        <v>86</v>
      </c>
      <c r="D327" s="19">
        <v>39730</v>
      </c>
      <c r="G327" s="17">
        <v>2026</v>
      </c>
      <c r="H327" s="20" t="s">
        <v>114</v>
      </c>
      <c r="I327" s="17">
        <v>1</v>
      </c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41" t="str">
        <f t="shared" si="80"/>
        <v>Incomplete</v>
      </c>
      <c r="AZ327" s="20"/>
      <c r="BA327" s="20" t="str">
        <f t="shared" si="81"/>
        <v>Incomplete</v>
      </c>
      <c r="BB327" s="20"/>
      <c r="BC327" s="20" t="str">
        <f t="shared" si="82"/>
        <v>Incomplete</v>
      </c>
      <c r="BD327" s="20"/>
      <c r="BE327" s="20" t="str">
        <f t="shared" si="83"/>
        <v>Incomplete</v>
      </c>
      <c r="BF327" s="20"/>
      <c r="BG327" s="30"/>
      <c r="BH327" s="20"/>
      <c r="BI327" s="20" t="str">
        <f>IF(OR(ISBLANK(BG327), ISBLANK(BH327)),"Incomplete",(SUM(BH327-BG327)))</f>
        <v>Incomplete</v>
      </c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91" t="str">
        <f t="shared" si="84"/>
        <v>Incomplete</v>
      </c>
      <c r="BX327" s="91" t="str">
        <f>_xlfn.XLOOKUP(BW327,'Normative data'!$V$3:$V$6,'Normative data'!$W$3:$W$6,"Not Found",-1)</f>
        <v>Very low risk</v>
      </c>
      <c r="BY327" s="91" t="str">
        <f t="shared" si="85"/>
        <v>Incomplete</v>
      </c>
      <c r="BZ327" s="91" t="str">
        <f>_xlfn.XLOOKUP(BY327,'Normative data'!$V$3:$V$6,'Normative data'!$W$3:$W$6,"Not Found",-1)</f>
        <v>Very low risk</v>
      </c>
      <c r="CA327" s="20"/>
      <c r="CC327" s="30">
        <v>50</v>
      </c>
      <c r="CD327" s="30"/>
      <c r="CE327" s="30">
        <v>20</v>
      </c>
      <c r="CF327" s="30"/>
      <c r="CG327" s="30">
        <v>16.03</v>
      </c>
      <c r="CH327" s="20" t="str">
        <f>_xlfn.XLOOKUP(CG327, 'Normative data'!$S$9:$S$15,'Normative data'!$T$9:$T$15, "Not Found", -1)</f>
        <v>Excellent</v>
      </c>
      <c r="CI327" s="30">
        <v>16</v>
      </c>
      <c r="CJ327" s="20" t="str">
        <f>_xlfn.XLOOKUP(CI327, 'Normative data'!$S$9:$S$15, 'Normative data'!$T$9:$T$15, "Not Found", -1)</f>
        <v>Excellent</v>
      </c>
      <c r="CK327" s="30" t="s">
        <v>813</v>
      </c>
      <c r="CL327" s="30" t="s">
        <v>814</v>
      </c>
      <c r="CM327" s="30"/>
      <c r="CN327" s="30" t="s">
        <v>815</v>
      </c>
      <c r="CO327" s="30" t="s">
        <v>816</v>
      </c>
      <c r="CP327" s="30"/>
      <c r="CQ327" s="20"/>
      <c r="CR327" s="20" t="str" cm="1">
        <f t="array" ref="CR327">IF(OR(ISBLANK(E327),ISBLANK(CQ327)),"Incomplete",_xlfn.XLOOKUP(CQ327,_xlfn.XLOOKUP(E327,'Normative data'!$Y$3:$Y$6,'Normative data'!$Z$3:$AG$6,,-1),'Normative data'!$Z$2:$AG$2,"Not Found",-1))</f>
        <v>Incomplete</v>
      </c>
      <c r="CS327" s="20"/>
      <c r="CT327" s="20"/>
      <c r="CU327" s="20" t="str" cm="1">
        <f t="array" ref="CU327">_xlfn.XLOOKUP(CS327&amp;CT327,(VLOOKUP!$A$3:$A$250)&amp;(VLOOKUP!$B$3:$B$250),VLOOKUP!$C$3:$C$250,"Incomplete",-1)</f>
        <v>Incomplete</v>
      </c>
      <c r="CV327" s="20" t="str" cm="1">
        <f t="array" ref="CV327">_xlfn.XLOOKUP(CU327, _xlfn.XLOOKUP(E327, 'Normative data'!$Y$11:$Y$14, 'Normative data'!$Z$11:$AG$14, ,-1), 'Normative data'!$Z$10:$AG$10, "Not Found", -1)</f>
        <v>Excellent</v>
      </c>
      <c r="CW327" s="20" t="str" cm="1">
        <f t="array" ref="CW327">IF(OR(ISBLANK(CS327),ISBLANK(CT327)),"Incomplete",_xlfn.XLOOKUP(CS327&amp;CT327,VLOOKUP!$A$4:$A$250&amp;VLOOKUP!$B$4:$B$250,VLOOKUP!$D$4:$D$250,"0"))</f>
        <v>Incomplete</v>
      </c>
    </row>
    <row r="328" spans="1:101">
      <c r="A328" s="17" t="s">
        <v>811</v>
      </c>
      <c r="B328" s="17" t="s">
        <v>812</v>
      </c>
      <c r="C328" s="17" t="s">
        <v>86</v>
      </c>
      <c r="D328" s="19">
        <v>39730</v>
      </c>
      <c r="F328" s="17">
        <v>11</v>
      </c>
      <c r="G328" s="17">
        <v>2025</v>
      </c>
      <c r="J328" s="17" t="s">
        <v>122</v>
      </c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41" t="str">
        <f t="shared" si="80"/>
        <v>Incomplete</v>
      </c>
      <c r="AZ328" s="20"/>
      <c r="BA328" s="20" t="str">
        <f t="shared" si="81"/>
        <v>Incomplete</v>
      </c>
      <c r="BB328" s="20"/>
      <c r="BC328" s="20" t="str">
        <f t="shared" si="82"/>
        <v>Incomplete</v>
      </c>
      <c r="BD328" s="20"/>
      <c r="BE328" s="20" t="str">
        <f t="shared" si="83"/>
        <v>Incomplete</v>
      </c>
      <c r="BF328" s="20"/>
      <c r="BG328" s="20"/>
      <c r="BH328" s="20"/>
      <c r="BI328" s="20" t="str">
        <f>IF(OR(ISBLANK(BG328), ISBLANK(BH328)),"Incomplete",(SUM(BH328-BG328)))</f>
        <v>Incomplete</v>
      </c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91" t="str">
        <f t="shared" si="84"/>
        <v>Incomplete</v>
      </c>
      <c r="BX328" s="91" t="str">
        <f>_xlfn.XLOOKUP(BW328,'Normative data'!$V$3:$V$6,'Normative data'!$W$3:$W$6,"Not Found",-1)</f>
        <v>Very low risk</v>
      </c>
      <c r="BY328" s="91" t="str">
        <f t="shared" si="85"/>
        <v>Incomplete</v>
      </c>
      <c r="BZ328" s="91" t="str">
        <f>_xlfn.XLOOKUP(BY328,'Normative data'!$V$3:$V$6,'Normative data'!$W$3:$W$6,"Not Found",-1)</f>
        <v>Very low risk</v>
      </c>
      <c r="CA328" s="20"/>
      <c r="CC328" s="20"/>
      <c r="CE328" s="20">
        <v>20</v>
      </c>
      <c r="CG328" s="20">
        <v>16.559999999999999</v>
      </c>
      <c r="CH328" s="20" t="str">
        <f>_xlfn.XLOOKUP(CG328, 'Normative data'!$S$9:$S$15,'Normative data'!$T$9:$T$15, "Not Found", -1)</f>
        <v>Excellent</v>
      </c>
      <c r="CI328" s="20">
        <v>16.41</v>
      </c>
      <c r="CJ328" s="20" t="str">
        <f>_xlfn.XLOOKUP(CI328, 'Normative data'!$S$9:$S$15, 'Normative data'!$T$9:$T$15, "Not Found", -1)</f>
        <v>Excellent</v>
      </c>
      <c r="CK328" s="20" t="s">
        <v>817</v>
      </c>
      <c r="CL328" s="20" t="s">
        <v>818</v>
      </c>
      <c r="CM328" s="21"/>
      <c r="CN328" s="20" t="s">
        <v>819</v>
      </c>
      <c r="CO328" s="20" t="s">
        <v>820</v>
      </c>
      <c r="CQ328" s="20"/>
      <c r="CR328" s="20" t="str" cm="1">
        <f t="array" ref="CR328">IF(OR(ISBLANK(E328),ISBLANK(CQ328)),"Incomplete",_xlfn.XLOOKUP(CQ328,_xlfn.XLOOKUP(E328,'Normative data'!$Y$3:$Y$6,'Normative data'!$Z$3:$AG$6,,-1),'Normative data'!$Z$2:$AG$2,"Not Found",-1))</f>
        <v>Incomplete</v>
      </c>
      <c r="CS328" s="20"/>
      <c r="CT328" s="20"/>
      <c r="CU328" s="20" t="str" cm="1">
        <f t="array" ref="CU328">_xlfn.XLOOKUP(CS328&amp;CT328,(VLOOKUP!$A$3:$A$250)&amp;(VLOOKUP!$B$3:$B$250),VLOOKUP!$C$3:$C$250,"Incomplete",-1)</f>
        <v>Incomplete</v>
      </c>
      <c r="CV328" s="20" t="str" cm="1">
        <f t="array" ref="CV328">_xlfn.XLOOKUP(CU328, _xlfn.XLOOKUP(E328, 'Normative data'!$Y$11:$Y$14, 'Normative data'!$Z$11:$AG$14, ,-1), 'Normative data'!$Z$10:$AG$10, "Not Found", -1)</f>
        <v>Excellent</v>
      </c>
      <c r="CW328" s="20" t="str" cm="1">
        <f t="array" ref="CW328">IF(OR(ISBLANK(CS328),ISBLANK(CT328)),"Incomplete",_xlfn.XLOOKUP(CS328&amp;CT328,VLOOKUP!$A$4:$A$250&amp;VLOOKUP!$B$4:$B$250,VLOOKUP!$D$4:$D$250,"0"))</f>
        <v>Incomplete</v>
      </c>
    </row>
    <row r="329" spans="1:101">
      <c r="A329" s="17" t="s">
        <v>811</v>
      </c>
      <c r="B329" s="17" t="s">
        <v>812</v>
      </c>
      <c r="C329" s="17" t="s">
        <v>86</v>
      </c>
      <c r="D329" s="19">
        <v>39730</v>
      </c>
      <c r="G329" s="17">
        <v>2026</v>
      </c>
      <c r="H329" s="20" t="s">
        <v>114</v>
      </c>
      <c r="I329" s="17">
        <v>1</v>
      </c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30">
        <v>31.6</v>
      </c>
      <c r="AR329" s="30">
        <v>0.50800000000000001</v>
      </c>
      <c r="AS329" s="30">
        <v>37.4</v>
      </c>
      <c r="AT329" s="30">
        <v>0.55200000000000005</v>
      </c>
      <c r="AU329" s="30">
        <v>19.899999999999999</v>
      </c>
      <c r="AV329" s="30">
        <v>0.40300000000000002</v>
      </c>
      <c r="AW329" s="30">
        <v>19</v>
      </c>
      <c r="AX329" s="30">
        <v>0.39400000000000002</v>
      </c>
      <c r="AY329" s="41" t="str">
        <f t="shared" si="80"/>
        <v>Incomplete</v>
      </c>
      <c r="AZ329" s="20"/>
      <c r="BA329" s="20" t="str">
        <f t="shared" si="81"/>
        <v>Incomplete</v>
      </c>
      <c r="BB329" s="20"/>
      <c r="BC329" s="20" t="str">
        <f t="shared" si="82"/>
        <v>Incomplete</v>
      </c>
      <c r="BD329" s="20"/>
      <c r="BE329" s="20" t="str">
        <f t="shared" si="83"/>
        <v>Incomplete</v>
      </c>
      <c r="BF329" s="20"/>
      <c r="BG329" s="30">
        <v>15</v>
      </c>
      <c r="BH329" s="30">
        <v>36</v>
      </c>
      <c r="BI329" s="20">
        <f>IF(OR(ISBLANK(BG329), ISBLANK(BH329)),"Incomplete",(SUM(BH329-BG329)))</f>
        <v>21</v>
      </c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91" t="str">
        <f t="shared" si="84"/>
        <v>Incomplete</v>
      </c>
      <c r="BX329" s="91" t="str">
        <f>_xlfn.XLOOKUP(BW329,'Normative data'!$V$3:$V$6,'Normative data'!$W$3:$W$6,"Not Found",-1)</f>
        <v>Very low risk</v>
      </c>
      <c r="BY329" s="91" t="str">
        <f t="shared" si="85"/>
        <v>Incomplete</v>
      </c>
      <c r="BZ329" s="91" t="str">
        <f>_xlfn.XLOOKUP(BY329,'Normative data'!$V$3:$V$6,'Normative data'!$W$3:$W$6,"Not Found",-1)</f>
        <v>Very low risk</v>
      </c>
      <c r="CA329" s="20"/>
      <c r="CC329" s="30">
        <v>77</v>
      </c>
      <c r="CD329" s="30"/>
      <c r="CE329" s="30">
        <v>21</v>
      </c>
      <c r="CF329" s="30"/>
      <c r="CG329" s="30">
        <v>16.170000000000002</v>
      </c>
      <c r="CH329" s="20" t="str">
        <f>_xlfn.XLOOKUP(CG329, 'Normative data'!$S$9:$S$15,'Normative data'!$T$9:$T$15, "Not Found", -1)</f>
        <v>Excellent</v>
      </c>
      <c r="CI329" s="30">
        <v>15.94</v>
      </c>
      <c r="CJ329" s="20" t="str">
        <f>_xlfn.XLOOKUP(CI329, 'Normative data'!$S$9:$S$15, 'Normative data'!$T$9:$T$15, "Not Found", -1)</f>
        <v>Excellent</v>
      </c>
      <c r="CK329" s="30">
        <v>2.0299999999999998</v>
      </c>
      <c r="CL329" s="30">
        <v>4.93</v>
      </c>
      <c r="CM329" s="30"/>
      <c r="CN329" s="30">
        <v>6.01</v>
      </c>
      <c r="CO329" s="30">
        <v>8.32</v>
      </c>
      <c r="CP329" s="30"/>
      <c r="CQ329" s="30">
        <v>11.1</v>
      </c>
      <c r="CR329" s="20" t="str" cm="1">
        <f t="array" ref="CR329">IF(OR(ISBLANK(E329),ISBLANK(CQ329)),"Incomplete",_xlfn.XLOOKUP(CQ329,_xlfn.XLOOKUP(E329,'Normative data'!$Y$3:$Y$6,'Normative data'!$Z$3:$AG$6,,-1),'Normative data'!$Z$2:$AG$2,"Not Found",-1))</f>
        <v>Incomplete</v>
      </c>
      <c r="CS329" s="20">
        <v>11</v>
      </c>
      <c r="CT329" s="20">
        <v>1</v>
      </c>
      <c r="CU329" s="20" cm="1">
        <f t="array" ref="CU329">_xlfn.XLOOKUP(CS329&amp;CT329,(VLOOKUP!$A$3:$A$250)&amp;(VLOOKUP!$B$3:$B$250),VLOOKUP!$C$3:$C$250,"Incomplete",-1)</f>
        <v>1900</v>
      </c>
      <c r="CV329" s="20" t="str" cm="1">
        <f t="array" ref="CV329">_xlfn.XLOOKUP(CU329, _xlfn.XLOOKUP(E329, 'Normative data'!$Y$11:$Y$14, 'Normative data'!$Z$11:$AG$14, ,-1), 'Normative data'!$Z$10:$AG$10, "Not Found", -1)</f>
        <v xml:space="preserve">Good </v>
      </c>
      <c r="CW329" s="20" cm="1">
        <f t="array" ref="CW329">IF(OR(ISBLANK(CS329),ISBLANK(CT329)),"Incomplete",_xlfn.XLOOKUP(CS329&amp;CT329,VLOOKUP!$A$4:$A$250&amp;VLOOKUP!$B$4:$B$250,VLOOKUP!$D$4:$D$250,"0"))</f>
        <v>51</v>
      </c>
    </row>
    <row r="330" spans="1:101">
      <c r="A330" s="17" t="s">
        <v>821</v>
      </c>
      <c r="B330" s="17" t="s">
        <v>822</v>
      </c>
      <c r="C330" s="17" t="s">
        <v>86</v>
      </c>
      <c r="D330" s="26">
        <v>40807</v>
      </c>
      <c r="F330" s="17">
        <v>8</v>
      </c>
      <c r="G330" s="17">
        <v>2025</v>
      </c>
      <c r="J330" s="17" t="s">
        <v>122</v>
      </c>
      <c r="S330" s="20"/>
      <c r="T330" s="20">
        <v>163</v>
      </c>
      <c r="U330" s="20">
        <v>49</v>
      </c>
      <c r="V330" s="20"/>
      <c r="W330" s="20">
        <v>6.4</v>
      </c>
      <c r="X330" s="20">
        <f>SUM(T330-W330)</f>
        <v>156.6</v>
      </c>
      <c r="Y330" s="20">
        <v>23.2</v>
      </c>
      <c r="Z330" s="20">
        <v>18.399999999999999</v>
      </c>
      <c r="AA330" s="20">
        <v>13.1</v>
      </c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41" t="str">
        <f t="shared" si="80"/>
        <v>Incomplete</v>
      </c>
      <c r="AZ330" s="20"/>
      <c r="BA330" s="20" t="str">
        <f t="shared" si="81"/>
        <v>Incomplete</v>
      </c>
      <c r="BB330" s="20"/>
      <c r="BC330" s="20" t="str">
        <f t="shared" si="82"/>
        <v>Incomplete</v>
      </c>
      <c r="BD330" s="20"/>
      <c r="BE330" s="20" t="str">
        <f t="shared" si="83"/>
        <v>Incomplete</v>
      </c>
      <c r="BF330" s="20"/>
      <c r="BG330" s="20">
        <v>15</v>
      </c>
      <c r="BH330" s="20">
        <v>46.2</v>
      </c>
      <c r="BI330" s="20" t="e">
        <f>IF(OR(ISBLANK(#REF!), ISBLANK(#REF!)),"Incomplete",(SUM(#REF!-#REF!)))</f>
        <v>#REF!</v>
      </c>
      <c r="BJ330" s="20"/>
      <c r="BK330" s="20">
        <v>11</v>
      </c>
      <c r="BL330" s="20"/>
      <c r="BM330" s="20">
        <v>10</v>
      </c>
      <c r="BN330" s="20"/>
      <c r="BO330" s="20"/>
      <c r="BP330" s="20"/>
      <c r="BQ330" s="20"/>
      <c r="BR330" s="20"/>
      <c r="BS330" s="20"/>
      <c r="BT330" s="20"/>
      <c r="BU330" s="20"/>
      <c r="BV330" s="20"/>
      <c r="BW330" s="91">
        <f t="shared" si="84"/>
        <v>0</v>
      </c>
      <c r="BX330" s="91" t="str">
        <f>_xlfn.XLOOKUP(BW330,'Normative data'!$V$3:$V$6,'Normative data'!$W$3:$W$6,"Not Found",-1)</f>
        <v>Not completed</v>
      </c>
      <c r="BY330" s="91">
        <f t="shared" si="85"/>
        <v>0</v>
      </c>
      <c r="BZ330" s="91" t="str">
        <f>_xlfn.XLOOKUP(BY330,'Normative data'!$V$3:$V$6,'Normative data'!$W$3:$W$6,"Not Found",-1)</f>
        <v>Not completed</v>
      </c>
      <c r="CA330" s="20"/>
      <c r="CC330" s="20"/>
      <c r="CE330" s="20"/>
      <c r="CG330" s="20">
        <v>17.53</v>
      </c>
      <c r="CH330" s="20" t="e">
        <f>_xlfn.XLOOKUP(#REF!, 'Normative data'!$S$9:$S$15,'Normative data'!$T$9:$T$15, "Not Found", -1)</f>
        <v>#REF!</v>
      </c>
      <c r="CI330" s="20">
        <v>17.21</v>
      </c>
      <c r="CJ330" s="20" t="e">
        <f>_xlfn.XLOOKUP(#REF!, 'Normative data'!$S$9:$S$15, 'Normative data'!$T$9:$T$15, "Not Found", -1)</f>
        <v>#REF!</v>
      </c>
      <c r="CK330" s="25">
        <v>2.1</v>
      </c>
      <c r="CL330" s="25">
        <v>4.76</v>
      </c>
      <c r="CM330" s="21"/>
      <c r="CN330" s="25">
        <v>6.63</v>
      </c>
      <c r="CO330" s="25">
        <v>7.54</v>
      </c>
      <c r="CP330" s="25"/>
      <c r="CQ330" s="20"/>
      <c r="CR330" s="20" t="str" cm="1">
        <f t="array" ref="CR330">IF(OR(ISBLANK(E330),ISBLANK(CQ330)),"Incomplete",_xlfn.XLOOKUP(CQ330,_xlfn.XLOOKUP(E330,'Normative data'!$Y$3:$Y$6,'Normative data'!$Z$3:$AG$6,,-1),'Normative data'!$Z$2:$AG$2,"Not Found",-1))</f>
        <v>Incomplete</v>
      </c>
      <c r="CS330" s="20"/>
      <c r="CT330" s="20"/>
      <c r="CU330" s="20" t="str" cm="1">
        <f t="array" ref="CU330">_xlfn.XLOOKUP(CS330&amp;CT330,(VLOOKUP!$A$3:$A$250)&amp;(VLOOKUP!$B$3:$B$250),VLOOKUP!$C$3:$C$250,"Incomplete",-1)</f>
        <v>Incomplete</v>
      </c>
      <c r="CV330" s="20" t="str" cm="1">
        <f t="array" ref="CV330">_xlfn.XLOOKUP(CU330, _xlfn.XLOOKUP(E330, 'Normative data'!$Y$11:$Y$14, 'Normative data'!$Z$11:$AG$14, ,-1), 'Normative data'!$Z$10:$AG$10, "Not Found", -1)</f>
        <v>Excellent</v>
      </c>
      <c r="CW330" s="20" t="str" cm="1">
        <f t="array" ref="CW330">IF(OR(ISBLANK(CS330),ISBLANK(CT330)),"Incomplete",_xlfn.XLOOKUP(CS330&amp;CT330,VLOOKUP!$A$4:$A$250&amp;VLOOKUP!$B$4:$B$250,VLOOKUP!$D$4:$D$250,"0"))</f>
        <v>Incomplete</v>
      </c>
    </row>
    <row r="331" spans="1:101">
      <c r="A331" s="17" t="s">
        <v>821</v>
      </c>
      <c r="B331" s="17" t="s">
        <v>822</v>
      </c>
      <c r="C331" s="17" t="s">
        <v>86</v>
      </c>
      <c r="D331" s="26">
        <v>40807</v>
      </c>
      <c r="F331" s="17">
        <v>8</v>
      </c>
      <c r="G331" s="17">
        <v>2025</v>
      </c>
      <c r="S331" s="20"/>
      <c r="T331" s="20" t="s">
        <v>823</v>
      </c>
      <c r="U331" s="20" t="s">
        <v>824</v>
      </c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41" t="str">
        <f>IF(OR(ISBLANK(#REF!), ISBLANK(AQ331)), "Incomplete", (60.7*AQ331)+(45.3*#REF!)-2055)</f>
        <v>Incomplete</v>
      </c>
      <c r="AZ331" s="20"/>
      <c r="BA331" s="20" t="str">
        <f>IF(OR(ISBLANK(#REF!), ISBLANK(AS331)), "Incomplete", (60.7*AS331)+(45.3*#REF!)-2055)</f>
        <v>Incomplete</v>
      </c>
      <c r="BB331" s="20"/>
      <c r="BC331" s="20" t="str">
        <f>IF(OR(ISBLANK(#REF!), ISBLANK(AU331)), "Incomplete", (60.7*AU331)+(45.3*#REF!)-2055)</f>
        <v>Incomplete</v>
      </c>
      <c r="BD331" s="20"/>
      <c r="BE331" s="20" t="str">
        <f>IF(OR(ISBLANK(#REF!), ISBLANK(AW331)), "Incomplete", (60.7*AW331)+(45.3*#REF!)-2055)</f>
        <v>Incomplete</v>
      </c>
      <c r="BF331" s="20"/>
      <c r="BG331" s="20"/>
      <c r="BH331" s="20"/>
      <c r="BI331" s="20" t="str">
        <f>IF(OR(ISBLANK(BG331), ISBLANK(BH331)),"Incomplete",(SUM(BH331-BG331)))</f>
        <v>Incomplete</v>
      </c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91" t="str">
        <f>IFERROR(SUM(BQ331+BR331+BS331)/(3*(#REF!-S331))*100, "Incomplete")</f>
        <v>Incomplete</v>
      </c>
      <c r="BX331" s="91" t="str">
        <f>_xlfn.XLOOKUP(BW331,'Normative data'!$V$3:$V$6,'Normative data'!$W$3:$W$6,"Not Found",-1)</f>
        <v>Very low risk</v>
      </c>
      <c r="BY331" s="91" t="str">
        <f>IFERROR(SUM(BT331+BU331+BV331)/(3*(#REF!-S331))*100, "Incomplete")</f>
        <v>Incomplete</v>
      </c>
      <c r="BZ331" s="91" t="str">
        <f>_xlfn.XLOOKUP(BY331,'Normative data'!$V$3:$V$6,'Normative data'!$W$3:$W$6,"Not Found",-1)</f>
        <v>Very low risk</v>
      </c>
      <c r="CA331" s="20"/>
      <c r="CC331" s="20"/>
      <c r="CE331" s="20">
        <v>7</v>
      </c>
      <c r="CG331" s="20">
        <v>17.97</v>
      </c>
      <c r="CH331" s="20" t="e">
        <f>_xlfn.XLOOKUP(#REF!, 'Normative data'!$S$9:$S$15,'Normative data'!$T$9:$T$15, "Not Found", -1)</f>
        <v>#REF!</v>
      </c>
      <c r="CI331" s="20">
        <v>17.11</v>
      </c>
      <c r="CJ331" s="20" t="e">
        <f>_xlfn.XLOOKUP(#REF!, 'Normative data'!$S$9:$S$15, 'Normative data'!$T$9:$T$15, "Not Found", -1)</f>
        <v>#REF!</v>
      </c>
      <c r="CK331" s="20" t="s">
        <v>289</v>
      </c>
      <c r="CL331" s="20" t="s">
        <v>825</v>
      </c>
      <c r="CM331" s="21"/>
      <c r="CN331" s="20" t="s">
        <v>826</v>
      </c>
      <c r="CO331" s="20" t="s">
        <v>827</v>
      </c>
      <c r="CP331" s="25"/>
      <c r="CQ331" s="20"/>
      <c r="CR331" s="20" t="str" cm="1">
        <f t="array" ref="CR331">IF(OR(ISBLANK(E331),ISBLANK(CQ331)),"Incomplete",_xlfn.XLOOKUP(CQ331,_xlfn.XLOOKUP(E331,'Normative data'!$Y$3:$Y$6,'Normative data'!$Z$3:$AG$6,,-1),'Normative data'!$Z$2:$AG$2,"Not Found",-1))</f>
        <v>Incomplete</v>
      </c>
      <c r="CS331" s="20"/>
      <c r="CT331" s="20"/>
      <c r="CU331" s="20" t="str" cm="1">
        <f t="array" ref="CU331">_xlfn.XLOOKUP(CS331&amp;CT331,(VLOOKUP!$A$3:$A$250)&amp;(VLOOKUP!$B$3:$B$250),VLOOKUP!$C$3:$C$250,"Incomplete",-1)</f>
        <v>Incomplete</v>
      </c>
      <c r="CV331" s="20" t="str" cm="1">
        <f t="array" ref="CV331">_xlfn.XLOOKUP(CU331, _xlfn.XLOOKUP(E331, 'Normative data'!$Y$11:$Y$14, 'Normative data'!$Z$11:$AG$14, ,-1), 'Normative data'!$Z$10:$AG$10, "Not Found", -1)</f>
        <v>Excellent</v>
      </c>
      <c r="CW331" s="20" t="str" cm="1">
        <f t="array" ref="CW331">IF(OR(ISBLANK(CS331),ISBLANK(CT331)),"Incomplete",_xlfn.XLOOKUP(CS331&amp;CT331,VLOOKUP!$A$4:$A$250&amp;VLOOKUP!$B$4:$B$250,VLOOKUP!$D$4:$D$250,"0"))</f>
        <v>Incomplete</v>
      </c>
    </row>
    <row r="332" spans="1:101">
      <c r="A332" s="17" t="s">
        <v>821</v>
      </c>
      <c r="B332" s="17" t="s">
        <v>822</v>
      </c>
      <c r="C332" s="17" t="s">
        <v>86</v>
      </c>
      <c r="D332" s="26">
        <v>40807</v>
      </c>
      <c r="G332" s="17">
        <v>2025</v>
      </c>
      <c r="H332" s="20" t="s">
        <v>124</v>
      </c>
      <c r="I332" s="17">
        <v>3</v>
      </c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>
        <v>28</v>
      </c>
      <c r="AR332" s="20">
        <v>0.47799999999999998</v>
      </c>
      <c r="AS332" s="20">
        <v>28.5</v>
      </c>
      <c r="AT332" s="20">
        <v>0.48099999999999998</v>
      </c>
      <c r="AU332" s="20">
        <v>19.3</v>
      </c>
      <c r="AV332" s="20">
        <v>0.39700000000000002</v>
      </c>
      <c r="AW332" s="20">
        <v>15.4</v>
      </c>
      <c r="AX332" s="20">
        <v>0.35399999999999998</v>
      </c>
      <c r="AY332" s="41" t="str">
        <f t="shared" ref="AY332:AY339" si="87">IF(OR(ISBLANK(U332), ISBLANK(AQ332)), "Incomplete", (60.7*AQ332)+(45.3*U332)-2055)</f>
        <v>Incomplete</v>
      </c>
      <c r="AZ332" s="20"/>
      <c r="BA332" s="20" t="str">
        <f t="shared" ref="BA332:BA339" si="88">IF(OR(ISBLANK(U332), ISBLANK(AS332)), "Incomplete", (60.7*AS332)+(45.3*U332)-2055)</f>
        <v>Incomplete</v>
      </c>
      <c r="BB332" s="20"/>
      <c r="BC332" s="20" t="str">
        <f t="shared" ref="BC332:BC339" si="89">IF(OR(ISBLANK(U332), ISBLANK(AU332)), "Incomplete", (60.7*AU332)+(45.3*U332)-2055)</f>
        <v>Incomplete</v>
      </c>
      <c r="BD332" s="20"/>
      <c r="BE332" s="20" t="str">
        <f t="shared" ref="BE332:BE339" si="90">IF(OR(ISBLANK(U332), ISBLANK(AW332)), "Incomplete", (60.7*AW332)+(45.3*U332)-2055)</f>
        <v>Incomplete</v>
      </c>
      <c r="BF332" s="20"/>
      <c r="BG332" s="20"/>
      <c r="BH332" s="20"/>
      <c r="BI332" s="20" t="str">
        <f>IF(OR(ISBLANK(BG332), ISBLANK(BH332)),"Incomplete",(SUM(BH332-BG332)))</f>
        <v>Incomplete</v>
      </c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91" t="str">
        <f t="shared" ref="BW332:BW339" si="91">IFERROR(SUM(BQ332+BR332+BS332)/(3*(T332-S332))*100, "Incomplete")</f>
        <v>Incomplete</v>
      </c>
      <c r="BX332" s="91" t="str">
        <f>_xlfn.XLOOKUP(BW332,'Normative data'!$V$3:$V$6,'Normative data'!$W$3:$W$6,"Not Found",-1)</f>
        <v>Very low risk</v>
      </c>
      <c r="BY332" s="91" t="str">
        <f t="shared" ref="BY332:BY339" si="92">IFERROR(SUM(BT332+BU332+BV332)/(3*(T332-S332))*100, "Incomplete")</f>
        <v>Incomplete</v>
      </c>
      <c r="BZ332" s="91" t="str">
        <f>_xlfn.XLOOKUP(BY332,'Normative data'!$V$3:$V$6,'Normative data'!$W$3:$W$6,"Not Found",-1)</f>
        <v>Very low risk</v>
      </c>
      <c r="CA332" s="20"/>
      <c r="CC332" s="20"/>
      <c r="CE332" s="20"/>
      <c r="CG332" s="20"/>
      <c r="CH332" s="20" t="str">
        <f>_xlfn.XLOOKUP(CG332, 'Normative data'!$S$9:$S$15,'Normative data'!$T$9:$T$15, "Not Found", -1)</f>
        <v>not completed</v>
      </c>
      <c r="CI332" s="20"/>
      <c r="CJ332" s="20" t="str">
        <f>_xlfn.XLOOKUP(CI332, 'Normative data'!$S$9:$S$15, 'Normative data'!$T$9:$T$15, "Not Found", -1)</f>
        <v>not completed</v>
      </c>
      <c r="CK332" s="21"/>
      <c r="CL332" s="21"/>
      <c r="CM332" s="21"/>
      <c r="CN332" s="21"/>
      <c r="CO332" s="21"/>
      <c r="CQ332" s="20"/>
      <c r="CR332" s="20" t="str" cm="1">
        <f t="array" ref="CR332">IF(OR(ISBLANK(E332),ISBLANK(CQ332)),"Incomplete",_xlfn.XLOOKUP(CQ332,_xlfn.XLOOKUP(E332,'Normative data'!$Y$3:$Y$6,'Normative data'!$Z$3:$AG$6,,-1),'Normative data'!$Z$2:$AG$2,"Not Found",-1))</f>
        <v>Incomplete</v>
      </c>
      <c r="CS332" s="20"/>
      <c r="CT332" s="20"/>
      <c r="CU332" s="20" t="str" cm="1">
        <f t="array" ref="CU332">_xlfn.XLOOKUP(CS332&amp;CT332,(VLOOKUP!$A$3:$A$250)&amp;(VLOOKUP!$B$3:$B$250),VLOOKUP!$C$3:$C$250,"Incomplete",-1)</f>
        <v>Incomplete</v>
      </c>
      <c r="CV332" s="20" t="str" cm="1">
        <f t="array" ref="CV332">_xlfn.XLOOKUP(CU332, _xlfn.XLOOKUP(E332, 'Normative data'!$Y$11:$Y$14, 'Normative data'!$Z$11:$AG$14, ,-1), 'Normative data'!$Z$10:$AG$10, "Not Found", -1)</f>
        <v>Excellent</v>
      </c>
      <c r="CW332" s="20" t="str" cm="1">
        <f t="array" ref="CW332">IF(OR(ISBLANK(CS332),ISBLANK(CT332)),"Incomplete",_xlfn.XLOOKUP(CS332&amp;CT332,VLOOKUP!$A$4:$A$250&amp;VLOOKUP!$B$4:$B$250,VLOOKUP!$D$4:$D$250,"0"))</f>
        <v>Incomplete</v>
      </c>
    </row>
    <row r="333" spans="1:101">
      <c r="A333" s="22" t="s">
        <v>828</v>
      </c>
      <c r="B333" s="22" t="s">
        <v>822</v>
      </c>
      <c r="C333" s="17" t="s">
        <v>86</v>
      </c>
      <c r="D333" s="23">
        <v>40455</v>
      </c>
      <c r="F333" s="17">
        <v>9</v>
      </c>
      <c r="G333" s="17">
        <v>2025</v>
      </c>
      <c r="H333" s="20" t="s">
        <v>114</v>
      </c>
      <c r="I333" s="17">
        <v>1</v>
      </c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41" t="str">
        <f t="shared" si="87"/>
        <v>Incomplete</v>
      </c>
      <c r="AZ333" s="20"/>
      <c r="BA333" s="20" t="str">
        <f t="shared" si="88"/>
        <v>Incomplete</v>
      </c>
      <c r="BB333" s="20"/>
      <c r="BC333" s="20" t="str">
        <f t="shared" si="89"/>
        <v>Incomplete</v>
      </c>
      <c r="BD333" s="20"/>
      <c r="BE333" s="20" t="str">
        <f t="shared" si="90"/>
        <v>Incomplete</v>
      </c>
      <c r="BF333" s="20"/>
      <c r="BG333" s="20">
        <v>13.5</v>
      </c>
      <c r="BH333" s="20">
        <v>28.9</v>
      </c>
      <c r="BI333" s="20" t="e">
        <f>IF(OR(ISBLANK(#REF!), ISBLANK(#REF!)),"Incomplete",(SUM(#REF!-#REF!)))</f>
        <v>#REF!</v>
      </c>
      <c r="BJ333" s="20"/>
      <c r="BK333" s="20">
        <v>5</v>
      </c>
      <c r="BL333" s="20"/>
      <c r="BM333" s="20">
        <v>6</v>
      </c>
      <c r="BN333" s="20"/>
      <c r="BO333" s="20"/>
      <c r="BP333" s="20"/>
      <c r="BQ333" s="20"/>
      <c r="BR333" s="20"/>
      <c r="BS333" s="20"/>
      <c r="BT333" s="20"/>
      <c r="BU333" s="20"/>
      <c r="BV333" s="20"/>
      <c r="BW333" s="91" t="str">
        <f t="shared" si="91"/>
        <v>Incomplete</v>
      </c>
      <c r="BX333" s="91" t="str">
        <f>_xlfn.XLOOKUP(BW333,'Normative data'!$V$3:$V$6,'Normative data'!$W$3:$W$6,"Not Found",-1)</f>
        <v>Very low risk</v>
      </c>
      <c r="BY333" s="91" t="str">
        <f t="shared" si="92"/>
        <v>Incomplete</v>
      </c>
      <c r="BZ333" s="91" t="str">
        <f>_xlfn.XLOOKUP(BY333,'Normative data'!$V$3:$V$6,'Normative data'!$W$3:$W$6,"Not Found",-1)</f>
        <v>Very low risk</v>
      </c>
      <c r="CA333" s="20"/>
      <c r="CC333" s="20"/>
      <c r="CE333" s="20">
        <v>12</v>
      </c>
      <c r="CG333" s="20"/>
      <c r="CH333" s="20" t="str">
        <f>_xlfn.XLOOKUP(CG333, 'Normative data'!$S$9:$S$15,'Normative data'!$T$9:$T$15, "Not Found", -1)</f>
        <v>not completed</v>
      </c>
      <c r="CI333" s="20"/>
      <c r="CJ333" s="20" t="str">
        <f>_xlfn.XLOOKUP(CI333, 'Normative data'!$S$9:$S$15, 'Normative data'!$T$9:$T$15, "Not Found", -1)</f>
        <v>not completed</v>
      </c>
      <c r="CK333" s="24">
        <v>2.34</v>
      </c>
      <c r="CL333" s="24">
        <v>4.2699999999999996</v>
      </c>
      <c r="CM333" s="24"/>
      <c r="CN333" s="24">
        <v>6.93</v>
      </c>
      <c r="CO333" s="24">
        <v>7.22</v>
      </c>
      <c r="CP333" s="24"/>
      <c r="CQ333" s="20"/>
      <c r="CR333" s="20" t="str" cm="1">
        <f t="array" ref="CR333">IF(OR(ISBLANK(E333),ISBLANK(CQ333)),"Incomplete",_xlfn.XLOOKUP(CQ333,_xlfn.XLOOKUP(E333,'Normative data'!$Y$3:$Y$6,'Normative data'!$Z$3:$AG$6,,-1),'Normative data'!$Z$2:$AG$2,"Not Found",-1))</f>
        <v>Incomplete</v>
      </c>
      <c r="CS333" s="20"/>
      <c r="CT333" s="20"/>
      <c r="CU333" s="20" t="str" cm="1">
        <f t="array" ref="CU333">_xlfn.XLOOKUP(CS333&amp;CT333,(VLOOKUP!$A$3:$A$250)&amp;(VLOOKUP!$B$3:$B$250),VLOOKUP!$C$3:$C$250,"Incomplete",-1)</f>
        <v>Incomplete</v>
      </c>
      <c r="CV333" s="20" t="str" cm="1">
        <f t="array" ref="CV333">_xlfn.XLOOKUP(CU333, _xlfn.XLOOKUP(E333, 'Normative data'!$Y$11:$Y$14, 'Normative data'!$Z$11:$AG$14, ,-1), 'Normative data'!$Z$10:$AG$10, "Not Found", -1)</f>
        <v>Excellent</v>
      </c>
      <c r="CW333" s="20" t="str" cm="1">
        <f t="array" ref="CW333">IF(OR(ISBLANK(CS333),ISBLANK(CT333)),"Incomplete",_xlfn.XLOOKUP(CS333&amp;CT333,VLOOKUP!$A$4:$A$250&amp;VLOOKUP!$B$4:$B$250,VLOOKUP!$D$4:$D$250,"0"))</f>
        <v>Incomplete</v>
      </c>
    </row>
    <row r="334" spans="1:101">
      <c r="A334" s="22" t="s">
        <v>828</v>
      </c>
      <c r="B334" s="22" t="s">
        <v>822</v>
      </c>
      <c r="C334" s="17" t="s">
        <v>86</v>
      </c>
      <c r="D334" s="23">
        <v>40455</v>
      </c>
      <c r="F334" s="17">
        <v>9</v>
      </c>
      <c r="G334" s="17">
        <v>2025</v>
      </c>
      <c r="H334" s="20" t="s">
        <v>124</v>
      </c>
      <c r="I334" s="17">
        <v>3</v>
      </c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41" t="str">
        <f t="shared" si="87"/>
        <v>Incomplete</v>
      </c>
      <c r="AZ334" s="20"/>
      <c r="BA334" s="20" t="str">
        <f t="shared" si="88"/>
        <v>Incomplete</v>
      </c>
      <c r="BB334" s="20"/>
      <c r="BC334" s="20" t="str">
        <f t="shared" si="89"/>
        <v>Incomplete</v>
      </c>
      <c r="BD334" s="20"/>
      <c r="BE334" s="20" t="str">
        <f t="shared" si="90"/>
        <v>Incomplete</v>
      </c>
      <c r="BF334" s="20"/>
      <c r="BG334" s="20"/>
      <c r="BH334" s="20"/>
      <c r="BI334" s="20" t="str">
        <f>IF(OR(ISBLANK(BG334), ISBLANK(BH334)),"Incomplete",(SUM(BH334-BG334)))</f>
        <v>Incomplete</v>
      </c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91" t="str">
        <f t="shared" si="91"/>
        <v>Incomplete</v>
      </c>
      <c r="BX334" s="91" t="str">
        <f>_xlfn.XLOOKUP(BW334,'Normative data'!$V$3:$V$6,'Normative data'!$W$3:$W$6,"Not Found",-1)</f>
        <v>Very low risk</v>
      </c>
      <c r="BY334" s="91" t="str">
        <f t="shared" si="92"/>
        <v>Incomplete</v>
      </c>
      <c r="BZ334" s="91" t="str">
        <f>_xlfn.XLOOKUP(BY334,'Normative data'!$V$3:$V$6,'Normative data'!$W$3:$W$6,"Not Found",-1)</f>
        <v>Very low risk</v>
      </c>
      <c r="CA334" s="20"/>
      <c r="CC334" s="20"/>
      <c r="CE334" s="20"/>
      <c r="CG334" s="20"/>
      <c r="CH334" s="20" t="str">
        <f>_xlfn.XLOOKUP(CG334, 'Normative data'!$S$9:$S$15,'Normative data'!$T$9:$T$15, "Not Found", -1)</f>
        <v>not completed</v>
      </c>
      <c r="CI334" s="20"/>
      <c r="CJ334" s="20" t="str">
        <f>_xlfn.XLOOKUP(CI334, 'Normative data'!$S$9:$S$15, 'Normative data'!$T$9:$T$15, "Not Found", -1)</f>
        <v>not completed</v>
      </c>
      <c r="CK334" s="20" t="s">
        <v>133</v>
      </c>
      <c r="CL334" s="20" t="s">
        <v>134</v>
      </c>
      <c r="CN334" s="20" t="s">
        <v>718</v>
      </c>
      <c r="CO334" s="20" t="s">
        <v>551</v>
      </c>
      <c r="CQ334" s="20"/>
      <c r="CR334" s="20" t="str" cm="1">
        <f t="array" ref="CR334">IF(OR(ISBLANK(E334),ISBLANK(CQ334)),"Incomplete",_xlfn.XLOOKUP(CQ334,_xlfn.XLOOKUP(E334,'Normative data'!$Y$3:$Y$6,'Normative data'!$Z$3:$AG$6,,-1),'Normative data'!$Z$2:$AG$2,"Not Found",-1))</f>
        <v>Incomplete</v>
      </c>
      <c r="CS334" s="20"/>
      <c r="CT334" s="20"/>
      <c r="CU334" s="20" t="str" cm="1">
        <f t="array" ref="CU334">_xlfn.XLOOKUP(CS334&amp;CT334,(VLOOKUP!$A$3:$A$250)&amp;(VLOOKUP!$B$3:$B$250),VLOOKUP!$C$3:$C$250,"Incomplete",-1)</f>
        <v>Incomplete</v>
      </c>
      <c r="CV334" s="20" t="str" cm="1">
        <f t="array" ref="CV334">_xlfn.XLOOKUP(CU334, _xlfn.XLOOKUP(E334, 'Normative data'!$Y$11:$Y$14, 'Normative data'!$Z$11:$AG$14, ,-1), 'Normative data'!$Z$10:$AG$10, "Not Found", -1)</f>
        <v>Excellent</v>
      </c>
      <c r="CW334" s="20" t="str" cm="1">
        <f t="array" ref="CW334">IF(OR(ISBLANK(CS334),ISBLANK(CT334)),"Incomplete",_xlfn.XLOOKUP(CS334&amp;CT334,VLOOKUP!$A$4:$A$250&amp;VLOOKUP!$B$4:$B$250,VLOOKUP!$D$4:$D$250,"0"))</f>
        <v>Incomplete</v>
      </c>
    </row>
    <row r="335" spans="1:101">
      <c r="A335" s="18" t="s">
        <v>274</v>
      </c>
      <c r="B335" s="18" t="s">
        <v>829</v>
      </c>
      <c r="C335" s="17" t="s">
        <v>86</v>
      </c>
      <c r="D335" s="19" t="s">
        <v>830</v>
      </c>
      <c r="F335" s="17">
        <v>8</v>
      </c>
      <c r="G335" s="17">
        <v>2025</v>
      </c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41" t="str">
        <f t="shared" si="87"/>
        <v>Incomplete</v>
      </c>
      <c r="AZ335" s="20"/>
      <c r="BA335" s="20" t="str">
        <f t="shared" si="88"/>
        <v>Incomplete</v>
      </c>
      <c r="BB335" s="20"/>
      <c r="BC335" s="20" t="str">
        <f t="shared" si="89"/>
        <v>Incomplete</v>
      </c>
      <c r="BD335" s="20"/>
      <c r="BE335" s="20" t="str">
        <f t="shared" si="90"/>
        <v>Incomplete</v>
      </c>
      <c r="BF335" s="20"/>
      <c r="BG335" s="20">
        <v>16</v>
      </c>
      <c r="BH335" s="20">
        <v>33</v>
      </c>
      <c r="BI335" s="20" t="e">
        <f>IF(OR(ISBLANK(#REF!), ISBLANK(#REF!)),"Incomplete",(SUM(#REF!-#REF!)))</f>
        <v>#REF!</v>
      </c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91" t="str">
        <f t="shared" si="91"/>
        <v>Incomplete</v>
      </c>
      <c r="BX335" s="91" t="str">
        <f>_xlfn.XLOOKUP(BW335,'Normative data'!$V$3:$V$6,'Normative data'!$W$3:$W$6,"Not Found",-1)</f>
        <v>Very low risk</v>
      </c>
      <c r="BY335" s="91" t="str">
        <f t="shared" si="92"/>
        <v>Incomplete</v>
      </c>
      <c r="BZ335" s="91" t="str">
        <f>_xlfn.XLOOKUP(BY335,'Normative data'!$V$3:$V$6,'Normative data'!$W$3:$W$6,"Not Found",-1)</f>
        <v>Very low risk</v>
      </c>
      <c r="CA335" s="20"/>
      <c r="CC335" s="20"/>
      <c r="CE335" s="20"/>
      <c r="CG335" s="20"/>
      <c r="CH335" s="20" t="str">
        <f>_xlfn.XLOOKUP(CG335, 'Normative data'!$S$9:$S$15,'Normative data'!$T$9:$T$15, "Not Found", -1)</f>
        <v>not completed</v>
      </c>
      <c r="CI335" s="20"/>
      <c r="CJ335" s="20" t="str">
        <f>_xlfn.XLOOKUP(CI335, 'Normative data'!$S$9:$S$15, 'Normative data'!$T$9:$T$15, "Not Found", -1)</f>
        <v>not completed</v>
      </c>
      <c r="CK335" s="21">
        <v>2.5299999999999998</v>
      </c>
      <c r="CL335" s="21">
        <v>3.95</v>
      </c>
      <c r="CM335" s="21"/>
      <c r="CN335" s="21">
        <v>8.15</v>
      </c>
      <c r="CO335" s="21">
        <v>6.13</v>
      </c>
      <c r="CP335" s="21"/>
      <c r="CQ335" s="20"/>
      <c r="CR335" s="20" t="str" cm="1">
        <f t="array" ref="CR335">IF(OR(ISBLANK(E335),ISBLANK(CQ335)),"Incomplete",_xlfn.XLOOKUP(CQ335,_xlfn.XLOOKUP(E335,'Normative data'!$Y$3:$Y$6,'Normative data'!$Z$3:$AG$6,,-1),'Normative data'!$Z$2:$AG$2,"Not Found",-1))</f>
        <v>Incomplete</v>
      </c>
      <c r="CS335" s="20"/>
      <c r="CT335" s="20"/>
      <c r="CU335" s="20" t="str" cm="1">
        <f t="array" ref="CU335">_xlfn.XLOOKUP(CS335&amp;CT335,(VLOOKUP!$A$3:$A$250)&amp;(VLOOKUP!$B$3:$B$250),VLOOKUP!$C$3:$C$250,"Incomplete",-1)</f>
        <v>Incomplete</v>
      </c>
      <c r="CV335" s="20" t="str" cm="1">
        <f t="array" ref="CV335">_xlfn.XLOOKUP(CU335, _xlfn.XLOOKUP(E335, 'Normative data'!$Y$11:$Y$14, 'Normative data'!$Z$11:$AG$14, ,-1), 'Normative data'!$Z$10:$AG$10, "Not Found", -1)</f>
        <v>Excellent</v>
      </c>
      <c r="CW335" s="20" t="str" cm="1">
        <f t="array" ref="CW335">IF(OR(ISBLANK(CS335),ISBLANK(CT335)),"Incomplete",_xlfn.XLOOKUP(CS335&amp;CT335,VLOOKUP!$A$4:$A$250&amp;VLOOKUP!$B$4:$B$250,VLOOKUP!$D$4:$D$250,"0"))</f>
        <v>Incomplete</v>
      </c>
    </row>
    <row r="336" spans="1:101">
      <c r="A336" s="17" t="s">
        <v>276</v>
      </c>
      <c r="B336" s="17" t="s">
        <v>829</v>
      </c>
      <c r="C336" s="17" t="s">
        <v>86</v>
      </c>
      <c r="D336" s="19" t="s">
        <v>830</v>
      </c>
      <c r="F336" s="17">
        <v>8</v>
      </c>
      <c r="G336" s="17">
        <v>2025</v>
      </c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41" t="str">
        <f t="shared" si="87"/>
        <v>Incomplete</v>
      </c>
      <c r="AZ336" s="20"/>
      <c r="BA336" s="20" t="str">
        <f t="shared" si="88"/>
        <v>Incomplete</v>
      </c>
      <c r="BB336" s="20"/>
      <c r="BC336" s="20" t="str">
        <f t="shared" si="89"/>
        <v>Incomplete</v>
      </c>
      <c r="BD336" s="20"/>
      <c r="BE336" s="20" t="str">
        <f t="shared" si="90"/>
        <v>Incomplete</v>
      </c>
      <c r="BF336" s="20"/>
      <c r="BG336" s="20"/>
      <c r="BH336" s="20"/>
      <c r="BI336" s="20" t="str">
        <f t="shared" ref="BI336:BI341" si="93">IF(OR(ISBLANK(BG336), ISBLANK(BH336)),"Incomplete",(SUM(BH336-BG336)))</f>
        <v>Incomplete</v>
      </c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91" t="str">
        <f t="shared" si="91"/>
        <v>Incomplete</v>
      </c>
      <c r="BX336" s="91" t="str">
        <f>_xlfn.XLOOKUP(BW336,'Normative data'!$V$3:$V$6,'Normative data'!$W$3:$W$6,"Not Found",-1)</f>
        <v>Very low risk</v>
      </c>
      <c r="BY336" s="91" t="str">
        <f t="shared" si="92"/>
        <v>Incomplete</v>
      </c>
      <c r="BZ336" s="91" t="str">
        <f>_xlfn.XLOOKUP(BY336,'Normative data'!$V$3:$V$6,'Normative data'!$W$3:$W$6,"Not Found",-1)</f>
        <v>Very low risk</v>
      </c>
      <c r="CA336" s="20"/>
      <c r="CC336" s="20"/>
      <c r="CE336" s="20"/>
      <c r="CG336" s="20"/>
      <c r="CH336" s="20" t="str">
        <f>_xlfn.XLOOKUP(CG336, 'Normative data'!$S$9:$S$15,'Normative data'!$T$9:$T$15, "Not Found", -1)</f>
        <v>not completed</v>
      </c>
      <c r="CI336" s="20"/>
      <c r="CJ336" s="20" t="str">
        <f>_xlfn.XLOOKUP(CI336, 'Normative data'!$S$9:$S$15, 'Normative data'!$T$9:$T$15, "Not Found", -1)</f>
        <v>not completed</v>
      </c>
      <c r="CK336" s="20" t="s">
        <v>831</v>
      </c>
      <c r="CL336" s="20" t="s">
        <v>832</v>
      </c>
      <c r="CN336" s="20" t="s">
        <v>833</v>
      </c>
      <c r="CO336" s="20" t="s">
        <v>834</v>
      </c>
      <c r="CQ336" s="20"/>
      <c r="CR336" s="20" t="str" cm="1">
        <f t="array" ref="CR336">IF(OR(ISBLANK(E336),ISBLANK(CQ336)),"Incomplete",_xlfn.XLOOKUP(CQ336,_xlfn.XLOOKUP(E336,'Normative data'!$Y$3:$Y$6,'Normative data'!$Z$3:$AG$6,,-1),'Normative data'!$Z$2:$AG$2,"Not Found",-1))</f>
        <v>Incomplete</v>
      </c>
      <c r="CS336" s="20"/>
      <c r="CT336" s="20"/>
      <c r="CU336" s="20" t="str" cm="1">
        <f t="array" ref="CU336">_xlfn.XLOOKUP(CS336&amp;CT336,(VLOOKUP!$A$3:$A$250)&amp;(VLOOKUP!$B$3:$B$250),VLOOKUP!$C$3:$C$250,"Incomplete",-1)</f>
        <v>Incomplete</v>
      </c>
      <c r="CV336" s="20" t="str" cm="1">
        <f t="array" ref="CV336">_xlfn.XLOOKUP(CU336, _xlfn.XLOOKUP(E336, 'Normative data'!$Y$11:$Y$14, 'Normative data'!$Z$11:$AG$14, ,-1), 'Normative data'!$Z$10:$AG$10, "Not Found", -1)</f>
        <v>Excellent</v>
      </c>
      <c r="CW336" s="20" t="str" cm="1">
        <f t="array" ref="CW336">IF(OR(ISBLANK(CS336),ISBLANK(CT336)),"Incomplete",_xlfn.XLOOKUP(CS336&amp;CT336,VLOOKUP!$A$4:$A$250&amp;VLOOKUP!$B$4:$B$250,VLOOKUP!$D$4:$D$250,"0"))</f>
        <v>Incomplete</v>
      </c>
    </row>
    <row r="337" spans="1:101">
      <c r="A337" s="17" t="s">
        <v>481</v>
      </c>
      <c r="B337" s="17" t="s">
        <v>835</v>
      </c>
      <c r="C337" s="17" t="s">
        <v>86</v>
      </c>
      <c r="D337" s="26"/>
      <c r="F337" s="20" t="s">
        <v>192</v>
      </c>
      <c r="G337" s="17">
        <v>2026</v>
      </c>
      <c r="I337" s="20">
        <v>2</v>
      </c>
      <c r="J337" s="20"/>
      <c r="K337" s="20"/>
      <c r="L337" s="20"/>
      <c r="S337" s="20"/>
      <c r="T337" s="20"/>
      <c r="AQ337" s="20"/>
      <c r="AR337" s="20"/>
      <c r="AS337" s="20"/>
      <c r="AT337" s="20"/>
      <c r="AU337" s="20"/>
      <c r="AV337" s="20"/>
      <c r="AW337" s="20"/>
      <c r="AX337" s="20"/>
      <c r="AY337" s="41" t="str">
        <f t="shared" si="87"/>
        <v>Incomplete</v>
      </c>
      <c r="BA337" s="20" t="str">
        <f t="shared" si="88"/>
        <v>Incomplete</v>
      </c>
      <c r="BC337" s="20" t="str">
        <f t="shared" si="89"/>
        <v>Incomplete</v>
      </c>
      <c r="BE337" s="20" t="str">
        <f t="shared" si="90"/>
        <v>Incomplete</v>
      </c>
      <c r="BH337" s="20"/>
      <c r="BI337" s="20" t="str">
        <f t="shared" si="93"/>
        <v>Incomplete</v>
      </c>
      <c r="BJ337" s="20"/>
      <c r="BK337" s="17">
        <v>6</v>
      </c>
      <c r="BL337" s="20"/>
      <c r="BM337" s="17">
        <v>7</v>
      </c>
      <c r="BN337" s="20"/>
      <c r="BO337" s="17">
        <v>47.5</v>
      </c>
      <c r="BP337" s="17">
        <v>48.5</v>
      </c>
      <c r="BQ337" s="17">
        <v>73</v>
      </c>
      <c r="BR337" s="17">
        <v>70</v>
      </c>
      <c r="BS337" s="17">
        <v>70</v>
      </c>
      <c r="BT337" s="17">
        <v>69</v>
      </c>
      <c r="BU337" s="17">
        <v>70</v>
      </c>
      <c r="BV337" s="17">
        <v>65</v>
      </c>
      <c r="BW337" s="91" t="str">
        <f t="shared" si="91"/>
        <v>Incomplete</v>
      </c>
      <c r="BX337" s="91" t="str">
        <f>_xlfn.XLOOKUP(BW337,'Normative data'!$V$3:$V$6,'Normative data'!$W$3:$W$6,"Not Found",-1)</f>
        <v>Very low risk</v>
      </c>
      <c r="BY337" s="91" t="str">
        <f t="shared" si="92"/>
        <v>Incomplete</v>
      </c>
      <c r="BZ337" s="91" t="str">
        <f>_xlfn.XLOOKUP(BY337,'Normative data'!$V$3:$V$6,'Normative data'!$W$3:$W$6,"Not Found",-1)</f>
        <v>Very low risk</v>
      </c>
      <c r="CA337" s="17">
        <v>28</v>
      </c>
      <c r="CC337" s="20"/>
      <c r="CE337" s="17">
        <v>20</v>
      </c>
      <c r="CG337" s="20"/>
      <c r="CH337" s="20" t="str">
        <f>_xlfn.XLOOKUP(CG337, 'Normative data'!$S$9:$S$15,'Normative data'!$T$9:$T$15, "Not Found", -1)</f>
        <v>not completed</v>
      </c>
      <c r="CI337" s="20"/>
      <c r="CJ337" s="20" t="str">
        <f>_xlfn.XLOOKUP(CI337, 'Normative data'!$S$9:$S$15, 'Normative data'!$T$9:$T$15, "Not Found", -1)</f>
        <v>not completed</v>
      </c>
      <c r="CK337" s="21"/>
      <c r="CL337" s="21"/>
      <c r="CM337" s="21"/>
      <c r="CN337" s="21"/>
      <c r="CO337" s="21"/>
      <c r="CQ337" s="17">
        <v>6.1</v>
      </c>
      <c r="CR337" s="20" t="str" cm="1">
        <f t="array" ref="CR337">IF(OR(ISBLANK(E337),ISBLANK(CQ337)),"Incomplete",_xlfn.XLOOKUP(CQ337,_xlfn.XLOOKUP(E337,'Normative data'!$Y$3:$Y$6,'Normative data'!$Z$3:$AG$6,,-1),'Normative data'!$Z$2:$AG$2,"Not Found",-1))</f>
        <v>Incomplete</v>
      </c>
      <c r="CS337" s="20">
        <v>6</v>
      </c>
      <c r="CT337" s="20">
        <v>1</v>
      </c>
      <c r="CU337" s="20" cm="1">
        <f t="array" ref="CU337">_xlfn.XLOOKUP(CS337&amp;CT337,(VLOOKUP!$A$3:$A$250)&amp;(VLOOKUP!$B$3:$B$250),VLOOKUP!$C$3:$C$250,"Incomplete",-1)</f>
        <v>840</v>
      </c>
      <c r="CV337" s="20" t="str" cm="1">
        <f t="array" ref="CV337">_xlfn.XLOOKUP(CU337, _xlfn.XLOOKUP(E337, 'Normative data'!$Y$11:$Y$14, 'Normative data'!$Z$11:$AG$14, ,-1), 'Normative data'!$Z$10:$AG$10, "Not Found", -1)</f>
        <v xml:space="preserve">Fair </v>
      </c>
      <c r="CW337" s="20" cm="1">
        <f t="array" ref="CW337">IF(OR(ISBLANK(CS337),ISBLANK(CT337)),"Incomplete",_xlfn.XLOOKUP(CS337&amp;CT337,VLOOKUP!$A$4:$A$250&amp;VLOOKUP!$B$4:$B$250,VLOOKUP!$D$4:$D$250,"0"))</f>
        <v>33</v>
      </c>
    </row>
    <row r="338" spans="1:101">
      <c r="A338" s="17" t="s">
        <v>836</v>
      </c>
      <c r="B338" s="17" t="s">
        <v>837</v>
      </c>
      <c r="C338" s="17" t="s">
        <v>86</v>
      </c>
      <c r="D338" s="23">
        <v>40408</v>
      </c>
      <c r="G338" s="17">
        <v>2026</v>
      </c>
      <c r="H338" s="20" t="s">
        <v>114</v>
      </c>
      <c r="I338" s="17">
        <v>1</v>
      </c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30" t="s">
        <v>838</v>
      </c>
      <c r="AR338" s="30" t="s">
        <v>839</v>
      </c>
      <c r="AS338" s="30" t="s">
        <v>840</v>
      </c>
      <c r="AT338" s="30" t="s">
        <v>841</v>
      </c>
      <c r="AU338" s="30" t="s">
        <v>842</v>
      </c>
      <c r="AV338" s="30" t="s">
        <v>843</v>
      </c>
      <c r="AW338" s="30" t="s">
        <v>844</v>
      </c>
      <c r="AX338" s="30" t="s">
        <v>845</v>
      </c>
      <c r="AY338" s="41" t="str">
        <f t="shared" si="87"/>
        <v>Incomplete</v>
      </c>
      <c r="AZ338" s="20"/>
      <c r="BA338" s="20" t="str">
        <f t="shared" si="88"/>
        <v>Incomplete</v>
      </c>
      <c r="BB338" s="20"/>
      <c r="BC338" s="20" t="str">
        <f t="shared" si="89"/>
        <v>Incomplete</v>
      </c>
      <c r="BD338" s="20"/>
      <c r="BE338" s="20" t="str">
        <f t="shared" si="90"/>
        <v>Incomplete</v>
      </c>
      <c r="BF338" s="20"/>
      <c r="BG338" s="30" t="s">
        <v>846</v>
      </c>
      <c r="BH338" s="30" t="s">
        <v>847</v>
      </c>
      <c r="BI338" s="20" t="e">
        <f t="shared" si="93"/>
        <v>#VALUE!</v>
      </c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91" t="str">
        <f t="shared" si="91"/>
        <v>Incomplete</v>
      </c>
      <c r="BX338" s="91" t="str">
        <f>_xlfn.XLOOKUP(BW338,'Normative data'!$V$3:$V$6,'Normative data'!$W$3:$W$6,"Not Found",-1)</f>
        <v>Very low risk</v>
      </c>
      <c r="BY338" s="91" t="str">
        <f t="shared" si="92"/>
        <v>Incomplete</v>
      </c>
      <c r="BZ338" s="91" t="str">
        <f>_xlfn.XLOOKUP(BY338,'Normative data'!$V$3:$V$6,'Normative data'!$W$3:$W$6,"Not Found",-1)</f>
        <v>Very low risk</v>
      </c>
      <c r="CA338" s="20"/>
      <c r="CC338" s="30">
        <v>50</v>
      </c>
      <c r="CD338" s="30"/>
      <c r="CE338" s="30">
        <v>34</v>
      </c>
      <c r="CF338" s="30"/>
      <c r="CG338" s="30" t="s">
        <v>848</v>
      </c>
      <c r="CH338" s="20" t="str">
        <f>_xlfn.XLOOKUP(CG338, 'Normative data'!$S$9:$S$15,'Normative data'!$T$9:$T$15, "Not Found", -1)</f>
        <v>Poor</v>
      </c>
      <c r="CI338" s="30" t="s">
        <v>849</v>
      </c>
      <c r="CJ338" s="20" t="str">
        <f>_xlfn.XLOOKUP(CI338, 'Normative data'!$S$9:$S$15, 'Normative data'!$T$9:$T$15, "Not Found", -1)</f>
        <v>Poor</v>
      </c>
      <c r="CK338" s="30" t="s">
        <v>327</v>
      </c>
      <c r="CL338" s="30" t="s">
        <v>624</v>
      </c>
      <c r="CM338" s="30"/>
      <c r="CN338" s="30" t="s">
        <v>850</v>
      </c>
      <c r="CO338" s="30" t="s">
        <v>851</v>
      </c>
      <c r="CP338" s="30"/>
      <c r="CQ338" s="30">
        <v>11</v>
      </c>
      <c r="CR338" s="20" t="str" cm="1">
        <f t="array" ref="CR338">IF(OR(ISBLANK(E338),ISBLANK(CQ338)),"Incomplete",_xlfn.XLOOKUP(CQ338,_xlfn.XLOOKUP(E338,'Normative data'!$Y$3:$Y$6,'Normative data'!$Z$3:$AG$6,,-1),'Normative data'!$Z$2:$AG$2,"Not Found",-1))</f>
        <v>Incomplete</v>
      </c>
      <c r="CS338" s="20">
        <v>11</v>
      </c>
      <c r="CT338" s="20">
        <v>1</v>
      </c>
      <c r="CU338" s="20" cm="1">
        <f t="array" ref="CU338">_xlfn.XLOOKUP(CS338&amp;CT338,(VLOOKUP!$A$3:$A$250)&amp;(VLOOKUP!$B$3:$B$250),VLOOKUP!$C$3:$C$250,"Incomplete",-1)</f>
        <v>1900</v>
      </c>
      <c r="CV338" s="20" t="str" cm="1">
        <f t="array" ref="CV338">_xlfn.XLOOKUP(CU338, _xlfn.XLOOKUP(E338, 'Normative data'!$Y$11:$Y$14, 'Normative data'!$Z$11:$AG$14, ,-1), 'Normative data'!$Z$10:$AG$10, "Not Found", -1)</f>
        <v xml:space="preserve">Good </v>
      </c>
      <c r="CW338" s="20" cm="1">
        <f t="array" ref="CW338">IF(OR(ISBLANK(CS338),ISBLANK(CT338)),"Incomplete",_xlfn.XLOOKUP(CS338&amp;CT338,VLOOKUP!$A$4:$A$250&amp;VLOOKUP!$B$4:$B$250,VLOOKUP!$D$4:$D$250,"0"))</f>
        <v>51</v>
      </c>
    </row>
    <row r="339" spans="1:101">
      <c r="A339" s="22" t="s">
        <v>563</v>
      </c>
      <c r="B339" s="22" t="s">
        <v>762</v>
      </c>
      <c r="C339" s="17" t="s">
        <v>86</v>
      </c>
      <c r="D339" s="23">
        <v>40408</v>
      </c>
      <c r="F339" s="17">
        <v>9</v>
      </c>
      <c r="G339" s="17">
        <v>2025</v>
      </c>
      <c r="J339" s="17" t="s">
        <v>122</v>
      </c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41" t="str">
        <f t="shared" si="87"/>
        <v>Incomplete</v>
      </c>
      <c r="AZ339" s="20"/>
      <c r="BA339" s="20" t="str">
        <f t="shared" si="88"/>
        <v>Incomplete</v>
      </c>
      <c r="BB339" s="20"/>
      <c r="BC339" s="20" t="str">
        <f t="shared" si="89"/>
        <v>Incomplete</v>
      </c>
      <c r="BD339" s="20"/>
      <c r="BE339" s="20" t="str">
        <f t="shared" si="90"/>
        <v>Incomplete</v>
      </c>
      <c r="BF339" s="20"/>
      <c r="BG339" s="20">
        <v>12.5</v>
      </c>
      <c r="BH339" s="20">
        <v>32.200000000000003</v>
      </c>
      <c r="BI339" s="20">
        <f t="shared" si="93"/>
        <v>19.700000000000003</v>
      </c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91" t="str">
        <f t="shared" si="91"/>
        <v>Incomplete</v>
      </c>
      <c r="BX339" s="91" t="str">
        <f>_xlfn.XLOOKUP(BW339,'Normative data'!$V$3:$V$6,'Normative data'!$W$3:$W$6,"Not Found",-1)</f>
        <v>Very low risk</v>
      </c>
      <c r="BY339" s="91" t="str">
        <f t="shared" si="92"/>
        <v>Incomplete</v>
      </c>
      <c r="BZ339" s="91" t="str">
        <f>_xlfn.XLOOKUP(BY339,'Normative data'!$V$3:$V$6,'Normative data'!$W$3:$W$6,"Not Found",-1)</f>
        <v>Very low risk</v>
      </c>
      <c r="CA339" s="20"/>
      <c r="CC339" s="20"/>
      <c r="CE339" s="20"/>
      <c r="CG339" s="20">
        <v>16.600000000000001</v>
      </c>
      <c r="CH339" s="20" t="e">
        <f>_xlfn.XLOOKUP(#REF!, 'Normative data'!$S$9:$S$15,'Normative data'!$T$9:$T$15, "Not Found", -1)</f>
        <v>#REF!</v>
      </c>
      <c r="CI339" s="20">
        <v>16.96</v>
      </c>
      <c r="CJ339" s="20" t="e">
        <f>_xlfn.XLOOKUP(#REF!, 'Normative data'!$S$9:$S$15, 'Normative data'!$T$9:$T$15, "Not Found", -1)</f>
        <v>#REF!</v>
      </c>
      <c r="CK339" s="24">
        <v>2.13</v>
      </c>
      <c r="CL339" s="24">
        <v>4.6900000000000004</v>
      </c>
      <c r="CM339" s="21"/>
      <c r="CN339" s="24">
        <v>6.2</v>
      </c>
      <c r="CO339" s="24">
        <v>8.06</v>
      </c>
      <c r="CP339" s="24"/>
      <c r="CQ339" s="20"/>
      <c r="CR339" s="20" t="str" cm="1">
        <f t="array" ref="CR339">IF(OR(ISBLANK(E339),ISBLANK(CQ339)),"Incomplete",_xlfn.XLOOKUP(CQ339,_xlfn.XLOOKUP(E339,'Normative data'!$Y$3:$Y$6,'Normative data'!$Z$3:$AG$6,,-1),'Normative data'!$Z$2:$AG$2,"Not Found",-1))</f>
        <v>Incomplete</v>
      </c>
      <c r="CS339" s="20"/>
      <c r="CT339" s="20"/>
      <c r="CU339" s="20" t="str" cm="1">
        <f t="array" ref="CU339">_xlfn.XLOOKUP(CS339&amp;CT339,(VLOOKUP!$A$3:$A$250)&amp;(VLOOKUP!$B$3:$B$250),VLOOKUP!$C$3:$C$250,"Incomplete",-1)</f>
        <v>Incomplete</v>
      </c>
      <c r="CV339" s="20" t="str" cm="1">
        <f t="array" ref="CV339">_xlfn.XLOOKUP(CU339, _xlfn.XLOOKUP(E339, 'Normative data'!$Y$11:$Y$14, 'Normative data'!$Z$11:$AG$14, ,-1), 'Normative data'!$Z$10:$AG$10, "Not Found", -1)</f>
        <v>Excellent</v>
      </c>
      <c r="CW339" s="20" t="str" cm="1">
        <f t="array" ref="CW339">IF(OR(ISBLANK(CS339),ISBLANK(CT339)),"Incomplete",_xlfn.XLOOKUP(CS339&amp;CT339,VLOOKUP!$A$4:$A$250&amp;VLOOKUP!$B$4:$B$250,VLOOKUP!$D$4:$D$250,"0"))</f>
        <v>Incomplete</v>
      </c>
    </row>
    <row r="340" spans="1:101">
      <c r="A340" s="17" t="s">
        <v>563</v>
      </c>
      <c r="B340" s="17" t="s">
        <v>762</v>
      </c>
      <c r="C340" s="17" t="s">
        <v>86</v>
      </c>
      <c r="D340" s="23">
        <v>40408</v>
      </c>
      <c r="G340" s="17">
        <v>2025</v>
      </c>
      <c r="S340" s="20"/>
      <c r="T340" s="20" t="s">
        <v>852</v>
      </c>
      <c r="U340" s="20" t="s">
        <v>853</v>
      </c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>
        <v>25.7</v>
      </c>
      <c r="AR340" s="20">
        <v>0.45800000000000002</v>
      </c>
      <c r="AS340" s="20">
        <v>33.700000000000003</v>
      </c>
      <c r="AT340" s="20">
        <v>0.52400000000000002</v>
      </c>
      <c r="AU340" s="20">
        <v>16.2</v>
      </c>
      <c r="AV340" s="20">
        <v>0.36399999999999999</v>
      </c>
      <c r="AW340" s="20">
        <v>12.8</v>
      </c>
      <c r="AX340" s="20">
        <v>0.32300000000000001</v>
      </c>
      <c r="AY340" s="41" t="e">
        <f>IF(OR(ISBLANK(#REF!), ISBLANK(AQ340)), "Incomplete", (60.7*AQ340)+(45.3*#REF!)-2055)</f>
        <v>#REF!</v>
      </c>
      <c r="AZ340" s="20"/>
      <c r="BA340" s="20" t="e">
        <f>IF(OR(ISBLANK(#REF!), ISBLANK(AS340)), "Incomplete", (60.7*AS340)+(45.3*#REF!)-2055)</f>
        <v>#REF!</v>
      </c>
      <c r="BB340" s="20"/>
      <c r="BC340" s="20" t="e">
        <f>IF(OR(ISBLANK(#REF!), ISBLANK(AU340)), "Incomplete", (60.7*AU340)+(45.3*#REF!)-2055)</f>
        <v>#REF!</v>
      </c>
      <c r="BD340" s="20"/>
      <c r="BE340" s="20" t="e">
        <f>IF(OR(ISBLANK(#REF!), ISBLANK(AW340)), "Incomplete", (60.7*AW340)+(45.3*#REF!)-2055)</f>
        <v>#REF!</v>
      </c>
      <c r="BF340" s="20"/>
      <c r="BG340" s="20"/>
      <c r="BH340" s="20"/>
      <c r="BI340" s="20" t="str">
        <f t="shared" si="93"/>
        <v>Incomplete</v>
      </c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91" t="str">
        <f>IFERROR(SUM(BQ340+BR340+BS340)/(3*(#REF!-S340))*100, "Incomplete")</f>
        <v>Incomplete</v>
      </c>
      <c r="BX340" s="91" t="str">
        <f>_xlfn.XLOOKUP(BW340,'Normative data'!$V$3:$V$6,'Normative data'!$W$3:$W$6,"Not Found",-1)</f>
        <v>Very low risk</v>
      </c>
      <c r="BY340" s="91" t="str">
        <f>IFERROR(SUM(BT340+BU340+BV340)/(3*(#REF!-S340))*100, "Incomplete")</f>
        <v>Incomplete</v>
      </c>
      <c r="BZ340" s="91" t="str">
        <f>_xlfn.XLOOKUP(BY340,'Normative data'!$V$3:$V$6,'Normative data'!$W$3:$W$6,"Not Found",-1)</f>
        <v>Very low risk</v>
      </c>
      <c r="CA340" s="20"/>
      <c r="CC340" s="20"/>
      <c r="CE340" s="20">
        <v>22</v>
      </c>
      <c r="CG340" s="20">
        <v>16.91</v>
      </c>
      <c r="CH340" s="20" t="e">
        <f>_xlfn.XLOOKUP(#REF!, 'Normative data'!$S$9:$S$15,'Normative data'!$T$9:$T$15, "Not Found", -1)</f>
        <v>#REF!</v>
      </c>
      <c r="CI340" s="20">
        <v>17.22</v>
      </c>
      <c r="CJ340" s="20" t="e">
        <f>_xlfn.XLOOKUP(#REF!, 'Normative data'!$S$9:$S$15, 'Normative data'!$T$9:$T$15, "Not Found", -1)</f>
        <v>#REF!</v>
      </c>
      <c r="CK340" s="21"/>
      <c r="CL340" s="21"/>
      <c r="CM340" s="21"/>
      <c r="CN340" s="21"/>
      <c r="CO340" s="21"/>
      <c r="CQ340" s="20"/>
      <c r="CR340" s="20" t="str" cm="1">
        <f t="array" ref="CR340">IF(OR(ISBLANK(E340),ISBLANK(CQ340)),"Incomplete",_xlfn.XLOOKUP(CQ340,_xlfn.XLOOKUP(E340,'Normative data'!$Y$3:$Y$6,'Normative data'!$Z$3:$AG$6,,-1),'Normative data'!$Z$2:$AG$2,"Not Found",-1))</f>
        <v>Incomplete</v>
      </c>
      <c r="CS340" s="20"/>
      <c r="CT340" s="20"/>
      <c r="CU340" s="20" t="str" cm="1">
        <f t="array" ref="CU340">_xlfn.XLOOKUP(CS340&amp;CT340,(VLOOKUP!$A$3:$A$250)&amp;(VLOOKUP!$B$3:$B$250),VLOOKUP!$C$3:$C$250,"Incomplete",-1)</f>
        <v>Incomplete</v>
      </c>
      <c r="CV340" s="20" t="str" cm="1">
        <f t="array" ref="CV340">_xlfn.XLOOKUP(CU340, _xlfn.XLOOKUP(E340, 'Normative data'!$Y$11:$Y$14, 'Normative data'!$Z$11:$AG$14, ,-1), 'Normative data'!$Z$10:$AG$10, "Not Found", -1)</f>
        <v>Excellent</v>
      </c>
      <c r="CW340" s="20" t="str" cm="1">
        <f t="array" ref="CW340">IF(OR(ISBLANK(CS340),ISBLANK(CT340)),"Incomplete",_xlfn.XLOOKUP(CS340&amp;CT340,VLOOKUP!$A$4:$A$250&amp;VLOOKUP!$B$4:$B$250,VLOOKUP!$D$4:$D$250,"0"))</f>
        <v>Incomplete</v>
      </c>
    </row>
    <row r="341" spans="1:101">
      <c r="A341" s="17" t="s">
        <v>836</v>
      </c>
      <c r="B341" s="17" t="s">
        <v>762</v>
      </c>
      <c r="C341" s="17" t="s">
        <v>86</v>
      </c>
      <c r="D341" s="23">
        <v>40408</v>
      </c>
      <c r="F341" s="17">
        <v>9</v>
      </c>
      <c r="G341" s="17">
        <v>2025</v>
      </c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41" t="str">
        <f>IF(OR(ISBLANK(U341), ISBLANK(AQ341)), "Incomplete", (60.7*AQ341)+(45.3*U341)-2055)</f>
        <v>Incomplete</v>
      </c>
      <c r="AZ341" s="20"/>
      <c r="BA341" s="20" t="str">
        <f>IF(OR(ISBLANK(U341), ISBLANK(AS341)), "Incomplete", (60.7*AS341)+(45.3*U341)-2055)</f>
        <v>Incomplete</v>
      </c>
      <c r="BB341" s="20"/>
      <c r="BC341" s="20" t="str">
        <f>IF(OR(ISBLANK(U341), ISBLANK(AU341)), "Incomplete", (60.7*AU341)+(45.3*U341)-2055)</f>
        <v>Incomplete</v>
      </c>
      <c r="BD341" s="20"/>
      <c r="BE341" s="20" t="str">
        <f>IF(OR(ISBLANK(U341), ISBLANK(AW341)), "Incomplete", (60.7*AW341)+(45.3*U341)-2055)</f>
        <v>Incomplete</v>
      </c>
      <c r="BF341" s="20"/>
      <c r="BG341" s="20"/>
      <c r="BH341" s="20"/>
      <c r="BI341" s="20" t="str">
        <f t="shared" si="93"/>
        <v>Incomplete</v>
      </c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91" t="str">
        <f>IFERROR(SUM(BQ341+BR341+BS341)/(3*(T341-S341))*100, "Incomplete")</f>
        <v>Incomplete</v>
      </c>
      <c r="BX341" s="91" t="str">
        <f>_xlfn.XLOOKUP(BW341,'Normative data'!$V$3:$V$6,'Normative data'!$W$3:$W$6,"Not Found",-1)</f>
        <v>Very low risk</v>
      </c>
      <c r="BY341" s="91" t="str">
        <f>IFERROR(SUM(BT341+BU341+BV341)/(3*(T341-S341))*100, "Incomplete")</f>
        <v>Incomplete</v>
      </c>
      <c r="BZ341" s="91" t="str">
        <f>_xlfn.XLOOKUP(BY341,'Normative data'!$V$3:$V$6,'Normative data'!$W$3:$W$6,"Not Found",-1)</f>
        <v>Very low risk</v>
      </c>
      <c r="CA341" s="20"/>
      <c r="CC341" s="20"/>
      <c r="CE341" s="20"/>
      <c r="CG341" s="20">
        <v>17.100000000000001</v>
      </c>
      <c r="CH341" s="20" t="e">
        <f>_xlfn.XLOOKUP(#REF!, 'Normative data'!$S$9:$S$15,'Normative data'!$T$9:$T$15, "Not Found", -1)</f>
        <v>#REF!</v>
      </c>
      <c r="CI341" s="20">
        <v>17.170000000000002</v>
      </c>
      <c r="CJ341" s="20" t="e">
        <f>_xlfn.XLOOKUP(#REF!, 'Normative data'!$S$9:$S$15, 'Normative data'!$T$9:$T$15, "Not Found", -1)</f>
        <v>#REF!</v>
      </c>
      <c r="CK341" s="20" t="s">
        <v>854</v>
      </c>
      <c r="CL341" s="20" t="s">
        <v>855</v>
      </c>
      <c r="CN341" s="20" t="s">
        <v>521</v>
      </c>
      <c r="CO341" s="20" t="s">
        <v>520</v>
      </c>
      <c r="CQ341" s="20"/>
      <c r="CR341" s="20" t="str" cm="1">
        <f t="array" ref="CR341">IF(OR(ISBLANK(E341),ISBLANK(CQ341)),"Incomplete",_xlfn.XLOOKUP(CQ341,_xlfn.XLOOKUP(E341,'Normative data'!$Y$3:$Y$6,'Normative data'!$Z$3:$AG$6,,-1),'Normative data'!$Z$2:$AG$2,"Not Found",-1))</f>
        <v>Incomplete</v>
      </c>
      <c r="CS341" s="20"/>
      <c r="CT341" s="20"/>
      <c r="CU341" s="20" t="str" cm="1">
        <f t="array" ref="CU341">_xlfn.XLOOKUP(CS341&amp;CT341,(VLOOKUP!$A$3:$A$250)&amp;(VLOOKUP!$B$3:$B$250),VLOOKUP!$C$3:$C$250,"Incomplete",-1)</f>
        <v>Incomplete</v>
      </c>
      <c r="CV341" s="20" t="str" cm="1">
        <f t="array" ref="CV341">_xlfn.XLOOKUP(CU341, _xlfn.XLOOKUP(E341, 'Normative data'!$Y$11:$Y$14, 'Normative data'!$Z$11:$AG$14, ,-1), 'Normative data'!$Z$10:$AG$10, "Not Found", -1)</f>
        <v>Excellent</v>
      </c>
      <c r="CW341" s="20" t="str" cm="1">
        <f t="array" ref="CW341">IF(OR(ISBLANK(CS341),ISBLANK(CT341)),"Incomplete",_xlfn.XLOOKUP(CS341&amp;CT341,VLOOKUP!$A$4:$A$250&amp;VLOOKUP!$B$4:$B$250,VLOOKUP!$D$4:$D$250,"0"))</f>
        <v>Incomplete</v>
      </c>
    </row>
    <row r="342" spans="1:101">
      <c r="A342" s="22" t="s">
        <v>449</v>
      </c>
      <c r="B342" s="22" t="s">
        <v>856</v>
      </c>
      <c r="C342" s="17" t="s">
        <v>86</v>
      </c>
      <c r="D342" s="23"/>
      <c r="F342" s="17">
        <v>10</v>
      </c>
      <c r="G342" s="17">
        <v>2025</v>
      </c>
      <c r="J342" s="17" t="s">
        <v>122</v>
      </c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>
        <v>25.9</v>
      </c>
      <c r="AR342" s="20">
        <v>0.46</v>
      </c>
      <c r="AS342" s="20">
        <v>26.3</v>
      </c>
      <c r="AT342" s="20">
        <v>0.46300000000000002</v>
      </c>
      <c r="AU342" s="20">
        <v>16.2</v>
      </c>
      <c r="AV342" s="20">
        <v>0.36399999999999999</v>
      </c>
      <c r="AW342" s="20">
        <v>12.9</v>
      </c>
      <c r="AX342" s="20">
        <v>0.32500000000000001</v>
      </c>
      <c r="AY342" s="41" t="str">
        <f>IF(OR(ISBLANK(U342), ISBLANK(AQ342)), "Incomplete", (60.7*AQ342)+(45.3*U342)-2055)</f>
        <v>Incomplete</v>
      </c>
      <c r="AZ342" s="20"/>
      <c r="BA342" s="20" t="str">
        <f>IF(OR(ISBLANK(U342), ISBLANK(AS342)), "Incomplete", (60.7*AS342)+(45.3*U342)-2055)</f>
        <v>Incomplete</v>
      </c>
      <c r="BB342" s="20"/>
      <c r="BC342" s="20" t="str">
        <f>IF(OR(ISBLANK(U342), ISBLANK(AU342)), "Incomplete", (60.7*AU342)+(45.3*U342)-2055)</f>
        <v>Incomplete</v>
      </c>
      <c r="BD342" s="20"/>
      <c r="BE342" s="20" t="str">
        <f>IF(OR(ISBLANK(U342), ISBLANK(AW342)), "Incomplete", (60.7*AW342)+(45.3*U342)-2055)</f>
        <v>Incomplete</v>
      </c>
      <c r="BF342" s="20"/>
      <c r="BG342" s="20">
        <v>15</v>
      </c>
      <c r="BH342" s="20">
        <v>45.7</v>
      </c>
      <c r="BI342" s="20" t="e">
        <f>IF(OR(ISBLANK(#REF!), ISBLANK(#REF!)),"Incomplete",(SUM(#REF!-#REF!)))</f>
        <v>#REF!</v>
      </c>
      <c r="BJ342" s="20"/>
      <c r="BK342" s="20">
        <v>4</v>
      </c>
      <c r="BL342" s="20"/>
      <c r="BM342" s="20">
        <v>6</v>
      </c>
      <c r="BN342" s="20"/>
      <c r="BO342" s="20"/>
      <c r="BP342" s="20"/>
      <c r="BQ342" s="20"/>
      <c r="BR342" s="20"/>
      <c r="BS342" s="20"/>
      <c r="BT342" s="20"/>
      <c r="BU342" s="20"/>
      <c r="BV342" s="20"/>
      <c r="BW342" s="91" t="str">
        <f>IFERROR(SUM(BQ342+BR342+BS342)/(3*(T342-S342))*100, "Incomplete")</f>
        <v>Incomplete</v>
      </c>
      <c r="BX342" s="91" t="str">
        <f>_xlfn.XLOOKUP(BW342,'Normative data'!$V$3:$V$6,'Normative data'!$W$3:$W$6,"Not Found",-1)</f>
        <v>Very low risk</v>
      </c>
      <c r="BY342" s="91" t="str">
        <f>IFERROR(SUM(BT342+BU342+BV342)/(3*(T342-S342))*100, "Incomplete")</f>
        <v>Incomplete</v>
      </c>
      <c r="BZ342" s="91" t="str">
        <f>_xlfn.XLOOKUP(BY342,'Normative data'!$V$3:$V$6,'Normative data'!$W$3:$W$6,"Not Found",-1)</f>
        <v>Very low risk</v>
      </c>
      <c r="CA342" s="20"/>
      <c r="CC342" s="20"/>
      <c r="CE342" s="20">
        <v>17</v>
      </c>
      <c r="CG342" s="20"/>
      <c r="CH342" s="20" t="str">
        <f>_xlfn.XLOOKUP(CG342, 'Normative data'!$S$9:$S$15,'Normative data'!$T$9:$T$15, "Not Found", -1)</f>
        <v>not completed</v>
      </c>
      <c r="CI342" s="20"/>
      <c r="CJ342" s="20" t="str">
        <f>_xlfn.XLOOKUP(CI342, 'Normative data'!$S$9:$S$15, 'Normative data'!$T$9:$T$15, "Not Found", -1)</f>
        <v>not completed</v>
      </c>
      <c r="CK342" s="24">
        <v>2.2999999999999998</v>
      </c>
      <c r="CL342" s="24">
        <v>4.3499999999999996</v>
      </c>
      <c r="CM342" s="21"/>
      <c r="CN342" s="24">
        <v>7.02</v>
      </c>
      <c r="CO342" s="24">
        <v>7.12</v>
      </c>
      <c r="CQ342" s="20"/>
      <c r="CR342" s="20" t="str" cm="1">
        <f t="array" ref="CR342">IF(OR(ISBLANK(E342),ISBLANK(CQ342)),"Incomplete",_xlfn.XLOOKUP(CQ342,_xlfn.XLOOKUP(E342,'Normative data'!$Y$3:$Y$6,'Normative data'!$Z$3:$AG$6,,-1),'Normative data'!$Z$2:$AG$2,"Not Found",-1))</f>
        <v>Incomplete</v>
      </c>
      <c r="CS342" s="20"/>
      <c r="CT342" s="20"/>
      <c r="CU342" s="20" t="str" cm="1">
        <f t="array" ref="CU342">_xlfn.XLOOKUP(CS342&amp;CT342,(VLOOKUP!$A$3:$A$250)&amp;(VLOOKUP!$B$3:$B$250),VLOOKUP!$C$3:$C$250,"Incomplete",-1)</f>
        <v>Incomplete</v>
      </c>
      <c r="CV342" s="20" t="str" cm="1">
        <f t="array" ref="CV342">_xlfn.XLOOKUP(CU342, _xlfn.XLOOKUP(E342, 'Normative data'!$Y$11:$Y$14, 'Normative data'!$Z$11:$AG$14, ,-1), 'Normative data'!$Z$10:$AG$10, "Not Found", -1)</f>
        <v>Excellent</v>
      </c>
      <c r="CW342" s="20" t="str" cm="1">
        <f t="array" ref="CW342">IF(OR(ISBLANK(CS342),ISBLANK(CT342)),"Incomplete",_xlfn.XLOOKUP(CS342&amp;CT342,VLOOKUP!$A$4:$A$250&amp;VLOOKUP!$B$4:$B$250,VLOOKUP!$D$4:$D$250,"0"))</f>
        <v>Incomplete</v>
      </c>
    </row>
    <row r="343" spans="1:101">
      <c r="A343" s="17" t="s">
        <v>555</v>
      </c>
      <c r="B343" s="17" t="s">
        <v>857</v>
      </c>
      <c r="C343" s="17" t="s">
        <v>86</v>
      </c>
      <c r="D343" s="19">
        <v>39869</v>
      </c>
      <c r="G343" s="17">
        <v>2025</v>
      </c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>
        <v>31.8</v>
      </c>
      <c r="AR343" s="20">
        <v>0.50900000000000001</v>
      </c>
      <c r="AS343" s="20">
        <v>34.200000000000003</v>
      </c>
      <c r="AT343" s="20">
        <v>0.52800000000000002</v>
      </c>
      <c r="AU343" s="20">
        <v>16.8</v>
      </c>
      <c r="AV343" s="20">
        <v>0.32</v>
      </c>
      <c r="AW343" s="20">
        <v>17.2</v>
      </c>
      <c r="AX343" s="20">
        <v>0.375</v>
      </c>
      <c r="AY343" s="41" t="str">
        <f>IF(OR(ISBLANK(U343), ISBLANK(AQ343)), "Incomplete", (60.7*AQ343)+(45.3*U343)-2055)</f>
        <v>Incomplete</v>
      </c>
      <c r="AZ343" s="20"/>
      <c r="BA343" s="20" t="str">
        <f>IF(OR(ISBLANK(U343), ISBLANK(AS343)), "Incomplete", (60.7*AS343)+(45.3*U343)-2055)</f>
        <v>Incomplete</v>
      </c>
      <c r="BB343" s="20"/>
      <c r="BC343" s="20" t="str">
        <f>IF(OR(ISBLANK(U343), ISBLANK(AU343)), "Incomplete", (60.7*AU343)+(45.3*U343)-2055)</f>
        <v>Incomplete</v>
      </c>
      <c r="BD343" s="20"/>
      <c r="BE343" s="20" t="str">
        <f>IF(OR(ISBLANK(U343), ISBLANK(AW343)), "Incomplete", (60.7*AW343)+(45.3*U343)-2055)</f>
        <v>Incomplete</v>
      </c>
      <c r="BF343" s="20"/>
      <c r="BG343" s="20"/>
      <c r="BH343" s="20"/>
      <c r="BI343" s="20" t="str">
        <f>IF(OR(ISBLANK(BG343), ISBLANK(BH343)),"Incomplete",(SUM(BH343-BG343)))</f>
        <v>Incomplete</v>
      </c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91" t="str">
        <f>IFERROR(SUM(BQ343+BR343+BS343)/(3*(T343-S343))*100, "Incomplete")</f>
        <v>Incomplete</v>
      </c>
      <c r="BX343" s="91" t="str">
        <f>_xlfn.XLOOKUP(BW343,'Normative data'!$V$3:$V$6,'Normative data'!$W$3:$W$6,"Not Found",-1)</f>
        <v>Very low risk</v>
      </c>
      <c r="BY343" s="91" t="str">
        <f>IFERROR(SUM(BT343+BU343+BV343)/(3*(T343-S343))*100, "Incomplete")</f>
        <v>Incomplete</v>
      </c>
      <c r="BZ343" s="91" t="str">
        <f>_xlfn.XLOOKUP(BY343,'Normative data'!$V$3:$V$6,'Normative data'!$W$3:$W$6,"Not Found",-1)</f>
        <v>Very low risk</v>
      </c>
      <c r="CA343" s="20"/>
      <c r="CC343" s="20"/>
      <c r="CE343" s="20"/>
      <c r="CG343" s="20"/>
      <c r="CH343" s="20" t="str">
        <f>_xlfn.XLOOKUP(CG343, 'Normative data'!$S$9:$S$15,'Normative data'!$T$9:$T$15, "Not Found", -1)</f>
        <v>not completed</v>
      </c>
      <c r="CI343" s="20"/>
      <c r="CJ343" s="20" t="str">
        <f>_xlfn.XLOOKUP(CI343, 'Normative data'!$S$9:$S$15, 'Normative data'!$T$9:$T$15, "Not Found", -1)</f>
        <v>not completed</v>
      </c>
      <c r="CK343" s="20" t="s">
        <v>858</v>
      </c>
      <c r="CL343" s="20" t="s">
        <v>290</v>
      </c>
      <c r="CM343" s="21"/>
      <c r="CN343" s="20" t="s">
        <v>859</v>
      </c>
      <c r="CO343" s="20" t="s">
        <v>860</v>
      </c>
      <c r="CQ343" s="20"/>
      <c r="CR343" s="20" t="str" cm="1">
        <f t="array" ref="CR343">IF(OR(ISBLANK(E343),ISBLANK(CQ343)),"Incomplete",_xlfn.XLOOKUP(CQ343,_xlfn.XLOOKUP(E343,'Normative data'!$Y$3:$Y$6,'Normative data'!$Z$3:$AG$6,,-1),'Normative data'!$Z$2:$AG$2,"Not Found",-1))</f>
        <v>Incomplete</v>
      </c>
      <c r="CS343" s="20"/>
      <c r="CT343" s="20"/>
      <c r="CU343" s="20" t="str" cm="1">
        <f t="array" ref="CU343">_xlfn.XLOOKUP(CS343&amp;CT343,(VLOOKUP!$A$3:$A$250)&amp;(VLOOKUP!$B$3:$B$250),VLOOKUP!$C$3:$C$250,"Incomplete",-1)</f>
        <v>Incomplete</v>
      </c>
      <c r="CV343" s="20" t="str" cm="1">
        <f t="array" ref="CV343">_xlfn.XLOOKUP(CU343, _xlfn.XLOOKUP(E343, 'Normative data'!$Y$11:$Y$14, 'Normative data'!$Z$11:$AG$14, ,-1), 'Normative data'!$Z$10:$AG$10, "Not Found", -1)</f>
        <v>Excellent</v>
      </c>
      <c r="CW343" s="20" t="str" cm="1">
        <f t="array" ref="CW343">IF(OR(ISBLANK(CS343),ISBLANK(CT343)),"Incomplete",_xlfn.XLOOKUP(CS343&amp;CT343,VLOOKUP!$A$4:$A$250&amp;VLOOKUP!$B$4:$B$250,VLOOKUP!$D$4:$D$250,"0"))</f>
        <v>Incomplete</v>
      </c>
    </row>
    <row r="344" spans="1:101">
      <c r="A344" s="17" t="s">
        <v>555</v>
      </c>
      <c r="B344" s="17" t="s">
        <v>857</v>
      </c>
      <c r="C344" s="17" t="s">
        <v>86</v>
      </c>
      <c r="D344" s="19">
        <v>39869</v>
      </c>
      <c r="G344" s="17">
        <v>2026</v>
      </c>
      <c r="H344" s="20" t="s">
        <v>114</v>
      </c>
      <c r="I344" s="17">
        <v>1</v>
      </c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>
        <v>28.4</v>
      </c>
      <c r="AR344" s="20">
        <v>0.48499999999999999</v>
      </c>
      <c r="AS344" s="20">
        <v>32.9</v>
      </c>
      <c r="AT344" s="20">
        <v>0.51800000000000002</v>
      </c>
      <c r="AU344" s="20">
        <v>16.5</v>
      </c>
      <c r="AV344" s="20">
        <v>0.36699999999999999</v>
      </c>
      <c r="AW344" s="20">
        <v>18.399999999999999</v>
      </c>
      <c r="AX344" s="20">
        <v>0.38700000000000001</v>
      </c>
      <c r="AY344" s="41" t="str">
        <f>IF(OR(ISBLANK(U344), ISBLANK(AQ344)), "Incomplete", (60.7*AQ344)+(45.3*U344)-2055)</f>
        <v>Incomplete</v>
      </c>
      <c r="AZ344" s="20"/>
      <c r="BA344" s="20" t="str">
        <f>IF(OR(ISBLANK(U344), ISBLANK(AS344)), "Incomplete", (60.7*AS344)+(45.3*U344)-2055)</f>
        <v>Incomplete</v>
      </c>
      <c r="BB344" s="20"/>
      <c r="BC344" s="20" t="str">
        <f>IF(OR(ISBLANK(U344), ISBLANK(AU344)), "Incomplete", (60.7*AU344)+(45.3*U344)-2055)</f>
        <v>Incomplete</v>
      </c>
      <c r="BD344" s="20"/>
      <c r="BE344" s="20" t="str">
        <f>IF(OR(ISBLANK(U344), ISBLANK(AW344)), "Incomplete", (60.7*AW344)+(45.3*U344)-2055)</f>
        <v>Incomplete</v>
      </c>
      <c r="BF344" s="20"/>
      <c r="BG344" s="20">
        <v>12</v>
      </c>
      <c r="BH344" s="20">
        <v>40</v>
      </c>
      <c r="BI344" s="20">
        <f>IF(OR(ISBLANK(BG344), ISBLANK(BH344)),"Incomplete",(SUM(BH344-BG344)))</f>
        <v>28</v>
      </c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91" t="str">
        <f>IFERROR(SUM(BQ344+BR344+BS344)/(3*(T344-S344))*100, "Incomplete")</f>
        <v>Incomplete</v>
      </c>
      <c r="BX344" s="91" t="str">
        <f>_xlfn.XLOOKUP(BW344,'Normative data'!$V$3:$V$6,'Normative data'!$W$3:$W$6,"Not Found",-1)</f>
        <v>Very low risk</v>
      </c>
      <c r="BY344" s="91" t="str">
        <f>IFERROR(SUM(BT344+BU344+BV344)/(3*(T344-S344))*100, "Incomplete")</f>
        <v>Incomplete</v>
      </c>
      <c r="BZ344" s="91" t="str">
        <f>_xlfn.XLOOKUP(BY344,'Normative data'!$V$3:$V$6,'Normative data'!$W$3:$W$6,"Not Found",-1)</f>
        <v>Very low risk</v>
      </c>
      <c r="CA344" s="20"/>
      <c r="CC344" s="20">
        <v>39</v>
      </c>
      <c r="CE344" s="20">
        <v>11</v>
      </c>
      <c r="CG344" s="20"/>
      <c r="CH344" s="20" t="str">
        <f>_xlfn.XLOOKUP(CG344, 'Normative data'!$S$9:$S$15,'Normative data'!$T$9:$T$15, "Not Found", -1)</f>
        <v>not completed</v>
      </c>
      <c r="CI344" s="20"/>
      <c r="CJ344" s="20" t="str">
        <f>_xlfn.XLOOKUP(CI344, 'Normative data'!$S$9:$S$15, 'Normative data'!$T$9:$T$15, "Not Found", -1)</f>
        <v>not completed</v>
      </c>
      <c r="CK344" s="20">
        <v>2.15</v>
      </c>
      <c r="CL344" s="20">
        <v>4.6500000000000004</v>
      </c>
      <c r="CN344" s="20">
        <v>6.57</v>
      </c>
      <c r="CO344" s="20">
        <v>3.07</v>
      </c>
      <c r="CQ344" s="20">
        <v>5.7</v>
      </c>
      <c r="CR344" s="20" t="str" cm="1">
        <f t="array" ref="CR344">IF(OR(ISBLANK(E344),ISBLANK(CQ344)),"Incomplete",_xlfn.XLOOKUP(CQ344,_xlfn.XLOOKUP(E344,'Normative data'!$Y$3:$Y$6,'Normative data'!$Z$3:$AG$6,,-1),'Normative data'!$Z$2:$AG$2,"Not Found",-1))</f>
        <v>Incomplete</v>
      </c>
      <c r="CS344" s="20">
        <v>5</v>
      </c>
      <c r="CT344" s="20">
        <v>7</v>
      </c>
      <c r="CU344" s="20" cm="1">
        <f t="array" ref="CU344">_xlfn.XLOOKUP(CS344&amp;CT344,(VLOOKUP!$A$3:$A$250)&amp;(VLOOKUP!$B$3:$B$250),VLOOKUP!$C$3:$C$250,"Incomplete",-1)</f>
        <v>780</v>
      </c>
      <c r="CV344" s="20" t="str" cm="1">
        <f t="array" ref="CV344">_xlfn.XLOOKUP(CU344, _xlfn.XLOOKUP(E344, 'Normative data'!$Y$11:$Y$14, 'Normative data'!$Z$11:$AG$14, ,-1), 'Normative data'!$Z$10:$AG$10, "Not Found", -1)</f>
        <v xml:space="preserve">Poor </v>
      </c>
      <c r="CW344" s="20" cm="1">
        <f t="array" ref="CW344">IF(OR(ISBLANK(CS344),ISBLANK(CT344)),"Incomplete",_xlfn.XLOOKUP(CS344&amp;CT344,VLOOKUP!$A$4:$A$250&amp;VLOOKUP!$B$4:$B$250,VLOOKUP!$D$4:$D$250,"0"))</f>
        <v>32</v>
      </c>
    </row>
    <row r="345" spans="1:101">
      <c r="A345" s="17" t="s">
        <v>555</v>
      </c>
      <c r="B345" s="17" t="s">
        <v>857</v>
      </c>
      <c r="C345" s="17" t="s">
        <v>86</v>
      </c>
      <c r="D345" s="19">
        <v>39869</v>
      </c>
      <c r="G345" s="17">
        <v>2026</v>
      </c>
      <c r="H345" s="20" t="s">
        <v>114</v>
      </c>
      <c r="I345" s="17">
        <v>1</v>
      </c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 t="s">
        <v>861</v>
      </c>
      <c r="AR345" s="20" t="s">
        <v>862</v>
      </c>
      <c r="AS345" s="20" t="s">
        <v>863</v>
      </c>
      <c r="AT345" s="20" t="s">
        <v>864</v>
      </c>
      <c r="AU345" s="20" t="s">
        <v>865</v>
      </c>
      <c r="AV345" s="20" t="s">
        <v>866</v>
      </c>
      <c r="AW345" s="20" t="s">
        <v>285</v>
      </c>
      <c r="AX345" s="20" t="s">
        <v>286</v>
      </c>
      <c r="AY345" s="41" t="str">
        <f>IF(OR(ISBLANK(U345), ISBLANK(AQ345)), "Incomplete", (60.7*AQ345)+(45.3*U345)-2055)</f>
        <v>Incomplete</v>
      </c>
      <c r="AZ345" s="20"/>
      <c r="BA345" s="20" t="str">
        <f>IF(OR(ISBLANK(U345), ISBLANK(AS345)), "Incomplete", (60.7*AS345)+(45.3*U345)-2055)</f>
        <v>Incomplete</v>
      </c>
      <c r="BB345" s="20"/>
      <c r="BC345" s="20" t="str">
        <f>IF(OR(ISBLANK(U345), ISBLANK(AU345)), "Incomplete", (60.7*AU345)+(45.3*U345)-2055)</f>
        <v>Incomplete</v>
      </c>
      <c r="BD345" s="20"/>
      <c r="BE345" s="20" t="str">
        <f>IF(OR(ISBLANK(U345), ISBLANK(AW345)), "Incomplete", (60.7*AW345)+(45.3*U345)-2055)</f>
        <v>Incomplete</v>
      </c>
      <c r="BF345" s="20"/>
      <c r="BG345" s="20">
        <v>9</v>
      </c>
      <c r="BH345" s="20">
        <v>35</v>
      </c>
      <c r="BI345" s="20">
        <f>IF(OR(ISBLANK(BG345), ISBLANK(BH345)),"Incomplete",(SUM(BH345-BG345)))</f>
        <v>26</v>
      </c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91" t="str">
        <f>IFERROR(SUM(BQ345+BR345+BS345)/(3*(T345-S345))*100, "Incomplete")</f>
        <v>Incomplete</v>
      </c>
      <c r="BX345" s="91" t="str">
        <f>_xlfn.XLOOKUP(BW345,'Normative data'!$V$3:$V$6,'Normative data'!$W$3:$W$6,"Not Found",-1)</f>
        <v>Very low risk</v>
      </c>
      <c r="BY345" s="91" t="str">
        <f>IFERROR(SUM(BT345+BU345+BV345)/(3*(T345-S345))*100, "Incomplete")</f>
        <v>Incomplete</v>
      </c>
      <c r="BZ345" s="91" t="str">
        <f>_xlfn.XLOOKUP(BY345,'Normative data'!$V$3:$V$6,'Normative data'!$W$3:$W$6,"Not Found",-1)</f>
        <v>Very low risk</v>
      </c>
      <c r="CA345" s="20"/>
      <c r="CC345" s="20">
        <v>56</v>
      </c>
      <c r="CE345" s="20">
        <v>12</v>
      </c>
      <c r="CG345" s="20"/>
      <c r="CH345" s="20" t="str">
        <f>_xlfn.XLOOKUP(CG345, 'Normative data'!$S$9:$S$15,'Normative data'!$T$9:$T$15, "Not Found", -1)</f>
        <v>not completed</v>
      </c>
      <c r="CI345" s="20"/>
      <c r="CJ345" s="20" t="str">
        <f>_xlfn.XLOOKUP(CI345, 'Normative data'!$S$9:$S$15, 'Normative data'!$T$9:$T$15, "Not Found", -1)</f>
        <v>not completed</v>
      </c>
      <c r="CK345" s="20" t="s">
        <v>401</v>
      </c>
      <c r="CL345" s="20" t="s">
        <v>867</v>
      </c>
      <c r="CN345" s="20" t="s">
        <v>474</v>
      </c>
      <c r="CO345" s="20" t="s">
        <v>473</v>
      </c>
      <c r="CQ345" s="20"/>
      <c r="CR345" s="20" t="str" cm="1">
        <f t="array" ref="CR345">IF(OR(ISBLANK(E345),ISBLANK(CQ345)),"Incomplete",_xlfn.XLOOKUP(CQ345,_xlfn.XLOOKUP(E345,'Normative data'!$Y$3:$Y$6,'Normative data'!$Z$3:$AG$6,,-1),'Normative data'!$Z$2:$AG$2,"Not Found",-1))</f>
        <v>Incomplete</v>
      </c>
      <c r="CS345" s="20"/>
      <c r="CT345" s="20"/>
      <c r="CU345" s="20" t="str" cm="1">
        <f t="array" ref="CU345">_xlfn.XLOOKUP(CS345&amp;CT345,(VLOOKUP!$A$3:$A$250)&amp;(VLOOKUP!$B$3:$B$250),VLOOKUP!$C$3:$C$250,"Incomplete",-1)</f>
        <v>Incomplete</v>
      </c>
      <c r="CV345" s="20" t="str" cm="1">
        <f t="array" ref="CV345">_xlfn.XLOOKUP(CU345, _xlfn.XLOOKUP(E345, 'Normative data'!$Y$11:$Y$14, 'Normative data'!$Z$11:$AG$14, ,-1), 'Normative data'!$Z$10:$AG$10, "Not Found", -1)</f>
        <v>Excellent</v>
      </c>
      <c r="CW345" s="20" t="str" cm="1">
        <f t="array" ref="CW345">IF(OR(ISBLANK(CS345),ISBLANK(CT345)),"Incomplete",_xlfn.XLOOKUP(CS345&amp;CT345,VLOOKUP!$A$4:$A$250&amp;VLOOKUP!$B$4:$B$250,VLOOKUP!$D$4:$D$250,"0"))</f>
        <v>Incomplete</v>
      </c>
    </row>
    <row r="346" spans="1:101">
      <c r="A346" s="17" t="s">
        <v>868</v>
      </c>
      <c r="B346" s="17" t="s">
        <v>857</v>
      </c>
      <c r="C346" s="17" t="s">
        <v>86</v>
      </c>
      <c r="D346" s="19">
        <v>39869</v>
      </c>
      <c r="G346" s="17">
        <v>2025</v>
      </c>
      <c r="J346" s="17" t="s">
        <v>88</v>
      </c>
      <c r="S346" s="20"/>
      <c r="T346" s="20">
        <v>165.8</v>
      </c>
      <c r="U346" s="20">
        <v>53.6</v>
      </c>
      <c r="V346" s="20"/>
      <c r="W346" s="20">
        <v>9.9</v>
      </c>
      <c r="X346" s="20">
        <f>SUM(T346-W346)</f>
        <v>155.9</v>
      </c>
      <c r="Y346" s="20">
        <v>24.2</v>
      </c>
      <c r="Z346" s="20">
        <v>19.5</v>
      </c>
      <c r="AA346" s="20">
        <v>18.399999999999999</v>
      </c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 t="s">
        <v>863</v>
      </c>
      <c r="AT346" s="20" t="s">
        <v>864</v>
      </c>
      <c r="AU346" s="20" t="s">
        <v>865</v>
      </c>
      <c r="AV346" s="20" t="s">
        <v>866</v>
      </c>
      <c r="AW346" s="20" t="s">
        <v>285</v>
      </c>
      <c r="AX346" s="20" t="s">
        <v>286</v>
      </c>
      <c r="AY346" s="41" t="str">
        <f>IF(OR(ISBLANK(#REF!), ISBLANK(AQ346)), "Incomplete", (60.7*AQ346)+(45.3*#REF!)-2055)</f>
        <v>Incomplete</v>
      </c>
      <c r="AZ346" s="20"/>
      <c r="BA346" s="20" t="e">
        <f>IF(OR(ISBLANK(#REF!), ISBLANK(AS346)), "Incomplete", (60.7*AS346)+(45.3*#REF!)-2055)</f>
        <v>#VALUE!</v>
      </c>
      <c r="BB346" s="20"/>
      <c r="BC346" s="20" t="e">
        <f>IF(OR(ISBLANK(#REF!), ISBLANK(AU346)), "Incomplete", (60.7*AU346)+(45.3*#REF!)-2055)</f>
        <v>#VALUE!</v>
      </c>
      <c r="BD346" s="20"/>
      <c r="BE346" s="20" t="e">
        <f>IF(OR(ISBLANK(#REF!), ISBLANK(AW346)), "Incomplete", (60.7*AW346)+(45.3*#REF!)-2055)</f>
        <v>#VALUE!</v>
      </c>
      <c r="BF346" s="20"/>
      <c r="BG346" s="20">
        <v>10</v>
      </c>
      <c r="BH346" s="20">
        <v>33.5</v>
      </c>
      <c r="BI346" s="20" t="e">
        <f>IF(OR(ISBLANK(#REF!), ISBLANK(#REF!)),"Incomplete",(SUM(#REF!-#REF!)))</f>
        <v>#REF!</v>
      </c>
      <c r="BJ346" s="20"/>
      <c r="BK346" s="20">
        <v>9</v>
      </c>
      <c r="BL346" s="20"/>
      <c r="BM346" s="20">
        <v>8</v>
      </c>
      <c r="BN346" s="20"/>
      <c r="BO346" s="20"/>
      <c r="BP346" s="20"/>
      <c r="BQ346" s="20"/>
      <c r="BR346" s="20"/>
      <c r="BS346" s="20"/>
      <c r="BT346" s="20"/>
      <c r="BU346" s="20"/>
      <c r="BV346" s="20"/>
      <c r="BW346" s="91" t="str">
        <f>IFERROR(SUM(BQ346+BR346+BS346)/(3*(#REF!-S346))*100, "Incomplete")</f>
        <v>Incomplete</v>
      </c>
      <c r="BX346" s="91" t="str">
        <f>_xlfn.XLOOKUP(BW346,'Normative data'!$V$3:$V$6,'Normative data'!$W$3:$W$6,"Not Found",-1)</f>
        <v>Very low risk</v>
      </c>
      <c r="BY346" s="91" t="str">
        <f>IFERROR(SUM(BT346+BU346+BV346)/(3*(#REF!-S346))*100, "Incomplete")</f>
        <v>Incomplete</v>
      </c>
      <c r="BZ346" s="91" t="str">
        <f>_xlfn.XLOOKUP(BY346,'Normative data'!$V$3:$V$6,'Normative data'!$W$3:$W$6,"Not Found",-1)</f>
        <v>Very low risk</v>
      </c>
      <c r="CA346" s="20"/>
      <c r="CC346" s="20"/>
      <c r="CE346" s="20"/>
      <c r="CG346" s="20"/>
      <c r="CH346" s="20" t="str">
        <f>_xlfn.XLOOKUP(CG346, 'Normative data'!$S$9:$S$15,'Normative data'!$T$9:$T$15, "Not Found", -1)</f>
        <v>not completed</v>
      </c>
      <c r="CI346" s="20"/>
      <c r="CJ346" s="20" t="str">
        <f>_xlfn.XLOOKUP(CI346, 'Normative data'!$S$9:$S$15, 'Normative data'!$T$9:$T$15, "Not Found", -1)</f>
        <v>not completed</v>
      </c>
      <c r="CK346" s="20" t="s">
        <v>401</v>
      </c>
      <c r="CL346" s="20" t="s">
        <v>867</v>
      </c>
      <c r="CN346" s="20" t="s">
        <v>474</v>
      </c>
      <c r="CO346" s="20" t="s">
        <v>473</v>
      </c>
      <c r="CQ346" s="20"/>
      <c r="CR346" s="20" t="str" cm="1">
        <f t="array" ref="CR346">IF(OR(ISBLANK(E346),ISBLANK(CQ346)),"Incomplete",_xlfn.XLOOKUP(CQ346,_xlfn.XLOOKUP(E346,'Normative data'!$Y$3:$Y$6,'Normative data'!$Z$3:$AG$6,,-1),'Normative data'!$Z$2:$AG$2,"Not Found",-1))</f>
        <v>Incomplete</v>
      </c>
      <c r="CS346" s="20"/>
      <c r="CT346" s="20"/>
      <c r="CU346" s="20" t="str" cm="1">
        <f t="array" ref="CU346">_xlfn.XLOOKUP(CS346&amp;CT346,(VLOOKUP!$A$3:$A$250)&amp;(VLOOKUP!$B$3:$B$250),VLOOKUP!$C$3:$C$250,"Incomplete",-1)</f>
        <v>Incomplete</v>
      </c>
      <c r="CV346" s="20" t="str" cm="1">
        <f t="array" ref="CV346">_xlfn.XLOOKUP(CU346, _xlfn.XLOOKUP(E346, 'Normative data'!$Y$11:$Y$14, 'Normative data'!$Z$11:$AG$14, ,-1), 'Normative data'!$Z$10:$AG$10, "Not Found", -1)</f>
        <v>Excellent</v>
      </c>
      <c r="CW346" s="20" t="str" cm="1">
        <f t="array" ref="CW346">IF(OR(ISBLANK(CS346),ISBLANK(CT346)),"Incomplete",_xlfn.XLOOKUP(CS346&amp;CT346,VLOOKUP!$A$4:$A$250&amp;VLOOKUP!$B$4:$B$250,VLOOKUP!$D$4:$D$250,"0"))</f>
        <v>Incomplete</v>
      </c>
    </row>
    <row r="347" spans="1:101">
      <c r="A347" s="18" t="s">
        <v>555</v>
      </c>
      <c r="B347" s="18" t="s">
        <v>554</v>
      </c>
      <c r="C347" s="17" t="s">
        <v>86</v>
      </c>
      <c r="D347" s="19">
        <v>39869</v>
      </c>
      <c r="F347" s="17">
        <v>10</v>
      </c>
      <c r="G347" s="17">
        <v>2025</v>
      </c>
      <c r="J347" s="17" t="s">
        <v>88</v>
      </c>
      <c r="S347" s="20"/>
      <c r="T347" s="20">
        <v>165.8</v>
      </c>
      <c r="U347" s="20">
        <v>53.6</v>
      </c>
      <c r="V347" s="20"/>
      <c r="W347" s="20">
        <v>9.9</v>
      </c>
      <c r="X347" s="20">
        <f>SUM(T347-W347)</f>
        <v>155.9</v>
      </c>
      <c r="Y347" s="20">
        <v>24.2</v>
      </c>
      <c r="Z347" s="20">
        <v>19.5</v>
      </c>
      <c r="AA347" s="20">
        <v>18.399999999999999</v>
      </c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>
        <v>29.1</v>
      </c>
      <c r="AR347" s="20">
        <v>0.48699999999999999</v>
      </c>
      <c r="AS347" s="20">
        <v>35.299999999999997</v>
      </c>
      <c r="AT347" s="20">
        <v>0.58299999999999996</v>
      </c>
      <c r="AU347" s="20">
        <v>18.399999999999999</v>
      </c>
      <c r="AV347" s="20">
        <v>0.38700000000000001</v>
      </c>
      <c r="AW347" s="20">
        <v>18.600000000000001</v>
      </c>
      <c r="AX347" s="20">
        <v>0.39</v>
      </c>
      <c r="AY347" s="41">
        <f t="shared" ref="AY347:AY367" si="94">IF(OR(ISBLANK(U347), ISBLANK(AQ347)), "Incomplete", (60.7*AQ347)+(45.3*U347)-2055)</f>
        <v>2139.4499999999998</v>
      </c>
      <c r="AZ347" s="20"/>
      <c r="BA347" s="20">
        <f t="shared" ref="BA347:BA367" si="95">IF(OR(ISBLANK(U347), ISBLANK(AS347)), "Incomplete", (60.7*AS347)+(45.3*U347)-2055)</f>
        <v>2515.79</v>
      </c>
      <c r="BB347" s="20"/>
      <c r="BC347" s="20">
        <f t="shared" ref="BC347:BC367" si="96">IF(OR(ISBLANK(U347), ISBLANK(AU347)), "Incomplete", (60.7*AU347)+(45.3*U347)-2055)</f>
        <v>1489.96</v>
      </c>
      <c r="BD347" s="20"/>
      <c r="BE347" s="20">
        <f t="shared" ref="BE347:BE367" si="97">IF(OR(ISBLANK(U347), ISBLANK(AW347)), "Incomplete", (60.7*AW347)+(45.3*U347)-2055)</f>
        <v>1502.1000000000004</v>
      </c>
      <c r="BF347" s="20"/>
      <c r="BG347" s="20"/>
      <c r="BH347" s="20"/>
      <c r="BI347" s="20" t="str">
        <f t="shared" ref="BI347:BI353" si="98">IF(OR(ISBLANK(BG347), ISBLANK(BH347)),"Incomplete",(SUM(BH347-BG347)))</f>
        <v>Incomplete</v>
      </c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91">
        <f t="shared" ref="BW347:BW367" si="99">IFERROR(SUM(BQ347+BR347+BS347)/(3*(T347-S347))*100, "Incomplete")</f>
        <v>0</v>
      </c>
      <c r="BX347" s="91" t="str">
        <f>_xlfn.XLOOKUP(BW347,'Normative data'!$V$3:$V$6,'Normative data'!$W$3:$W$6,"Not Found",-1)</f>
        <v>Not completed</v>
      </c>
      <c r="BY347" s="91">
        <f t="shared" ref="BY347:BY367" si="100">IFERROR(SUM(BT347+BU347+BV347)/(3*(T347-S347))*100, "Incomplete")</f>
        <v>0</v>
      </c>
      <c r="BZ347" s="91" t="str">
        <f>_xlfn.XLOOKUP(BY347,'Normative data'!$V$3:$V$6,'Normative data'!$W$3:$W$6,"Not Found",-1)</f>
        <v>Not completed</v>
      </c>
      <c r="CA347" s="20"/>
      <c r="CC347" s="20"/>
      <c r="CE347" s="20">
        <v>9</v>
      </c>
      <c r="CG347" s="20"/>
      <c r="CH347" s="20" t="str">
        <f>_xlfn.XLOOKUP(CG347, 'Normative data'!$S$9:$S$15,'Normative data'!$T$9:$T$15, "Not Found", -1)</f>
        <v>not completed</v>
      </c>
      <c r="CI347" s="20"/>
      <c r="CJ347" s="20" t="str">
        <f>_xlfn.XLOOKUP(CI347, 'Normative data'!$S$9:$S$15, 'Normative data'!$T$9:$T$15, "Not Found", -1)</f>
        <v>not completed</v>
      </c>
      <c r="CK347" s="21">
        <v>2.21</v>
      </c>
      <c r="CL347" s="21">
        <v>4.5199999999999996</v>
      </c>
      <c r="CM347" s="21"/>
      <c r="CN347" s="21">
        <v>6.65</v>
      </c>
      <c r="CO347" s="21">
        <v>7.52</v>
      </c>
      <c r="CQ347" s="20"/>
      <c r="CR347" s="20" t="str" cm="1">
        <f t="array" ref="CR347">IF(OR(ISBLANK(E347),ISBLANK(CQ347)),"Incomplete",_xlfn.XLOOKUP(CQ347,_xlfn.XLOOKUP(E347,'Normative data'!$Y$3:$Y$6,'Normative data'!$Z$3:$AG$6,,-1),'Normative data'!$Z$2:$AG$2,"Not Found",-1))</f>
        <v>Incomplete</v>
      </c>
      <c r="CS347" s="20"/>
      <c r="CT347" s="20"/>
      <c r="CU347" s="20" t="str" cm="1">
        <f t="array" ref="CU347">_xlfn.XLOOKUP(CS347&amp;CT347,(VLOOKUP!$A$3:$A$250)&amp;(VLOOKUP!$B$3:$B$250),VLOOKUP!$C$3:$C$250,"Incomplete",-1)</f>
        <v>Incomplete</v>
      </c>
      <c r="CV347" s="20" t="str" cm="1">
        <f t="array" ref="CV347">_xlfn.XLOOKUP(CU347, _xlfn.XLOOKUP(E347, 'Normative data'!$Y$11:$Y$14, 'Normative data'!$Z$11:$AG$14, ,-1), 'Normative data'!$Z$10:$AG$10, "Not Found", -1)</f>
        <v>Excellent</v>
      </c>
      <c r="CW347" s="20" t="str" cm="1">
        <f t="array" ref="CW347">IF(OR(ISBLANK(CS347),ISBLANK(CT347)),"Incomplete",_xlfn.XLOOKUP(CS347&amp;CT347,VLOOKUP!$A$4:$A$250&amp;VLOOKUP!$B$4:$B$250,VLOOKUP!$D$4:$D$250,"0"))</f>
        <v>Incomplete</v>
      </c>
    </row>
    <row r="348" spans="1:101">
      <c r="A348" s="17" t="s">
        <v>868</v>
      </c>
      <c r="B348" s="17" t="s">
        <v>869</v>
      </c>
      <c r="C348" s="17" t="s">
        <v>86</v>
      </c>
      <c r="D348" s="19">
        <v>39869</v>
      </c>
      <c r="G348" s="17">
        <v>2025</v>
      </c>
      <c r="J348" s="17" t="s">
        <v>88</v>
      </c>
      <c r="S348" s="20"/>
      <c r="T348" s="20" t="s">
        <v>870</v>
      </c>
      <c r="U348" s="20" t="s">
        <v>871</v>
      </c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41" t="str">
        <f t="shared" si="94"/>
        <v>Incomplete</v>
      </c>
      <c r="AZ348" s="20"/>
      <c r="BA348" s="20" t="str">
        <f t="shared" si="95"/>
        <v>Incomplete</v>
      </c>
      <c r="BB348" s="20"/>
      <c r="BC348" s="20" t="str">
        <f t="shared" si="96"/>
        <v>Incomplete</v>
      </c>
      <c r="BD348" s="20"/>
      <c r="BE348" s="20" t="str">
        <f t="shared" si="97"/>
        <v>Incomplete</v>
      </c>
      <c r="BF348" s="20"/>
      <c r="BG348" s="20"/>
      <c r="BH348" s="20"/>
      <c r="BI348" s="20" t="str">
        <f t="shared" si="98"/>
        <v>Incomplete</v>
      </c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91" t="str">
        <f t="shared" si="99"/>
        <v>Incomplete</v>
      </c>
      <c r="BX348" s="91" t="str">
        <f>_xlfn.XLOOKUP(BW348,'Normative data'!$V$3:$V$6,'Normative data'!$W$3:$W$6,"Not Found",-1)</f>
        <v>Very low risk</v>
      </c>
      <c r="BY348" s="91" t="str">
        <f t="shared" si="100"/>
        <v>Incomplete</v>
      </c>
      <c r="BZ348" s="91" t="str">
        <f>_xlfn.XLOOKUP(BY348,'Normative data'!$V$3:$V$6,'Normative data'!$W$3:$W$6,"Not Found",-1)</f>
        <v>Very low risk</v>
      </c>
      <c r="CA348" s="20"/>
      <c r="CC348" s="20"/>
      <c r="CE348" s="20"/>
      <c r="CG348" s="20"/>
      <c r="CH348" s="20" t="str">
        <f>_xlfn.XLOOKUP(CG348, 'Normative data'!$S$9:$S$15,'Normative data'!$T$9:$T$15, "Not Found", -1)</f>
        <v>not completed</v>
      </c>
      <c r="CI348" s="20"/>
      <c r="CJ348" s="20" t="str">
        <f>_xlfn.XLOOKUP(CI348, 'Normative data'!$S$9:$S$15, 'Normative data'!$T$9:$T$15, "Not Found", -1)</f>
        <v>not completed</v>
      </c>
      <c r="CK348" s="21"/>
      <c r="CL348" s="21"/>
      <c r="CM348" s="21"/>
      <c r="CN348" s="21"/>
      <c r="CO348" s="21"/>
      <c r="CQ348" s="20"/>
      <c r="CR348" s="20" t="str" cm="1">
        <f t="array" ref="CR348">IF(OR(ISBLANK(E348),ISBLANK(CQ348)),"Incomplete",_xlfn.XLOOKUP(CQ348,_xlfn.XLOOKUP(E348,'Normative data'!$Y$3:$Y$6,'Normative data'!$Z$3:$AG$6,,-1),'Normative data'!$Z$2:$AG$2,"Not Found",-1))</f>
        <v>Incomplete</v>
      </c>
      <c r="CS348" s="20"/>
      <c r="CT348" s="20"/>
      <c r="CU348" s="20" t="str" cm="1">
        <f t="array" ref="CU348">_xlfn.XLOOKUP(CS348&amp;CT348,(VLOOKUP!$A$3:$A$250)&amp;(VLOOKUP!$B$3:$B$250),VLOOKUP!$C$3:$C$250,"Incomplete",-1)</f>
        <v>Incomplete</v>
      </c>
      <c r="CV348" s="20" t="str" cm="1">
        <f t="array" ref="CV348">_xlfn.XLOOKUP(CU348, _xlfn.XLOOKUP(E348, 'Normative data'!$Y$11:$Y$14, 'Normative data'!$Z$11:$AG$14, ,-1), 'Normative data'!$Z$10:$AG$10, "Not Found", -1)</f>
        <v>Excellent</v>
      </c>
      <c r="CW348" s="20" t="str" cm="1">
        <f t="array" ref="CW348">IF(OR(ISBLANK(CS348),ISBLANK(CT348)),"Incomplete",_xlfn.XLOOKUP(CS348&amp;CT348,VLOOKUP!$A$4:$A$250&amp;VLOOKUP!$B$4:$B$250,VLOOKUP!$D$4:$D$250,"0"))</f>
        <v>Incomplete</v>
      </c>
    </row>
    <row r="349" spans="1:101">
      <c r="A349" s="17" t="s">
        <v>872</v>
      </c>
      <c r="B349" s="17" t="s">
        <v>873</v>
      </c>
      <c r="C349" s="17" t="s">
        <v>86</v>
      </c>
      <c r="D349" s="26"/>
      <c r="F349" s="20" t="s">
        <v>151</v>
      </c>
      <c r="G349" s="17">
        <v>2026</v>
      </c>
      <c r="I349" s="20">
        <v>2</v>
      </c>
      <c r="J349" s="20" t="s">
        <v>100</v>
      </c>
      <c r="K349" s="20" t="s">
        <v>228</v>
      </c>
      <c r="L349" s="20"/>
      <c r="S349" s="20"/>
      <c r="T349" s="20"/>
      <c r="AQ349" s="20"/>
      <c r="AR349" s="20"/>
      <c r="AS349" s="20"/>
      <c r="AT349" s="20"/>
      <c r="AU349" s="20"/>
      <c r="AV349" s="20"/>
      <c r="AW349" s="20"/>
      <c r="AX349" s="20"/>
      <c r="AY349" s="41" t="str">
        <f t="shared" si="94"/>
        <v>Incomplete</v>
      </c>
      <c r="BA349" s="20" t="str">
        <f t="shared" si="95"/>
        <v>Incomplete</v>
      </c>
      <c r="BC349" s="20" t="str">
        <f t="shared" si="96"/>
        <v>Incomplete</v>
      </c>
      <c r="BE349" s="20" t="str">
        <f t="shared" si="97"/>
        <v>Incomplete</v>
      </c>
      <c r="BH349" s="20"/>
      <c r="BI349" s="20" t="str">
        <f t="shared" si="98"/>
        <v>Incomplete</v>
      </c>
      <c r="BJ349" s="20"/>
      <c r="BL349" s="20"/>
      <c r="BM349" s="20"/>
      <c r="BN349" s="20"/>
      <c r="BQ349" s="17">
        <v>70</v>
      </c>
      <c r="BR349" s="17">
        <v>72</v>
      </c>
      <c r="BS349" s="17">
        <v>61</v>
      </c>
      <c r="BT349" s="17">
        <v>72</v>
      </c>
      <c r="BU349" s="17">
        <v>75</v>
      </c>
      <c r="BV349" s="17">
        <v>71</v>
      </c>
      <c r="BW349" s="91" t="str">
        <f t="shared" si="99"/>
        <v>Incomplete</v>
      </c>
      <c r="BX349" s="91" t="str">
        <f>_xlfn.XLOOKUP(BW349,'Normative data'!$V$3:$V$6,'Normative data'!$W$3:$W$6,"Not Found",-1)</f>
        <v>Very low risk</v>
      </c>
      <c r="BY349" s="91" t="str">
        <f t="shared" si="100"/>
        <v>Incomplete</v>
      </c>
      <c r="BZ349" s="91" t="str">
        <f>_xlfn.XLOOKUP(BY349,'Normative data'!$V$3:$V$6,'Normative data'!$W$3:$W$6,"Not Found",-1)</f>
        <v>Very low risk</v>
      </c>
      <c r="CA349" s="17">
        <v>10</v>
      </c>
      <c r="CC349" s="20"/>
      <c r="CE349" s="17">
        <v>2</v>
      </c>
      <c r="CG349" s="20"/>
      <c r="CH349" s="20" t="str">
        <f>_xlfn.XLOOKUP(CG349, 'Normative data'!$S$9:$S$15,'Normative data'!$T$9:$T$15, "Not Found", -1)</f>
        <v>not completed</v>
      </c>
      <c r="CI349" s="20"/>
      <c r="CJ349" s="20" t="str">
        <f>_xlfn.XLOOKUP(CI349, 'Normative data'!$S$9:$S$15, 'Normative data'!$T$9:$T$15, "Not Found", -1)</f>
        <v>not completed</v>
      </c>
      <c r="CK349" s="17">
        <v>2.2000000000000002</v>
      </c>
      <c r="CL349" s="17">
        <v>4.55</v>
      </c>
      <c r="CN349" s="17">
        <v>7.25</v>
      </c>
      <c r="CO349" s="17">
        <v>6.9</v>
      </c>
      <c r="CR349" s="20" t="str" cm="1">
        <f t="array" ref="CR349">IF(OR(ISBLANK(E349),ISBLANK(CQ349)),"Incomplete",_xlfn.XLOOKUP(CQ349,_xlfn.XLOOKUP(E349,'Normative data'!$Y$3:$Y$6,'Normative data'!$Z$3:$AG$6,,-1),'Normative data'!$Z$2:$AG$2,"Not Found",-1))</f>
        <v>Incomplete</v>
      </c>
      <c r="CS349" s="20"/>
      <c r="CT349" s="20"/>
      <c r="CU349" s="20" t="str" cm="1">
        <f t="array" ref="CU349">_xlfn.XLOOKUP(CS349&amp;CT349,(VLOOKUP!$A$3:$A$250)&amp;(VLOOKUP!$B$3:$B$250),VLOOKUP!$C$3:$C$250,"Incomplete",-1)</f>
        <v>Incomplete</v>
      </c>
      <c r="CV349" s="20" t="str" cm="1">
        <f t="array" ref="CV349">_xlfn.XLOOKUP(CU349, _xlfn.XLOOKUP(E349, 'Normative data'!$Y$11:$Y$14, 'Normative data'!$Z$11:$AG$14, ,-1), 'Normative data'!$Z$10:$AG$10, "Not Found", -1)</f>
        <v>Excellent</v>
      </c>
      <c r="CW349" s="20" t="str" cm="1">
        <f t="array" ref="CW349">IF(OR(ISBLANK(CS349),ISBLANK(CT349)),"Incomplete",_xlfn.XLOOKUP(CS349&amp;CT349,VLOOKUP!$A$4:$A$250&amp;VLOOKUP!$B$4:$B$250,VLOOKUP!$D$4:$D$250,"0"))</f>
        <v>Incomplete</v>
      </c>
    </row>
    <row r="350" spans="1:101">
      <c r="A350" s="17" t="s">
        <v>446</v>
      </c>
      <c r="B350" s="17" t="s">
        <v>367</v>
      </c>
      <c r="C350" s="17" t="s">
        <v>86</v>
      </c>
      <c r="D350" s="26"/>
      <c r="F350" s="20" t="s">
        <v>178</v>
      </c>
      <c r="G350" s="17">
        <v>2026</v>
      </c>
      <c r="I350" s="20">
        <v>2</v>
      </c>
      <c r="J350" s="20"/>
      <c r="K350" s="20"/>
      <c r="L350" s="20"/>
      <c r="S350" s="20">
        <v>90.5</v>
      </c>
      <c r="T350" s="20">
        <v>170.5</v>
      </c>
      <c r="AQ350" s="20"/>
      <c r="AR350" s="20"/>
      <c r="AS350" s="20"/>
      <c r="AT350" s="20"/>
      <c r="AU350" s="20"/>
      <c r="AV350" s="20"/>
      <c r="AW350" s="20"/>
      <c r="AX350" s="20"/>
      <c r="AY350" s="41" t="str">
        <f t="shared" si="94"/>
        <v>Incomplete</v>
      </c>
      <c r="BA350" s="20" t="str">
        <f t="shared" si="95"/>
        <v>Incomplete</v>
      </c>
      <c r="BC350" s="20" t="str">
        <f t="shared" si="96"/>
        <v>Incomplete</v>
      </c>
      <c r="BE350" s="20" t="str">
        <f t="shared" si="97"/>
        <v>Incomplete</v>
      </c>
      <c r="BH350" s="20"/>
      <c r="BI350" s="20" t="str">
        <f t="shared" si="98"/>
        <v>Incomplete</v>
      </c>
      <c r="BJ350" s="20"/>
      <c r="BL350" s="20"/>
      <c r="BM350" s="20"/>
      <c r="BN350" s="20"/>
      <c r="BQ350" s="17">
        <v>73</v>
      </c>
      <c r="BR350" s="17">
        <v>83</v>
      </c>
      <c r="BS350" s="17">
        <v>79</v>
      </c>
      <c r="BT350" s="17">
        <v>70</v>
      </c>
      <c r="BU350" s="17">
        <v>74</v>
      </c>
      <c r="BV350" s="17">
        <v>79</v>
      </c>
      <c r="BW350" s="91">
        <f t="shared" si="99"/>
        <v>97.916666666666657</v>
      </c>
      <c r="BX350" s="91" t="str">
        <f>_xlfn.XLOOKUP(BW350,'Normative data'!$V$3:$V$6,'Normative data'!$W$3:$W$6,"Not Found",-1)</f>
        <v>Low risk</v>
      </c>
      <c r="BY350" s="91">
        <f t="shared" si="100"/>
        <v>92.916666666666671</v>
      </c>
      <c r="BZ350" s="91" t="str">
        <f>_xlfn.XLOOKUP(BY350,'Normative data'!$V$3:$V$6,'Normative data'!$W$3:$W$6,"Not Found",-1)</f>
        <v>High risk</v>
      </c>
      <c r="CA350" s="20"/>
      <c r="CC350" s="20"/>
      <c r="CE350" s="17">
        <v>12</v>
      </c>
      <c r="CG350" s="20"/>
      <c r="CH350" s="20" t="str">
        <f>_xlfn.XLOOKUP(CG350, 'Normative data'!$S$9:$S$15,'Normative data'!$T$9:$T$15, "Not Found", -1)</f>
        <v>not completed</v>
      </c>
      <c r="CI350" s="20"/>
      <c r="CJ350" s="20" t="str">
        <f>_xlfn.XLOOKUP(CI350, 'Normative data'!$S$9:$S$15, 'Normative data'!$T$9:$T$15, "Not Found", -1)</f>
        <v>not completed</v>
      </c>
      <c r="CK350" s="17">
        <v>2.33</v>
      </c>
      <c r="CL350" s="17">
        <v>4.29</v>
      </c>
      <c r="CN350" s="17">
        <v>7.76</v>
      </c>
      <c r="CO350" s="17">
        <v>6.44</v>
      </c>
      <c r="CR350" s="20" t="str" cm="1">
        <f t="array" ref="CR350">IF(OR(ISBLANK(E350),ISBLANK(CQ350)),"Incomplete",_xlfn.XLOOKUP(CQ350,_xlfn.XLOOKUP(E350,'Normative data'!$Y$3:$Y$6,'Normative data'!$Z$3:$AG$6,,-1),'Normative data'!$Z$2:$AG$2,"Not Found",-1))</f>
        <v>Incomplete</v>
      </c>
      <c r="CS350" s="20"/>
      <c r="CT350" s="20"/>
      <c r="CU350" s="20" t="str" cm="1">
        <f t="array" ref="CU350">_xlfn.XLOOKUP(CS350&amp;CT350,(VLOOKUP!$A$3:$A$250)&amp;(VLOOKUP!$B$3:$B$250),VLOOKUP!$C$3:$C$250,"Incomplete",-1)</f>
        <v>Incomplete</v>
      </c>
      <c r="CV350" s="20" t="str" cm="1">
        <f t="array" ref="CV350">_xlfn.XLOOKUP(CU350, _xlfn.XLOOKUP(E350, 'Normative data'!$Y$11:$Y$14, 'Normative data'!$Z$11:$AG$14, ,-1), 'Normative data'!$Z$10:$AG$10, "Not Found", -1)</f>
        <v>Excellent</v>
      </c>
      <c r="CW350" s="20" t="str" cm="1">
        <f t="array" ref="CW350">IF(OR(ISBLANK(CS350),ISBLANK(CT350)),"Incomplete",_xlfn.XLOOKUP(CS350&amp;CT350,VLOOKUP!$A$4:$A$250&amp;VLOOKUP!$B$4:$B$250,VLOOKUP!$D$4:$D$250,"0"))</f>
        <v>Incomplete</v>
      </c>
    </row>
    <row r="351" spans="1:101">
      <c r="A351" s="17" t="s">
        <v>874</v>
      </c>
      <c r="B351" s="17" t="s">
        <v>367</v>
      </c>
      <c r="C351" s="17" t="s">
        <v>86</v>
      </c>
      <c r="D351" s="26">
        <v>40751</v>
      </c>
      <c r="F351" s="20" t="s">
        <v>217</v>
      </c>
      <c r="G351" s="17">
        <v>2026</v>
      </c>
      <c r="I351" s="20">
        <v>2</v>
      </c>
      <c r="J351" s="20"/>
      <c r="K351" s="20"/>
      <c r="L351" s="20"/>
      <c r="S351" s="20">
        <v>84.2</v>
      </c>
      <c r="T351" s="20">
        <v>158.6</v>
      </c>
      <c r="U351" s="17">
        <v>52.7</v>
      </c>
      <c r="V351" s="17">
        <v>28.4</v>
      </c>
      <c r="W351" s="17">
        <v>13.8</v>
      </c>
      <c r="X351" s="17">
        <v>38.9</v>
      </c>
      <c r="Y351" s="17">
        <v>20.9</v>
      </c>
      <c r="Z351" s="17">
        <v>21</v>
      </c>
      <c r="AA351" s="17">
        <v>26.3</v>
      </c>
      <c r="AB351" s="17">
        <v>5.53</v>
      </c>
      <c r="AC351" s="17">
        <v>95.8</v>
      </c>
      <c r="AD351" s="17">
        <v>5.47</v>
      </c>
      <c r="AE351" s="17">
        <v>94.7</v>
      </c>
      <c r="AF351" s="17">
        <v>2.2000000000000002</v>
      </c>
      <c r="AG351" s="17">
        <v>103.8</v>
      </c>
      <c r="AH351" s="17">
        <v>2.2000000000000002</v>
      </c>
      <c r="AI351" s="17">
        <v>103.1</v>
      </c>
      <c r="AJ351" s="17">
        <v>304</v>
      </c>
      <c r="AK351" s="17">
        <v>310.10000000000002</v>
      </c>
      <c r="AL351" s="17">
        <v>274.10000000000002</v>
      </c>
      <c r="AM351" s="17">
        <v>281</v>
      </c>
      <c r="AN351" s="17">
        <v>94</v>
      </c>
      <c r="AQ351" s="20"/>
      <c r="AR351" s="20"/>
      <c r="AS351" s="20"/>
      <c r="AT351" s="20"/>
      <c r="AU351" s="20"/>
      <c r="AV351" s="20"/>
      <c r="AW351" s="20"/>
      <c r="AX351" s="20"/>
      <c r="AY351" s="41" t="str">
        <f t="shared" si="94"/>
        <v>Incomplete</v>
      </c>
      <c r="BA351" s="20" t="str">
        <f t="shared" si="95"/>
        <v>Incomplete</v>
      </c>
      <c r="BC351" s="20" t="str">
        <f t="shared" si="96"/>
        <v>Incomplete</v>
      </c>
      <c r="BE351" s="20" t="str">
        <f t="shared" si="97"/>
        <v>Incomplete</v>
      </c>
      <c r="BG351" s="17">
        <v>19</v>
      </c>
      <c r="BH351" s="17">
        <v>49</v>
      </c>
      <c r="BI351" s="20">
        <f t="shared" si="98"/>
        <v>30</v>
      </c>
      <c r="BJ351" s="20"/>
      <c r="BK351" s="17">
        <v>6.4</v>
      </c>
      <c r="BL351" s="20"/>
      <c r="BM351" s="17">
        <v>7.5</v>
      </c>
      <c r="BN351" s="20"/>
      <c r="BO351" s="17">
        <v>46.5</v>
      </c>
      <c r="BP351" s="17">
        <v>49</v>
      </c>
      <c r="BQ351" s="17">
        <v>76</v>
      </c>
      <c r="BR351" s="17">
        <v>83</v>
      </c>
      <c r="BS351" s="17">
        <v>78</v>
      </c>
      <c r="BT351" s="17">
        <v>76</v>
      </c>
      <c r="BU351" s="17">
        <v>84</v>
      </c>
      <c r="BV351" s="17">
        <v>75</v>
      </c>
      <c r="BW351" s="91">
        <f t="shared" si="99"/>
        <v>106.18279569892472</v>
      </c>
      <c r="BX351" s="91" t="str">
        <f>_xlfn.XLOOKUP(BW351,'Normative data'!$V$3:$V$6,'Normative data'!$W$3:$W$6,"Not Found",-1)</f>
        <v>Low risk</v>
      </c>
      <c r="BY351" s="91">
        <f t="shared" si="100"/>
        <v>105.28673835125448</v>
      </c>
      <c r="BZ351" s="91" t="str">
        <f>_xlfn.XLOOKUP(BY351,'Normative data'!$V$3:$V$6,'Normative data'!$W$3:$W$6,"Not Found",-1)</f>
        <v>Low risk</v>
      </c>
      <c r="CA351" s="17">
        <v>40</v>
      </c>
      <c r="CC351" s="20"/>
      <c r="CE351" s="17">
        <v>11</v>
      </c>
      <c r="CG351" s="20"/>
      <c r="CH351" s="20" t="str">
        <f>_xlfn.XLOOKUP(CG351, 'Normative data'!$S$9:$S$15,'Normative data'!$T$9:$T$15, "Not Found", -1)</f>
        <v>not completed</v>
      </c>
      <c r="CI351" s="20"/>
      <c r="CJ351" s="20" t="str">
        <f>_xlfn.XLOOKUP(CI351, 'Normative data'!$S$9:$S$15, 'Normative data'!$T$9:$T$15, "Not Found", -1)</f>
        <v>not completed</v>
      </c>
      <c r="CK351" s="17">
        <v>2.2999999999999998</v>
      </c>
      <c r="CL351" s="17">
        <v>4.3499999999999996</v>
      </c>
      <c r="CN351" s="17">
        <v>7.05</v>
      </c>
      <c r="CO351" s="17">
        <v>7.09</v>
      </c>
      <c r="CR351" s="20" t="str" cm="1">
        <f t="array" ref="CR351">IF(OR(ISBLANK(E351),ISBLANK(CQ351)),"Incomplete",_xlfn.XLOOKUP(CQ351,_xlfn.XLOOKUP(E351,'Normative data'!$Y$3:$Y$6,'Normative data'!$Z$3:$AG$6,,-1),'Normative data'!$Z$2:$AG$2,"Not Found",-1))</f>
        <v>Incomplete</v>
      </c>
      <c r="CS351" s="20"/>
      <c r="CT351" s="20"/>
      <c r="CU351" s="20" t="str" cm="1">
        <f t="array" ref="CU351">_xlfn.XLOOKUP(CS351&amp;CT351,(VLOOKUP!$A$3:$A$250)&amp;(VLOOKUP!$B$3:$B$250),VLOOKUP!$C$3:$C$250,"Incomplete",-1)</f>
        <v>Incomplete</v>
      </c>
      <c r="CV351" s="20" t="str" cm="1">
        <f t="array" ref="CV351">_xlfn.XLOOKUP(CU351, _xlfn.XLOOKUP(E351, 'Normative data'!$Y$11:$Y$14, 'Normative data'!$Z$11:$AG$14, ,-1), 'Normative data'!$Z$10:$AG$10, "Not Found", -1)</f>
        <v>Excellent</v>
      </c>
      <c r="CW351" s="20" t="str" cm="1">
        <f t="array" ref="CW351">IF(OR(ISBLANK(CS351),ISBLANK(CT351)),"Incomplete",_xlfn.XLOOKUP(CS351&amp;CT351,VLOOKUP!$A$4:$A$250&amp;VLOOKUP!$B$4:$B$250,VLOOKUP!$D$4:$D$250,"0"))</f>
        <v>Incomplete</v>
      </c>
    </row>
    <row r="352" spans="1:101">
      <c r="A352" s="17" t="s">
        <v>875</v>
      </c>
      <c r="B352" s="17" t="s">
        <v>367</v>
      </c>
      <c r="C352" s="17" t="s">
        <v>86</v>
      </c>
      <c r="D352" s="26">
        <v>40994</v>
      </c>
      <c r="E352" s="17">
        <v>14.2</v>
      </c>
      <c r="F352" s="20" t="s">
        <v>251</v>
      </c>
      <c r="G352" s="17">
        <v>2026</v>
      </c>
      <c r="I352" s="20">
        <v>2</v>
      </c>
      <c r="J352" s="20" t="s">
        <v>88</v>
      </c>
      <c r="K352" s="20" t="s">
        <v>170</v>
      </c>
      <c r="L352" s="20"/>
      <c r="S352" s="20">
        <v>87.2</v>
      </c>
      <c r="T352" s="20">
        <v>163.19999999999999</v>
      </c>
      <c r="U352" s="17">
        <v>55.6</v>
      </c>
      <c r="V352" s="17">
        <v>31.9</v>
      </c>
      <c r="W352" s="17">
        <v>12</v>
      </c>
      <c r="X352" s="17">
        <v>43.6</v>
      </c>
      <c r="Y352" s="17">
        <v>24.1</v>
      </c>
      <c r="Z352" s="17">
        <v>20.9</v>
      </c>
      <c r="AA352" s="17">
        <v>21.6</v>
      </c>
      <c r="AB352" s="17">
        <v>6.78</v>
      </c>
      <c r="AC352" s="17">
        <v>105.5</v>
      </c>
      <c r="AD352" s="17">
        <v>6.78</v>
      </c>
      <c r="AE352" s="17">
        <v>105.5</v>
      </c>
      <c r="AF352" s="17">
        <v>2</v>
      </c>
      <c r="AG352" s="17">
        <v>81.900000000000006</v>
      </c>
      <c r="AH352" s="17">
        <v>2</v>
      </c>
      <c r="AI352" s="17">
        <v>81.400000000000006</v>
      </c>
      <c r="AJ352" s="17">
        <v>311.39999999999998</v>
      </c>
      <c r="AK352" s="17">
        <v>309.2</v>
      </c>
      <c r="AL352" s="17">
        <v>271.2</v>
      </c>
      <c r="AM352" s="17">
        <v>271.7</v>
      </c>
      <c r="AN352" s="17">
        <v>101</v>
      </c>
      <c r="AO352" s="17">
        <v>0.82</v>
      </c>
      <c r="AP352" s="17">
        <v>6.7</v>
      </c>
      <c r="AQ352" s="17">
        <v>24.2</v>
      </c>
      <c r="AR352" s="17">
        <v>0.44400000000000001</v>
      </c>
      <c r="AS352" s="17">
        <v>26.5</v>
      </c>
      <c r="AT352" s="17">
        <v>0.46500000000000002</v>
      </c>
      <c r="AU352" s="17">
        <v>14.1</v>
      </c>
      <c r="AV352" s="17">
        <v>0.33900000000000002</v>
      </c>
      <c r="AW352" s="17">
        <v>18.899999999999999</v>
      </c>
      <c r="AX352" s="17">
        <v>0.39300000000000002</v>
      </c>
      <c r="AY352" s="41">
        <f t="shared" si="94"/>
        <v>1932.62</v>
      </c>
      <c r="BA352" s="20">
        <f t="shared" si="95"/>
        <v>2072.2299999999996</v>
      </c>
      <c r="BC352" s="20">
        <f t="shared" si="96"/>
        <v>1319.5499999999997</v>
      </c>
      <c r="BE352" s="20">
        <f t="shared" si="97"/>
        <v>1610.9099999999999</v>
      </c>
      <c r="BG352" s="17">
        <v>12</v>
      </c>
      <c r="BH352" s="17">
        <v>32</v>
      </c>
      <c r="BI352" s="20">
        <f t="shared" si="98"/>
        <v>20</v>
      </c>
      <c r="BJ352" s="20"/>
      <c r="BK352" s="17">
        <v>7.5</v>
      </c>
      <c r="BL352" s="20"/>
      <c r="BM352" s="17">
        <v>7</v>
      </c>
      <c r="BN352" s="20"/>
      <c r="BO352" s="17">
        <v>47</v>
      </c>
      <c r="BP352" s="17">
        <v>46.5</v>
      </c>
      <c r="BQ352" s="17">
        <v>85</v>
      </c>
      <c r="BR352" s="17">
        <v>63</v>
      </c>
      <c r="BS352" s="17">
        <v>65</v>
      </c>
      <c r="BT352" s="17">
        <v>78</v>
      </c>
      <c r="BU352" s="17">
        <v>69</v>
      </c>
      <c r="BV352" s="17">
        <v>68</v>
      </c>
      <c r="BW352" s="91">
        <f t="shared" si="99"/>
        <v>93.421052631578974</v>
      </c>
      <c r="BX352" s="91" t="str">
        <f>_xlfn.XLOOKUP(BW352,'Normative data'!$V$3:$V$6,'Normative data'!$W$3:$W$6,"Not Found",-1)</f>
        <v>High risk</v>
      </c>
      <c r="BY352" s="91">
        <f t="shared" si="100"/>
        <v>94.29824561403511</v>
      </c>
      <c r="BZ352" s="91" t="str">
        <f>_xlfn.XLOOKUP(BY352,'Normative data'!$V$3:$V$6,'Normative data'!$W$3:$W$6,"Not Found",-1)</f>
        <v>High risk</v>
      </c>
      <c r="CA352" s="17">
        <v>41</v>
      </c>
      <c r="CC352" s="20"/>
      <c r="CE352" s="17">
        <v>7</v>
      </c>
      <c r="CG352" s="17">
        <v>17.600000000000001</v>
      </c>
      <c r="CH352" s="20" t="str">
        <f>_xlfn.XLOOKUP(CG352, 'Normative data'!$S$9:$S$15,'Normative data'!$T$9:$T$15, "Not Found", -1)</f>
        <v>Above Average</v>
      </c>
      <c r="CI352" s="17">
        <v>17.52</v>
      </c>
      <c r="CJ352" s="20" t="str">
        <f>_xlfn.XLOOKUP(CI352, 'Normative data'!$S$9:$S$15, 'Normative data'!$T$9:$T$15, "Not Found", -1)</f>
        <v>Above Average</v>
      </c>
      <c r="CK352" s="17">
        <v>2.16</v>
      </c>
      <c r="CL352" s="17">
        <v>4.93</v>
      </c>
      <c r="CN352" s="17">
        <v>6.72</v>
      </c>
      <c r="CO352" s="17">
        <v>7.74</v>
      </c>
      <c r="CQ352" s="17">
        <v>5.8</v>
      </c>
      <c r="CR352" s="20" t="str" cm="1">
        <f t="array" ref="CR352">IF(OR(ISBLANK(E352),ISBLANK(CQ352)),"Incomplete",_xlfn.XLOOKUP(CQ352,_xlfn.XLOOKUP(E352,'Normative data'!$Y$3:$Y$6,'Normative data'!$Z$3:$AG$6,,-1),'Normative data'!$Z$2:$AG$2,"Not Found",-1))</f>
        <v>Fair</v>
      </c>
      <c r="CS352" s="20">
        <v>5</v>
      </c>
      <c r="CT352" s="20">
        <v>8</v>
      </c>
      <c r="CU352" s="20" cm="1">
        <f t="array" ref="CU352">_xlfn.XLOOKUP(CS352&amp;CT352,(VLOOKUP!$A$3:$A$250)&amp;(VLOOKUP!$B$3:$B$250),VLOOKUP!$C$3:$C$250,"Incomplete",-1)</f>
        <v>800</v>
      </c>
      <c r="CV352" s="20" t="str" cm="1">
        <f t="array" ref="CV352">_xlfn.XLOOKUP(CU352, _xlfn.XLOOKUP(E352, 'Normative data'!$Y$11:$Y$14, 'Normative data'!$Z$11:$AG$14, ,-1), 'Normative data'!$Z$10:$AG$10, "Not Found", -1)</f>
        <v xml:space="preserve">Fair </v>
      </c>
      <c r="CW352" s="20" cm="1">
        <f t="array" ref="CW352">IF(OR(ISBLANK(CS352),ISBLANK(CT352)),"Incomplete",_xlfn.XLOOKUP(CS352&amp;CT352,VLOOKUP!$A$4:$A$250&amp;VLOOKUP!$B$4:$B$250,VLOOKUP!$D$4:$D$250,"0"))</f>
        <v>33</v>
      </c>
    </row>
    <row r="353" spans="1:101">
      <c r="A353" s="17" t="s">
        <v>876</v>
      </c>
      <c r="B353" s="17" t="s">
        <v>367</v>
      </c>
      <c r="C353" s="17" t="s">
        <v>86</v>
      </c>
      <c r="D353" s="26"/>
      <c r="F353" s="20" t="s">
        <v>110</v>
      </c>
      <c r="G353" s="17">
        <v>2026</v>
      </c>
      <c r="I353" s="20">
        <v>2</v>
      </c>
      <c r="J353" s="20" t="s">
        <v>122</v>
      </c>
      <c r="K353" s="20" t="s">
        <v>228</v>
      </c>
      <c r="L353" s="20"/>
      <c r="S353" s="20">
        <v>83.2</v>
      </c>
      <c r="T353" s="20">
        <v>158.1</v>
      </c>
      <c r="AY353" s="41" t="str">
        <f t="shared" si="94"/>
        <v>Incomplete</v>
      </c>
      <c r="BA353" s="20" t="str">
        <f t="shared" si="95"/>
        <v>Incomplete</v>
      </c>
      <c r="BC353" s="20" t="str">
        <f t="shared" si="96"/>
        <v>Incomplete</v>
      </c>
      <c r="BE353" s="20" t="str">
        <f t="shared" si="97"/>
        <v>Incomplete</v>
      </c>
      <c r="BH353" s="20"/>
      <c r="BI353" s="20" t="str">
        <f t="shared" si="98"/>
        <v>Incomplete</v>
      </c>
      <c r="BJ353" s="20"/>
      <c r="BL353" s="20"/>
      <c r="BN353" s="20"/>
      <c r="BW353" s="91">
        <f t="shared" si="99"/>
        <v>0</v>
      </c>
      <c r="BX353" s="91" t="str">
        <f>_xlfn.XLOOKUP(BW353,'Normative data'!$V$3:$V$6,'Normative data'!$W$3:$W$6,"Not Found",-1)</f>
        <v>Not completed</v>
      </c>
      <c r="BY353" s="91">
        <f t="shared" si="100"/>
        <v>0</v>
      </c>
      <c r="BZ353" s="91" t="str">
        <f>_xlfn.XLOOKUP(BY353,'Normative data'!$V$3:$V$6,'Normative data'!$W$3:$W$6,"Not Found",-1)</f>
        <v>Not completed</v>
      </c>
      <c r="CG353" s="20"/>
      <c r="CH353" s="20" t="str">
        <f>_xlfn.XLOOKUP(CG353, 'Normative data'!$S$9:$S$15,'Normative data'!$T$9:$T$15, "Not Found", -1)</f>
        <v>not completed</v>
      </c>
      <c r="CI353" s="20"/>
      <c r="CJ353" s="20" t="str">
        <f>_xlfn.XLOOKUP(CI353, 'Normative data'!$S$9:$S$15, 'Normative data'!$T$9:$T$15, "Not Found", -1)</f>
        <v>not completed</v>
      </c>
      <c r="CK353" s="21"/>
      <c r="CL353" s="21"/>
      <c r="CM353" s="21"/>
      <c r="CN353" s="21"/>
      <c r="CO353" s="21"/>
      <c r="CR353" s="20" t="str" cm="1">
        <f t="array" ref="CR353">IF(OR(ISBLANK(E353),ISBLANK(CQ353)),"Incomplete",_xlfn.XLOOKUP(CQ353,_xlfn.XLOOKUP(E353,'Normative data'!$Y$3:$Y$6,'Normative data'!$Z$3:$AG$6,,-1),'Normative data'!$Z$2:$AG$2,"Not Found",-1))</f>
        <v>Incomplete</v>
      </c>
      <c r="CS353" s="20"/>
      <c r="CT353" s="20"/>
      <c r="CU353" s="20" t="str" cm="1">
        <f t="array" ref="CU353">_xlfn.XLOOKUP(CS353&amp;CT353,(VLOOKUP!$A$3:$A$250)&amp;(VLOOKUP!$B$3:$B$250),VLOOKUP!$C$3:$C$250,"Incomplete",-1)</f>
        <v>Incomplete</v>
      </c>
      <c r="CV353" s="20" t="str" cm="1">
        <f t="array" ref="CV353">_xlfn.XLOOKUP(CU353, _xlfn.XLOOKUP(E353, 'Normative data'!$Y$11:$Y$14, 'Normative data'!$Z$11:$AG$14, ,-1), 'Normative data'!$Z$10:$AG$10, "Not Found", -1)</f>
        <v>Excellent</v>
      </c>
      <c r="CW353" s="20" t="str" cm="1">
        <f t="array" ref="CW353">IF(OR(ISBLANK(CS353),ISBLANK(CT353)),"Incomplete",_xlfn.XLOOKUP(CS353&amp;CT353,VLOOKUP!$A$4:$A$250&amp;VLOOKUP!$B$4:$B$250,VLOOKUP!$D$4:$D$250,"0"))</f>
        <v>Incomplete</v>
      </c>
    </row>
    <row r="354" spans="1:101">
      <c r="A354" s="22" t="s">
        <v>877</v>
      </c>
      <c r="B354" s="22" t="s">
        <v>878</v>
      </c>
      <c r="C354" s="17" t="s">
        <v>86</v>
      </c>
      <c r="D354" s="23">
        <v>40288</v>
      </c>
      <c r="F354" s="17">
        <v>9</v>
      </c>
      <c r="G354" s="17">
        <v>2025</v>
      </c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41" t="str">
        <f t="shared" si="94"/>
        <v>Incomplete</v>
      </c>
      <c r="AZ354" s="20"/>
      <c r="BA354" s="20" t="str">
        <f t="shared" si="95"/>
        <v>Incomplete</v>
      </c>
      <c r="BB354" s="20"/>
      <c r="BC354" s="20" t="str">
        <f t="shared" si="96"/>
        <v>Incomplete</v>
      </c>
      <c r="BD354" s="20"/>
      <c r="BE354" s="20" t="str">
        <f t="shared" si="97"/>
        <v>Incomplete</v>
      </c>
      <c r="BF354" s="20"/>
      <c r="BG354" s="20">
        <v>11.1</v>
      </c>
      <c r="BH354" s="20">
        <v>27</v>
      </c>
      <c r="BI354" s="20" t="e">
        <f>IF(OR(ISBLANK(#REF!), ISBLANK(#REF!)),"Incomplete",(SUM(#REF!-#REF!)))</f>
        <v>#REF!</v>
      </c>
      <c r="BJ354" s="20"/>
      <c r="BK354" s="20">
        <v>6</v>
      </c>
      <c r="BL354" s="20"/>
      <c r="BM354" s="20">
        <v>6</v>
      </c>
      <c r="BN354" s="20"/>
      <c r="BO354" s="20"/>
      <c r="BP354" s="20"/>
      <c r="BQ354" s="20"/>
      <c r="BR354" s="20"/>
      <c r="BS354" s="20"/>
      <c r="BT354" s="20"/>
      <c r="BU354" s="20"/>
      <c r="BV354" s="20"/>
      <c r="BW354" s="91" t="str">
        <f t="shared" si="99"/>
        <v>Incomplete</v>
      </c>
      <c r="BX354" s="91" t="str">
        <f>_xlfn.XLOOKUP(BW354,'Normative data'!$V$3:$V$6,'Normative data'!$W$3:$W$6,"Not Found",-1)</f>
        <v>Very low risk</v>
      </c>
      <c r="BY354" s="91" t="str">
        <f t="shared" si="100"/>
        <v>Incomplete</v>
      </c>
      <c r="BZ354" s="91" t="str">
        <f>_xlfn.XLOOKUP(BY354,'Normative data'!$V$3:$V$6,'Normative data'!$W$3:$W$6,"Not Found",-1)</f>
        <v>Very low risk</v>
      </c>
      <c r="CA354" s="20"/>
      <c r="CC354" s="20"/>
      <c r="CE354" s="20">
        <v>7</v>
      </c>
      <c r="CG354" s="20"/>
      <c r="CH354" s="20" t="str">
        <f>_xlfn.XLOOKUP(CG354, 'Normative data'!$S$9:$S$15,'Normative data'!$T$9:$T$15, "Not Found", -1)</f>
        <v>not completed</v>
      </c>
      <c r="CI354" s="20"/>
      <c r="CJ354" s="20" t="str">
        <f>_xlfn.XLOOKUP(CI354, 'Normative data'!$S$9:$S$15, 'Normative data'!$T$9:$T$15, "Not Found", -1)</f>
        <v>not completed</v>
      </c>
      <c r="CK354" s="25">
        <v>2.39</v>
      </c>
      <c r="CL354" s="25">
        <v>4.18</v>
      </c>
      <c r="CM354" s="25"/>
      <c r="CN354" s="25">
        <v>7.17</v>
      </c>
      <c r="CO354" s="25">
        <v>6.97</v>
      </c>
      <c r="CP354" s="25"/>
      <c r="CQ354" s="20"/>
      <c r="CR354" s="20" t="str" cm="1">
        <f t="array" ref="CR354">IF(OR(ISBLANK(E354),ISBLANK(CQ354)),"Incomplete",_xlfn.XLOOKUP(CQ354,_xlfn.XLOOKUP(E354,'Normative data'!$Y$3:$Y$6,'Normative data'!$Z$3:$AG$6,,-1),'Normative data'!$Z$2:$AG$2,"Not Found",-1))</f>
        <v>Incomplete</v>
      </c>
      <c r="CS354" s="20"/>
      <c r="CT354" s="20"/>
      <c r="CU354" s="20" t="str" cm="1">
        <f t="array" ref="CU354">_xlfn.XLOOKUP(CS354&amp;CT354,(VLOOKUP!$A$3:$A$250)&amp;(VLOOKUP!$B$3:$B$250),VLOOKUP!$C$3:$C$250,"Incomplete",-1)</f>
        <v>Incomplete</v>
      </c>
      <c r="CV354" s="20" t="str" cm="1">
        <f t="array" ref="CV354">_xlfn.XLOOKUP(CU354, _xlfn.XLOOKUP(E354, 'Normative data'!$Y$11:$Y$14, 'Normative data'!$Z$11:$AG$14, ,-1), 'Normative data'!$Z$10:$AG$10, "Not Found", -1)</f>
        <v>Excellent</v>
      </c>
      <c r="CW354" s="20" t="str" cm="1">
        <f t="array" ref="CW354">IF(OR(ISBLANK(CS354),ISBLANK(CT354)),"Incomplete",_xlfn.XLOOKUP(CS354&amp;CT354,VLOOKUP!$A$4:$A$250&amp;VLOOKUP!$B$4:$B$250,VLOOKUP!$D$4:$D$250,"0"))</f>
        <v>Incomplete</v>
      </c>
    </row>
    <row r="355" spans="1:101">
      <c r="A355" s="17" t="s">
        <v>879</v>
      </c>
      <c r="B355" s="17" t="s">
        <v>880</v>
      </c>
      <c r="C355" s="17" t="s">
        <v>86</v>
      </c>
      <c r="D355" s="19">
        <v>40279</v>
      </c>
      <c r="F355" s="17">
        <v>9</v>
      </c>
      <c r="G355" s="17">
        <v>2025</v>
      </c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41" t="str">
        <f t="shared" si="94"/>
        <v>Incomplete</v>
      </c>
      <c r="AZ355" s="20"/>
      <c r="BA355" s="20" t="str">
        <f t="shared" si="95"/>
        <v>Incomplete</v>
      </c>
      <c r="BB355" s="20"/>
      <c r="BC355" s="20" t="str">
        <f t="shared" si="96"/>
        <v>Incomplete</v>
      </c>
      <c r="BD355" s="20"/>
      <c r="BE355" s="20" t="str">
        <f t="shared" si="97"/>
        <v>Incomplete</v>
      </c>
      <c r="BF355" s="20"/>
      <c r="BG355" s="20">
        <v>13</v>
      </c>
      <c r="BH355" s="20">
        <v>30.5</v>
      </c>
      <c r="BI355" s="20" t="e">
        <f>IF(OR(ISBLANK(#REF!), ISBLANK(#REF!)),"Incomplete",(SUM(#REF!-#REF!)))</f>
        <v>#REF!</v>
      </c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91" t="str">
        <f t="shared" si="99"/>
        <v>Incomplete</v>
      </c>
      <c r="BX355" s="91" t="str">
        <f>_xlfn.XLOOKUP(BW355,'Normative data'!$V$3:$V$6,'Normative data'!$W$3:$W$6,"Not Found",-1)</f>
        <v>Very low risk</v>
      </c>
      <c r="BY355" s="91" t="str">
        <f t="shared" si="100"/>
        <v>Incomplete</v>
      </c>
      <c r="BZ355" s="91" t="str">
        <f>_xlfn.XLOOKUP(BY355,'Normative data'!$V$3:$V$6,'Normative data'!$W$3:$W$6,"Not Found",-1)</f>
        <v>Very low risk</v>
      </c>
      <c r="CA355" s="20"/>
      <c r="CC355" s="20"/>
      <c r="CE355" s="20">
        <v>10</v>
      </c>
      <c r="CG355" s="20"/>
      <c r="CH355" s="20" t="str">
        <f>_xlfn.XLOOKUP(CG355, 'Normative data'!$S$9:$S$15,'Normative data'!$T$9:$T$15, "Not Found", -1)</f>
        <v>not completed</v>
      </c>
      <c r="CI355" s="20"/>
      <c r="CJ355" s="20" t="str">
        <f>_xlfn.XLOOKUP(CI355, 'Normative data'!$S$9:$S$15, 'Normative data'!$T$9:$T$15, "Not Found", -1)</f>
        <v>not completed</v>
      </c>
      <c r="CK355" s="20" t="s">
        <v>881</v>
      </c>
      <c r="CL355" s="20" t="s">
        <v>290</v>
      </c>
      <c r="CN355" s="20" t="s">
        <v>882</v>
      </c>
      <c r="CO355" s="20" t="s">
        <v>883</v>
      </c>
      <c r="CQ355" s="20"/>
      <c r="CR355" s="20" t="str" cm="1">
        <f t="array" ref="CR355">IF(OR(ISBLANK(E355),ISBLANK(CQ355)),"Incomplete",_xlfn.XLOOKUP(CQ355,_xlfn.XLOOKUP(E355,'Normative data'!$Y$3:$Y$6,'Normative data'!$Z$3:$AG$6,,-1),'Normative data'!$Z$2:$AG$2,"Not Found",-1))</f>
        <v>Incomplete</v>
      </c>
      <c r="CS355" s="20"/>
      <c r="CT355" s="20"/>
      <c r="CU355" s="20" t="str" cm="1">
        <f t="array" ref="CU355">_xlfn.XLOOKUP(CS355&amp;CT355,(VLOOKUP!$A$3:$A$250)&amp;(VLOOKUP!$B$3:$B$250),VLOOKUP!$C$3:$C$250,"Incomplete",-1)</f>
        <v>Incomplete</v>
      </c>
      <c r="CV355" s="20" t="str" cm="1">
        <f t="array" ref="CV355">_xlfn.XLOOKUP(CU355, _xlfn.XLOOKUP(E355, 'Normative data'!$Y$11:$Y$14, 'Normative data'!$Z$11:$AG$14, ,-1), 'Normative data'!$Z$10:$AG$10, "Not Found", -1)</f>
        <v>Excellent</v>
      </c>
      <c r="CW355" s="20" t="str" cm="1">
        <f t="array" ref="CW355">IF(OR(ISBLANK(CS355),ISBLANK(CT355)),"Incomplete",_xlfn.XLOOKUP(CS355&amp;CT355,VLOOKUP!$A$4:$A$250&amp;VLOOKUP!$B$4:$B$250,VLOOKUP!$D$4:$D$250,"0"))</f>
        <v>Incomplete</v>
      </c>
    </row>
    <row r="356" spans="1:101">
      <c r="A356" s="17" t="s">
        <v>822</v>
      </c>
      <c r="B356" s="17" t="s">
        <v>821</v>
      </c>
      <c r="C356" s="17" t="s">
        <v>86</v>
      </c>
      <c r="D356" s="26">
        <v>40807</v>
      </c>
      <c r="F356" s="20" t="s">
        <v>217</v>
      </c>
      <c r="G356" s="17">
        <v>2026</v>
      </c>
      <c r="I356" s="20">
        <v>2</v>
      </c>
      <c r="J356" s="20" t="s">
        <v>122</v>
      </c>
      <c r="K356" s="20" t="s">
        <v>556</v>
      </c>
      <c r="L356" s="20"/>
      <c r="S356" s="20">
        <v>85.3</v>
      </c>
      <c r="T356" s="20">
        <v>168.6</v>
      </c>
      <c r="U356" s="17">
        <v>56.1</v>
      </c>
      <c r="V356" s="17">
        <v>34.6</v>
      </c>
      <c r="W356" s="17">
        <v>8.8000000000000007</v>
      </c>
      <c r="X356" s="17">
        <v>47.3</v>
      </c>
      <c r="Y356" s="17">
        <v>26.1</v>
      </c>
      <c r="AA356" s="17">
        <v>15.6</v>
      </c>
      <c r="AB356" s="17">
        <v>7.58</v>
      </c>
      <c r="AC356" s="17">
        <v>116.9</v>
      </c>
      <c r="AD356" s="17">
        <v>7.5</v>
      </c>
      <c r="AE356" s="17">
        <v>115.6</v>
      </c>
      <c r="AF356" s="17">
        <v>1.6</v>
      </c>
      <c r="AG356" s="17">
        <v>61.5</v>
      </c>
      <c r="AH356" s="17">
        <v>1.6</v>
      </c>
      <c r="AI356" s="17">
        <v>61.1</v>
      </c>
      <c r="AJ356" s="17">
        <v>266.2</v>
      </c>
      <c r="AK356" s="17">
        <v>271.3</v>
      </c>
      <c r="AL356" s="17">
        <v>236.6</v>
      </c>
      <c r="AM356" s="17">
        <v>240.7</v>
      </c>
      <c r="AN356" s="17">
        <v>106</v>
      </c>
      <c r="AQ356" s="17">
        <v>28.5</v>
      </c>
      <c r="AR356" s="17">
        <v>0.48199999999999998</v>
      </c>
      <c r="AS356" s="17">
        <v>32.799999999999997</v>
      </c>
      <c r="AT356" s="17">
        <v>0.51700000000000002</v>
      </c>
      <c r="AU356" s="17">
        <v>17.7</v>
      </c>
      <c r="AV356" s="17">
        <v>0.38</v>
      </c>
      <c r="AW356" s="17">
        <v>9.9</v>
      </c>
      <c r="AX356" s="17">
        <v>0.28399999999999997</v>
      </c>
      <c r="AY356" s="41">
        <f t="shared" si="94"/>
        <v>2216.2799999999997</v>
      </c>
      <c r="BA356" s="20">
        <f t="shared" si="95"/>
        <v>2477.29</v>
      </c>
      <c r="BC356" s="20">
        <f t="shared" si="96"/>
        <v>1560.7200000000003</v>
      </c>
      <c r="BE356" s="20">
        <f t="shared" si="97"/>
        <v>1087.2600000000002</v>
      </c>
      <c r="BG356" s="17">
        <v>11.6</v>
      </c>
      <c r="BH356" s="17">
        <v>45</v>
      </c>
      <c r="BI356" s="20">
        <f>IF(OR(ISBLANK(BG356), ISBLANK(BH356)),"Incomplete",(SUM(BH356-BG356)))</f>
        <v>33.4</v>
      </c>
      <c r="BJ356" s="20"/>
      <c r="BK356" s="17">
        <v>16</v>
      </c>
      <c r="BL356" s="20"/>
      <c r="BM356" s="17">
        <v>15</v>
      </c>
      <c r="BN356" s="20"/>
      <c r="BO356" s="17">
        <v>46</v>
      </c>
      <c r="BP356" s="17">
        <v>46</v>
      </c>
      <c r="BQ356" s="17">
        <v>90</v>
      </c>
      <c r="BR356" s="17">
        <v>92</v>
      </c>
      <c r="BS356" s="17">
        <v>68</v>
      </c>
      <c r="BT356" s="17">
        <v>92</v>
      </c>
      <c r="BU356" s="17">
        <v>80</v>
      </c>
      <c r="BV356" s="17">
        <v>78</v>
      </c>
      <c r="BW356" s="91">
        <f t="shared" si="99"/>
        <v>100.04001600640258</v>
      </c>
      <c r="BX356" s="91" t="str">
        <f>_xlfn.XLOOKUP(BW356,'Normative data'!$V$3:$V$6,'Normative data'!$W$3:$W$6,"Not Found",-1)</f>
        <v>Low risk</v>
      </c>
      <c r="BY356" s="91">
        <f t="shared" si="100"/>
        <v>100.04001600640258</v>
      </c>
      <c r="BZ356" s="91" t="str">
        <f>_xlfn.XLOOKUP(BY356,'Normative data'!$V$3:$V$6,'Normative data'!$W$3:$W$6,"Not Found",-1)</f>
        <v>Low risk</v>
      </c>
      <c r="CA356" s="17">
        <v>30</v>
      </c>
      <c r="CC356" s="20"/>
      <c r="CE356" s="17">
        <v>30</v>
      </c>
      <c r="CG356" s="17">
        <v>18.11</v>
      </c>
      <c r="CH356" s="20" t="str">
        <f>_xlfn.XLOOKUP(CG356, 'Normative data'!$S$9:$S$15,'Normative data'!$T$9:$T$15, "Not Found", -1)</f>
        <v>Average</v>
      </c>
      <c r="CI356" s="17">
        <v>17.91</v>
      </c>
      <c r="CJ356" s="20" t="str">
        <f>_xlfn.XLOOKUP(CI356, 'Normative data'!$S$9:$S$15, 'Normative data'!$T$9:$T$15, "Not Found", -1)</f>
        <v>Above Average</v>
      </c>
      <c r="CK356" s="17">
        <v>2.15</v>
      </c>
      <c r="CL356" s="17">
        <v>4.6500000000000004</v>
      </c>
      <c r="CN356" s="17">
        <v>6.6</v>
      </c>
      <c r="CO356" s="17">
        <v>7.58</v>
      </c>
      <c r="CQ356" s="17">
        <v>11.2</v>
      </c>
      <c r="CR356" s="20" t="str" cm="1">
        <f t="array" ref="CR356">IF(OR(ISBLANK(E356),ISBLANK(CQ356)),"Incomplete",_xlfn.XLOOKUP(CQ356,_xlfn.XLOOKUP(E356,'Normative data'!$Y$3:$Y$6,'Normative data'!$Z$3:$AG$6,,-1),'Normative data'!$Z$2:$AG$2,"Not Found",-1))</f>
        <v>Incomplete</v>
      </c>
      <c r="CS356" s="20">
        <v>11</v>
      </c>
      <c r="CT356" s="20">
        <v>2</v>
      </c>
      <c r="CU356" s="20" cm="1">
        <f t="array" ref="CU356">_xlfn.XLOOKUP(CS356&amp;CT356,(VLOOKUP!$A$3:$A$250)&amp;(VLOOKUP!$B$3:$B$250),VLOOKUP!$C$3:$C$250,"Incomplete",-1)</f>
        <v>1920</v>
      </c>
      <c r="CV356" s="20" t="str" cm="1">
        <f t="array" ref="CV356">_xlfn.XLOOKUP(CU356, _xlfn.XLOOKUP(E356, 'Normative data'!$Y$11:$Y$14, 'Normative data'!$Z$11:$AG$14, ,-1), 'Normative data'!$Z$10:$AG$10, "Not Found", -1)</f>
        <v xml:space="preserve">Good </v>
      </c>
      <c r="CW356" s="20" cm="1">
        <f t="array" ref="CW356">IF(OR(ISBLANK(CS356),ISBLANK(CT356)),"Incomplete",_xlfn.XLOOKUP(CS356&amp;CT356,VLOOKUP!$A$4:$A$250&amp;VLOOKUP!$B$4:$B$250,VLOOKUP!$D$4:$D$250,"0"))</f>
        <v>51</v>
      </c>
    </row>
    <row r="357" spans="1:101">
      <c r="A357" s="17" t="s">
        <v>884</v>
      </c>
      <c r="B357" s="17" t="s">
        <v>885</v>
      </c>
      <c r="C357" s="17" t="s">
        <v>86</v>
      </c>
      <c r="D357" s="26"/>
      <c r="F357" s="20" t="s">
        <v>151</v>
      </c>
      <c r="G357" s="17">
        <v>2026</v>
      </c>
      <c r="I357" s="20">
        <v>2</v>
      </c>
      <c r="J357" s="20" t="s">
        <v>88</v>
      </c>
      <c r="K357" s="20" t="s">
        <v>886</v>
      </c>
      <c r="L357" s="20"/>
      <c r="S357" s="20"/>
      <c r="T357" s="20"/>
      <c r="AQ357" s="20"/>
      <c r="AR357" s="20"/>
      <c r="AS357" s="20"/>
      <c r="AT357" s="20"/>
      <c r="AU357" s="20"/>
      <c r="AV357" s="20"/>
      <c r="AW357" s="20"/>
      <c r="AX357" s="20"/>
      <c r="AY357" s="41" t="str">
        <f t="shared" si="94"/>
        <v>Incomplete</v>
      </c>
      <c r="BA357" s="20" t="str">
        <f t="shared" si="95"/>
        <v>Incomplete</v>
      </c>
      <c r="BC357" s="20" t="str">
        <f t="shared" si="96"/>
        <v>Incomplete</v>
      </c>
      <c r="BE357" s="20" t="str">
        <f t="shared" si="97"/>
        <v>Incomplete</v>
      </c>
      <c r="BH357" s="20"/>
      <c r="BI357" s="20" t="str">
        <f>IF(OR(ISBLANK(BG357), ISBLANK(BH357)),"Incomplete",(SUM(BH357-BG357)))</f>
        <v>Incomplete</v>
      </c>
      <c r="BJ357" s="20"/>
      <c r="BL357" s="20"/>
      <c r="BM357" s="20"/>
      <c r="BN357" s="20"/>
      <c r="BQ357" s="17">
        <v>78</v>
      </c>
      <c r="BR357" s="17">
        <v>80</v>
      </c>
      <c r="BS357" s="17">
        <v>79</v>
      </c>
      <c r="BT357" s="17">
        <v>73</v>
      </c>
      <c r="BU357" s="17">
        <v>79</v>
      </c>
      <c r="BV357" s="17">
        <v>78</v>
      </c>
      <c r="BW357" s="91" t="str">
        <f t="shared" si="99"/>
        <v>Incomplete</v>
      </c>
      <c r="BX357" s="91" t="str">
        <f>_xlfn.XLOOKUP(BW357,'Normative data'!$V$3:$V$6,'Normative data'!$W$3:$W$6,"Not Found",-1)</f>
        <v>Very low risk</v>
      </c>
      <c r="BY357" s="91" t="str">
        <f t="shared" si="100"/>
        <v>Incomplete</v>
      </c>
      <c r="BZ357" s="91" t="str">
        <f>_xlfn.XLOOKUP(BY357,'Normative data'!$V$3:$V$6,'Normative data'!$W$3:$W$6,"Not Found",-1)</f>
        <v>Very low risk</v>
      </c>
      <c r="CA357" s="17">
        <v>38</v>
      </c>
      <c r="CC357" s="20"/>
      <c r="CE357" s="17">
        <v>7</v>
      </c>
      <c r="CG357" s="20"/>
      <c r="CH357" s="20" t="str">
        <f>_xlfn.XLOOKUP(CG357, 'Normative data'!$S$9:$S$15,'Normative data'!$T$9:$T$15, "Not Found", -1)</f>
        <v>not completed</v>
      </c>
      <c r="CI357" s="20"/>
      <c r="CJ357" s="20" t="str">
        <f>_xlfn.XLOOKUP(CI357, 'Normative data'!$S$9:$S$15, 'Normative data'!$T$9:$T$15, "Not Found", -1)</f>
        <v>not completed</v>
      </c>
      <c r="CK357" s="17">
        <v>2.2799999999999998</v>
      </c>
      <c r="CL357" s="17">
        <v>4.3899999999999997</v>
      </c>
      <c r="CN357" s="17">
        <v>7.29</v>
      </c>
      <c r="CO357" s="17">
        <v>6.86</v>
      </c>
      <c r="CR357" s="20" t="str" cm="1">
        <f t="array" ref="CR357">IF(OR(ISBLANK(E357),ISBLANK(CQ357)),"Incomplete",_xlfn.XLOOKUP(CQ357,_xlfn.XLOOKUP(E357,'Normative data'!$Y$3:$Y$6,'Normative data'!$Z$3:$AG$6,,-1),'Normative data'!$Z$2:$AG$2,"Not Found",-1))</f>
        <v>Incomplete</v>
      </c>
      <c r="CS357" s="20"/>
      <c r="CT357" s="20"/>
      <c r="CU357" s="20" t="str" cm="1">
        <f t="array" ref="CU357">_xlfn.XLOOKUP(CS357&amp;CT357,(VLOOKUP!$A$3:$A$250)&amp;(VLOOKUP!$B$3:$B$250),VLOOKUP!$C$3:$C$250,"Incomplete",-1)</f>
        <v>Incomplete</v>
      </c>
      <c r="CV357" s="20" t="str" cm="1">
        <f t="array" ref="CV357">_xlfn.XLOOKUP(CU357, _xlfn.XLOOKUP(E357, 'Normative data'!$Y$11:$Y$14, 'Normative data'!$Z$11:$AG$14, ,-1), 'Normative data'!$Z$10:$AG$10, "Not Found", -1)</f>
        <v>Excellent</v>
      </c>
      <c r="CW357" s="20" t="str" cm="1">
        <f t="array" ref="CW357">IF(OR(ISBLANK(CS357),ISBLANK(CT357)),"Incomplete",_xlfn.XLOOKUP(CS357&amp;CT357,VLOOKUP!$A$4:$A$250&amp;VLOOKUP!$B$4:$B$250,VLOOKUP!$D$4:$D$250,"0"))</f>
        <v>Incomplete</v>
      </c>
    </row>
    <row r="358" spans="1:101">
      <c r="A358" s="18" t="s">
        <v>887</v>
      </c>
      <c r="B358" s="18" t="s">
        <v>888</v>
      </c>
      <c r="C358" s="17" t="s">
        <v>86</v>
      </c>
      <c r="D358" s="19">
        <v>39494</v>
      </c>
      <c r="F358" s="17">
        <v>11</v>
      </c>
      <c r="G358" s="17">
        <v>2025</v>
      </c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41" t="str">
        <f t="shared" si="94"/>
        <v>Incomplete</v>
      </c>
      <c r="AZ358" s="20"/>
      <c r="BA358" s="20" t="str">
        <f t="shared" si="95"/>
        <v>Incomplete</v>
      </c>
      <c r="BB358" s="20"/>
      <c r="BC358" s="20" t="str">
        <f t="shared" si="96"/>
        <v>Incomplete</v>
      </c>
      <c r="BD358" s="20"/>
      <c r="BE358" s="20" t="str">
        <f t="shared" si="97"/>
        <v>Incomplete</v>
      </c>
      <c r="BF358" s="20"/>
      <c r="BG358" s="20">
        <v>9</v>
      </c>
      <c r="BH358" s="20">
        <v>28.3</v>
      </c>
      <c r="BI358" s="20" t="e">
        <f>IF(OR(ISBLANK(#REF!), ISBLANK(#REF!)),"Incomplete",(SUM(#REF!-#REF!)))</f>
        <v>#REF!</v>
      </c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91" t="str">
        <f t="shared" si="99"/>
        <v>Incomplete</v>
      </c>
      <c r="BX358" s="91" t="str">
        <f>_xlfn.XLOOKUP(BW358,'Normative data'!$V$3:$V$6,'Normative data'!$W$3:$W$6,"Not Found",-1)</f>
        <v>Very low risk</v>
      </c>
      <c r="BY358" s="91" t="str">
        <f t="shared" si="100"/>
        <v>Incomplete</v>
      </c>
      <c r="BZ358" s="91" t="str">
        <f>_xlfn.XLOOKUP(BY358,'Normative data'!$V$3:$V$6,'Normative data'!$W$3:$W$6,"Not Found",-1)</f>
        <v>Very low risk</v>
      </c>
      <c r="CA358" s="20"/>
      <c r="CC358" s="20"/>
      <c r="CE358" s="20">
        <v>1</v>
      </c>
      <c r="CG358" s="20"/>
      <c r="CH358" s="20" t="str">
        <f>_xlfn.XLOOKUP(CG358, 'Normative data'!$S$9:$S$15,'Normative data'!$T$9:$T$15, "Not Found", -1)</f>
        <v>not completed</v>
      </c>
      <c r="CI358" s="20"/>
      <c r="CJ358" s="20" t="str">
        <f>_xlfn.XLOOKUP(CI358, 'Normative data'!$S$9:$S$15, 'Normative data'!$T$9:$T$15, "Not Found", -1)</f>
        <v>not completed</v>
      </c>
      <c r="CK358" s="21">
        <v>2.48</v>
      </c>
      <c r="CL358" s="21">
        <v>4.03</v>
      </c>
      <c r="CM358" s="21"/>
      <c r="CN358" s="21">
        <v>7.69</v>
      </c>
      <c r="CO358" s="21">
        <v>6.5</v>
      </c>
      <c r="CP358" s="21"/>
      <c r="CQ358" s="20"/>
      <c r="CR358" s="20" t="str" cm="1">
        <f t="array" ref="CR358">IF(OR(ISBLANK(E358),ISBLANK(CQ358)),"Incomplete",_xlfn.XLOOKUP(CQ358,_xlfn.XLOOKUP(E358,'Normative data'!$Y$3:$Y$6,'Normative data'!$Z$3:$AG$6,,-1),'Normative data'!$Z$2:$AG$2,"Not Found",-1))</f>
        <v>Incomplete</v>
      </c>
      <c r="CS358" s="20"/>
      <c r="CT358" s="20"/>
      <c r="CU358" s="20" t="str" cm="1">
        <f t="array" ref="CU358">_xlfn.XLOOKUP(CS358&amp;CT358,(VLOOKUP!$A$3:$A$250)&amp;(VLOOKUP!$B$3:$B$250),VLOOKUP!$C$3:$C$250,"Incomplete",-1)</f>
        <v>Incomplete</v>
      </c>
      <c r="CV358" s="20" t="str" cm="1">
        <f t="array" ref="CV358">_xlfn.XLOOKUP(CU358, _xlfn.XLOOKUP(E358, 'Normative data'!$Y$11:$Y$14, 'Normative data'!$Z$11:$AG$14, ,-1), 'Normative data'!$Z$10:$AG$10, "Not Found", -1)</f>
        <v>Excellent</v>
      </c>
      <c r="CW358" s="20" t="str" cm="1">
        <f t="array" ref="CW358">IF(OR(ISBLANK(CS358),ISBLANK(CT358)),"Incomplete",_xlfn.XLOOKUP(CS358&amp;CT358,VLOOKUP!$A$4:$A$250&amp;VLOOKUP!$B$4:$B$250,VLOOKUP!$D$4:$D$250,"0"))</f>
        <v>Incomplete</v>
      </c>
    </row>
    <row r="359" spans="1:101">
      <c r="A359" s="17" t="s">
        <v>638</v>
      </c>
      <c r="B359" s="17" t="s">
        <v>470</v>
      </c>
      <c r="C359" s="17" t="s">
        <v>86</v>
      </c>
      <c r="D359" s="26"/>
      <c r="F359" s="20" t="s">
        <v>178</v>
      </c>
      <c r="G359" s="17">
        <v>2026</v>
      </c>
      <c r="I359" s="20">
        <v>2</v>
      </c>
      <c r="J359" s="20" t="s">
        <v>100</v>
      </c>
      <c r="K359" s="20" t="s">
        <v>173</v>
      </c>
      <c r="L359" s="20"/>
      <c r="S359" s="20"/>
      <c r="T359" s="20"/>
      <c r="AQ359" s="20"/>
      <c r="AR359" s="20"/>
      <c r="AS359" s="20"/>
      <c r="AT359" s="20"/>
      <c r="AU359" s="20"/>
      <c r="AV359" s="20"/>
      <c r="AW359" s="20"/>
      <c r="AX359" s="20"/>
      <c r="AY359" s="41" t="str">
        <f t="shared" si="94"/>
        <v>Incomplete</v>
      </c>
      <c r="BA359" s="20" t="str">
        <f t="shared" si="95"/>
        <v>Incomplete</v>
      </c>
      <c r="BC359" s="20" t="str">
        <f t="shared" si="96"/>
        <v>Incomplete</v>
      </c>
      <c r="BE359" s="20" t="str">
        <f t="shared" si="97"/>
        <v>Incomplete</v>
      </c>
      <c r="BH359" s="20"/>
      <c r="BI359" s="20" t="str">
        <f t="shared" ref="BI359:BI366" si="101">IF(OR(ISBLANK(BG359), ISBLANK(BH359)),"Incomplete",(SUM(BH359-BG359)))</f>
        <v>Incomplete</v>
      </c>
      <c r="BJ359" s="20"/>
      <c r="BL359" s="20"/>
      <c r="BM359" s="20"/>
      <c r="BN359" s="20"/>
      <c r="BQ359" s="17">
        <v>74</v>
      </c>
      <c r="BR359" s="17">
        <v>72</v>
      </c>
      <c r="BS359" s="17">
        <v>64</v>
      </c>
      <c r="BT359" s="17">
        <v>73</v>
      </c>
      <c r="BU359" s="17">
        <v>68</v>
      </c>
      <c r="BV359" s="17">
        <v>58</v>
      </c>
      <c r="BW359" s="91" t="str">
        <f t="shared" si="99"/>
        <v>Incomplete</v>
      </c>
      <c r="BX359" s="91" t="str">
        <f>_xlfn.XLOOKUP(BW359,'Normative data'!$V$3:$V$6,'Normative data'!$W$3:$W$6,"Not Found",-1)</f>
        <v>Very low risk</v>
      </c>
      <c r="BY359" s="91" t="str">
        <f t="shared" si="100"/>
        <v>Incomplete</v>
      </c>
      <c r="BZ359" s="91" t="str">
        <f>_xlfn.XLOOKUP(BY359,'Normative data'!$V$3:$V$6,'Normative data'!$W$3:$W$6,"Not Found",-1)</f>
        <v>Very low risk</v>
      </c>
      <c r="CA359" s="17">
        <v>15</v>
      </c>
      <c r="CC359" s="20"/>
      <c r="CE359" s="17">
        <v>8</v>
      </c>
      <c r="CG359" s="17">
        <v>19.11</v>
      </c>
      <c r="CH359" s="20" t="str">
        <f>_xlfn.XLOOKUP(CG359, 'Normative data'!$S$9:$S$15,'Normative data'!$T$9:$T$15, "Not Found", -1)</f>
        <v>Average</v>
      </c>
      <c r="CI359" s="17">
        <v>19.02</v>
      </c>
      <c r="CJ359" s="20" t="str">
        <f>_xlfn.XLOOKUP(CI359, 'Normative data'!$S$9:$S$15, 'Normative data'!$T$9:$T$15, "Not Found", -1)</f>
        <v>Average</v>
      </c>
      <c r="CK359" s="17">
        <v>2.46</v>
      </c>
      <c r="CL359" s="17">
        <v>4.07</v>
      </c>
      <c r="CN359" s="17">
        <v>7.62</v>
      </c>
      <c r="CO359" s="17">
        <v>6.56</v>
      </c>
      <c r="CQ359" s="17">
        <v>7.9</v>
      </c>
      <c r="CR359" s="20" t="str" cm="1">
        <f t="array" ref="CR359">IF(OR(ISBLANK(E359),ISBLANK(CQ359)),"Incomplete",_xlfn.XLOOKUP(CQ359,_xlfn.XLOOKUP(E359,'Normative data'!$Y$3:$Y$6,'Normative data'!$Z$3:$AG$6,,-1),'Normative data'!$Z$2:$AG$2,"Not Found",-1))</f>
        <v>Incomplete</v>
      </c>
      <c r="CS359" s="20">
        <v>7</v>
      </c>
      <c r="CT359" s="20">
        <v>9</v>
      </c>
      <c r="CU359" s="20" cm="1">
        <f t="array" ref="CU359">_xlfn.XLOOKUP(CS359&amp;CT359,(VLOOKUP!$A$3:$A$250)&amp;(VLOOKUP!$B$3:$B$250),VLOOKUP!$C$3:$C$250,"Incomplete",-1)</f>
        <v>1200</v>
      </c>
      <c r="CV359" s="20" t="str" cm="1">
        <f t="array" ref="CV359">_xlfn.XLOOKUP(CU359, _xlfn.XLOOKUP(E359, 'Normative data'!$Y$11:$Y$14, 'Normative data'!$Z$11:$AG$14, ,-1), 'Normative data'!$Z$10:$AG$10, "Not Found", -1)</f>
        <v>Average</v>
      </c>
      <c r="CW359" s="20" cm="1">
        <f t="array" ref="CW359">IF(OR(ISBLANK(CS359),ISBLANK(CT359)),"Incomplete",_xlfn.XLOOKUP(CS359&amp;CT359,VLOOKUP!$A$4:$A$250&amp;VLOOKUP!$B$4:$B$250,VLOOKUP!$D$4:$D$250,"0"))</f>
        <v>40</v>
      </c>
    </row>
    <row r="360" spans="1:101">
      <c r="A360" s="17" t="s">
        <v>889</v>
      </c>
      <c r="B360" s="17" t="s">
        <v>470</v>
      </c>
      <c r="C360" s="17" t="s">
        <v>86</v>
      </c>
      <c r="D360" s="26"/>
      <c r="F360" s="20" t="s">
        <v>235</v>
      </c>
      <c r="G360" s="17">
        <v>2026</v>
      </c>
      <c r="I360" s="20">
        <v>2</v>
      </c>
      <c r="J360" s="20" t="s">
        <v>100</v>
      </c>
      <c r="K360" s="20" t="s">
        <v>108</v>
      </c>
      <c r="L360" s="20"/>
      <c r="S360" s="20">
        <v>81.7</v>
      </c>
      <c r="T360" s="20">
        <v>157.19999999999999</v>
      </c>
      <c r="AQ360" s="20"/>
      <c r="AR360" s="20"/>
      <c r="AS360" s="20"/>
      <c r="AT360" s="20"/>
      <c r="AU360" s="20"/>
      <c r="AV360" s="20"/>
      <c r="AW360" s="20"/>
      <c r="AX360" s="20"/>
      <c r="AY360" s="41" t="str">
        <f t="shared" si="94"/>
        <v>Incomplete</v>
      </c>
      <c r="BA360" s="20" t="str">
        <f t="shared" si="95"/>
        <v>Incomplete</v>
      </c>
      <c r="BC360" s="20" t="str">
        <f t="shared" si="96"/>
        <v>Incomplete</v>
      </c>
      <c r="BE360" s="20" t="str">
        <f t="shared" si="97"/>
        <v>Incomplete</v>
      </c>
      <c r="BH360" s="17">
        <v>56</v>
      </c>
      <c r="BI360" s="20" t="str">
        <f t="shared" si="101"/>
        <v>Incomplete</v>
      </c>
      <c r="BJ360" s="20"/>
      <c r="BK360" s="17">
        <v>12</v>
      </c>
      <c r="BL360" s="20"/>
      <c r="BM360" s="17">
        <v>15</v>
      </c>
      <c r="BN360" s="20"/>
      <c r="BW360" s="91">
        <f t="shared" si="99"/>
        <v>0</v>
      </c>
      <c r="BX360" s="91" t="str">
        <f>_xlfn.XLOOKUP(BW360,'Normative data'!$V$3:$V$6,'Normative data'!$W$3:$W$6,"Not Found",-1)</f>
        <v>Not completed</v>
      </c>
      <c r="BY360" s="91">
        <f t="shared" si="100"/>
        <v>0</v>
      </c>
      <c r="BZ360" s="91" t="str">
        <f>_xlfn.XLOOKUP(BY360,'Normative data'!$V$3:$V$6,'Normative data'!$W$3:$W$6,"Not Found",-1)</f>
        <v>Not completed</v>
      </c>
      <c r="CA360" s="20"/>
      <c r="CC360" s="20"/>
      <c r="CE360" s="17">
        <v>23</v>
      </c>
      <c r="CH360" s="20" t="str">
        <f>_xlfn.XLOOKUP(CG360, 'Normative data'!$S$9:$S$15,'Normative data'!$T$9:$T$15, "Not Found", -1)</f>
        <v>not completed</v>
      </c>
      <c r="CI360" s="17">
        <v>17.12</v>
      </c>
      <c r="CJ360" s="20" t="str">
        <f>_xlfn.XLOOKUP(CI360, 'Normative data'!$S$9:$S$15, 'Normative data'!$T$9:$T$15, "Not Found", -1)</f>
        <v>Above Average</v>
      </c>
      <c r="CK360" s="17">
        <v>2.11</v>
      </c>
      <c r="CL360" s="17">
        <v>4.74</v>
      </c>
      <c r="CN360" s="17">
        <v>6.35</v>
      </c>
      <c r="CO360" s="17">
        <v>7.87</v>
      </c>
      <c r="CQ360" s="17">
        <v>9.1</v>
      </c>
      <c r="CR360" s="20" t="str" cm="1">
        <f t="array" ref="CR360">IF(OR(ISBLANK(E360),ISBLANK(CQ360)),"Incomplete",_xlfn.XLOOKUP(CQ360,_xlfn.XLOOKUP(E360,'Normative data'!$Y$3:$Y$6,'Normative data'!$Z$3:$AG$6,,-1),'Normative data'!$Z$2:$AG$2,"Not Found",-1))</f>
        <v>Incomplete</v>
      </c>
      <c r="CS360" s="20">
        <v>9</v>
      </c>
      <c r="CT360" s="20">
        <v>1</v>
      </c>
      <c r="CU360" s="20" cm="1">
        <f t="array" ref="CU360">_xlfn.XLOOKUP(CS360&amp;CT360,(VLOOKUP!$A$3:$A$250)&amp;(VLOOKUP!$B$3:$B$250),VLOOKUP!$C$3:$C$250,"Incomplete",-1)</f>
        <v>1460</v>
      </c>
      <c r="CV360" s="20" t="str" cm="1">
        <f t="array" ref="CV360">_xlfn.XLOOKUP(CU360, _xlfn.XLOOKUP(E360, 'Normative data'!$Y$11:$Y$14, 'Normative data'!$Z$11:$AG$14, ,-1), 'Normative data'!$Z$10:$AG$10, "Not Found", -1)</f>
        <v>Average</v>
      </c>
      <c r="CW360" s="20" cm="1">
        <f t="array" ref="CW360">IF(OR(ISBLANK(CS360),ISBLANK(CT360)),"Incomplete",_xlfn.XLOOKUP(CS360&amp;CT360,VLOOKUP!$A$4:$A$250&amp;VLOOKUP!$B$4:$B$250,VLOOKUP!$D$4:$D$250,"0"))</f>
        <v>44</v>
      </c>
    </row>
    <row r="361" spans="1:101">
      <c r="A361" s="17" t="s">
        <v>890</v>
      </c>
      <c r="B361" s="17" t="s">
        <v>470</v>
      </c>
      <c r="C361" s="17" t="s">
        <v>86</v>
      </c>
      <c r="D361" s="26">
        <v>40923</v>
      </c>
      <c r="F361" s="20" t="s">
        <v>97</v>
      </c>
      <c r="G361" s="17">
        <v>2026</v>
      </c>
      <c r="I361" s="20">
        <v>2</v>
      </c>
      <c r="J361" s="20" t="s">
        <v>100</v>
      </c>
      <c r="K361" s="20" t="s">
        <v>170</v>
      </c>
      <c r="L361" s="20"/>
      <c r="S361" s="20">
        <v>86</v>
      </c>
      <c r="T361" s="20">
        <v>167.2</v>
      </c>
      <c r="U361" s="17">
        <v>56.1</v>
      </c>
      <c r="V361" s="17">
        <v>35.1</v>
      </c>
      <c r="W361" s="17">
        <v>8</v>
      </c>
      <c r="X361" s="17">
        <v>48.1</v>
      </c>
      <c r="Y361" s="17">
        <v>26.8</v>
      </c>
      <c r="Z361" s="17">
        <v>20.100000000000001</v>
      </c>
      <c r="AA361" s="17">
        <v>14.3</v>
      </c>
      <c r="AB361" s="17">
        <v>7.42</v>
      </c>
      <c r="AC361" s="17">
        <v>114.4</v>
      </c>
      <c r="AD361" s="17">
        <v>7.33</v>
      </c>
      <c r="AE361" s="17">
        <v>113</v>
      </c>
      <c r="AF361" s="17">
        <v>1.4</v>
      </c>
      <c r="AG361" s="17">
        <v>54.3</v>
      </c>
      <c r="AH361" s="17">
        <v>1.4</v>
      </c>
      <c r="AI361" s="17">
        <v>54</v>
      </c>
      <c r="AJ361" s="17">
        <v>291.8</v>
      </c>
      <c r="AK361" s="17">
        <v>299.7</v>
      </c>
      <c r="AL361" s="17">
        <v>255.1</v>
      </c>
      <c r="AM361" s="17">
        <v>260.7</v>
      </c>
      <c r="AN361" s="17">
        <v>104</v>
      </c>
      <c r="AO361" s="17">
        <v>0.79</v>
      </c>
      <c r="AP361" s="17">
        <v>6.9</v>
      </c>
      <c r="AQ361" s="17">
        <v>23.8</v>
      </c>
      <c r="AR361" s="17">
        <v>0.441</v>
      </c>
      <c r="AS361" s="17">
        <v>32.6</v>
      </c>
      <c r="AT361" s="17">
        <v>0.51600000000000001</v>
      </c>
      <c r="AU361" s="17">
        <v>11.4</v>
      </c>
      <c r="AV361" s="17">
        <v>0.30499999999999999</v>
      </c>
      <c r="AW361" s="17">
        <v>16</v>
      </c>
      <c r="AX361" s="17">
        <v>0.36099999999999999</v>
      </c>
      <c r="AY361" s="41">
        <f t="shared" si="94"/>
        <v>1930.9899999999998</v>
      </c>
      <c r="BA361" s="20">
        <f t="shared" si="95"/>
        <v>2465.1499999999996</v>
      </c>
      <c r="BC361" s="20">
        <f t="shared" si="96"/>
        <v>1178.31</v>
      </c>
      <c r="BE361" s="20">
        <f t="shared" si="97"/>
        <v>1457.5299999999997</v>
      </c>
      <c r="BG361" s="17">
        <v>9</v>
      </c>
      <c r="BH361" s="17">
        <v>29.5</v>
      </c>
      <c r="BI361" s="20">
        <f t="shared" si="101"/>
        <v>20.5</v>
      </c>
      <c r="BJ361" s="20"/>
      <c r="BK361" s="17">
        <v>8</v>
      </c>
      <c r="BL361" s="20"/>
      <c r="BM361" s="17">
        <v>8.5</v>
      </c>
      <c r="BN361" s="20"/>
      <c r="BO361" s="17">
        <v>49</v>
      </c>
      <c r="BP361" s="17">
        <v>48</v>
      </c>
      <c r="BQ361" s="17">
        <v>96</v>
      </c>
      <c r="BR361" s="17">
        <v>70</v>
      </c>
      <c r="BS361" s="17">
        <v>88</v>
      </c>
      <c r="BT361" s="17">
        <v>93</v>
      </c>
      <c r="BU361" s="17">
        <v>71</v>
      </c>
      <c r="BV361" s="17">
        <v>73</v>
      </c>
      <c r="BW361" s="91">
        <f t="shared" si="99"/>
        <v>104.26929392446635</v>
      </c>
      <c r="BX361" s="91" t="str">
        <f>_xlfn.XLOOKUP(BW361,'Normative data'!$V$3:$V$6,'Normative data'!$W$3:$W$6,"Not Found",-1)</f>
        <v>Low risk</v>
      </c>
      <c r="BY361" s="91">
        <f t="shared" si="100"/>
        <v>97.290640394088683</v>
      </c>
      <c r="BZ361" s="91" t="str">
        <f>_xlfn.XLOOKUP(BY361,'Normative data'!$V$3:$V$6,'Normative data'!$W$3:$W$6,"Not Found",-1)</f>
        <v>Low risk</v>
      </c>
      <c r="CA361" s="17">
        <v>31</v>
      </c>
      <c r="CC361" s="20"/>
      <c r="CE361" s="17">
        <v>30</v>
      </c>
      <c r="CG361" s="17">
        <v>17.25</v>
      </c>
      <c r="CH361" s="20" t="str">
        <f>_xlfn.XLOOKUP(CG361, 'Normative data'!$S$9:$S$15,'Normative data'!$T$9:$T$15, "Not Found", -1)</f>
        <v>Above Average</v>
      </c>
      <c r="CI361" s="17">
        <v>18.16</v>
      </c>
      <c r="CJ361" s="20" t="str">
        <f>_xlfn.XLOOKUP(CI361, 'Normative data'!$S$9:$S$15, 'Normative data'!$T$9:$T$15, "Not Found", -1)</f>
        <v>Average</v>
      </c>
      <c r="CK361" s="17">
        <v>1.89</v>
      </c>
      <c r="CL361" s="17">
        <v>5.29</v>
      </c>
      <c r="CN361" s="17">
        <v>5.8</v>
      </c>
      <c r="CO361" s="17">
        <v>8.6199999999999992</v>
      </c>
      <c r="CQ361" s="17">
        <v>10.199999999999999</v>
      </c>
      <c r="CR361" s="20" t="str" cm="1">
        <f t="array" ref="CR361">IF(OR(ISBLANK(E361),ISBLANK(CQ361)),"Incomplete",_xlfn.XLOOKUP(CQ361,_xlfn.XLOOKUP(E361,'Normative data'!$Y$3:$Y$6,'Normative data'!$Z$3:$AG$6,,-1),'Normative data'!$Z$2:$AG$2,"Not Found",-1))</f>
        <v>Incomplete</v>
      </c>
      <c r="CS361" s="20">
        <v>10</v>
      </c>
      <c r="CT361" s="20">
        <v>2</v>
      </c>
      <c r="CU361" s="20" cm="1">
        <f t="array" ref="CU361">_xlfn.XLOOKUP(CS361&amp;CT361,(VLOOKUP!$A$3:$A$250)&amp;(VLOOKUP!$B$3:$B$250),VLOOKUP!$C$3:$C$250,"Incomplete",-1)</f>
        <v>1700</v>
      </c>
      <c r="CV361" s="20" t="str" cm="1">
        <f t="array" ref="CV361">_xlfn.XLOOKUP(CU361, _xlfn.XLOOKUP(E361, 'Normative data'!$Y$11:$Y$14, 'Normative data'!$Z$11:$AG$14, ,-1), 'Normative data'!$Z$10:$AG$10, "Not Found", -1)</f>
        <v xml:space="preserve">Good </v>
      </c>
      <c r="CW361" s="20" cm="1">
        <f t="array" ref="CW361">IF(OR(ISBLANK(CS361),ISBLANK(CT361)),"Incomplete",_xlfn.XLOOKUP(CS361&amp;CT361,VLOOKUP!$A$4:$A$250&amp;VLOOKUP!$B$4:$B$250,VLOOKUP!$D$4:$D$250,"0"))</f>
        <v>47</v>
      </c>
    </row>
    <row r="362" spans="1:101">
      <c r="A362" s="17" t="s">
        <v>891</v>
      </c>
      <c r="B362" s="17" t="s">
        <v>470</v>
      </c>
      <c r="C362" s="17" t="s">
        <v>86</v>
      </c>
      <c r="D362" s="26"/>
      <c r="F362" s="20" t="s">
        <v>151</v>
      </c>
      <c r="G362" s="17">
        <v>2026</v>
      </c>
      <c r="I362" s="20">
        <v>2</v>
      </c>
      <c r="J362" s="20" t="s">
        <v>122</v>
      </c>
      <c r="K362" s="20" t="s">
        <v>228</v>
      </c>
      <c r="L362" s="20"/>
      <c r="S362" s="20"/>
      <c r="T362" s="20"/>
      <c r="AQ362" s="20"/>
      <c r="AR362" s="20"/>
      <c r="AS362" s="20"/>
      <c r="AT362" s="20"/>
      <c r="AU362" s="20"/>
      <c r="AV362" s="20"/>
      <c r="AW362" s="20"/>
      <c r="AX362" s="20"/>
      <c r="AY362" s="41" t="str">
        <f t="shared" si="94"/>
        <v>Incomplete</v>
      </c>
      <c r="BA362" s="20" t="str">
        <f t="shared" si="95"/>
        <v>Incomplete</v>
      </c>
      <c r="BC362" s="20" t="str">
        <f t="shared" si="96"/>
        <v>Incomplete</v>
      </c>
      <c r="BE362" s="20" t="str">
        <f t="shared" si="97"/>
        <v>Incomplete</v>
      </c>
      <c r="BH362" s="20"/>
      <c r="BI362" s="20" t="str">
        <f t="shared" si="101"/>
        <v>Incomplete</v>
      </c>
      <c r="BJ362" s="20"/>
      <c r="BL362" s="20"/>
      <c r="BM362" s="20"/>
      <c r="BN362" s="20"/>
      <c r="BW362" s="91" t="str">
        <f t="shared" si="99"/>
        <v>Incomplete</v>
      </c>
      <c r="BX362" s="91" t="str">
        <f>_xlfn.XLOOKUP(BW362,'Normative data'!$V$3:$V$6,'Normative data'!$W$3:$W$6,"Not Found",-1)</f>
        <v>Very low risk</v>
      </c>
      <c r="BY362" s="91" t="str">
        <f t="shared" si="100"/>
        <v>Incomplete</v>
      </c>
      <c r="BZ362" s="91" t="str">
        <f>_xlfn.XLOOKUP(BY362,'Normative data'!$V$3:$V$6,'Normative data'!$W$3:$W$6,"Not Found",-1)</f>
        <v>Very low risk</v>
      </c>
      <c r="CA362" s="17">
        <v>30</v>
      </c>
      <c r="CC362" s="20"/>
      <c r="CE362" s="17">
        <v>28</v>
      </c>
      <c r="CG362" s="20"/>
      <c r="CH362" s="20" t="str">
        <f>_xlfn.XLOOKUP(CG362, 'Normative data'!$S$9:$S$15,'Normative data'!$T$9:$T$15, "Not Found", -1)</f>
        <v>not completed</v>
      </c>
      <c r="CI362" s="20"/>
      <c r="CJ362" s="20" t="str">
        <f>_xlfn.XLOOKUP(CI362, 'Normative data'!$S$9:$S$15, 'Normative data'!$T$9:$T$15, "Not Found", -1)</f>
        <v>not completed</v>
      </c>
      <c r="CK362" s="17">
        <v>2.0699999999999998</v>
      </c>
      <c r="CL362" s="17">
        <v>4.83</v>
      </c>
      <c r="CN362" s="17">
        <v>6.5</v>
      </c>
      <c r="CO362" s="17">
        <v>7.69</v>
      </c>
      <c r="CR362" s="20" t="str" cm="1">
        <f t="array" ref="CR362">IF(OR(ISBLANK(E362),ISBLANK(CQ362)),"Incomplete",_xlfn.XLOOKUP(CQ362,_xlfn.XLOOKUP(E362,'Normative data'!$Y$3:$Y$6,'Normative data'!$Z$3:$AG$6,,-1),'Normative data'!$Z$2:$AG$2,"Not Found",-1))</f>
        <v>Incomplete</v>
      </c>
      <c r="CS362" s="20"/>
      <c r="CT362" s="20"/>
      <c r="CU362" s="20" t="str" cm="1">
        <f t="array" ref="CU362">_xlfn.XLOOKUP(CS362&amp;CT362,(VLOOKUP!$A$3:$A$250)&amp;(VLOOKUP!$B$3:$B$250),VLOOKUP!$C$3:$C$250,"Incomplete",-1)</f>
        <v>Incomplete</v>
      </c>
      <c r="CV362" s="20" t="str" cm="1">
        <f t="array" ref="CV362">_xlfn.XLOOKUP(CU362, _xlfn.XLOOKUP(E362, 'Normative data'!$Y$11:$Y$14, 'Normative data'!$Z$11:$AG$14, ,-1), 'Normative data'!$Z$10:$AG$10, "Not Found", -1)</f>
        <v>Excellent</v>
      </c>
      <c r="CW362" s="20" t="str" cm="1">
        <f t="array" ref="CW362">IF(OR(ISBLANK(CS362),ISBLANK(CT362)),"Incomplete",_xlfn.XLOOKUP(CS362&amp;CT362,VLOOKUP!$A$4:$A$250&amp;VLOOKUP!$B$4:$B$250,VLOOKUP!$D$4:$D$250,"0"))</f>
        <v>Incomplete</v>
      </c>
    </row>
    <row r="363" spans="1:101">
      <c r="A363" s="17" t="s">
        <v>892</v>
      </c>
      <c r="B363" s="17" t="s">
        <v>470</v>
      </c>
      <c r="C363" s="17" t="s">
        <v>86</v>
      </c>
      <c r="D363" s="26">
        <v>40072</v>
      </c>
      <c r="E363" s="17">
        <v>16.600000000000001</v>
      </c>
      <c r="F363" s="20" t="s">
        <v>181</v>
      </c>
      <c r="G363" s="17">
        <v>2026</v>
      </c>
      <c r="I363" s="20">
        <v>2</v>
      </c>
      <c r="J363" s="20" t="s">
        <v>122</v>
      </c>
      <c r="K363" s="20" t="s">
        <v>101</v>
      </c>
      <c r="L363" s="20" t="s">
        <v>567</v>
      </c>
      <c r="S363" s="20">
        <v>81.2</v>
      </c>
      <c r="T363" s="20">
        <v>151.5</v>
      </c>
      <c r="U363" s="17">
        <v>48.1</v>
      </c>
      <c r="V363" s="17">
        <v>28</v>
      </c>
      <c r="W363" s="17">
        <v>9.8000000000000007</v>
      </c>
      <c r="X363" s="17">
        <v>38.299999999999997</v>
      </c>
      <c r="Y363" s="17">
        <v>21</v>
      </c>
      <c r="Z363" s="17">
        <v>21</v>
      </c>
      <c r="AA363" s="17">
        <v>20.399999999999999</v>
      </c>
      <c r="AB363" s="17">
        <v>5.65</v>
      </c>
      <c r="AC363" s="17">
        <v>109.4</v>
      </c>
      <c r="AD363" s="17">
        <v>5.53</v>
      </c>
      <c r="AE363" s="17">
        <v>107.1</v>
      </c>
      <c r="AF363" s="17">
        <v>1.7</v>
      </c>
      <c r="AG363" s="17">
        <v>105.5</v>
      </c>
      <c r="AH363" s="17">
        <v>1.7</v>
      </c>
      <c r="AI363" s="17">
        <v>103.7</v>
      </c>
      <c r="AJ363" s="17">
        <v>288.2</v>
      </c>
      <c r="AK363" s="17">
        <v>298.2</v>
      </c>
      <c r="AL363" s="17">
        <v>248.9</v>
      </c>
      <c r="AM363" s="17">
        <v>260.89999999999998</v>
      </c>
      <c r="AN363" s="17">
        <v>77</v>
      </c>
      <c r="AO363" s="17">
        <v>0.79</v>
      </c>
      <c r="AP363" s="17">
        <v>6.5</v>
      </c>
      <c r="AQ363" s="17">
        <v>27.5</v>
      </c>
      <c r="AR363" s="17">
        <v>0.47399999999999998</v>
      </c>
      <c r="AS363" s="17">
        <v>35.200000000000003</v>
      </c>
      <c r="AT363" s="17">
        <v>0.53600000000000003</v>
      </c>
      <c r="AU363" s="17">
        <v>14.1</v>
      </c>
      <c r="AV363" s="17">
        <v>0.33900000000000002</v>
      </c>
      <c r="AW363" s="17">
        <v>17.5</v>
      </c>
      <c r="AX363" s="17">
        <v>0.378</v>
      </c>
      <c r="AY363" s="41">
        <f t="shared" si="94"/>
        <v>1793.1799999999998</v>
      </c>
      <c r="BA363" s="20">
        <f t="shared" si="95"/>
        <v>2260.5699999999997</v>
      </c>
      <c r="BC363" s="20">
        <f t="shared" si="96"/>
        <v>979.79999999999973</v>
      </c>
      <c r="BE363" s="20">
        <f t="shared" si="97"/>
        <v>1186.1799999999998</v>
      </c>
      <c r="BG363" s="17">
        <v>10.4</v>
      </c>
      <c r="BH363" s="17">
        <v>41.8</v>
      </c>
      <c r="BI363" s="20">
        <f t="shared" si="101"/>
        <v>31.4</v>
      </c>
      <c r="BJ363" s="20"/>
      <c r="BK363" s="17">
        <v>45</v>
      </c>
      <c r="BL363" s="20"/>
      <c r="BM363" s="17">
        <v>47</v>
      </c>
      <c r="BN363" s="20"/>
      <c r="BO363" s="17">
        <v>45</v>
      </c>
      <c r="BP363" s="17">
        <v>47</v>
      </c>
      <c r="BQ363" s="17">
        <v>73</v>
      </c>
      <c r="BR363" s="40">
        <v>70</v>
      </c>
      <c r="BS363" s="17">
        <v>65</v>
      </c>
      <c r="BT363" s="17">
        <v>71</v>
      </c>
      <c r="BU363" s="17">
        <v>72</v>
      </c>
      <c r="BV363" s="17">
        <v>65</v>
      </c>
      <c r="BW363" s="91">
        <f t="shared" si="99"/>
        <v>98.624940730203903</v>
      </c>
      <c r="BX363" s="91" t="str">
        <f>_xlfn.XLOOKUP(BW363,'Normative data'!$V$3:$V$6,'Normative data'!$W$3:$W$6,"Not Found",-1)</f>
        <v>Low risk</v>
      </c>
      <c r="BY363" s="91">
        <f t="shared" si="100"/>
        <v>98.624940730203903</v>
      </c>
      <c r="BZ363" s="91" t="str">
        <f>_xlfn.XLOOKUP(BY363,'Normative data'!$V$3:$V$6,'Normative data'!$W$3:$W$6,"Not Found",-1)</f>
        <v>Low risk</v>
      </c>
      <c r="CA363" s="17">
        <v>38</v>
      </c>
      <c r="CC363" s="20"/>
      <c r="CE363" s="17">
        <v>16</v>
      </c>
      <c r="CG363" s="17">
        <v>16.98</v>
      </c>
      <c r="CH363" s="20" t="str">
        <f>_xlfn.XLOOKUP(CG363, 'Normative data'!$S$9:$S$15,'Normative data'!$T$9:$T$15, "Not Found", -1)</f>
        <v>Above Average</v>
      </c>
      <c r="CI363" s="17">
        <v>17.59</v>
      </c>
      <c r="CJ363" s="20" t="str">
        <f>_xlfn.XLOOKUP(CI363, 'Normative data'!$S$9:$S$15, 'Normative data'!$T$9:$T$15, "Not Found", -1)</f>
        <v>Above Average</v>
      </c>
      <c r="CK363" s="21"/>
      <c r="CL363" s="21"/>
      <c r="CM363" s="21"/>
      <c r="CN363" s="21"/>
      <c r="CO363" s="21"/>
      <c r="CQ363" s="17">
        <v>8.1</v>
      </c>
      <c r="CR363" s="20" t="str" cm="1">
        <f t="array" ref="CR363">IF(OR(ISBLANK(E363),ISBLANK(CQ363)),"Incomplete",_xlfn.XLOOKUP(CQ363,_xlfn.XLOOKUP(E363,'Normative data'!$Y$3:$Y$6,'Normative data'!$Z$3:$AG$6,,-1),'Normative data'!$Z$2:$AG$2,"Not Found",-1))</f>
        <v>Average</v>
      </c>
      <c r="CS363" s="20">
        <v>8</v>
      </c>
      <c r="CT363" s="20">
        <v>1</v>
      </c>
      <c r="CU363" s="20" cm="1">
        <f t="array" ref="CU363">_xlfn.XLOOKUP(CS363&amp;CT363,(VLOOKUP!$A$3:$A$250)&amp;(VLOOKUP!$B$3:$B$250),VLOOKUP!$C$3:$C$250,"Incomplete",-1)</f>
        <v>1240</v>
      </c>
      <c r="CV363" s="20" t="str" cm="1">
        <f t="array" ref="CV363">_xlfn.XLOOKUP(CU363, _xlfn.XLOOKUP(E363, 'Normative data'!$Y$11:$Y$14, 'Normative data'!$Z$11:$AG$14, ,-1), 'Normative data'!$Z$10:$AG$10, "Not Found", -1)</f>
        <v>Average</v>
      </c>
      <c r="CW363" s="20" cm="1">
        <f t="array" ref="CW363">IF(OR(ISBLANK(CS363),ISBLANK(CT363)),"Incomplete",_xlfn.XLOOKUP(CS363&amp;CT363,VLOOKUP!$A$4:$A$250&amp;VLOOKUP!$B$4:$B$250,VLOOKUP!$D$4:$D$250,"0"))</f>
        <v>40</v>
      </c>
    </row>
    <row r="364" spans="1:101">
      <c r="A364" s="17" t="s">
        <v>760</v>
      </c>
      <c r="B364" s="17" t="s">
        <v>470</v>
      </c>
      <c r="C364" s="17" t="s">
        <v>86</v>
      </c>
      <c r="D364" s="26"/>
      <c r="F364" s="20" t="s">
        <v>186</v>
      </c>
      <c r="G364" s="17">
        <v>2026</v>
      </c>
      <c r="I364" s="20">
        <v>2</v>
      </c>
      <c r="J364" s="20"/>
      <c r="K364" s="20"/>
      <c r="L364" s="20"/>
      <c r="S364" s="20">
        <v>92.5</v>
      </c>
      <c r="T364" s="20">
        <v>175.9</v>
      </c>
      <c r="AY364" s="41" t="str">
        <f t="shared" si="94"/>
        <v>Incomplete</v>
      </c>
      <c r="BA364" s="20" t="str">
        <f t="shared" si="95"/>
        <v>Incomplete</v>
      </c>
      <c r="BC364" s="20" t="str">
        <f t="shared" si="96"/>
        <v>Incomplete</v>
      </c>
      <c r="BE364" s="20" t="str">
        <f t="shared" si="97"/>
        <v>Incomplete</v>
      </c>
      <c r="BG364" s="17">
        <v>8.6</v>
      </c>
      <c r="BH364" s="17">
        <v>46.2</v>
      </c>
      <c r="BI364" s="20">
        <f t="shared" si="101"/>
        <v>37.6</v>
      </c>
      <c r="BJ364" s="20"/>
      <c r="BL364" s="20"/>
      <c r="BN364" s="20"/>
      <c r="BQ364" s="17">
        <v>83</v>
      </c>
      <c r="BR364" s="17">
        <v>87</v>
      </c>
      <c r="BS364" s="17">
        <v>72</v>
      </c>
      <c r="BT364" s="17">
        <v>79</v>
      </c>
      <c r="BU364" s="17">
        <v>77</v>
      </c>
      <c r="BV364" s="17">
        <v>74</v>
      </c>
      <c r="BW364" s="91">
        <f t="shared" si="99"/>
        <v>96.722621902478011</v>
      </c>
      <c r="BX364" s="91" t="str">
        <f>_xlfn.XLOOKUP(BW364,'Normative data'!$V$3:$V$6,'Normative data'!$W$3:$W$6,"Not Found",-1)</f>
        <v>Low risk</v>
      </c>
      <c r="BY364" s="91">
        <f t="shared" si="100"/>
        <v>91.926458832933648</v>
      </c>
      <c r="BZ364" s="91" t="str">
        <f>_xlfn.XLOOKUP(BY364,'Normative data'!$V$3:$V$6,'Normative data'!$W$3:$W$6,"Not Found",-1)</f>
        <v>High risk</v>
      </c>
      <c r="CA364" s="20"/>
      <c r="CC364" s="20"/>
      <c r="CE364" s="17">
        <v>11</v>
      </c>
      <c r="CG364" s="17">
        <v>18.66</v>
      </c>
      <c r="CH364" s="20" t="str">
        <f>_xlfn.XLOOKUP(CG364, 'Normative data'!$S$9:$S$15,'Normative data'!$T$9:$T$15, "Not Found", -1)</f>
        <v>Average</v>
      </c>
      <c r="CI364" s="17">
        <v>18.850000000000001</v>
      </c>
      <c r="CJ364" s="20" t="str">
        <f>_xlfn.XLOOKUP(CI364, 'Normative data'!$S$9:$S$15, 'Normative data'!$T$9:$T$15, "Not Found", -1)</f>
        <v>Average</v>
      </c>
      <c r="CK364" s="17">
        <v>2.36</v>
      </c>
      <c r="CL364" s="17">
        <v>4.24</v>
      </c>
      <c r="CN364" s="17">
        <v>7.27</v>
      </c>
      <c r="CO364" s="17">
        <v>6.88</v>
      </c>
      <c r="CR364" s="20" t="str" cm="1">
        <f t="array" ref="CR364">IF(OR(ISBLANK(E364),ISBLANK(CQ364)),"Incomplete",_xlfn.XLOOKUP(CQ364,_xlfn.XLOOKUP(E364,'Normative data'!$Y$3:$Y$6,'Normative data'!$Z$3:$AG$6,,-1),'Normative data'!$Z$2:$AG$2,"Not Found",-1))</f>
        <v>Incomplete</v>
      </c>
      <c r="CS364" s="20"/>
      <c r="CT364" s="20"/>
      <c r="CU364" s="20" t="str" cm="1">
        <f t="array" ref="CU364">_xlfn.XLOOKUP(CS364&amp;CT364,(VLOOKUP!$A$3:$A$250)&amp;(VLOOKUP!$B$3:$B$250),VLOOKUP!$C$3:$C$250,"Incomplete",-1)</f>
        <v>Incomplete</v>
      </c>
      <c r="CV364" s="20" t="str" cm="1">
        <f t="array" ref="CV364">_xlfn.XLOOKUP(CU364, _xlfn.XLOOKUP(E364, 'Normative data'!$Y$11:$Y$14, 'Normative data'!$Z$11:$AG$14, ,-1), 'Normative data'!$Z$10:$AG$10, "Not Found", -1)</f>
        <v>Excellent</v>
      </c>
      <c r="CW364" s="20" t="str" cm="1">
        <f t="array" ref="CW364">IF(OR(ISBLANK(CS364),ISBLANK(CT364)),"Incomplete",_xlfn.XLOOKUP(CS364&amp;CT364,VLOOKUP!$A$4:$A$250&amp;VLOOKUP!$B$4:$B$250,VLOOKUP!$D$4:$D$250,"0"))</f>
        <v>Incomplete</v>
      </c>
    </row>
    <row r="365" spans="1:101">
      <c r="A365" s="17" t="s">
        <v>893</v>
      </c>
      <c r="B365" s="17" t="s">
        <v>894</v>
      </c>
      <c r="C365" s="17" t="s">
        <v>86</v>
      </c>
      <c r="D365" s="26">
        <v>40610</v>
      </c>
      <c r="E365" s="17">
        <v>14.8</v>
      </c>
      <c r="F365" s="20" t="s">
        <v>104</v>
      </c>
      <c r="G365" s="17">
        <v>2026</v>
      </c>
      <c r="I365" s="20">
        <v>2</v>
      </c>
      <c r="J365" s="20" t="s">
        <v>122</v>
      </c>
      <c r="K365" s="20" t="s">
        <v>297</v>
      </c>
      <c r="L365" s="20" t="s">
        <v>102</v>
      </c>
      <c r="S365" s="20">
        <v>94</v>
      </c>
      <c r="T365" s="20">
        <v>164.7</v>
      </c>
      <c r="U365" s="17">
        <v>57.3</v>
      </c>
      <c r="V365" s="17">
        <v>32.6</v>
      </c>
      <c r="W365" s="17">
        <v>12.7</v>
      </c>
      <c r="X365" s="17">
        <v>44.6</v>
      </c>
      <c r="Y365" s="17">
        <v>24.4</v>
      </c>
      <c r="Z365" s="17">
        <v>21.1</v>
      </c>
      <c r="AA365" s="17">
        <v>22.1</v>
      </c>
      <c r="AB365" s="17">
        <v>6.69</v>
      </c>
      <c r="AC365" s="17">
        <v>101.1</v>
      </c>
      <c r="AD365" s="17">
        <v>6.8</v>
      </c>
      <c r="AE365" s="17">
        <v>102.6</v>
      </c>
      <c r="AF365" s="17">
        <v>2.1</v>
      </c>
      <c r="AG365" s="17">
        <v>83</v>
      </c>
      <c r="AH365" s="17">
        <v>2.1</v>
      </c>
      <c r="AI365" s="17">
        <v>83.4</v>
      </c>
      <c r="AJ365" s="17">
        <v>299.89999999999998</v>
      </c>
      <c r="AK365" s="17">
        <v>289.3</v>
      </c>
      <c r="AL365" s="17">
        <v>268.60000000000002</v>
      </c>
      <c r="AM365" s="17">
        <v>259.3</v>
      </c>
      <c r="AN365" s="17">
        <v>103</v>
      </c>
      <c r="AO365" s="17">
        <v>0.82</v>
      </c>
      <c r="AP365" s="17">
        <v>6.5</v>
      </c>
      <c r="AQ365" s="17">
        <v>25.7</v>
      </c>
      <c r="AR365" s="17">
        <v>0.45800000000000002</v>
      </c>
      <c r="AS365" s="17">
        <v>30</v>
      </c>
      <c r="AT365" s="17">
        <v>0.495</v>
      </c>
      <c r="AU365" s="17">
        <v>18.100000000000001</v>
      </c>
      <c r="AV365" s="17">
        <v>0.38400000000000001</v>
      </c>
      <c r="AW365" s="17">
        <v>17.600000000000001</v>
      </c>
      <c r="AX365" s="17">
        <v>0.379</v>
      </c>
      <c r="AY365" s="41">
        <f t="shared" si="94"/>
        <v>2100.6799999999994</v>
      </c>
      <c r="BA365" s="20">
        <f t="shared" si="95"/>
        <v>2361.6899999999996</v>
      </c>
      <c r="BC365" s="20">
        <f t="shared" si="96"/>
        <v>1639.3599999999997</v>
      </c>
      <c r="BE365" s="20">
        <f t="shared" si="97"/>
        <v>1609.0099999999998</v>
      </c>
      <c r="BG365" s="17">
        <v>14.8</v>
      </c>
      <c r="BH365" s="17">
        <v>57.9</v>
      </c>
      <c r="BI365" s="20">
        <f t="shared" si="101"/>
        <v>43.099999999999994</v>
      </c>
      <c r="BJ365" s="20"/>
      <c r="BK365" s="17">
        <v>8.5</v>
      </c>
      <c r="BL365" s="20"/>
      <c r="BM365" s="17">
        <v>8</v>
      </c>
      <c r="BN365" s="20"/>
      <c r="BO365" s="17">
        <v>51</v>
      </c>
      <c r="BP365" s="17">
        <v>50</v>
      </c>
      <c r="BQ365" s="17">
        <v>79</v>
      </c>
      <c r="BR365" s="17">
        <v>81</v>
      </c>
      <c r="BS365" s="17">
        <v>80</v>
      </c>
      <c r="BT365" s="17">
        <v>72</v>
      </c>
      <c r="BU365" s="17">
        <v>82</v>
      </c>
      <c r="BV365" s="17">
        <v>78</v>
      </c>
      <c r="BW365" s="91">
        <f t="shared" si="99"/>
        <v>113.15417256011318</v>
      </c>
      <c r="BX365" s="91" t="str">
        <f>_xlfn.XLOOKUP(BW365,'Normative data'!$V$3:$V$6,'Normative data'!$W$3:$W$6,"Not Found",-1)</f>
        <v>Low risk</v>
      </c>
      <c r="BY365" s="91">
        <f t="shared" si="100"/>
        <v>109.3823668081094</v>
      </c>
      <c r="BZ365" s="91" t="str">
        <f>_xlfn.XLOOKUP(BY365,'Normative data'!$V$3:$V$6,'Normative data'!$W$3:$W$6,"Not Found",-1)</f>
        <v>Low risk</v>
      </c>
      <c r="CA365" s="17">
        <v>30</v>
      </c>
      <c r="CC365" s="20"/>
      <c r="CE365" s="17">
        <v>10</v>
      </c>
      <c r="CG365" s="17">
        <v>17.03</v>
      </c>
      <c r="CH365" s="20" t="str">
        <f>_xlfn.XLOOKUP(CG365, 'Normative data'!$S$9:$S$15,'Normative data'!$T$9:$T$15, "Not Found", -1)</f>
        <v>Above Average</v>
      </c>
      <c r="CI365" s="17">
        <v>17.18</v>
      </c>
      <c r="CJ365" s="20" t="str">
        <f>_xlfn.XLOOKUP(CI365, 'Normative data'!$S$9:$S$15, 'Normative data'!$T$9:$T$15, "Not Found", -1)</f>
        <v>Above Average</v>
      </c>
      <c r="CK365" s="17">
        <v>2.06</v>
      </c>
      <c r="CL365" s="17">
        <v>4.8499999999999996</v>
      </c>
      <c r="CN365" s="17">
        <v>6.57</v>
      </c>
      <c r="CO365" s="17">
        <v>7.61</v>
      </c>
      <c r="CQ365" s="17">
        <v>10.1</v>
      </c>
      <c r="CR365" s="20" t="str" cm="1">
        <f t="array" ref="CR365">IF(OR(ISBLANK(E365),ISBLANK(CQ365)),"Incomplete",_xlfn.XLOOKUP(CQ365,_xlfn.XLOOKUP(E365,'Normative data'!$Y$3:$Y$6,'Normative data'!$Z$3:$AG$6,,-1),'Normative data'!$Z$2:$AG$2,"Not Found",-1))</f>
        <v>Very good</v>
      </c>
      <c r="CS365" s="20">
        <v>10</v>
      </c>
      <c r="CT365" s="20">
        <v>1</v>
      </c>
      <c r="CU365" s="20" cm="1">
        <f t="array" ref="CU365">_xlfn.XLOOKUP(CS365&amp;CT365,(VLOOKUP!$A$3:$A$250)&amp;(VLOOKUP!$B$3:$B$250),VLOOKUP!$C$3:$C$250,"Incomplete",-1)</f>
        <v>1680</v>
      </c>
      <c r="CV365" s="20" t="str" cm="1">
        <f t="array" ref="CV365">_xlfn.XLOOKUP(CU365, _xlfn.XLOOKUP(E365, 'Normative data'!$Y$11:$Y$14, 'Normative data'!$Z$11:$AG$14, ,-1), 'Normative data'!$Z$10:$AG$10, "Not Found", -1)</f>
        <v xml:space="preserve">Good </v>
      </c>
      <c r="CW365" s="20" cm="1">
        <f t="array" ref="CW365">IF(OR(ISBLANK(CS365),ISBLANK(CT365)),"Incomplete",_xlfn.XLOOKUP(CS365&amp;CT365,VLOOKUP!$A$4:$A$250&amp;VLOOKUP!$B$4:$B$250,VLOOKUP!$D$4:$D$250,"0"))</f>
        <v>47</v>
      </c>
    </row>
    <row r="366" spans="1:101">
      <c r="A366" s="22" t="s">
        <v>895</v>
      </c>
      <c r="B366" s="22" t="s">
        <v>896</v>
      </c>
      <c r="C366" s="17" t="s">
        <v>86</v>
      </c>
      <c r="D366" s="23">
        <v>40577</v>
      </c>
      <c r="F366" s="17">
        <v>8</v>
      </c>
      <c r="G366" s="17">
        <v>2025</v>
      </c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41" t="str">
        <f t="shared" si="94"/>
        <v>Incomplete</v>
      </c>
      <c r="AZ366" s="20"/>
      <c r="BA366" s="20" t="str">
        <f t="shared" si="95"/>
        <v>Incomplete</v>
      </c>
      <c r="BB366" s="20"/>
      <c r="BC366" s="20" t="str">
        <f t="shared" si="96"/>
        <v>Incomplete</v>
      </c>
      <c r="BD366" s="20"/>
      <c r="BE366" s="20" t="str">
        <f t="shared" si="97"/>
        <v>Incomplete</v>
      </c>
      <c r="BF366" s="20"/>
      <c r="BG366" s="20"/>
      <c r="BH366" s="20"/>
      <c r="BI366" s="20" t="str">
        <f t="shared" si="101"/>
        <v>Incomplete</v>
      </c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91" t="str">
        <f t="shared" si="99"/>
        <v>Incomplete</v>
      </c>
      <c r="BX366" s="91" t="str">
        <f>_xlfn.XLOOKUP(BW366,'Normative data'!$V$3:$V$6,'Normative data'!$W$3:$W$6,"Not Found",-1)</f>
        <v>Very low risk</v>
      </c>
      <c r="BY366" s="91" t="str">
        <f t="shared" si="100"/>
        <v>Incomplete</v>
      </c>
      <c r="BZ366" s="91" t="str">
        <f>_xlfn.XLOOKUP(BY366,'Normative data'!$V$3:$V$6,'Normative data'!$W$3:$W$6,"Not Found",-1)</f>
        <v>Very low risk</v>
      </c>
      <c r="CA366" s="20"/>
      <c r="CC366" s="20"/>
      <c r="CE366" s="20"/>
      <c r="CG366" s="20"/>
      <c r="CH366" s="20" t="str">
        <f>_xlfn.XLOOKUP(CG366, 'Normative data'!$S$9:$S$15,'Normative data'!$T$9:$T$15, "Not Found", -1)</f>
        <v>not completed</v>
      </c>
      <c r="CI366" s="20"/>
      <c r="CJ366" s="20" t="str">
        <f>_xlfn.XLOOKUP(CI366, 'Normative data'!$S$9:$S$15, 'Normative data'!$T$9:$T$15, "Not Found", -1)</f>
        <v>not completed</v>
      </c>
      <c r="CK366" s="24">
        <v>2.36</v>
      </c>
      <c r="CL366" s="24">
        <v>4.24</v>
      </c>
      <c r="CM366" s="24"/>
      <c r="CN366" s="24">
        <v>7.78</v>
      </c>
      <c r="CO366" s="24">
        <v>6.43</v>
      </c>
      <c r="CP366" s="24"/>
      <c r="CQ366" s="20"/>
      <c r="CR366" s="20" t="str" cm="1">
        <f t="array" ref="CR366">IF(OR(ISBLANK(E366),ISBLANK(CQ366)),"Incomplete",_xlfn.XLOOKUP(CQ366,_xlfn.XLOOKUP(E366,'Normative data'!$Y$3:$Y$6,'Normative data'!$Z$3:$AG$6,,-1),'Normative data'!$Z$2:$AG$2,"Not Found",-1))</f>
        <v>Incomplete</v>
      </c>
      <c r="CS366" s="20"/>
      <c r="CT366" s="20"/>
      <c r="CU366" s="20" t="str" cm="1">
        <f t="array" ref="CU366">_xlfn.XLOOKUP(CS366&amp;CT366,(VLOOKUP!$A$3:$A$250)&amp;(VLOOKUP!$B$3:$B$250),VLOOKUP!$C$3:$C$250,"Incomplete",-1)</f>
        <v>Incomplete</v>
      </c>
      <c r="CV366" s="20" t="str" cm="1">
        <f t="array" ref="CV366">_xlfn.XLOOKUP(CU366, _xlfn.XLOOKUP(E366, 'Normative data'!$Y$11:$Y$14, 'Normative data'!$Z$11:$AG$14, ,-1), 'Normative data'!$Z$10:$AG$10, "Not Found", -1)</f>
        <v>Excellent</v>
      </c>
      <c r="CW366" s="20" t="str" cm="1">
        <f t="array" ref="CW366">IF(OR(ISBLANK(CS366),ISBLANK(CT366)),"Incomplete",_xlfn.XLOOKUP(CS366&amp;CT366,VLOOKUP!$A$4:$A$250&amp;VLOOKUP!$B$4:$B$250,VLOOKUP!$D$4:$D$250,"0"))</f>
        <v>Incomplete</v>
      </c>
    </row>
    <row r="367" spans="1:101">
      <c r="A367" s="22" t="s">
        <v>897</v>
      </c>
      <c r="B367" s="22" t="s">
        <v>898</v>
      </c>
      <c r="C367" s="17" t="s">
        <v>86</v>
      </c>
      <c r="D367" s="26">
        <v>40786</v>
      </c>
      <c r="F367" s="17">
        <v>8</v>
      </c>
      <c r="G367" s="17">
        <v>2025</v>
      </c>
      <c r="J367" s="17" t="s">
        <v>122</v>
      </c>
      <c r="S367" s="20"/>
      <c r="T367" s="20">
        <v>161</v>
      </c>
      <c r="U367" s="20">
        <v>50.9</v>
      </c>
      <c r="V367" s="20"/>
      <c r="W367" s="20">
        <v>9.6</v>
      </c>
      <c r="X367" s="20">
        <f>SUM(T367-W367)</f>
        <v>151.4</v>
      </c>
      <c r="Y367" s="20">
        <v>22.5</v>
      </c>
      <c r="Z367" s="20">
        <v>19.600000000000001</v>
      </c>
      <c r="AA367" s="20">
        <v>18.899999999999999</v>
      </c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41" t="str">
        <f t="shared" si="94"/>
        <v>Incomplete</v>
      </c>
      <c r="AZ367" s="20"/>
      <c r="BA367" s="20" t="str">
        <f t="shared" si="95"/>
        <v>Incomplete</v>
      </c>
      <c r="BB367" s="20"/>
      <c r="BC367" s="20" t="str">
        <f t="shared" si="96"/>
        <v>Incomplete</v>
      </c>
      <c r="BD367" s="20"/>
      <c r="BE367" s="20" t="str">
        <f t="shared" si="97"/>
        <v>Incomplete</v>
      </c>
      <c r="BF367" s="20"/>
      <c r="BG367" s="20">
        <v>13.5</v>
      </c>
      <c r="BH367" s="20">
        <v>46.2</v>
      </c>
      <c r="BI367" s="20" t="e">
        <f>IF(OR(ISBLANK(#REF!), ISBLANK(#REF!)),"Incomplete",(SUM(#REF!-#REF!)))</f>
        <v>#REF!</v>
      </c>
      <c r="BJ367" s="20"/>
      <c r="BK367" s="20">
        <v>8</v>
      </c>
      <c r="BL367" s="20"/>
      <c r="BM367" s="20">
        <v>6</v>
      </c>
      <c r="BN367" s="20"/>
      <c r="BO367" s="20"/>
      <c r="BP367" s="20"/>
      <c r="BQ367" s="20"/>
      <c r="BR367" s="20"/>
      <c r="BS367" s="20"/>
      <c r="BT367" s="20"/>
      <c r="BU367" s="20"/>
      <c r="BV367" s="20"/>
      <c r="BW367" s="91">
        <f t="shared" si="99"/>
        <v>0</v>
      </c>
      <c r="BX367" s="91" t="str">
        <f>_xlfn.XLOOKUP(BW367,'Normative data'!$V$3:$V$6,'Normative data'!$W$3:$W$6,"Not Found",-1)</f>
        <v>Not completed</v>
      </c>
      <c r="BY367" s="91">
        <f t="shared" si="100"/>
        <v>0</v>
      </c>
      <c r="BZ367" s="91" t="str">
        <f>_xlfn.XLOOKUP(BY367,'Normative data'!$V$3:$V$6,'Normative data'!$W$3:$W$6,"Not Found",-1)</f>
        <v>Not completed</v>
      </c>
      <c r="CA367" s="20"/>
      <c r="CC367" s="20"/>
      <c r="CE367" s="20"/>
      <c r="CG367" s="20">
        <v>18.34</v>
      </c>
      <c r="CH367" s="20" t="e">
        <f>_xlfn.XLOOKUP(#REF!, 'Normative data'!$S$9:$S$15,'Normative data'!$T$9:$T$15, "Not Found", -1)</f>
        <v>#REF!</v>
      </c>
      <c r="CI367" s="20">
        <v>18</v>
      </c>
      <c r="CJ367" s="20" t="e">
        <f>_xlfn.XLOOKUP(#REF!, 'Normative data'!$S$9:$S$15, 'Normative data'!$T$9:$T$15, "Not Found", -1)</f>
        <v>#REF!</v>
      </c>
      <c r="CK367" s="24">
        <v>2.13</v>
      </c>
      <c r="CL367" s="24">
        <v>4.6900000000000004</v>
      </c>
      <c r="CM367" s="21"/>
      <c r="CN367" s="24">
        <v>6.54</v>
      </c>
      <c r="CO367" s="24">
        <v>7.68</v>
      </c>
      <c r="CP367" s="24"/>
      <c r="CQ367" s="20"/>
      <c r="CR367" s="20" t="str" cm="1">
        <f t="array" ref="CR367">IF(OR(ISBLANK(E367),ISBLANK(CQ367)),"Incomplete",_xlfn.XLOOKUP(CQ367,_xlfn.XLOOKUP(E367,'Normative data'!$Y$3:$Y$6,'Normative data'!$Z$3:$AG$6,,-1),'Normative data'!$Z$2:$AG$2,"Not Found",-1))</f>
        <v>Incomplete</v>
      </c>
      <c r="CS367" s="20"/>
      <c r="CT367" s="20"/>
      <c r="CU367" s="20" t="str" cm="1">
        <f t="array" ref="CU367">_xlfn.XLOOKUP(CS367&amp;CT367,(VLOOKUP!$A$3:$A$250)&amp;(VLOOKUP!$B$3:$B$250),VLOOKUP!$C$3:$C$250,"Incomplete",-1)</f>
        <v>Incomplete</v>
      </c>
      <c r="CV367" s="20" t="str" cm="1">
        <f t="array" ref="CV367">_xlfn.XLOOKUP(CU367, _xlfn.XLOOKUP(E367, 'Normative data'!$Y$11:$Y$14, 'Normative data'!$Z$11:$AG$14, ,-1), 'Normative data'!$Z$10:$AG$10, "Not Found", -1)</f>
        <v>Excellent</v>
      </c>
      <c r="CW367" s="20" t="str" cm="1">
        <f t="array" ref="CW367">IF(OR(ISBLANK(CS367),ISBLANK(CT367)),"Incomplete",_xlfn.XLOOKUP(CS367&amp;CT367,VLOOKUP!$A$4:$A$250&amp;VLOOKUP!$B$4:$B$250,VLOOKUP!$D$4:$D$250,"0"))</f>
        <v>Incomplete</v>
      </c>
    </row>
    <row r="368" spans="1:101">
      <c r="A368" s="17" t="s">
        <v>899</v>
      </c>
      <c r="B368" s="17" t="s">
        <v>898</v>
      </c>
      <c r="C368" s="17" t="s">
        <v>86</v>
      </c>
      <c r="D368" s="26">
        <v>40786</v>
      </c>
      <c r="G368" s="17">
        <v>2025</v>
      </c>
      <c r="J368" s="17" t="s">
        <v>122</v>
      </c>
      <c r="S368" s="20"/>
      <c r="T368" s="20" t="s">
        <v>900</v>
      </c>
      <c r="U368" s="20">
        <v>53</v>
      </c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41" t="str">
        <f>IF(OR(ISBLANK(#REF!), ISBLANK(AQ368)), "Incomplete", (60.7*AQ368)+(45.3*#REF!)-2055)</f>
        <v>Incomplete</v>
      </c>
      <c r="AZ368" s="20"/>
      <c r="BA368" s="20" t="str">
        <f>IF(OR(ISBLANK(#REF!), ISBLANK(AS368)), "Incomplete", (60.7*AS368)+(45.3*#REF!)-2055)</f>
        <v>Incomplete</v>
      </c>
      <c r="BB368" s="20"/>
      <c r="BC368" s="20" t="str">
        <f>IF(OR(ISBLANK(#REF!), ISBLANK(AU368)), "Incomplete", (60.7*AU368)+(45.3*#REF!)-2055)</f>
        <v>Incomplete</v>
      </c>
      <c r="BD368" s="20"/>
      <c r="BE368" s="20" t="str">
        <f>IF(OR(ISBLANK(#REF!), ISBLANK(AW368)), "Incomplete", (60.7*AW368)+(45.3*#REF!)-2055)</f>
        <v>Incomplete</v>
      </c>
      <c r="BF368" s="20"/>
      <c r="BG368" s="20">
        <v>16</v>
      </c>
      <c r="BH368" s="20">
        <v>32.9</v>
      </c>
      <c r="BI368" s="20" t="e">
        <f>IF(OR(ISBLANK(#REF!), ISBLANK(#REF!)),"Incomplete",(SUM(#REF!-#REF!)))</f>
        <v>#REF!</v>
      </c>
      <c r="BJ368" s="20"/>
      <c r="BK368" s="20">
        <v>5</v>
      </c>
      <c r="BL368" s="20"/>
      <c r="BM368" s="20">
        <v>5</v>
      </c>
      <c r="BN368" s="20"/>
      <c r="BO368" s="20"/>
      <c r="BP368" s="20"/>
      <c r="BQ368" s="20"/>
      <c r="BR368" s="20"/>
      <c r="BS368" s="20"/>
      <c r="BT368" s="20"/>
      <c r="BU368" s="20"/>
      <c r="BV368" s="20"/>
      <c r="BW368" s="91" t="str">
        <f>IFERROR(SUM(BQ368+BR368+BS368)/(3*(#REF!-S368))*100, "Incomplete")</f>
        <v>Incomplete</v>
      </c>
      <c r="BX368" s="91" t="str">
        <f>_xlfn.XLOOKUP(BW368,'Normative data'!$V$3:$V$6,'Normative data'!$W$3:$W$6,"Not Found",-1)</f>
        <v>Very low risk</v>
      </c>
      <c r="BY368" s="91" t="str">
        <f>IFERROR(SUM(BT368+BU368+BV368)/(3*(#REF!-S368))*100, "Incomplete")</f>
        <v>Incomplete</v>
      </c>
      <c r="BZ368" s="91" t="str">
        <f>_xlfn.XLOOKUP(BY368,'Normative data'!$V$3:$V$6,'Normative data'!$W$3:$W$6,"Not Found",-1)</f>
        <v>Very low risk</v>
      </c>
      <c r="CA368" s="20"/>
      <c r="CC368" s="20"/>
      <c r="CE368" s="20"/>
      <c r="CG368" s="20">
        <v>18.399999999999999</v>
      </c>
      <c r="CH368" s="20" t="str">
        <f>_xlfn.XLOOKUP(CG368, 'Normative data'!$S$9:$S$15,'Normative data'!$T$9:$T$15, "Not Found", -1)</f>
        <v>Average</v>
      </c>
      <c r="CI368" s="20">
        <v>17.600000000000001</v>
      </c>
      <c r="CJ368" s="20" t="str">
        <f>_xlfn.XLOOKUP(CI368, 'Normative data'!$S$9:$S$15, 'Normative data'!$T$9:$T$15, "Not Found", -1)</f>
        <v>Above Average</v>
      </c>
      <c r="CK368" s="21"/>
      <c r="CL368" s="21"/>
      <c r="CM368" s="21"/>
      <c r="CN368" s="21"/>
      <c r="CO368" s="21"/>
      <c r="CQ368" s="20"/>
      <c r="CR368" s="20" t="str" cm="1">
        <f t="array" ref="CR368">IF(OR(ISBLANK(E368),ISBLANK(CQ368)),"Incomplete",_xlfn.XLOOKUP(CQ368,_xlfn.XLOOKUP(E368,'Normative data'!$Y$3:$Y$6,'Normative data'!$Z$3:$AG$6,,-1),'Normative data'!$Z$2:$AG$2,"Not Found",-1))</f>
        <v>Incomplete</v>
      </c>
      <c r="CS368" s="20"/>
      <c r="CT368" s="20"/>
      <c r="CU368" s="20" t="str" cm="1">
        <f t="array" ref="CU368">_xlfn.XLOOKUP(CS368&amp;CT368,(VLOOKUP!$A$3:$A$250)&amp;(VLOOKUP!$B$3:$B$250),VLOOKUP!$C$3:$C$250,"Incomplete",-1)</f>
        <v>Incomplete</v>
      </c>
      <c r="CV368" s="20" t="str" cm="1">
        <f t="array" ref="CV368">_xlfn.XLOOKUP(CU368, _xlfn.XLOOKUP(E368, 'Normative data'!$Y$11:$Y$14, 'Normative data'!$Z$11:$AG$14, ,-1), 'Normative data'!$Z$10:$AG$10, "Not Found", -1)</f>
        <v>Excellent</v>
      </c>
      <c r="CW368" s="20" t="str" cm="1">
        <f t="array" ref="CW368">IF(OR(ISBLANK(CS368),ISBLANK(CT368)),"Incomplete",_xlfn.XLOOKUP(CS368&amp;CT368,VLOOKUP!$A$4:$A$250&amp;VLOOKUP!$B$4:$B$250,VLOOKUP!$D$4:$D$250,"0"))</f>
        <v>Incomplete</v>
      </c>
    </row>
    <row r="369" spans="1:101">
      <c r="A369" s="17" t="s">
        <v>899</v>
      </c>
      <c r="B369" s="17" t="s">
        <v>898</v>
      </c>
      <c r="C369" s="17" t="s">
        <v>86</v>
      </c>
      <c r="D369" s="26">
        <v>40786</v>
      </c>
      <c r="G369" s="17">
        <v>2025</v>
      </c>
      <c r="J369" s="17" t="s">
        <v>122</v>
      </c>
      <c r="S369" s="20"/>
      <c r="T369" s="20" t="s">
        <v>901</v>
      </c>
      <c r="U369" s="20" t="s">
        <v>902</v>
      </c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41" t="str">
        <f>IF(OR(ISBLANK(U368), ISBLANK(AQ369)), "Incomplete", (60.7*AQ369)+(45.3*U368)-2055)</f>
        <v>Incomplete</v>
      </c>
      <c r="AZ369" s="20"/>
      <c r="BA369" s="20" t="str">
        <f>IF(OR(ISBLANK(U368), ISBLANK(AS369)), "Incomplete", (60.7*AS369)+(45.3*U368)-2055)</f>
        <v>Incomplete</v>
      </c>
      <c r="BB369" s="20"/>
      <c r="BC369" s="20" t="str">
        <f>IF(OR(ISBLANK(U368), ISBLANK(AU369)), "Incomplete", (60.7*AU369)+(45.3*U368)-2055)</f>
        <v>Incomplete</v>
      </c>
      <c r="BD369" s="20"/>
      <c r="BE369" s="20" t="str">
        <f>IF(OR(ISBLANK(U368), ISBLANK(AW369)), "Incomplete", (60.7*AW369)+(45.3*U368)-2055)</f>
        <v>Incomplete</v>
      </c>
      <c r="BF369" s="20"/>
      <c r="BG369" s="20"/>
      <c r="BH369" s="20"/>
      <c r="BI369" s="20" t="str">
        <f>IF(OR(ISBLANK(BG369), ISBLANK(BH369)),"Incomplete",(SUM(BH369-BG369)))</f>
        <v>Incomplete</v>
      </c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91" t="str">
        <f>IFERROR(SUM(BQ369+BR369+BS369)/(3*(T368-S369))*100, "Incomplete")</f>
        <v>Incomplete</v>
      </c>
      <c r="BX369" s="91" t="str">
        <f>_xlfn.XLOOKUP(BW369,'Normative data'!$V$3:$V$6,'Normative data'!$W$3:$W$6,"Not Found",-1)</f>
        <v>Very low risk</v>
      </c>
      <c r="BY369" s="91" t="str">
        <f>IFERROR(SUM(BT369+BU369+BV369)/(3*(T368-S369))*100, "Incomplete")</f>
        <v>Incomplete</v>
      </c>
      <c r="BZ369" s="91" t="str">
        <f>_xlfn.XLOOKUP(BY369,'Normative data'!$V$3:$V$6,'Normative data'!$W$3:$W$6,"Not Found",-1)</f>
        <v>Very low risk</v>
      </c>
      <c r="CA369" s="20"/>
      <c r="CC369" s="20"/>
      <c r="CE369" s="20"/>
      <c r="CG369" s="20"/>
      <c r="CH369" s="20" t="str">
        <f>_xlfn.XLOOKUP(CG369, 'Normative data'!$S$9:$S$15,'Normative data'!$T$9:$T$15, "Not Found", -1)</f>
        <v>not completed</v>
      </c>
      <c r="CI369" s="20"/>
      <c r="CJ369" s="20" t="str">
        <f>_xlfn.XLOOKUP(CI369, 'Normative data'!$S$9:$S$15, 'Normative data'!$T$9:$T$15, "Not Found", -1)</f>
        <v>not completed</v>
      </c>
      <c r="CK369" s="21"/>
      <c r="CL369" s="21"/>
      <c r="CM369" s="21"/>
      <c r="CN369" s="21"/>
      <c r="CO369" s="21"/>
      <c r="CQ369" s="20"/>
      <c r="CR369" s="20" t="str" cm="1">
        <f t="array" ref="CR369">IF(OR(ISBLANK(E369),ISBLANK(CQ369)),"Incomplete",_xlfn.XLOOKUP(CQ369,_xlfn.XLOOKUP(E369,'Normative data'!$Y$3:$Y$6,'Normative data'!$Z$3:$AG$6,,-1),'Normative data'!$Z$2:$AG$2,"Not Found",-1))</f>
        <v>Incomplete</v>
      </c>
      <c r="CS369" s="20"/>
      <c r="CT369" s="20"/>
      <c r="CU369" s="20" t="str" cm="1">
        <f t="array" ref="CU369">_xlfn.XLOOKUP(CS369&amp;CT369,(VLOOKUP!$A$3:$A$250)&amp;(VLOOKUP!$B$3:$B$250),VLOOKUP!$C$3:$C$250,"Incomplete",-1)</f>
        <v>Incomplete</v>
      </c>
      <c r="CV369" s="20" t="str" cm="1">
        <f t="array" ref="CV369">_xlfn.XLOOKUP(CU369, _xlfn.XLOOKUP(E369, 'Normative data'!$Y$11:$Y$14, 'Normative data'!$Z$11:$AG$14, ,-1), 'Normative data'!$Z$10:$AG$10, "Not Found", -1)</f>
        <v>Excellent</v>
      </c>
      <c r="CW369" s="20" t="str" cm="1">
        <f t="array" ref="CW369">IF(OR(ISBLANK(CS369),ISBLANK(CT369)),"Incomplete",_xlfn.XLOOKUP(CS369&amp;CT369,VLOOKUP!$A$4:$A$250&amp;VLOOKUP!$B$4:$B$250,VLOOKUP!$D$4:$D$250,"0"))</f>
        <v>Incomplete</v>
      </c>
    </row>
    <row r="370" spans="1:101">
      <c r="A370" s="18" t="s">
        <v>417</v>
      </c>
      <c r="B370" s="18" t="s">
        <v>903</v>
      </c>
      <c r="C370" s="17" t="s">
        <v>86</v>
      </c>
      <c r="D370" s="19">
        <v>39908</v>
      </c>
      <c r="F370" s="17">
        <v>10</v>
      </c>
      <c r="G370" s="17">
        <v>2025</v>
      </c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41" t="str">
        <f t="shared" ref="AY370:AY378" si="102">IF(OR(ISBLANK(U370), ISBLANK(AQ370)), "Incomplete", (60.7*AQ370)+(45.3*U370)-2055)</f>
        <v>Incomplete</v>
      </c>
      <c r="AZ370" s="20"/>
      <c r="BA370" s="20" t="str">
        <f t="shared" ref="BA370:BA378" si="103">IF(OR(ISBLANK(U370), ISBLANK(AS370)), "Incomplete", (60.7*AS370)+(45.3*U370)-2055)</f>
        <v>Incomplete</v>
      </c>
      <c r="BB370" s="20"/>
      <c r="BC370" s="20" t="str">
        <f t="shared" ref="BC370:BC378" si="104">IF(OR(ISBLANK(U370), ISBLANK(AU370)), "Incomplete", (60.7*AU370)+(45.3*U370)-2055)</f>
        <v>Incomplete</v>
      </c>
      <c r="BD370" s="20"/>
      <c r="BE370" s="20" t="str">
        <f t="shared" ref="BE370:BE378" si="105">IF(OR(ISBLANK(U370), ISBLANK(AW370)), "Incomplete", (60.7*AW370)+(45.3*U370)-2055)</f>
        <v>Incomplete</v>
      </c>
      <c r="BF370" s="20"/>
      <c r="BG370" s="20"/>
      <c r="BH370" s="20"/>
      <c r="BI370" s="20" t="str">
        <f>IF(OR(ISBLANK(BG370), ISBLANK(BH370)),"Incomplete",(SUM(BH370-BG370)))</f>
        <v>Incomplete</v>
      </c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91" t="str">
        <f t="shared" ref="BW370:BW378" si="106">IFERROR(SUM(BQ370+BR370+BS370)/(3*(T370-S370))*100, "Incomplete")</f>
        <v>Incomplete</v>
      </c>
      <c r="BX370" s="91" t="str">
        <f>_xlfn.XLOOKUP(BW370,'Normative data'!$V$3:$V$6,'Normative data'!$W$3:$W$6,"Not Found",-1)</f>
        <v>Very low risk</v>
      </c>
      <c r="BY370" s="91" t="str">
        <f t="shared" ref="BY370:BY378" si="107">IFERROR(SUM(BT370+BU370+BV370)/(3*(T370-S370))*100, "Incomplete")</f>
        <v>Incomplete</v>
      </c>
      <c r="BZ370" s="91" t="str">
        <f>_xlfn.XLOOKUP(BY370,'Normative data'!$V$3:$V$6,'Normative data'!$W$3:$W$6,"Not Found",-1)</f>
        <v>Very low risk</v>
      </c>
      <c r="CA370" s="20"/>
      <c r="CC370" s="20"/>
      <c r="CE370" s="20">
        <v>3</v>
      </c>
      <c r="CG370" s="20"/>
      <c r="CH370" s="20" t="str">
        <f>_xlfn.XLOOKUP(CG370, 'Normative data'!$S$9:$S$15,'Normative data'!$T$9:$T$15, "Not Found", -1)</f>
        <v>not completed</v>
      </c>
      <c r="CI370" s="20"/>
      <c r="CJ370" s="20" t="str">
        <f>_xlfn.XLOOKUP(CI370, 'Normative data'!$S$9:$S$15, 'Normative data'!$T$9:$T$15, "Not Found", -1)</f>
        <v>not completed</v>
      </c>
      <c r="CK370" s="21">
        <v>2.5</v>
      </c>
      <c r="CL370" s="21">
        <v>4</v>
      </c>
      <c r="CM370" s="21"/>
      <c r="CN370" s="21">
        <v>8.19</v>
      </c>
      <c r="CO370" s="21">
        <v>6.19</v>
      </c>
      <c r="CP370" s="21"/>
      <c r="CQ370" s="20"/>
      <c r="CR370" s="20" t="str" cm="1">
        <f t="array" ref="CR370">IF(OR(ISBLANK(E370),ISBLANK(CQ370)),"Incomplete",_xlfn.XLOOKUP(CQ370,_xlfn.XLOOKUP(E370,'Normative data'!$Y$3:$Y$6,'Normative data'!$Z$3:$AG$6,,-1),'Normative data'!$Z$2:$AG$2,"Not Found",-1))</f>
        <v>Incomplete</v>
      </c>
      <c r="CS370" s="20"/>
      <c r="CT370" s="20"/>
      <c r="CU370" s="20" t="str" cm="1">
        <f t="array" ref="CU370">_xlfn.XLOOKUP(CS370&amp;CT370,(VLOOKUP!$A$3:$A$250)&amp;(VLOOKUP!$B$3:$B$250),VLOOKUP!$C$3:$C$250,"Incomplete",-1)</f>
        <v>Incomplete</v>
      </c>
      <c r="CV370" s="20" t="str" cm="1">
        <f t="array" ref="CV370">_xlfn.XLOOKUP(CU370, _xlfn.XLOOKUP(E370, 'Normative data'!$Y$11:$Y$14, 'Normative data'!$Z$11:$AG$14, ,-1), 'Normative data'!$Z$10:$AG$10, "Not Found", -1)</f>
        <v>Excellent</v>
      </c>
      <c r="CW370" s="20" t="str" cm="1">
        <f t="array" ref="CW370">IF(OR(ISBLANK(CS370),ISBLANK(CT370)),"Incomplete",_xlfn.XLOOKUP(CS370&amp;CT370,VLOOKUP!$A$4:$A$250&amp;VLOOKUP!$B$4:$B$250,VLOOKUP!$D$4:$D$250,"0"))</f>
        <v>Incomplete</v>
      </c>
    </row>
    <row r="371" spans="1:101">
      <c r="A371" s="17" t="s">
        <v>904</v>
      </c>
      <c r="B371" s="17" t="s">
        <v>903</v>
      </c>
      <c r="C371" s="17" t="s">
        <v>86</v>
      </c>
      <c r="D371" s="19">
        <v>39908</v>
      </c>
      <c r="F371" s="17">
        <v>10</v>
      </c>
      <c r="G371" s="17">
        <v>2025</v>
      </c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41" t="str">
        <f t="shared" si="102"/>
        <v>Incomplete</v>
      </c>
      <c r="AZ371" s="20"/>
      <c r="BA371" s="20" t="str">
        <f t="shared" si="103"/>
        <v>Incomplete</v>
      </c>
      <c r="BB371" s="20"/>
      <c r="BC371" s="20" t="str">
        <f t="shared" si="104"/>
        <v>Incomplete</v>
      </c>
      <c r="BD371" s="20"/>
      <c r="BE371" s="20" t="str">
        <f t="shared" si="105"/>
        <v>Incomplete</v>
      </c>
      <c r="BF371" s="20"/>
      <c r="BG371" s="20"/>
      <c r="BH371" s="20"/>
      <c r="BI371" s="20" t="str">
        <f>IF(OR(ISBLANK(BG371), ISBLANK(BH371)),"Incomplete",(SUM(BH371-BG371)))</f>
        <v>Incomplete</v>
      </c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91" t="str">
        <f t="shared" si="106"/>
        <v>Incomplete</v>
      </c>
      <c r="BX371" s="91" t="str">
        <f>_xlfn.XLOOKUP(BW371,'Normative data'!$V$3:$V$6,'Normative data'!$W$3:$W$6,"Not Found",-1)</f>
        <v>Very low risk</v>
      </c>
      <c r="BY371" s="91" t="str">
        <f t="shared" si="107"/>
        <v>Incomplete</v>
      </c>
      <c r="BZ371" s="91" t="str">
        <f>_xlfn.XLOOKUP(BY371,'Normative data'!$V$3:$V$6,'Normative data'!$W$3:$W$6,"Not Found",-1)</f>
        <v>Very low risk</v>
      </c>
      <c r="CA371" s="20"/>
      <c r="CC371" s="20"/>
      <c r="CE371" s="20"/>
      <c r="CG371" s="20"/>
      <c r="CH371" s="20" t="str">
        <f>_xlfn.XLOOKUP(CG371, 'Normative data'!$S$9:$S$15,'Normative data'!$T$9:$T$15, "Not Found", -1)</f>
        <v>not completed</v>
      </c>
      <c r="CI371" s="20"/>
      <c r="CJ371" s="20" t="str">
        <f>_xlfn.XLOOKUP(CI371, 'Normative data'!$S$9:$S$15, 'Normative data'!$T$9:$T$15, "Not Found", -1)</f>
        <v>not completed</v>
      </c>
      <c r="CK371" s="20" t="s">
        <v>428</v>
      </c>
      <c r="CL371" s="20" t="s">
        <v>905</v>
      </c>
      <c r="CN371" s="20" t="s">
        <v>906</v>
      </c>
      <c r="CO371" s="20" t="s">
        <v>907</v>
      </c>
      <c r="CQ371" s="20"/>
      <c r="CR371" s="20" t="str" cm="1">
        <f t="array" ref="CR371">IF(OR(ISBLANK(E371),ISBLANK(CQ371)),"Incomplete",_xlfn.XLOOKUP(CQ371,_xlfn.XLOOKUP(E371,'Normative data'!$Y$3:$Y$6,'Normative data'!$Z$3:$AG$6,,-1),'Normative data'!$Z$2:$AG$2,"Not Found",-1))</f>
        <v>Incomplete</v>
      </c>
      <c r="CS371" s="20"/>
      <c r="CT371" s="20"/>
      <c r="CU371" s="20" t="str" cm="1">
        <f t="array" ref="CU371">_xlfn.XLOOKUP(CS371&amp;CT371,(VLOOKUP!$A$3:$A$250)&amp;(VLOOKUP!$B$3:$B$250),VLOOKUP!$C$3:$C$250,"Incomplete",-1)</f>
        <v>Incomplete</v>
      </c>
      <c r="CV371" s="20" t="str" cm="1">
        <f t="array" ref="CV371">_xlfn.XLOOKUP(CU371, _xlfn.XLOOKUP(E371, 'Normative data'!$Y$11:$Y$14, 'Normative data'!$Z$11:$AG$14, ,-1), 'Normative data'!$Z$10:$AG$10, "Not Found", -1)</f>
        <v>Excellent</v>
      </c>
      <c r="CW371" s="20" t="str" cm="1">
        <f t="array" ref="CW371">IF(OR(ISBLANK(CS371),ISBLANK(CT371)),"Incomplete",_xlfn.XLOOKUP(CS371&amp;CT371,VLOOKUP!$A$4:$A$250&amp;VLOOKUP!$B$4:$B$250,VLOOKUP!$D$4:$D$250,"0"))</f>
        <v>Incomplete</v>
      </c>
    </row>
    <row r="372" spans="1:101">
      <c r="A372" s="22" t="s">
        <v>908</v>
      </c>
      <c r="B372" s="22" t="s">
        <v>159</v>
      </c>
      <c r="C372" s="17" t="s">
        <v>86</v>
      </c>
      <c r="D372" s="23">
        <v>40373</v>
      </c>
      <c r="F372" s="17">
        <v>9</v>
      </c>
      <c r="G372" s="17">
        <v>2025</v>
      </c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41" t="str">
        <f t="shared" si="102"/>
        <v>Incomplete</v>
      </c>
      <c r="AZ372" s="20"/>
      <c r="BA372" s="20" t="str">
        <f t="shared" si="103"/>
        <v>Incomplete</v>
      </c>
      <c r="BB372" s="20"/>
      <c r="BC372" s="20" t="str">
        <f t="shared" si="104"/>
        <v>Incomplete</v>
      </c>
      <c r="BD372" s="20"/>
      <c r="BE372" s="20" t="str">
        <f t="shared" si="105"/>
        <v>Incomplete</v>
      </c>
      <c r="BF372" s="20"/>
      <c r="BG372" s="20">
        <v>18</v>
      </c>
      <c r="BH372" s="20">
        <v>36</v>
      </c>
      <c r="BI372" s="20" t="e">
        <f>IF(OR(ISBLANK(#REF!), ISBLANK(#REF!)),"Incomplete",(SUM(#REF!-#REF!)))</f>
        <v>#REF!</v>
      </c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91" t="str">
        <f t="shared" si="106"/>
        <v>Incomplete</v>
      </c>
      <c r="BX372" s="91" t="str">
        <f>_xlfn.XLOOKUP(BW372,'Normative data'!$V$3:$V$6,'Normative data'!$W$3:$W$6,"Not Found",-1)</f>
        <v>Very low risk</v>
      </c>
      <c r="BY372" s="91" t="str">
        <f t="shared" si="107"/>
        <v>Incomplete</v>
      </c>
      <c r="BZ372" s="91" t="str">
        <f>_xlfn.XLOOKUP(BY372,'Normative data'!$V$3:$V$6,'Normative data'!$W$3:$W$6,"Not Found",-1)</f>
        <v>Very low risk</v>
      </c>
      <c r="CA372" s="20"/>
      <c r="CC372" s="20"/>
      <c r="CE372" s="20">
        <v>8</v>
      </c>
      <c r="CG372" s="20"/>
      <c r="CH372" s="20" t="str">
        <f>_xlfn.XLOOKUP(CG372, 'Normative data'!$S$9:$S$15,'Normative data'!$T$9:$T$15, "Not Found", -1)</f>
        <v>not completed</v>
      </c>
      <c r="CI372" s="20"/>
      <c r="CJ372" s="20" t="str">
        <f>_xlfn.XLOOKUP(CI372, 'Normative data'!$S$9:$S$15, 'Normative data'!$T$9:$T$15, "Not Found", -1)</f>
        <v>not completed</v>
      </c>
      <c r="CK372" s="24">
        <v>2.5</v>
      </c>
      <c r="CL372" s="24">
        <v>4</v>
      </c>
      <c r="CM372" s="24"/>
      <c r="CN372" s="24">
        <v>8</v>
      </c>
      <c r="CO372" s="24">
        <v>6.25</v>
      </c>
      <c r="CP372" s="24"/>
      <c r="CQ372" s="20"/>
      <c r="CR372" s="20" t="str" cm="1">
        <f t="array" ref="CR372">IF(OR(ISBLANK(E372),ISBLANK(CQ372)),"Incomplete",_xlfn.XLOOKUP(CQ372,_xlfn.XLOOKUP(E372,'Normative data'!$Y$3:$Y$6,'Normative data'!$Z$3:$AG$6,,-1),'Normative data'!$Z$2:$AG$2,"Not Found",-1))</f>
        <v>Incomplete</v>
      </c>
      <c r="CS372" s="20"/>
      <c r="CT372" s="20"/>
      <c r="CU372" s="20" t="str" cm="1">
        <f t="array" ref="CU372">_xlfn.XLOOKUP(CS372&amp;CT372,(VLOOKUP!$A$3:$A$250)&amp;(VLOOKUP!$B$3:$B$250),VLOOKUP!$C$3:$C$250,"Incomplete",-1)</f>
        <v>Incomplete</v>
      </c>
      <c r="CV372" s="20" t="str" cm="1">
        <f t="array" ref="CV372">_xlfn.XLOOKUP(CU372, _xlfn.XLOOKUP(E372, 'Normative data'!$Y$11:$Y$14, 'Normative data'!$Z$11:$AG$14, ,-1), 'Normative data'!$Z$10:$AG$10, "Not Found", -1)</f>
        <v>Excellent</v>
      </c>
      <c r="CW372" s="20" t="str" cm="1">
        <f t="array" ref="CW372">IF(OR(ISBLANK(CS372),ISBLANK(CT372)),"Incomplete",_xlfn.XLOOKUP(CS372&amp;CT372,VLOOKUP!$A$4:$A$250&amp;VLOOKUP!$B$4:$B$250,VLOOKUP!$D$4:$D$250,"0"))</f>
        <v>Incomplete</v>
      </c>
    </row>
    <row r="373" spans="1:101">
      <c r="A373" s="17" t="s">
        <v>350</v>
      </c>
      <c r="B373" s="17" t="s">
        <v>159</v>
      </c>
      <c r="C373" s="17" t="s">
        <v>86</v>
      </c>
      <c r="D373" s="23">
        <v>40373</v>
      </c>
      <c r="F373" s="17">
        <v>9</v>
      </c>
      <c r="G373" s="17">
        <v>2025</v>
      </c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41" t="str">
        <f t="shared" si="102"/>
        <v>Incomplete</v>
      </c>
      <c r="AZ373" s="20"/>
      <c r="BA373" s="20" t="str">
        <f t="shared" si="103"/>
        <v>Incomplete</v>
      </c>
      <c r="BB373" s="20"/>
      <c r="BC373" s="20" t="str">
        <f t="shared" si="104"/>
        <v>Incomplete</v>
      </c>
      <c r="BD373" s="20"/>
      <c r="BE373" s="20" t="str">
        <f t="shared" si="105"/>
        <v>Incomplete</v>
      </c>
      <c r="BF373" s="20"/>
      <c r="BG373" s="20"/>
      <c r="BH373" s="20"/>
      <c r="BI373" s="20" t="str">
        <f>IF(OR(ISBLANK(BG373), ISBLANK(BH373)),"Incomplete",(SUM(BH373-BG373)))</f>
        <v>Incomplete</v>
      </c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91" t="str">
        <f t="shared" si="106"/>
        <v>Incomplete</v>
      </c>
      <c r="BX373" s="91" t="str">
        <f>_xlfn.XLOOKUP(BW373,'Normative data'!$V$3:$V$6,'Normative data'!$W$3:$W$6,"Not Found",-1)</f>
        <v>Very low risk</v>
      </c>
      <c r="BY373" s="91" t="str">
        <f t="shared" si="107"/>
        <v>Incomplete</v>
      </c>
      <c r="BZ373" s="91" t="str">
        <f>_xlfn.XLOOKUP(BY373,'Normative data'!$V$3:$V$6,'Normative data'!$W$3:$W$6,"Not Found",-1)</f>
        <v>Very low risk</v>
      </c>
      <c r="CA373" s="20"/>
      <c r="CC373" s="20"/>
      <c r="CE373" s="20"/>
      <c r="CG373" s="20"/>
      <c r="CH373" s="20" t="str">
        <f>_xlfn.XLOOKUP(CG373, 'Normative data'!$S$9:$S$15,'Normative data'!$T$9:$T$15, "Not Found", -1)</f>
        <v>not completed</v>
      </c>
      <c r="CI373" s="20"/>
      <c r="CJ373" s="20" t="str">
        <f>_xlfn.XLOOKUP(CI373, 'Normative data'!$S$9:$S$15, 'Normative data'!$T$9:$T$15, "Not Found", -1)</f>
        <v>not completed</v>
      </c>
      <c r="CK373" s="20" t="s">
        <v>360</v>
      </c>
      <c r="CL373" s="20" t="s">
        <v>905</v>
      </c>
      <c r="CN373" s="20" t="s">
        <v>909</v>
      </c>
      <c r="CO373" s="20" t="s">
        <v>910</v>
      </c>
      <c r="CQ373" s="20"/>
      <c r="CR373" s="20" t="str" cm="1">
        <f t="array" ref="CR373">IF(OR(ISBLANK(E373),ISBLANK(CQ373)),"Incomplete",_xlfn.XLOOKUP(CQ373,_xlfn.XLOOKUP(E373,'Normative data'!$Y$3:$Y$6,'Normative data'!$Z$3:$AG$6,,-1),'Normative data'!$Z$2:$AG$2,"Not Found",-1))</f>
        <v>Incomplete</v>
      </c>
      <c r="CS373" s="20"/>
      <c r="CT373" s="20"/>
      <c r="CU373" s="20" t="str" cm="1">
        <f t="array" ref="CU373">_xlfn.XLOOKUP(CS373&amp;CT373,(VLOOKUP!$A$3:$A$250)&amp;(VLOOKUP!$B$3:$B$250),VLOOKUP!$C$3:$C$250,"Incomplete",-1)</f>
        <v>Incomplete</v>
      </c>
      <c r="CV373" s="20" t="str" cm="1">
        <f t="array" ref="CV373">_xlfn.XLOOKUP(CU373, _xlfn.XLOOKUP(E373, 'Normative data'!$Y$11:$Y$14, 'Normative data'!$Z$11:$AG$14, ,-1), 'Normative data'!$Z$10:$AG$10, "Not Found", -1)</f>
        <v>Excellent</v>
      </c>
      <c r="CW373" s="20" t="str" cm="1">
        <f t="array" ref="CW373">IF(OR(ISBLANK(CS373),ISBLANK(CT373)),"Incomplete",_xlfn.XLOOKUP(CS373&amp;CT373,VLOOKUP!$A$4:$A$250&amp;VLOOKUP!$B$4:$B$250,VLOOKUP!$D$4:$D$250,"0"))</f>
        <v>Incomplete</v>
      </c>
    </row>
    <row r="374" spans="1:101">
      <c r="A374" s="22" t="s">
        <v>911</v>
      </c>
      <c r="B374" s="22" t="s">
        <v>912</v>
      </c>
      <c r="C374" s="17" t="s">
        <v>86</v>
      </c>
      <c r="D374" s="23">
        <v>40129</v>
      </c>
      <c r="F374" s="17">
        <v>9</v>
      </c>
      <c r="G374" s="17">
        <v>2025</v>
      </c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41" t="str">
        <f t="shared" si="102"/>
        <v>Incomplete</v>
      </c>
      <c r="AZ374" s="20"/>
      <c r="BA374" s="20" t="str">
        <f t="shared" si="103"/>
        <v>Incomplete</v>
      </c>
      <c r="BB374" s="20"/>
      <c r="BC374" s="20" t="str">
        <f t="shared" si="104"/>
        <v>Incomplete</v>
      </c>
      <c r="BD374" s="20"/>
      <c r="BE374" s="20" t="str">
        <f t="shared" si="105"/>
        <v>Incomplete</v>
      </c>
      <c r="BF374" s="20"/>
      <c r="BG374" s="20">
        <v>16</v>
      </c>
      <c r="BH374" s="20">
        <v>29.2</v>
      </c>
      <c r="BI374" s="20" t="e">
        <f>IF(OR(ISBLANK(#REF!), ISBLANK(#REF!)),"Incomplete",(SUM(#REF!-#REF!)))</f>
        <v>#REF!</v>
      </c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91" t="str">
        <f t="shared" si="106"/>
        <v>Incomplete</v>
      </c>
      <c r="BX374" s="91" t="str">
        <f>_xlfn.XLOOKUP(BW374,'Normative data'!$V$3:$V$6,'Normative data'!$W$3:$W$6,"Not Found",-1)</f>
        <v>Very low risk</v>
      </c>
      <c r="BY374" s="91" t="str">
        <f t="shared" si="107"/>
        <v>Incomplete</v>
      </c>
      <c r="BZ374" s="91" t="str">
        <f>_xlfn.XLOOKUP(BY374,'Normative data'!$V$3:$V$6,'Normative data'!$W$3:$W$6,"Not Found",-1)</f>
        <v>Very low risk</v>
      </c>
      <c r="CA374" s="20"/>
      <c r="CC374" s="20"/>
      <c r="CE374" s="20">
        <v>6</v>
      </c>
      <c r="CG374" s="20"/>
      <c r="CH374" s="20" t="str">
        <f>_xlfn.XLOOKUP(CG374, 'Normative data'!$S$9:$S$15,'Normative data'!$T$9:$T$15, "Not Found", -1)</f>
        <v>not completed</v>
      </c>
      <c r="CI374" s="20"/>
      <c r="CJ374" s="20" t="str">
        <f>_xlfn.XLOOKUP(CI374, 'Normative data'!$S$9:$S$15, 'Normative data'!$T$9:$T$15, "Not Found", -1)</f>
        <v>not completed</v>
      </c>
      <c r="CK374" s="24">
        <v>3.28</v>
      </c>
      <c r="CL374" s="24">
        <v>3.05</v>
      </c>
      <c r="CM374" s="24"/>
      <c r="CN374" s="24">
        <v>9.77</v>
      </c>
      <c r="CO374" s="24">
        <v>5.12</v>
      </c>
      <c r="CP374" s="24"/>
      <c r="CQ374" s="20"/>
      <c r="CR374" s="20" t="str" cm="1">
        <f t="array" ref="CR374">IF(OR(ISBLANK(E374),ISBLANK(CQ374)),"Incomplete",_xlfn.XLOOKUP(CQ374,_xlfn.XLOOKUP(E374,'Normative data'!$Y$3:$Y$6,'Normative data'!$Z$3:$AG$6,,-1),'Normative data'!$Z$2:$AG$2,"Not Found",-1))</f>
        <v>Incomplete</v>
      </c>
      <c r="CS374" s="20"/>
      <c r="CT374" s="20"/>
      <c r="CU374" s="20" t="str" cm="1">
        <f t="array" ref="CU374">_xlfn.XLOOKUP(CS374&amp;CT374,(VLOOKUP!$A$3:$A$250)&amp;(VLOOKUP!$B$3:$B$250),VLOOKUP!$C$3:$C$250,"Incomplete",-1)</f>
        <v>Incomplete</v>
      </c>
      <c r="CV374" s="20" t="str" cm="1">
        <f t="array" ref="CV374">_xlfn.XLOOKUP(CU374, _xlfn.XLOOKUP(E374, 'Normative data'!$Y$11:$Y$14, 'Normative data'!$Z$11:$AG$14, ,-1), 'Normative data'!$Z$10:$AG$10, "Not Found", -1)</f>
        <v>Excellent</v>
      </c>
      <c r="CW374" s="20" t="str" cm="1">
        <f t="array" ref="CW374">IF(OR(ISBLANK(CS374),ISBLANK(CT374)),"Incomplete",_xlfn.XLOOKUP(CS374&amp;CT374,VLOOKUP!$A$4:$A$250&amp;VLOOKUP!$B$4:$B$250,VLOOKUP!$D$4:$D$250,"0"))</f>
        <v>Incomplete</v>
      </c>
    </row>
    <row r="375" spans="1:101">
      <c r="A375" s="18" t="s">
        <v>913</v>
      </c>
      <c r="B375" s="18" t="s">
        <v>914</v>
      </c>
      <c r="C375" s="17" t="s">
        <v>86</v>
      </c>
      <c r="D375" s="19"/>
      <c r="F375" s="17">
        <v>11</v>
      </c>
      <c r="G375" s="17">
        <v>2025</v>
      </c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41" t="str">
        <f t="shared" si="102"/>
        <v>Incomplete</v>
      </c>
      <c r="AZ375" s="20"/>
      <c r="BA375" s="20" t="str">
        <f t="shared" si="103"/>
        <v>Incomplete</v>
      </c>
      <c r="BB375" s="20"/>
      <c r="BC375" s="20" t="str">
        <f t="shared" si="104"/>
        <v>Incomplete</v>
      </c>
      <c r="BD375" s="20"/>
      <c r="BE375" s="20" t="str">
        <f t="shared" si="105"/>
        <v>Incomplete</v>
      </c>
      <c r="BF375" s="20"/>
      <c r="BG375" s="20">
        <v>11</v>
      </c>
      <c r="BH375" s="20">
        <v>33.5</v>
      </c>
      <c r="BI375" s="20">
        <f>IF(OR(ISBLANK(BG375), ISBLANK(BH375)),"Incomplete",(SUM(BH375-BG375)))</f>
        <v>22.5</v>
      </c>
      <c r="BJ375" s="20"/>
      <c r="BK375" s="20">
        <v>7</v>
      </c>
      <c r="BL375" s="20"/>
      <c r="BM375" s="20">
        <v>7</v>
      </c>
      <c r="BN375" s="20"/>
      <c r="BO375" s="20"/>
      <c r="BP375" s="20"/>
      <c r="BQ375" s="20"/>
      <c r="BR375" s="20"/>
      <c r="BS375" s="20"/>
      <c r="BT375" s="20"/>
      <c r="BU375" s="20"/>
      <c r="BV375" s="20"/>
      <c r="BW375" s="91" t="str">
        <f t="shared" si="106"/>
        <v>Incomplete</v>
      </c>
      <c r="BX375" s="91" t="str">
        <f>_xlfn.XLOOKUP(BW375,'Normative data'!$V$3:$V$6,'Normative data'!$W$3:$W$6,"Not Found",-1)</f>
        <v>Very low risk</v>
      </c>
      <c r="BY375" s="91" t="str">
        <f t="shared" si="107"/>
        <v>Incomplete</v>
      </c>
      <c r="BZ375" s="91" t="str">
        <f>_xlfn.XLOOKUP(BY375,'Normative data'!$V$3:$V$6,'Normative data'!$W$3:$W$6,"Not Found",-1)</f>
        <v>Very low risk</v>
      </c>
      <c r="CA375" s="20"/>
      <c r="CC375" s="20"/>
      <c r="CE375" s="20"/>
      <c r="CG375" s="20"/>
      <c r="CH375" s="20" t="str">
        <f>_xlfn.XLOOKUP(CG375, 'Normative data'!$S$9:$S$15,'Normative data'!$T$9:$T$15, "Not Found", -1)</f>
        <v>not completed</v>
      </c>
      <c r="CI375" s="20"/>
      <c r="CJ375" s="20" t="str">
        <f>_xlfn.XLOOKUP(CI375, 'Normative data'!$S$9:$S$15, 'Normative data'!$T$9:$T$15, "Not Found", -1)</f>
        <v>not completed</v>
      </c>
      <c r="CK375" s="21"/>
      <c r="CL375" s="21"/>
      <c r="CM375" s="21"/>
      <c r="CN375" s="21"/>
      <c r="CO375" s="21"/>
      <c r="CP375" s="25"/>
      <c r="CQ375" s="20"/>
      <c r="CR375" s="20" t="str" cm="1">
        <f t="array" ref="CR375">IF(OR(ISBLANK(E375),ISBLANK(CQ375)),"Incomplete",_xlfn.XLOOKUP(CQ375,_xlfn.XLOOKUP(E375,'Normative data'!$Y$3:$Y$6,'Normative data'!$Z$3:$AG$6,,-1),'Normative data'!$Z$2:$AG$2,"Not Found",-1))</f>
        <v>Incomplete</v>
      </c>
      <c r="CS375" s="20"/>
      <c r="CT375" s="20"/>
      <c r="CU375" s="20" t="str" cm="1">
        <f t="array" ref="CU375">_xlfn.XLOOKUP(CS375&amp;CT375,(VLOOKUP!$A$3:$A$250)&amp;(VLOOKUP!$B$3:$B$250),VLOOKUP!$C$3:$C$250,"Incomplete",-1)</f>
        <v>Incomplete</v>
      </c>
      <c r="CV375" s="20" t="str" cm="1">
        <f t="array" ref="CV375">_xlfn.XLOOKUP(CU375, _xlfn.XLOOKUP(E375, 'Normative data'!$Y$11:$Y$14, 'Normative data'!$Z$11:$AG$14, ,-1), 'Normative data'!$Z$10:$AG$10, "Not Found", -1)</f>
        <v>Excellent</v>
      </c>
      <c r="CW375" s="20" t="str" cm="1">
        <f t="array" ref="CW375">IF(OR(ISBLANK(CS375),ISBLANK(CT375)),"Incomplete",_xlfn.XLOOKUP(CS375&amp;CT375,VLOOKUP!$A$4:$A$250&amp;VLOOKUP!$B$4:$B$250,VLOOKUP!$D$4:$D$250,"0"))</f>
        <v>Incomplete</v>
      </c>
    </row>
    <row r="376" spans="1:101">
      <c r="A376" s="18" t="s">
        <v>915</v>
      </c>
      <c r="B376" s="18" t="s">
        <v>916</v>
      </c>
      <c r="C376" s="17" t="s">
        <v>86</v>
      </c>
      <c r="D376" s="26">
        <v>40718</v>
      </c>
      <c r="F376" s="17">
        <v>8</v>
      </c>
      <c r="G376" s="17">
        <v>2025</v>
      </c>
      <c r="J376" s="17" t="s">
        <v>122</v>
      </c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41" t="str">
        <f t="shared" si="102"/>
        <v>Incomplete</v>
      </c>
      <c r="AZ376" s="20"/>
      <c r="BA376" s="20" t="str">
        <f t="shared" si="103"/>
        <v>Incomplete</v>
      </c>
      <c r="BB376" s="20"/>
      <c r="BC376" s="20" t="str">
        <f t="shared" si="104"/>
        <v>Incomplete</v>
      </c>
      <c r="BD376" s="20"/>
      <c r="BE376" s="20" t="str">
        <f t="shared" si="105"/>
        <v>Incomplete</v>
      </c>
      <c r="BF376" s="20"/>
      <c r="BG376" s="20">
        <v>19</v>
      </c>
      <c r="BH376" s="20">
        <v>37</v>
      </c>
      <c r="BI376" s="20">
        <f>IF(OR(ISBLANK(BG376), ISBLANK(BH376)),"Incomplete",(SUM(BH376-BG376)))</f>
        <v>18</v>
      </c>
      <c r="BJ376" s="20"/>
      <c r="BK376" s="20">
        <v>8</v>
      </c>
      <c r="BL376" s="20"/>
      <c r="BM376" s="20">
        <v>9</v>
      </c>
      <c r="BN376" s="20"/>
      <c r="BO376" s="20"/>
      <c r="BP376" s="20"/>
      <c r="BQ376" s="20"/>
      <c r="BR376" s="20"/>
      <c r="BS376" s="20"/>
      <c r="BT376" s="20"/>
      <c r="BU376" s="20"/>
      <c r="BV376" s="20"/>
      <c r="BW376" s="91" t="str">
        <f t="shared" si="106"/>
        <v>Incomplete</v>
      </c>
      <c r="BX376" s="91" t="str">
        <f>_xlfn.XLOOKUP(BW376,'Normative data'!$V$3:$V$6,'Normative data'!$W$3:$W$6,"Not Found",-1)</f>
        <v>Very low risk</v>
      </c>
      <c r="BY376" s="91" t="str">
        <f t="shared" si="107"/>
        <v>Incomplete</v>
      </c>
      <c r="BZ376" s="91" t="str">
        <f>_xlfn.XLOOKUP(BY376,'Normative data'!$V$3:$V$6,'Normative data'!$W$3:$W$6,"Not Found",-1)</f>
        <v>Very low risk</v>
      </c>
      <c r="CA376" s="20"/>
      <c r="CC376" s="20"/>
      <c r="CE376" s="20"/>
      <c r="CG376" s="20">
        <v>19.600000000000001</v>
      </c>
      <c r="CH376" s="20" t="e">
        <f>_xlfn.XLOOKUP(#REF!, 'Normative data'!$S$9:$S$15,'Normative data'!$T$9:$T$15, "Not Found", -1)</f>
        <v>#REF!</v>
      </c>
      <c r="CI376" s="20">
        <v>19.239999999999998</v>
      </c>
      <c r="CJ376" s="20" t="e">
        <f>_xlfn.XLOOKUP(#REF!, 'Normative data'!$S$9:$S$15, 'Normative data'!$T$9:$T$15, "Not Found", -1)</f>
        <v>#REF!</v>
      </c>
      <c r="CK376" s="21"/>
      <c r="CL376" s="21"/>
      <c r="CM376" s="21"/>
      <c r="CN376" s="21"/>
      <c r="CO376" s="21"/>
      <c r="CP376" s="21"/>
      <c r="CQ376" s="20"/>
      <c r="CR376" s="20" t="str" cm="1">
        <f t="array" ref="CR376">IF(OR(ISBLANK(E376),ISBLANK(CQ376)),"Incomplete",_xlfn.XLOOKUP(CQ376,_xlfn.XLOOKUP(E376,'Normative data'!$Y$3:$Y$6,'Normative data'!$Z$3:$AG$6,,-1),'Normative data'!$Z$2:$AG$2,"Not Found",-1))</f>
        <v>Incomplete</v>
      </c>
      <c r="CS376" s="20"/>
      <c r="CT376" s="20"/>
      <c r="CU376" s="20" t="str" cm="1">
        <f t="array" ref="CU376">_xlfn.XLOOKUP(CS376&amp;CT376,(VLOOKUP!$A$3:$A$250)&amp;(VLOOKUP!$B$3:$B$250),VLOOKUP!$C$3:$C$250,"Incomplete",-1)</f>
        <v>Incomplete</v>
      </c>
      <c r="CV376" s="20" t="str" cm="1">
        <f t="array" ref="CV376">_xlfn.XLOOKUP(CU376, _xlfn.XLOOKUP(E376, 'Normative data'!$Y$11:$Y$14, 'Normative data'!$Z$11:$AG$14, ,-1), 'Normative data'!$Z$10:$AG$10, "Not Found", -1)</f>
        <v>Excellent</v>
      </c>
      <c r="CW376" s="20" t="str" cm="1">
        <f t="array" ref="CW376">IF(OR(ISBLANK(CS376),ISBLANK(CT376)),"Incomplete",_xlfn.XLOOKUP(CS376&amp;CT376,VLOOKUP!$A$4:$A$250&amp;VLOOKUP!$B$4:$B$250,VLOOKUP!$D$4:$D$250,"0"))</f>
        <v>Incomplete</v>
      </c>
    </row>
    <row r="377" spans="1:101">
      <c r="A377" s="18" t="s">
        <v>915</v>
      </c>
      <c r="B377" s="18" t="s">
        <v>916</v>
      </c>
      <c r="C377" s="17" t="s">
        <v>86</v>
      </c>
      <c r="D377" s="26">
        <v>40718</v>
      </c>
      <c r="F377" s="17">
        <v>8</v>
      </c>
      <c r="G377" s="17">
        <v>2025</v>
      </c>
      <c r="J377" s="17" t="s">
        <v>122</v>
      </c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41" t="str">
        <f t="shared" si="102"/>
        <v>Incomplete</v>
      </c>
      <c r="AZ377" s="20"/>
      <c r="BA377" s="20" t="str">
        <f t="shared" si="103"/>
        <v>Incomplete</v>
      </c>
      <c r="BB377" s="20"/>
      <c r="BC377" s="20" t="str">
        <f t="shared" si="104"/>
        <v>Incomplete</v>
      </c>
      <c r="BD377" s="20"/>
      <c r="BE377" s="20" t="str">
        <f t="shared" si="105"/>
        <v>Incomplete</v>
      </c>
      <c r="BF377" s="20"/>
      <c r="BG377" s="20"/>
      <c r="BH377" s="20"/>
      <c r="BI377" s="20" t="str">
        <f>IF(OR(ISBLANK(BG377), ISBLANK(BH377)),"Incomplete",(SUM(BH377-BG377)))</f>
        <v>Incomplete</v>
      </c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91" t="str">
        <f t="shared" si="106"/>
        <v>Incomplete</v>
      </c>
      <c r="BX377" s="91" t="str">
        <f>_xlfn.XLOOKUP(BW377,'Normative data'!$V$3:$V$6,'Normative data'!$W$3:$W$6,"Not Found",-1)</f>
        <v>Very low risk</v>
      </c>
      <c r="BY377" s="91" t="str">
        <f t="shared" si="107"/>
        <v>Incomplete</v>
      </c>
      <c r="BZ377" s="91" t="str">
        <f>_xlfn.XLOOKUP(BY377,'Normative data'!$V$3:$V$6,'Normative data'!$W$3:$W$6,"Not Found",-1)</f>
        <v>Very low risk</v>
      </c>
      <c r="CA377" s="20"/>
      <c r="CC377" s="20"/>
      <c r="CE377" s="20">
        <v>10</v>
      </c>
      <c r="CG377" s="20">
        <v>18.98</v>
      </c>
      <c r="CH377" s="20" t="e">
        <f>_xlfn.XLOOKUP(#REF!, 'Normative data'!$S$9:$S$15,'Normative data'!$T$9:$T$15, "Not Found", -1)</f>
        <v>#REF!</v>
      </c>
      <c r="CI377" s="20">
        <v>18.66</v>
      </c>
      <c r="CJ377" s="20" t="e">
        <f>_xlfn.XLOOKUP(#REF!, 'Normative data'!$S$9:$S$15, 'Normative data'!$T$9:$T$15, "Not Found", -1)</f>
        <v>#REF!</v>
      </c>
      <c r="CK377" s="21">
        <v>2.27</v>
      </c>
      <c r="CL377" s="21">
        <v>4.41</v>
      </c>
      <c r="CM377" s="21"/>
      <c r="CN377" s="21">
        <v>6.97</v>
      </c>
      <c r="CO377" s="21">
        <v>7.17</v>
      </c>
      <c r="CP377" s="21"/>
      <c r="CQ377" s="20"/>
      <c r="CR377" s="20" t="str" cm="1">
        <f t="array" ref="CR377">IF(OR(ISBLANK(E377),ISBLANK(CQ377)),"Incomplete",_xlfn.XLOOKUP(CQ377,_xlfn.XLOOKUP(E377,'Normative data'!$Y$3:$Y$6,'Normative data'!$Z$3:$AG$6,,-1),'Normative data'!$Z$2:$AG$2,"Not Found",-1))</f>
        <v>Incomplete</v>
      </c>
      <c r="CS377" s="20"/>
      <c r="CT377" s="20"/>
      <c r="CU377" s="20" t="str" cm="1">
        <f t="array" ref="CU377">_xlfn.XLOOKUP(CS377&amp;CT377,(VLOOKUP!$A$3:$A$250)&amp;(VLOOKUP!$B$3:$B$250),VLOOKUP!$C$3:$C$250,"Incomplete",-1)</f>
        <v>Incomplete</v>
      </c>
      <c r="CV377" s="20" t="str" cm="1">
        <f t="array" ref="CV377">_xlfn.XLOOKUP(CU377, _xlfn.XLOOKUP(E377, 'Normative data'!$Y$11:$Y$14, 'Normative data'!$Z$11:$AG$14, ,-1), 'Normative data'!$Z$10:$AG$10, "Not Found", -1)</f>
        <v>Excellent</v>
      </c>
      <c r="CW377" s="20" t="str" cm="1">
        <f t="array" ref="CW377">IF(OR(ISBLANK(CS377),ISBLANK(CT377)),"Incomplete",_xlfn.XLOOKUP(CS377&amp;CT377,VLOOKUP!$A$4:$A$250&amp;VLOOKUP!$B$4:$B$250,VLOOKUP!$D$4:$D$250,"0"))</f>
        <v>Incomplete</v>
      </c>
    </row>
    <row r="378" spans="1:101">
      <c r="A378" s="17" t="s">
        <v>917</v>
      </c>
      <c r="B378" s="17" t="s">
        <v>916</v>
      </c>
      <c r="C378" s="17" t="s">
        <v>86</v>
      </c>
      <c r="D378" s="26">
        <v>40755</v>
      </c>
      <c r="F378" s="17">
        <v>8</v>
      </c>
      <c r="G378" s="17">
        <v>2025</v>
      </c>
      <c r="J378" s="17" t="s">
        <v>122</v>
      </c>
      <c r="S378" s="20"/>
      <c r="T378" s="20">
        <v>159</v>
      </c>
      <c r="U378" s="20">
        <v>56.2</v>
      </c>
      <c r="V378" s="20"/>
      <c r="W378" s="20">
        <v>13</v>
      </c>
      <c r="X378" s="20">
        <f>SUM(T378-W378)</f>
        <v>146</v>
      </c>
      <c r="Y378" s="20">
        <v>23.8</v>
      </c>
      <c r="Z378" s="20">
        <v>22.2</v>
      </c>
      <c r="AA378" s="20">
        <v>23.1</v>
      </c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41" t="str">
        <f t="shared" si="102"/>
        <v>Incomplete</v>
      </c>
      <c r="AZ378" s="20"/>
      <c r="BA378" s="20" t="str">
        <f t="shared" si="103"/>
        <v>Incomplete</v>
      </c>
      <c r="BB378" s="20"/>
      <c r="BC378" s="20" t="str">
        <f t="shared" si="104"/>
        <v>Incomplete</v>
      </c>
      <c r="BD378" s="20"/>
      <c r="BE378" s="20" t="str">
        <f t="shared" si="105"/>
        <v>Incomplete</v>
      </c>
      <c r="BF378" s="20"/>
      <c r="BG378" s="20">
        <v>13</v>
      </c>
      <c r="BH378" s="20">
        <v>30.2</v>
      </c>
      <c r="BI378" s="20" t="e">
        <f>IF(OR(ISBLANK(#REF!), ISBLANK(#REF!)),"Incomplete",(SUM(#REF!-#REF!)))</f>
        <v>#REF!</v>
      </c>
      <c r="BJ378" s="20"/>
      <c r="BK378" s="20">
        <v>8</v>
      </c>
      <c r="BL378" s="20"/>
      <c r="BM378" s="20">
        <v>8</v>
      </c>
      <c r="BN378" s="20"/>
      <c r="BO378" s="20"/>
      <c r="BP378" s="20"/>
      <c r="BQ378" s="20"/>
      <c r="BR378" s="20"/>
      <c r="BS378" s="20"/>
      <c r="BT378" s="20"/>
      <c r="BU378" s="20"/>
      <c r="BV378" s="20"/>
      <c r="BW378" s="91">
        <f t="shared" si="106"/>
        <v>0</v>
      </c>
      <c r="BX378" s="91" t="str">
        <f>_xlfn.XLOOKUP(BW378,'Normative data'!$V$3:$V$6,'Normative data'!$W$3:$W$6,"Not Found",-1)</f>
        <v>Not completed</v>
      </c>
      <c r="BY378" s="91">
        <f t="shared" si="107"/>
        <v>0</v>
      </c>
      <c r="BZ378" s="91" t="str">
        <f>_xlfn.XLOOKUP(BY378,'Normative data'!$V$3:$V$6,'Normative data'!$W$3:$W$6,"Not Found",-1)</f>
        <v>Not completed</v>
      </c>
      <c r="CA378" s="20"/>
      <c r="CC378" s="20"/>
      <c r="CE378" s="20"/>
      <c r="CG378" s="20">
        <v>17.64</v>
      </c>
      <c r="CH378" s="20" t="e">
        <f>_xlfn.XLOOKUP(#REF!, 'Normative data'!$S$9:$S$15,'Normative data'!$T$9:$T$15, "Not Found", -1)</f>
        <v>#REF!</v>
      </c>
      <c r="CI378" s="20">
        <v>16.98</v>
      </c>
      <c r="CJ378" s="20" t="e">
        <f>_xlfn.XLOOKUP(#REF!, 'Normative data'!$S$9:$S$15, 'Normative data'!$T$9:$T$15, "Not Found", -1)</f>
        <v>#REF!</v>
      </c>
      <c r="CK378" s="25">
        <v>2.13</v>
      </c>
      <c r="CL378" s="25">
        <v>4.6900000000000004</v>
      </c>
      <c r="CM378" s="21"/>
      <c r="CN378" s="25">
        <v>6.65</v>
      </c>
      <c r="CO378" s="25">
        <v>7.75</v>
      </c>
      <c r="CP378" s="25"/>
      <c r="CQ378" s="20"/>
      <c r="CR378" s="20" t="str" cm="1">
        <f t="array" ref="CR378">IF(OR(ISBLANK(E378),ISBLANK(CQ378)),"Incomplete",_xlfn.XLOOKUP(CQ378,_xlfn.XLOOKUP(E378,'Normative data'!$Y$3:$Y$6,'Normative data'!$Z$3:$AG$6,,-1),'Normative data'!$Z$2:$AG$2,"Not Found",-1))</f>
        <v>Incomplete</v>
      </c>
      <c r="CS378" s="20"/>
      <c r="CT378" s="20"/>
      <c r="CU378" s="20" t="str" cm="1">
        <f t="array" ref="CU378">_xlfn.XLOOKUP(CS378&amp;CT378,(VLOOKUP!$A$3:$A$250)&amp;(VLOOKUP!$B$3:$B$250),VLOOKUP!$C$3:$C$250,"Incomplete",-1)</f>
        <v>Incomplete</v>
      </c>
      <c r="CV378" s="20" t="str" cm="1">
        <f t="array" ref="CV378">_xlfn.XLOOKUP(CU378, _xlfn.XLOOKUP(E378, 'Normative data'!$Y$11:$Y$14, 'Normative data'!$Z$11:$AG$14, ,-1), 'Normative data'!$Z$10:$AG$10, "Not Found", -1)</f>
        <v>Excellent</v>
      </c>
      <c r="CW378" s="20" t="str" cm="1">
        <f t="array" ref="CW378">IF(OR(ISBLANK(CS378),ISBLANK(CT378)),"Incomplete",_xlfn.XLOOKUP(CS378&amp;CT378,VLOOKUP!$A$4:$A$250&amp;VLOOKUP!$B$4:$B$250,VLOOKUP!$D$4:$D$250,"0"))</f>
        <v>Incomplete</v>
      </c>
    </row>
    <row r="379" spans="1:101">
      <c r="A379" s="17" t="s">
        <v>917</v>
      </c>
      <c r="B379" s="17" t="s">
        <v>916</v>
      </c>
      <c r="C379" s="17" t="s">
        <v>86</v>
      </c>
      <c r="D379" s="26">
        <v>40755</v>
      </c>
      <c r="G379" s="17">
        <v>2025</v>
      </c>
      <c r="J379" s="17" t="s">
        <v>122</v>
      </c>
      <c r="S379" s="20"/>
      <c r="T379" s="20" t="s">
        <v>918</v>
      </c>
      <c r="U379" s="20" t="s">
        <v>919</v>
      </c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>
        <v>28.5</v>
      </c>
      <c r="AR379" s="20">
        <v>0.48199999999999998</v>
      </c>
      <c r="AS379" s="20">
        <v>30.2</v>
      </c>
      <c r="AT379" s="20">
        <v>0.496</v>
      </c>
      <c r="AU379" s="20">
        <v>13.3</v>
      </c>
      <c r="AV379" s="20">
        <v>0.33</v>
      </c>
      <c r="AW379" s="20">
        <v>16.2</v>
      </c>
      <c r="AX379" s="20">
        <v>0.36399999999999999</v>
      </c>
      <c r="AY379" s="41" t="e">
        <f>IF(OR(ISBLANK(#REF!), ISBLANK(AQ379)), "Incomplete", (60.7*AQ379)+(45.3*#REF!)-2055)</f>
        <v>#REF!</v>
      </c>
      <c r="AZ379" s="20"/>
      <c r="BA379" s="20" t="e">
        <f>IF(OR(ISBLANK(#REF!), ISBLANK(AS379)), "Incomplete", (60.7*AS379)+(45.3*#REF!)-2055)</f>
        <v>#REF!</v>
      </c>
      <c r="BB379" s="20"/>
      <c r="BC379" s="20" t="e">
        <f>IF(OR(ISBLANK(#REF!), ISBLANK(AU379)), "Incomplete", (60.7*AU379)+(45.3*#REF!)-2055)</f>
        <v>#REF!</v>
      </c>
      <c r="BD379" s="20"/>
      <c r="BE379" s="20" t="e">
        <f>IF(OR(ISBLANK(#REF!), ISBLANK(AW379)), "Incomplete", (60.7*AW379)+(45.3*#REF!)-2055)</f>
        <v>#REF!</v>
      </c>
      <c r="BF379" s="20"/>
      <c r="BG379" s="20"/>
      <c r="BH379" s="20"/>
      <c r="BI379" s="20" t="str">
        <f t="shared" ref="BI379:BI386" si="108">IF(OR(ISBLANK(BG379), ISBLANK(BH379)),"Incomplete",(SUM(BH379-BG379)))</f>
        <v>Incomplete</v>
      </c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91" t="str">
        <f>IFERROR(SUM(BQ379+BR379+BS379)/(3*(#REF!-S379))*100, "Incomplete")</f>
        <v>Incomplete</v>
      </c>
      <c r="BX379" s="91" t="str">
        <f>_xlfn.XLOOKUP(BW379,'Normative data'!$V$3:$V$6,'Normative data'!$W$3:$W$6,"Not Found",-1)</f>
        <v>Very low risk</v>
      </c>
      <c r="BY379" s="91" t="str">
        <f>IFERROR(SUM(BT379+BU379+BV379)/(3*(#REF!-S379))*100, "Incomplete")</f>
        <v>Incomplete</v>
      </c>
      <c r="BZ379" s="91" t="str">
        <f>_xlfn.XLOOKUP(BY379,'Normative data'!$V$3:$V$6,'Normative data'!$W$3:$W$6,"Not Found",-1)</f>
        <v>Very low risk</v>
      </c>
      <c r="CA379" s="20"/>
      <c r="CC379" s="20"/>
      <c r="CE379" s="20"/>
      <c r="CG379" s="20">
        <v>17.48</v>
      </c>
      <c r="CH379" s="20" t="e">
        <f>_xlfn.XLOOKUP(#REF!, 'Normative data'!$S$9:$S$15,'Normative data'!$T$9:$T$15, "Not Found", -1)</f>
        <v>#REF!</v>
      </c>
      <c r="CI379" s="20">
        <v>16.739999999999998</v>
      </c>
      <c r="CJ379" s="20" t="e">
        <f>_xlfn.XLOOKUP(#REF!, 'Normative data'!$S$9:$S$15, 'Normative data'!$T$9:$T$15, "Not Found", -1)</f>
        <v>#REF!</v>
      </c>
      <c r="CK379" s="20" t="s">
        <v>817</v>
      </c>
      <c r="CL379" s="20" t="s">
        <v>920</v>
      </c>
      <c r="CM379" s="21"/>
      <c r="CN379" s="20" t="s">
        <v>826</v>
      </c>
      <c r="CO379" s="20" t="s">
        <v>827</v>
      </c>
      <c r="CQ379" s="20"/>
      <c r="CR379" s="20" t="str" cm="1">
        <f t="array" ref="CR379">IF(OR(ISBLANK(E379),ISBLANK(CQ379)),"Incomplete",_xlfn.XLOOKUP(CQ379,_xlfn.XLOOKUP(E379,'Normative data'!$Y$3:$Y$6,'Normative data'!$Z$3:$AG$6,,-1),'Normative data'!$Z$2:$AG$2,"Not Found",-1))</f>
        <v>Incomplete</v>
      </c>
      <c r="CS379" s="20"/>
      <c r="CT379" s="20"/>
      <c r="CU379" s="20" t="str" cm="1">
        <f t="array" ref="CU379">_xlfn.XLOOKUP(CS379&amp;CT379,(VLOOKUP!$A$3:$A$250)&amp;(VLOOKUP!$B$3:$B$250),VLOOKUP!$C$3:$C$250,"Incomplete",-1)</f>
        <v>Incomplete</v>
      </c>
      <c r="CV379" s="20" t="str" cm="1">
        <f t="array" ref="CV379">_xlfn.XLOOKUP(CU379, _xlfn.XLOOKUP(E379, 'Normative data'!$Y$11:$Y$14, 'Normative data'!$Z$11:$AG$14, ,-1), 'Normative data'!$Z$10:$AG$10, "Not Found", -1)</f>
        <v>Excellent</v>
      </c>
      <c r="CW379" s="20" t="str" cm="1">
        <f t="array" ref="CW379">IF(OR(ISBLANK(CS379),ISBLANK(CT379)),"Incomplete",_xlfn.XLOOKUP(CS379&amp;CT379,VLOOKUP!$A$4:$A$250&amp;VLOOKUP!$B$4:$B$250,VLOOKUP!$D$4:$D$250,"0"))</f>
        <v>Incomplete</v>
      </c>
    </row>
    <row r="380" spans="1:101">
      <c r="A380" s="17" t="s">
        <v>921</v>
      </c>
      <c r="B380" s="17" t="s">
        <v>916</v>
      </c>
      <c r="C380" s="17" t="s">
        <v>86</v>
      </c>
      <c r="D380" s="26">
        <v>40755</v>
      </c>
      <c r="G380" s="17">
        <v>2026</v>
      </c>
      <c r="H380" s="20" t="s">
        <v>114</v>
      </c>
      <c r="I380" s="17">
        <v>1</v>
      </c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>
        <v>27.1</v>
      </c>
      <c r="AR380" s="20">
        <v>0.47</v>
      </c>
      <c r="AS380" s="20">
        <v>32.299999999999997</v>
      </c>
      <c r="AT380" s="20">
        <v>0.51300000000000001</v>
      </c>
      <c r="AU380" s="20">
        <v>14.6</v>
      </c>
      <c r="AV380" s="20">
        <v>0.34499999999999997</v>
      </c>
      <c r="AW380" s="20">
        <v>15.4</v>
      </c>
      <c r="AX380" s="20">
        <v>0.35399999999999998</v>
      </c>
      <c r="AY380" s="41" t="str">
        <f t="shared" ref="AY380:AY390" si="109">IF(OR(ISBLANK(U380), ISBLANK(AQ380)), "Incomplete", (60.7*AQ380)+(45.3*U380)-2055)</f>
        <v>Incomplete</v>
      </c>
      <c r="AZ380" s="20"/>
      <c r="BA380" s="20" t="str">
        <f t="shared" ref="BA380:BA390" si="110">IF(OR(ISBLANK(U380), ISBLANK(AS380)), "Incomplete", (60.7*AS380)+(45.3*U380)-2055)</f>
        <v>Incomplete</v>
      </c>
      <c r="BB380" s="20"/>
      <c r="BC380" s="20" t="str">
        <f t="shared" ref="BC380:BC390" si="111">IF(OR(ISBLANK(U380), ISBLANK(AU380)), "Incomplete", (60.7*AU380)+(45.3*U380)-2055)</f>
        <v>Incomplete</v>
      </c>
      <c r="BD380" s="20"/>
      <c r="BE380" s="20" t="str">
        <f t="shared" ref="BE380:BE390" si="112">IF(OR(ISBLANK(U380), ISBLANK(AW380)), "Incomplete", (60.7*AW380)+(45.3*U380)-2055)</f>
        <v>Incomplete</v>
      </c>
      <c r="BF380" s="20"/>
      <c r="BG380" s="20" t="s">
        <v>846</v>
      </c>
      <c r="BH380" s="20" t="s">
        <v>922</v>
      </c>
      <c r="BI380" s="20" t="e">
        <f t="shared" si="108"/>
        <v>#VALUE!</v>
      </c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91" t="str">
        <f t="shared" ref="BW380:BW390" si="113">IFERROR(SUM(BQ380+BR380+BS380)/(3*(T380-S380))*100, "Incomplete")</f>
        <v>Incomplete</v>
      </c>
      <c r="BX380" s="91" t="str">
        <f>_xlfn.XLOOKUP(BW380,'Normative data'!$V$3:$V$6,'Normative data'!$W$3:$W$6,"Not Found",-1)</f>
        <v>Very low risk</v>
      </c>
      <c r="BY380" s="91" t="str">
        <f t="shared" ref="BY380:BY390" si="114">IFERROR(SUM(BT380+BU380+BV380)/(3*(T380-S380))*100, "Incomplete")</f>
        <v>Incomplete</v>
      </c>
      <c r="BZ380" s="91" t="str">
        <f>_xlfn.XLOOKUP(BY380,'Normative data'!$V$3:$V$6,'Normative data'!$W$3:$W$6,"Not Found",-1)</f>
        <v>Very low risk</v>
      </c>
      <c r="CA380" s="20"/>
      <c r="CC380" s="20">
        <v>43</v>
      </c>
      <c r="CE380" s="20">
        <v>19</v>
      </c>
      <c r="CG380" s="20" t="s">
        <v>923</v>
      </c>
      <c r="CH380" s="20" t="str">
        <f>_xlfn.XLOOKUP(CG380, 'Normative data'!$S$9:$S$15,'Normative data'!$T$9:$T$15, "Not Found", -1)</f>
        <v>Poor</v>
      </c>
      <c r="CI380" s="20" t="s">
        <v>924</v>
      </c>
      <c r="CJ380" s="20" t="str">
        <f>_xlfn.XLOOKUP(CI380, 'Normative data'!$S$9:$S$15, 'Normative data'!$T$9:$T$15, "Not Found", -1)</f>
        <v>Poor</v>
      </c>
      <c r="CK380" s="20">
        <v>2</v>
      </c>
      <c r="CL380" s="20">
        <v>5</v>
      </c>
      <c r="CN380" s="20">
        <v>6.2</v>
      </c>
      <c r="CO380" s="20">
        <v>8.06</v>
      </c>
      <c r="CQ380" s="20" t="s">
        <v>925</v>
      </c>
      <c r="CR380" s="20" t="str" cm="1">
        <f t="array" ref="CR380">IF(OR(ISBLANK(E380),ISBLANK(CQ380)),"Incomplete",_xlfn.XLOOKUP(CQ380,_xlfn.XLOOKUP(E380,'Normative data'!$Y$3:$Y$6,'Normative data'!$Z$3:$AG$6,,-1),'Normative data'!$Z$2:$AG$2,"Not Found",-1))</f>
        <v>Incomplete</v>
      </c>
      <c r="CS380" s="20">
        <v>10</v>
      </c>
      <c r="CT380" s="20">
        <v>6</v>
      </c>
      <c r="CU380" s="20" cm="1">
        <f t="array" ref="CU380">_xlfn.XLOOKUP(CS380&amp;CT380,(VLOOKUP!$A$3:$A$250)&amp;(VLOOKUP!$B$3:$B$250),VLOOKUP!$C$3:$C$250,"Incomplete",-1)</f>
        <v>1780</v>
      </c>
      <c r="CV380" s="20" t="str" cm="1">
        <f t="array" ref="CV380">_xlfn.XLOOKUP(CU380, _xlfn.XLOOKUP(E380, 'Normative data'!$Y$11:$Y$14, 'Normative data'!$Z$11:$AG$14, ,-1), 'Normative data'!$Z$10:$AG$10, "Not Found", -1)</f>
        <v xml:space="preserve">Good </v>
      </c>
      <c r="CW380" s="20" cm="1">
        <f t="array" ref="CW380">IF(OR(ISBLANK(CS380),ISBLANK(CT380)),"Incomplete",_xlfn.XLOOKUP(CS380&amp;CT380,VLOOKUP!$A$4:$A$250&amp;VLOOKUP!$B$4:$B$250,VLOOKUP!$D$4:$D$250,"0"))</f>
        <v>49</v>
      </c>
    </row>
    <row r="381" spans="1:101">
      <c r="A381" s="18" t="s">
        <v>926</v>
      </c>
      <c r="B381" s="18" t="s">
        <v>927</v>
      </c>
      <c r="C381" s="17" t="s">
        <v>86</v>
      </c>
      <c r="D381" s="19"/>
      <c r="F381" s="17">
        <v>8</v>
      </c>
      <c r="G381" s="17">
        <v>2025</v>
      </c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41" t="str">
        <f t="shared" si="109"/>
        <v>Incomplete</v>
      </c>
      <c r="AZ381" s="20"/>
      <c r="BA381" s="20" t="str">
        <f t="shared" si="110"/>
        <v>Incomplete</v>
      </c>
      <c r="BB381" s="20"/>
      <c r="BC381" s="20" t="str">
        <f t="shared" si="111"/>
        <v>Incomplete</v>
      </c>
      <c r="BD381" s="20"/>
      <c r="BE381" s="20" t="str">
        <f t="shared" si="112"/>
        <v>Incomplete</v>
      </c>
      <c r="BF381" s="20"/>
      <c r="BG381" s="20">
        <v>10</v>
      </c>
      <c r="BH381" s="20">
        <v>30.7</v>
      </c>
      <c r="BI381" s="20">
        <f t="shared" si="108"/>
        <v>20.7</v>
      </c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91" t="str">
        <f t="shared" si="113"/>
        <v>Incomplete</v>
      </c>
      <c r="BX381" s="91" t="str">
        <f>_xlfn.XLOOKUP(BW381,'Normative data'!$V$3:$V$6,'Normative data'!$W$3:$W$6,"Not Found",-1)</f>
        <v>Very low risk</v>
      </c>
      <c r="BY381" s="91" t="str">
        <f t="shared" si="114"/>
        <v>Incomplete</v>
      </c>
      <c r="BZ381" s="91" t="str">
        <f>_xlfn.XLOOKUP(BY381,'Normative data'!$V$3:$V$6,'Normative data'!$W$3:$W$6,"Not Found",-1)</f>
        <v>Very low risk</v>
      </c>
      <c r="CA381" s="20"/>
      <c r="CC381" s="20"/>
      <c r="CE381" s="20"/>
      <c r="CG381" s="20"/>
      <c r="CH381" s="20" t="str">
        <f>_xlfn.XLOOKUP(CG381, 'Normative data'!$S$9:$S$15,'Normative data'!$T$9:$T$15, "Not Found", -1)</f>
        <v>not completed</v>
      </c>
      <c r="CI381" s="20"/>
      <c r="CJ381" s="20" t="str">
        <f>_xlfn.XLOOKUP(CI381, 'Normative data'!$S$9:$S$15, 'Normative data'!$T$9:$T$15, "Not Found", -1)</f>
        <v>not completed</v>
      </c>
      <c r="CK381" s="21"/>
      <c r="CL381" s="21"/>
      <c r="CM381" s="21"/>
      <c r="CN381" s="21"/>
      <c r="CO381" s="21"/>
      <c r="CP381" s="21"/>
      <c r="CQ381" s="20"/>
      <c r="CR381" s="20" t="str" cm="1">
        <f t="array" ref="CR381">IF(OR(ISBLANK(E381),ISBLANK(CQ381)),"Incomplete",_xlfn.XLOOKUP(CQ381,_xlfn.XLOOKUP(E381,'Normative data'!$Y$3:$Y$6,'Normative data'!$Z$3:$AG$6,,-1),'Normative data'!$Z$2:$AG$2,"Not Found",-1))</f>
        <v>Incomplete</v>
      </c>
      <c r="CS381" s="20"/>
      <c r="CT381" s="20"/>
      <c r="CU381" s="20" t="str" cm="1">
        <f t="array" ref="CU381">_xlfn.XLOOKUP(CS381&amp;CT381,(VLOOKUP!$A$3:$A$250)&amp;(VLOOKUP!$B$3:$B$250),VLOOKUP!$C$3:$C$250,"Incomplete",-1)</f>
        <v>Incomplete</v>
      </c>
      <c r="CV381" s="20" t="str" cm="1">
        <f t="array" ref="CV381">_xlfn.XLOOKUP(CU381, _xlfn.XLOOKUP(E381, 'Normative data'!$Y$11:$Y$14, 'Normative data'!$Z$11:$AG$14, ,-1), 'Normative data'!$Z$10:$AG$10, "Not Found", -1)</f>
        <v>Excellent</v>
      </c>
      <c r="CW381" s="20" t="str" cm="1">
        <f t="array" ref="CW381">IF(OR(ISBLANK(CS381),ISBLANK(CT381)),"Incomplete",_xlfn.XLOOKUP(CS381&amp;CT381,VLOOKUP!$A$4:$A$250&amp;VLOOKUP!$B$4:$B$250,VLOOKUP!$D$4:$D$250,"0"))</f>
        <v>Incomplete</v>
      </c>
    </row>
    <row r="382" spans="1:101">
      <c r="A382" s="17" t="s">
        <v>928</v>
      </c>
      <c r="B382" s="17" t="s">
        <v>929</v>
      </c>
      <c r="C382" s="17" t="s">
        <v>86</v>
      </c>
      <c r="D382" s="26">
        <v>40662</v>
      </c>
      <c r="F382" s="20" t="s">
        <v>87</v>
      </c>
      <c r="G382" s="17">
        <v>2026</v>
      </c>
      <c r="I382" s="20">
        <v>2</v>
      </c>
      <c r="J382" s="20"/>
      <c r="K382" s="20"/>
      <c r="L382" s="20"/>
      <c r="S382" s="20">
        <v>87.2</v>
      </c>
      <c r="T382" s="20">
        <v>167.3</v>
      </c>
      <c r="U382" s="17">
        <v>54.2</v>
      </c>
      <c r="V382" s="17">
        <v>31.1</v>
      </c>
      <c r="W382" s="17">
        <v>11.8</v>
      </c>
      <c r="X382" s="17">
        <v>42.4</v>
      </c>
      <c r="Y382" s="17">
        <v>23.1</v>
      </c>
      <c r="AA382" s="17">
        <v>21.7</v>
      </c>
      <c r="AB382" s="17">
        <v>6.44</v>
      </c>
      <c r="AC382" s="17">
        <v>102.8</v>
      </c>
      <c r="AD382" s="17">
        <v>6.32</v>
      </c>
      <c r="AE382" s="17">
        <v>100.9</v>
      </c>
      <c r="AF382" s="17">
        <v>1.9</v>
      </c>
      <c r="AG382" s="17">
        <v>72.099999999999994</v>
      </c>
      <c r="AH382" s="17">
        <v>1.8</v>
      </c>
      <c r="AI382" s="17">
        <v>71.400000000000006</v>
      </c>
      <c r="AJ382" s="17">
        <v>317.3</v>
      </c>
      <c r="AK382" s="17">
        <v>329.9</v>
      </c>
      <c r="AL382" s="17">
        <v>258.2</v>
      </c>
      <c r="AM382" s="17">
        <v>297.3</v>
      </c>
      <c r="AN382" s="17">
        <v>102</v>
      </c>
      <c r="AQ382" s="17">
        <v>19.600000000000001</v>
      </c>
      <c r="AR382" s="17">
        <v>0.4</v>
      </c>
      <c r="AS382" s="17">
        <v>21.7</v>
      </c>
      <c r="AT382" s="17">
        <v>0.42099999999999999</v>
      </c>
      <c r="AU382" s="17">
        <v>11.1</v>
      </c>
      <c r="AV382" s="17">
        <v>0.30099999999999999</v>
      </c>
      <c r="AW382" s="17">
        <v>9.1</v>
      </c>
      <c r="AX382" s="17">
        <v>0.27300000000000002</v>
      </c>
      <c r="AY382" s="41">
        <f t="shared" si="109"/>
        <v>1589.98</v>
      </c>
      <c r="BA382" s="20">
        <f t="shared" si="110"/>
        <v>1717.4499999999998</v>
      </c>
      <c r="BC382" s="20">
        <f t="shared" si="111"/>
        <v>1074.0299999999997</v>
      </c>
      <c r="BE382" s="20">
        <f t="shared" si="112"/>
        <v>952.62999999999965</v>
      </c>
      <c r="BG382" s="17">
        <v>8</v>
      </c>
      <c r="BH382" s="17">
        <v>40</v>
      </c>
      <c r="BI382" s="20">
        <f t="shared" si="108"/>
        <v>32</v>
      </c>
      <c r="BJ382" s="20"/>
      <c r="BK382" s="17">
        <v>14</v>
      </c>
      <c r="BL382" s="20"/>
      <c r="BM382" s="17">
        <v>14</v>
      </c>
      <c r="BN382" s="20"/>
      <c r="BO382" s="17">
        <v>42</v>
      </c>
      <c r="BP382" s="17">
        <v>42</v>
      </c>
      <c r="BQ382" s="17">
        <v>79</v>
      </c>
      <c r="BR382" s="17">
        <v>78</v>
      </c>
      <c r="BS382" s="17">
        <v>78</v>
      </c>
      <c r="BT382" s="17">
        <v>79</v>
      </c>
      <c r="BU382" s="17">
        <v>74</v>
      </c>
      <c r="BV382" s="17">
        <v>79</v>
      </c>
      <c r="BW382" s="91">
        <f t="shared" si="113"/>
        <v>97.794423637120261</v>
      </c>
      <c r="BX382" s="91" t="str">
        <f>_xlfn.XLOOKUP(BW382,'Normative data'!$V$3:$V$6,'Normative data'!$W$3:$W$6,"Not Found",-1)</f>
        <v>Low risk</v>
      </c>
      <c r="BY382" s="91">
        <f t="shared" si="114"/>
        <v>96.545984186433614</v>
      </c>
      <c r="BZ382" s="91" t="str">
        <f>_xlfn.XLOOKUP(BY382,'Normative data'!$V$3:$V$6,'Normative data'!$W$3:$W$6,"Not Found",-1)</f>
        <v>Low risk</v>
      </c>
      <c r="CA382" s="17">
        <v>25</v>
      </c>
      <c r="CC382" s="20"/>
      <c r="CG382" s="20"/>
      <c r="CH382" s="20" t="str">
        <f>_xlfn.XLOOKUP(CG382, 'Normative data'!$S$9:$S$15,'Normative data'!$T$9:$T$15, "Not Found", -1)</f>
        <v>not completed</v>
      </c>
      <c r="CI382" s="20"/>
      <c r="CJ382" s="20" t="str">
        <f>_xlfn.XLOOKUP(CI382, 'Normative data'!$S$9:$S$15, 'Normative data'!$T$9:$T$15, "Not Found", -1)</f>
        <v>not completed</v>
      </c>
      <c r="CK382" s="21"/>
      <c r="CL382" s="21"/>
      <c r="CM382" s="21"/>
      <c r="CN382" s="21"/>
      <c r="CO382" s="21"/>
      <c r="CQ382" s="17">
        <v>6.1</v>
      </c>
      <c r="CR382" s="20" t="str" cm="1">
        <f t="array" ref="CR382">IF(OR(ISBLANK(E382),ISBLANK(CQ382)),"Incomplete",_xlfn.XLOOKUP(CQ382,_xlfn.XLOOKUP(E382,'Normative data'!$Y$3:$Y$6,'Normative data'!$Z$3:$AG$6,,-1),'Normative data'!$Z$2:$AG$2,"Not Found",-1))</f>
        <v>Incomplete</v>
      </c>
      <c r="CS382" s="20">
        <v>6</v>
      </c>
      <c r="CT382" s="20">
        <v>1</v>
      </c>
      <c r="CU382" s="20" cm="1">
        <f t="array" ref="CU382">_xlfn.XLOOKUP(CS382&amp;CT382,(VLOOKUP!$A$3:$A$250)&amp;(VLOOKUP!$B$3:$B$250),VLOOKUP!$C$3:$C$250,"Incomplete",-1)</f>
        <v>840</v>
      </c>
      <c r="CV382" s="20" t="str" cm="1">
        <f t="array" ref="CV382">_xlfn.XLOOKUP(CU382, _xlfn.XLOOKUP(E382, 'Normative data'!$Y$11:$Y$14, 'Normative data'!$Z$11:$AG$14, ,-1), 'Normative data'!$Z$10:$AG$10, "Not Found", -1)</f>
        <v xml:space="preserve">Fair </v>
      </c>
      <c r="CW382" s="20" cm="1">
        <f t="array" ref="CW382">IF(OR(ISBLANK(CS382),ISBLANK(CT382)),"Incomplete",_xlfn.XLOOKUP(CS382&amp;CT382,VLOOKUP!$A$4:$A$250&amp;VLOOKUP!$B$4:$B$250,VLOOKUP!$D$4:$D$250,"0"))</f>
        <v>33</v>
      </c>
    </row>
    <row r="383" spans="1:101">
      <c r="A383" s="17" t="s">
        <v>930</v>
      </c>
      <c r="B383" s="17" t="s">
        <v>929</v>
      </c>
      <c r="C383" s="17" t="s">
        <v>86</v>
      </c>
      <c r="D383" s="26"/>
      <c r="F383" s="20" t="s">
        <v>157</v>
      </c>
      <c r="G383" s="17">
        <v>2026</v>
      </c>
      <c r="I383" s="20">
        <v>2</v>
      </c>
      <c r="J383" s="20" t="s">
        <v>100</v>
      </c>
      <c r="K383" s="20" t="s">
        <v>108</v>
      </c>
      <c r="L383" s="20"/>
      <c r="S383" s="20">
        <v>78</v>
      </c>
      <c r="T383" s="20">
        <v>157.69999999999999</v>
      </c>
      <c r="U383" s="17">
        <v>64.400000000000006</v>
      </c>
      <c r="AQ383" s="20"/>
      <c r="AR383" s="20"/>
      <c r="AS383" s="20"/>
      <c r="AT383" s="20"/>
      <c r="AU383" s="20"/>
      <c r="AV383" s="20"/>
      <c r="AW383" s="20"/>
      <c r="AX383" s="20"/>
      <c r="AY383" s="41" t="str">
        <f t="shared" si="109"/>
        <v>Incomplete</v>
      </c>
      <c r="BA383" s="20" t="str">
        <f t="shared" si="110"/>
        <v>Incomplete</v>
      </c>
      <c r="BC383" s="20" t="str">
        <f t="shared" si="111"/>
        <v>Incomplete</v>
      </c>
      <c r="BE383" s="20" t="str">
        <f t="shared" si="112"/>
        <v>Incomplete</v>
      </c>
      <c r="BH383" s="17">
        <v>37</v>
      </c>
      <c r="BI383" s="20" t="str">
        <f t="shared" si="108"/>
        <v>Incomplete</v>
      </c>
      <c r="BJ383" s="20"/>
      <c r="BK383" s="17">
        <v>3.5</v>
      </c>
      <c r="BL383" s="20"/>
      <c r="BN383" s="20"/>
      <c r="BO383" s="17">
        <v>52.5</v>
      </c>
      <c r="BP383" s="17">
        <v>52</v>
      </c>
      <c r="BQ383" s="17">
        <v>70</v>
      </c>
      <c r="BR383" s="17">
        <v>78</v>
      </c>
      <c r="BS383" s="17">
        <v>77</v>
      </c>
      <c r="BT383" s="17">
        <v>67</v>
      </c>
      <c r="BU383" s="17">
        <v>79</v>
      </c>
      <c r="BV383" s="17">
        <v>72</v>
      </c>
      <c r="BW383" s="91">
        <f t="shared" si="113"/>
        <v>94.102885821831876</v>
      </c>
      <c r="BX383" s="91" t="str">
        <f>_xlfn.XLOOKUP(BW383,'Normative data'!$V$3:$V$6,'Normative data'!$W$3:$W$6,"Not Found",-1)</f>
        <v>High risk</v>
      </c>
      <c r="BY383" s="91">
        <f t="shared" si="114"/>
        <v>91.175240485152671</v>
      </c>
      <c r="BZ383" s="91" t="str">
        <f>_xlfn.XLOOKUP(BY383,'Normative data'!$V$3:$V$6,'Normative data'!$W$3:$W$6,"Not Found",-1)</f>
        <v>High risk</v>
      </c>
      <c r="CG383" s="20"/>
      <c r="CH383" s="20" t="str">
        <f>_xlfn.XLOOKUP(CG383, 'Normative data'!$S$9:$S$15,'Normative data'!$T$9:$T$15, "Not Found", -1)</f>
        <v>not completed</v>
      </c>
      <c r="CI383" s="20"/>
      <c r="CJ383" s="20" t="str">
        <f>_xlfn.XLOOKUP(CI383, 'Normative data'!$S$9:$S$15, 'Normative data'!$T$9:$T$15, "Not Found", -1)</f>
        <v>not completed</v>
      </c>
      <c r="CK383" s="21"/>
      <c r="CL383" s="21"/>
      <c r="CM383" s="21"/>
      <c r="CN383" s="21"/>
      <c r="CO383" s="21"/>
      <c r="CQ383" s="17">
        <v>5.2</v>
      </c>
      <c r="CR383" s="20" t="str" cm="1">
        <f t="array" ref="CR383">IF(OR(ISBLANK(E383),ISBLANK(CQ383)),"Incomplete",_xlfn.XLOOKUP(CQ383,_xlfn.XLOOKUP(E383,'Normative data'!$Y$3:$Y$6,'Normative data'!$Z$3:$AG$6,,-1),'Normative data'!$Z$2:$AG$2,"Not Found",-1))</f>
        <v>Incomplete</v>
      </c>
      <c r="CS383" s="20">
        <v>5</v>
      </c>
      <c r="CT383" s="20">
        <v>2</v>
      </c>
      <c r="CU383" s="20" cm="1">
        <f t="array" ref="CU383">_xlfn.XLOOKUP(CS383&amp;CT383,(VLOOKUP!$A$3:$A$250)&amp;(VLOOKUP!$B$3:$B$250),VLOOKUP!$C$3:$C$250,"Incomplete",-1)</f>
        <v>680</v>
      </c>
      <c r="CV383" s="20" t="str" cm="1">
        <f t="array" ref="CV383">_xlfn.XLOOKUP(CU383, _xlfn.XLOOKUP(E383, 'Normative data'!$Y$11:$Y$14, 'Normative data'!$Z$11:$AG$14, ,-1), 'Normative data'!$Z$10:$AG$10, "Not Found", -1)</f>
        <v xml:space="preserve">Poor </v>
      </c>
      <c r="CW383" s="20" cm="1">
        <f t="array" ref="CW383">IF(OR(ISBLANK(CS383),ISBLANK(CT383)),"Incomplete",_xlfn.XLOOKUP(CS383&amp;CT383,VLOOKUP!$A$4:$A$250&amp;VLOOKUP!$B$4:$B$250,VLOOKUP!$D$4:$D$250,"0"))</f>
        <v>30</v>
      </c>
    </row>
    <row r="384" spans="1:101">
      <c r="A384" s="17" t="s">
        <v>931</v>
      </c>
      <c r="B384" s="17" t="s">
        <v>929</v>
      </c>
      <c r="C384" s="17" t="s">
        <v>86</v>
      </c>
      <c r="D384" s="26"/>
      <c r="F384" s="20" t="s">
        <v>99</v>
      </c>
      <c r="G384" s="17">
        <v>2026</v>
      </c>
      <c r="I384" s="20">
        <v>2</v>
      </c>
      <c r="J384" s="20" t="s">
        <v>100</v>
      </c>
      <c r="K384" s="20" t="s">
        <v>556</v>
      </c>
      <c r="L384" s="20"/>
      <c r="S384" s="20">
        <v>86.8</v>
      </c>
      <c r="T384" s="20">
        <v>168.3</v>
      </c>
      <c r="AQ384" s="20"/>
      <c r="AR384" s="20"/>
      <c r="AS384" s="20"/>
      <c r="AT384" s="20"/>
      <c r="AU384" s="20"/>
      <c r="AV384" s="20"/>
      <c r="AW384" s="20"/>
      <c r="AX384" s="20"/>
      <c r="AY384" s="41" t="str">
        <f t="shared" si="109"/>
        <v>Incomplete</v>
      </c>
      <c r="BA384" s="20" t="str">
        <f t="shared" si="110"/>
        <v>Incomplete</v>
      </c>
      <c r="BC384" s="20" t="str">
        <f t="shared" si="111"/>
        <v>Incomplete</v>
      </c>
      <c r="BE384" s="20" t="str">
        <f t="shared" si="112"/>
        <v>Incomplete</v>
      </c>
      <c r="BG384" s="17">
        <v>14.5</v>
      </c>
      <c r="BH384" s="17">
        <v>52</v>
      </c>
      <c r="BI384" s="20">
        <f t="shared" si="108"/>
        <v>37.5</v>
      </c>
      <c r="BJ384" s="20"/>
      <c r="BL384" s="20"/>
      <c r="BM384" s="20"/>
      <c r="BN384" s="20"/>
      <c r="BQ384" s="17">
        <v>87</v>
      </c>
      <c r="BR384" s="17">
        <v>88</v>
      </c>
      <c r="BS384" s="17">
        <v>86</v>
      </c>
      <c r="BT384" s="17">
        <v>86</v>
      </c>
      <c r="BU384" s="17">
        <v>88</v>
      </c>
      <c r="BV384" s="17">
        <v>82</v>
      </c>
      <c r="BW384" s="91">
        <f t="shared" si="113"/>
        <v>106.7484662576687</v>
      </c>
      <c r="BX384" s="91" t="str">
        <f>_xlfn.XLOOKUP(BW384,'Normative data'!$V$3:$V$6,'Normative data'!$W$3:$W$6,"Not Found",-1)</f>
        <v>Low risk</v>
      </c>
      <c r="BY384" s="91">
        <f t="shared" si="114"/>
        <v>104.70347648261755</v>
      </c>
      <c r="BZ384" s="91" t="str">
        <f>_xlfn.XLOOKUP(BY384,'Normative data'!$V$3:$V$6,'Normative data'!$W$3:$W$6,"Not Found",-1)</f>
        <v>Low risk</v>
      </c>
      <c r="CA384" s="17">
        <v>33</v>
      </c>
      <c r="CC384" s="20"/>
      <c r="CE384" s="17">
        <v>20</v>
      </c>
      <c r="CG384" s="17">
        <v>17.47</v>
      </c>
      <c r="CH384" s="20" t="str">
        <f>_xlfn.XLOOKUP(CG384, 'Normative data'!$S$9:$S$15,'Normative data'!$T$9:$T$15, "Not Found", -1)</f>
        <v>Above Average</v>
      </c>
      <c r="CI384" s="17">
        <v>17.54</v>
      </c>
      <c r="CJ384" s="20" t="str">
        <f>_xlfn.XLOOKUP(CI384, 'Normative data'!$S$9:$S$15, 'Normative data'!$T$9:$T$15, "Not Found", -1)</f>
        <v>Above Average</v>
      </c>
      <c r="CK384" s="17">
        <v>2.21</v>
      </c>
      <c r="CL384" s="17">
        <v>4.5199999999999996</v>
      </c>
      <c r="CN384" s="17">
        <v>6.29</v>
      </c>
      <c r="CO384" s="17">
        <v>7.95</v>
      </c>
      <c r="CR384" s="20" t="str" cm="1">
        <f t="array" ref="CR384">IF(OR(ISBLANK(E384),ISBLANK(CQ384)),"Incomplete",_xlfn.XLOOKUP(CQ384,_xlfn.XLOOKUP(E384,'Normative data'!$Y$3:$Y$6,'Normative data'!$Z$3:$AG$6,,-1),'Normative data'!$Z$2:$AG$2,"Not Found",-1))</f>
        <v>Incomplete</v>
      </c>
      <c r="CS384" s="20"/>
      <c r="CT384" s="20"/>
      <c r="CU384" s="20" t="str" cm="1">
        <f t="array" ref="CU384">_xlfn.XLOOKUP(CS384&amp;CT384,(VLOOKUP!$A$3:$A$250)&amp;(VLOOKUP!$B$3:$B$250),VLOOKUP!$C$3:$C$250,"Incomplete",-1)</f>
        <v>Incomplete</v>
      </c>
      <c r="CV384" s="20" t="str" cm="1">
        <f t="array" ref="CV384">_xlfn.XLOOKUP(CU384, _xlfn.XLOOKUP(E384, 'Normative data'!$Y$11:$Y$14, 'Normative data'!$Z$11:$AG$14, ,-1), 'Normative data'!$Z$10:$AG$10, "Not Found", -1)</f>
        <v>Excellent</v>
      </c>
      <c r="CW384" s="20" t="str" cm="1">
        <f t="array" ref="CW384">IF(OR(ISBLANK(CS384),ISBLANK(CT384)),"Incomplete",_xlfn.XLOOKUP(CS384&amp;CT384,VLOOKUP!$A$4:$A$250&amp;VLOOKUP!$B$4:$B$250,VLOOKUP!$D$4:$D$250,"0"))</f>
        <v>Incomplete</v>
      </c>
    </row>
    <row r="385" spans="1:101">
      <c r="A385" s="17" t="s">
        <v>932</v>
      </c>
      <c r="B385" s="17" t="s">
        <v>929</v>
      </c>
      <c r="C385" s="17" t="s">
        <v>86</v>
      </c>
      <c r="D385" s="26">
        <v>40770</v>
      </c>
      <c r="F385" s="20" t="s">
        <v>217</v>
      </c>
      <c r="G385" s="17">
        <v>2026</v>
      </c>
      <c r="I385" s="20">
        <v>2</v>
      </c>
      <c r="J385" s="20"/>
      <c r="K385" s="20"/>
      <c r="L385" s="20"/>
      <c r="S385" s="20">
        <v>81.400000000000006</v>
      </c>
      <c r="T385" s="20">
        <v>166.4</v>
      </c>
      <c r="AQ385" s="20"/>
      <c r="AR385" s="20"/>
      <c r="AS385" s="20"/>
      <c r="AT385" s="20"/>
      <c r="AU385" s="20"/>
      <c r="AV385" s="20"/>
      <c r="AW385" s="20"/>
      <c r="AX385" s="20"/>
      <c r="AY385" s="41" t="str">
        <f t="shared" si="109"/>
        <v>Incomplete</v>
      </c>
      <c r="BA385" s="20" t="str">
        <f t="shared" si="110"/>
        <v>Incomplete</v>
      </c>
      <c r="BC385" s="20" t="str">
        <f t="shared" si="111"/>
        <v>Incomplete</v>
      </c>
      <c r="BE385" s="20" t="str">
        <f t="shared" si="112"/>
        <v>Incomplete</v>
      </c>
      <c r="BG385" s="17">
        <v>8</v>
      </c>
      <c r="BH385" s="17">
        <v>19.5</v>
      </c>
      <c r="BI385" s="20">
        <f t="shared" si="108"/>
        <v>11.5</v>
      </c>
      <c r="BJ385" s="20"/>
      <c r="BK385" s="17">
        <v>5</v>
      </c>
      <c r="BL385" s="20"/>
      <c r="BM385" s="17">
        <v>7.5</v>
      </c>
      <c r="BN385" s="20"/>
      <c r="BQ385" s="17">
        <v>88</v>
      </c>
      <c r="BR385" s="17">
        <v>84</v>
      </c>
      <c r="BS385" s="17">
        <v>48</v>
      </c>
      <c r="BT385" s="17">
        <v>80</v>
      </c>
      <c r="BU385" s="17">
        <v>73</v>
      </c>
      <c r="BV385" s="17">
        <v>64</v>
      </c>
      <c r="BW385" s="91">
        <f t="shared" si="113"/>
        <v>86.274509803921575</v>
      </c>
      <c r="BX385" s="91" t="str">
        <f>_xlfn.XLOOKUP(BW385,'Normative data'!$V$3:$V$6,'Normative data'!$W$3:$W$6,"Not Found",-1)</f>
        <v>High risk</v>
      </c>
      <c r="BY385" s="91">
        <f t="shared" si="114"/>
        <v>85.098039215686271</v>
      </c>
      <c r="BZ385" s="91" t="str">
        <f>_xlfn.XLOOKUP(BY385,'Normative data'!$V$3:$V$6,'Normative data'!$W$3:$W$6,"Not Found",-1)</f>
        <v>High risk</v>
      </c>
      <c r="CG385" s="20"/>
      <c r="CH385" s="20" t="str">
        <f>_xlfn.XLOOKUP(CG385, 'Normative data'!$S$9:$S$15,'Normative data'!$T$9:$T$15, "Not Found", -1)</f>
        <v>not completed</v>
      </c>
      <c r="CI385" s="20"/>
      <c r="CJ385" s="20" t="str">
        <f>_xlfn.XLOOKUP(CI385, 'Normative data'!$S$9:$S$15, 'Normative data'!$T$9:$T$15, "Not Found", -1)</f>
        <v>not completed</v>
      </c>
      <c r="CK385" s="21"/>
      <c r="CL385" s="21"/>
      <c r="CM385" s="21"/>
      <c r="CN385" s="21"/>
      <c r="CO385" s="21"/>
      <c r="CR385" s="20" t="str" cm="1">
        <f t="array" ref="CR385">IF(OR(ISBLANK(E385),ISBLANK(CQ385)),"Incomplete",_xlfn.XLOOKUP(CQ385,_xlfn.XLOOKUP(E385,'Normative data'!$Y$3:$Y$6,'Normative data'!$Z$3:$AG$6,,-1),'Normative data'!$Z$2:$AG$2,"Not Found",-1))</f>
        <v>Incomplete</v>
      </c>
      <c r="CS385" s="20"/>
      <c r="CT385" s="20"/>
      <c r="CU385" s="20" t="str" cm="1">
        <f t="array" ref="CU385">_xlfn.XLOOKUP(CS385&amp;CT385,(VLOOKUP!$A$3:$A$250)&amp;(VLOOKUP!$B$3:$B$250),VLOOKUP!$C$3:$C$250,"Incomplete",-1)</f>
        <v>Incomplete</v>
      </c>
      <c r="CV385" s="20" t="str" cm="1">
        <f t="array" ref="CV385">_xlfn.XLOOKUP(CU385, _xlfn.XLOOKUP(E385, 'Normative data'!$Y$11:$Y$14, 'Normative data'!$Z$11:$AG$14, ,-1), 'Normative data'!$Z$10:$AG$10, "Not Found", -1)</f>
        <v>Excellent</v>
      </c>
      <c r="CW385" s="20" t="str" cm="1">
        <f t="array" ref="CW385">IF(OR(ISBLANK(CS385),ISBLANK(CT385)),"Incomplete",_xlfn.XLOOKUP(CS385&amp;CT385,VLOOKUP!$A$4:$A$250&amp;VLOOKUP!$B$4:$B$250,VLOOKUP!$D$4:$D$250,"0"))</f>
        <v>Incomplete</v>
      </c>
    </row>
    <row r="386" spans="1:101">
      <c r="A386" s="17" t="s">
        <v>933</v>
      </c>
      <c r="B386" s="17" t="s">
        <v>929</v>
      </c>
      <c r="C386" s="17" t="s">
        <v>86</v>
      </c>
      <c r="D386" s="26"/>
      <c r="F386" s="20" t="s">
        <v>92</v>
      </c>
      <c r="G386" s="17">
        <v>2026</v>
      </c>
      <c r="I386" s="20">
        <v>2</v>
      </c>
      <c r="J386" s="20" t="s">
        <v>88</v>
      </c>
      <c r="K386" s="20" t="s">
        <v>89</v>
      </c>
      <c r="L386" s="20"/>
      <c r="S386" s="20"/>
      <c r="T386" s="20"/>
      <c r="AQ386" s="20"/>
      <c r="AR386" s="20"/>
      <c r="AS386" s="20"/>
      <c r="AT386" s="20"/>
      <c r="AU386" s="20"/>
      <c r="AV386" s="20"/>
      <c r="AW386" s="20"/>
      <c r="AX386" s="20"/>
      <c r="AY386" s="41" t="str">
        <f t="shared" si="109"/>
        <v>Incomplete</v>
      </c>
      <c r="BA386" s="20" t="str">
        <f t="shared" si="110"/>
        <v>Incomplete</v>
      </c>
      <c r="BC386" s="20" t="str">
        <f t="shared" si="111"/>
        <v>Incomplete</v>
      </c>
      <c r="BE386" s="20" t="str">
        <f t="shared" si="112"/>
        <v>Incomplete</v>
      </c>
      <c r="BG386" s="17">
        <v>9</v>
      </c>
      <c r="BH386" s="17">
        <v>45</v>
      </c>
      <c r="BI386" s="20">
        <f t="shared" si="108"/>
        <v>36</v>
      </c>
      <c r="BJ386" s="20"/>
      <c r="BK386" s="17">
        <v>5</v>
      </c>
      <c r="BL386" s="20"/>
      <c r="BM386" s="17">
        <v>5</v>
      </c>
      <c r="BN386" s="20"/>
      <c r="BO386" s="17">
        <v>44.5</v>
      </c>
      <c r="BP386" s="17">
        <v>47</v>
      </c>
      <c r="BQ386" s="17">
        <v>63</v>
      </c>
      <c r="BR386" s="17">
        <v>78</v>
      </c>
      <c r="BS386" s="17">
        <v>74</v>
      </c>
      <c r="BT386" s="17">
        <v>54</v>
      </c>
      <c r="BU386" s="17">
        <v>76</v>
      </c>
      <c r="BV386" s="17">
        <v>76</v>
      </c>
      <c r="BW386" s="91" t="str">
        <f t="shared" si="113"/>
        <v>Incomplete</v>
      </c>
      <c r="BX386" s="91" t="str">
        <f>_xlfn.XLOOKUP(BW386,'Normative data'!$V$3:$V$6,'Normative data'!$W$3:$W$6,"Not Found",-1)</f>
        <v>Very low risk</v>
      </c>
      <c r="BY386" s="91" t="str">
        <f t="shared" si="114"/>
        <v>Incomplete</v>
      </c>
      <c r="BZ386" s="91" t="str">
        <f>_xlfn.XLOOKUP(BY386,'Normative data'!$V$3:$V$6,'Normative data'!$W$3:$W$6,"Not Found",-1)</f>
        <v>Very low risk</v>
      </c>
      <c r="CA386" s="17">
        <v>24</v>
      </c>
      <c r="CC386" s="20"/>
      <c r="CE386" s="17">
        <v>6</v>
      </c>
      <c r="CH386" s="20" t="str">
        <f>_xlfn.XLOOKUP(CG386, 'Normative data'!$S$9:$S$15,'Normative data'!$T$9:$T$15, "Not Found", -1)</f>
        <v>not completed</v>
      </c>
      <c r="CI386" s="17">
        <v>19.43</v>
      </c>
      <c r="CJ386" s="20" t="str">
        <f>_xlfn.XLOOKUP(CI386, 'Normative data'!$S$9:$S$15, 'Normative data'!$T$9:$T$15, "Not Found", -1)</f>
        <v>Average</v>
      </c>
      <c r="CK386" s="17">
        <v>2.19</v>
      </c>
      <c r="CL386" s="17">
        <v>4.57</v>
      </c>
      <c r="CN386" s="17">
        <v>6.78</v>
      </c>
      <c r="CO386" s="17">
        <v>7.37</v>
      </c>
      <c r="CR386" s="20" t="str" cm="1">
        <f t="array" ref="CR386">IF(OR(ISBLANK(E386),ISBLANK(CQ386)),"Incomplete",_xlfn.XLOOKUP(CQ386,_xlfn.XLOOKUP(E386,'Normative data'!$Y$3:$Y$6,'Normative data'!$Z$3:$AG$6,,-1),'Normative data'!$Z$2:$AG$2,"Not Found",-1))</f>
        <v>Incomplete</v>
      </c>
      <c r="CS386" s="20"/>
      <c r="CT386" s="20"/>
      <c r="CU386" s="20" t="str" cm="1">
        <f t="array" ref="CU386">_xlfn.XLOOKUP(CS386&amp;CT386,(VLOOKUP!$A$3:$A$250)&amp;(VLOOKUP!$B$3:$B$250),VLOOKUP!$C$3:$C$250,"Incomplete",-1)</f>
        <v>Incomplete</v>
      </c>
      <c r="CV386" s="20" t="str" cm="1">
        <f t="array" ref="CV386">_xlfn.XLOOKUP(CU386, _xlfn.XLOOKUP(E386, 'Normative data'!$Y$11:$Y$14, 'Normative data'!$Z$11:$AG$14, ,-1), 'Normative data'!$Z$10:$AG$10, "Not Found", -1)</f>
        <v>Excellent</v>
      </c>
      <c r="CW386" s="20" t="str" cm="1">
        <f t="array" ref="CW386">IF(OR(ISBLANK(CS386),ISBLANK(CT386)),"Incomplete",_xlfn.XLOOKUP(CS386&amp;CT386,VLOOKUP!$A$4:$A$250&amp;VLOOKUP!$B$4:$B$250,VLOOKUP!$D$4:$D$250,"0"))</f>
        <v>Incomplete</v>
      </c>
    </row>
    <row r="387" spans="1:101">
      <c r="A387" s="18" t="s">
        <v>934</v>
      </c>
      <c r="B387" s="18" t="s">
        <v>935</v>
      </c>
      <c r="C387" s="17" t="s">
        <v>86</v>
      </c>
      <c r="D387" s="19">
        <v>39514</v>
      </c>
      <c r="F387" s="17">
        <v>11</v>
      </c>
      <c r="G387" s="17">
        <v>2025</v>
      </c>
      <c r="S387" s="20"/>
      <c r="T387" s="20">
        <v>164</v>
      </c>
      <c r="U387" s="20">
        <v>53</v>
      </c>
      <c r="V387" s="20"/>
      <c r="W387" s="20">
        <v>11</v>
      </c>
      <c r="X387" s="20">
        <f>SUM(T387-W387)</f>
        <v>153</v>
      </c>
      <c r="Y387" s="20">
        <v>23.2</v>
      </c>
      <c r="Z387" s="20">
        <v>19.7</v>
      </c>
      <c r="AA387" s="20">
        <v>20.7</v>
      </c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41" t="str">
        <f t="shared" si="109"/>
        <v>Incomplete</v>
      </c>
      <c r="AZ387" s="20"/>
      <c r="BA387" s="20" t="str">
        <f t="shared" si="110"/>
        <v>Incomplete</v>
      </c>
      <c r="BB387" s="20"/>
      <c r="BC387" s="20" t="str">
        <f t="shared" si="111"/>
        <v>Incomplete</v>
      </c>
      <c r="BD387" s="20"/>
      <c r="BE387" s="20" t="str">
        <f t="shared" si="112"/>
        <v>Incomplete</v>
      </c>
      <c r="BF387" s="20"/>
      <c r="BG387" s="20">
        <v>20</v>
      </c>
      <c r="BH387" s="20">
        <v>61</v>
      </c>
      <c r="BI387" s="20" t="e">
        <f>IF(OR(ISBLANK(#REF!), ISBLANK(#REF!)),"Incomplete",(SUM(#REF!-#REF!)))</f>
        <v>#REF!</v>
      </c>
      <c r="BJ387" s="20"/>
      <c r="BK387" s="20">
        <v>8</v>
      </c>
      <c r="BL387" s="20"/>
      <c r="BM387" s="20">
        <v>8</v>
      </c>
      <c r="BN387" s="20"/>
      <c r="BO387" s="20"/>
      <c r="BP387" s="20"/>
      <c r="BQ387" s="20"/>
      <c r="BR387" s="20"/>
      <c r="BS387" s="20"/>
      <c r="BT387" s="20"/>
      <c r="BU387" s="20"/>
      <c r="BV387" s="20"/>
      <c r="BW387" s="91">
        <f t="shared" si="113"/>
        <v>0</v>
      </c>
      <c r="BX387" s="91" t="str">
        <f>_xlfn.XLOOKUP(BW387,'Normative data'!$V$3:$V$6,'Normative data'!$W$3:$W$6,"Not Found",-1)</f>
        <v>Not completed</v>
      </c>
      <c r="BY387" s="91">
        <f t="shared" si="114"/>
        <v>0</v>
      </c>
      <c r="BZ387" s="91" t="str">
        <f>_xlfn.XLOOKUP(BY387,'Normative data'!$V$3:$V$6,'Normative data'!$W$3:$W$6,"Not Found",-1)</f>
        <v>Not completed</v>
      </c>
      <c r="CA387" s="20"/>
      <c r="CC387" s="20"/>
      <c r="CE387" s="20"/>
      <c r="CG387" s="20"/>
      <c r="CH387" s="20" t="str">
        <f>_xlfn.XLOOKUP(CG387, 'Normative data'!$S$9:$S$15,'Normative data'!$T$9:$T$15, "Not Found", -1)</f>
        <v>not completed</v>
      </c>
      <c r="CI387" s="20"/>
      <c r="CJ387" s="20" t="str">
        <f>_xlfn.XLOOKUP(CI387, 'Normative data'!$S$9:$S$15, 'Normative data'!$T$9:$T$15, "Not Found", -1)</f>
        <v>not completed</v>
      </c>
      <c r="CK387" s="21">
        <v>2.14</v>
      </c>
      <c r="CL387" s="21">
        <v>4.67</v>
      </c>
      <c r="CM387" s="21"/>
      <c r="CN387" s="21">
        <v>6.73</v>
      </c>
      <c r="CO387" s="21">
        <v>7.43</v>
      </c>
      <c r="CQ387" s="20"/>
      <c r="CR387" s="20" t="str" cm="1">
        <f t="array" ref="CR387">IF(OR(ISBLANK(E387),ISBLANK(CQ387)),"Incomplete",_xlfn.XLOOKUP(CQ387,_xlfn.XLOOKUP(E387,'Normative data'!$Y$3:$Y$6,'Normative data'!$Z$3:$AG$6,,-1),'Normative data'!$Z$2:$AG$2,"Not Found",-1))</f>
        <v>Incomplete</v>
      </c>
      <c r="CS387" s="20"/>
      <c r="CT387" s="20"/>
      <c r="CU387" s="20" t="str" cm="1">
        <f t="array" ref="CU387">_xlfn.XLOOKUP(CS387&amp;CT387,(VLOOKUP!$A$3:$A$250)&amp;(VLOOKUP!$B$3:$B$250),VLOOKUP!$C$3:$C$250,"Incomplete",-1)</f>
        <v>Incomplete</v>
      </c>
      <c r="CV387" s="20" t="str" cm="1">
        <f t="array" ref="CV387">_xlfn.XLOOKUP(CU387, _xlfn.XLOOKUP(E387, 'Normative data'!$Y$11:$Y$14, 'Normative data'!$Z$11:$AG$14, ,-1), 'Normative data'!$Z$10:$AG$10, "Not Found", -1)</f>
        <v>Excellent</v>
      </c>
      <c r="CW387" s="20" t="str" cm="1">
        <f t="array" ref="CW387">IF(OR(ISBLANK(CS387),ISBLANK(CT387)),"Incomplete",_xlfn.XLOOKUP(CS387&amp;CT387,VLOOKUP!$A$4:$A$250&amp;VLOOKUP!$B$4:$B$250,VLOOKUP!$D$4:$D$250,"0"))</f>
        <v>Incomplete</v>
      </c>
    </row>
    <row r="388" spans="1:101">
      <c r="A388" s="18" t="s">
        <v>936</v>
      </c>
      <c r="B388" s="18" t="s">
        <v>937</v>
      </c>
      <c r="C388" s="17" t="s">
        <v>86</v>
      </c>
      <c r="D388" s="19">
        <v>40316</v>
      </c>
      <c r="F388" s="17">
        <v>9</v>
      </c>
      <c r="G388" s="17">
        <v>2025</v>
      </c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41" t="str">
        <f t="shared" si="109"/>
        <v>Incomplete</v>
      </c>
      <c r="AZ388" s="20"/>
      <c r="BA388" s="20" t="str">
        <f t="shared" si="110"/>
        <v>Incomplete</v>
      </c>
      <c r="BB388" s="20"/>
      <c r="BC388" s="20" t="str">
        <f t="shared" si="111"/>
        <v>Incomplete</v>
      </c>
      <c r="BD388" s="20"/>
      <c r="BE388" s="20" t="str">
        <f t="shared" si="112"/>
        <v>Incomplete</v>
      </c>
      <c r="BF388" s="20"/>
      <c r="BG388" s="20">
        <v>13.5</v>
      </c>
      <c r="BH388" s="20">
        <v>48.5</v>
      </c>
      <c r="BI388" s="20" t="e">
        <f>IF(OR(ISBLANK(#REF!), ISBLANK(#REF!)),"Incomplete",(SUM(#REF!-#REF!)))</f>
        <v>#REF!</v>
      </c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91" t="str">
        <f t="shared" si="113"/>
        <v>Incomplete</v>
      </c>
      <c r="BX388" s="91" t="str">
        <f>_xlfn.XLOOKUP(BW388,'Normative data'!$V$3:$V$6,'Normative data'!$W$3:$W$6,"Not Found",-1)</f>
        <v>Very low risk</v>
      </c>
      <c r="BY388" s="91" t="str">
        <f t="shared" si="114"/>
        <v>Incomplete</v>
      </c>
      <c r="BZ388" s="91" t="str">
        <f>_xlfn.XLOOKUP(BY388,'Normative data'!$V$3:$V$6,'Normative data'!$W$3:$W$6,"Not Found",-1)</f>
        <v>Very low risk</v>
      </c>
      <c r="CA388" s="20"/>
      <c r="CC388" s="20"/>
      <c r="CE388" s="20"/>
      <c r="CG388" s="20"/>
      <c r="CH388" s="20" t="str">
        <f>_xlfn.XLOOKUP(CG388, 'Normative data'!$S$9:$S$15,'Normative data'!$T$9:$T$15, "Not Found", -1)</f>
        <v>not completed</v>
      </c>
      <c r="CI388" s="20"/>
      <c r="CJ388" s="20" t="str">
        <f>_xlfn.XLOOKUP(CI388, 'Normative data'!$S$9:$S$15, 'Normative data'!$T$9:$T$15, "Not Found", -1)</f>
        <v>not completed</v>
      </c>
      <c r="CK388" s="21">
        <v>2.1800000000000002</v>
      </c>
      <c r="CL388" s="21">
        <v>4.59</v>
      </c>
      <c r="CM388" s="21"/>
      <c r="CN388" s="21">
        <v>7.14</v>
      </c>
      <c r="CO388" s="21">
        <v>7</v>
      </c>
      <c r="CP388" s="21"/>
      <c r="CQ388" s="20"/>
      <c r="CR388" s="20" t="str" cm="1">
        <f t="array" ref="CR388">IF(OR(ISBLANK(E388),ISBLANK(CQ388)),"Incomplete",_xlfn.XLOOKUP(CQ388,_xlfn.XLOOKUP(E388,'Normative data'!$Y$3:$Y$6,'Normative data'!$Z$3:$AG$6,,-1),'Normative data'!$Z$2:$AG$2,"Not Found",-1))</f>
        <v>Incomplete</v>
      </c>
      <c r="CS388" s="20"/>
      <c r="CT388" s="20"/>
      <c r="CU388" s="20" t="str" cm="1">
        <f t="array" ref="CU388">_xlfn.XLOOKUP(CS388&amp;CT388,(VLOOKUP!$A$3:$A$250)&amp;(VLOOKUP!$B$3:$B$250),VLOOKUP!$C$3:$C$250,"Incomplete",-1)</f>
        <v>Incomplete</v>
      </c>
      <c r="CV388" s="20" t="str" cm="1">
        <f t="array" ref="CV388">_xlfn.XLOOKUP(CU388, _xlfn.XLOOKUP(E388, 'Normative data'!$Y$11:$Y$14, 'Normative data'!$Z$11:$AG$14, ,-1), 'Normative data'!$Z$10:$AG$10, "Not Found", -1)</f>
        <v>Excellent</v>
      </c>
      <c r="CW388" s="20" t="str" cm="1">
        <f t="array" ref="CW388">IF(OR(ISBLANK(CS388),ISBLANK(CT388)),"Incomplete",_xlfn.XLOOKUP(CS388&amp;CT388,VLOOKUP!$A$4:$A$250&amp;VLOOKUP!$B$4:$B$250,VLOOKUP!$D$4:$D$250,"0"))</f>
        <v>Incomplete</v>
      </c>
    </row>
    <row r="389" spans="1:101">
      <c r="A389" s="17" t="s">
        <v>936</v>
      </c>
      <c r="B389" s="17" t="s">
        <v>937</v>
      </c>
      <c r="C389" s="17" t="s">
        <v>86</v>
      </c>
      <c r="D389" s="19">
        <v>40316</v>
      </c>
      <c r="F389" s="17">
        <v>9</v>
      </c>
      <c r="G389" s="17">
        <v>2025</v>
      </c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41" t="str">
        <f t="shared" si="109"/>
        <v>Incomplete</v>
      </c>
      <c r="AZ389" s="20"/>
      <c r="BA389" s="20" t="str">
        <f t="shared" si="110"/>
        <v>Incomplete</v>
      </c>
      <c r="BB389" s="20"/>
      <c r="BC389" s="20" t="str">
        <f t="shared" si="111"/>
        <v>Incomplete</v>
      </c>
      <c r="BD389" s="20"/>
      <c r="BE389" s="20" t="str">
        <f t="shared" si="112"/>
        <v>Incomplete</v>
      </c>
      <c r="BF389" s="20"/>
      <c r="BG389" s="20"/>
      <c r="BH389" s="20"/>
      <c r="BI389" s="20" t="str">
        <f>IF(OR(ISBLANK(BG389), ISBLANK(BH389)),"Incomplete",(SUM(BH389-BG389)))</f>
        <v>Incomplete</v>
      </c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91" t="str">
        <f t="shared" si="113"/>
        <v>Incomplete</v>
      </c>
      <c r="BX389" s="91" t="str">
        <f>_xlfn.XLOOKUP(BW389,'Normative data'!$V$3:$V$6,'Normative data'!$W$3:$W$6,"Not Found",-1)</f>
        <v>Very low risk</v>
      </c>
      <c r="BY389" s="91" t="str">
        <f t="shared" si="114"/>
        <v>Incomplete</v>
      </c>
      <c r="BZ389" s="91" t="str">
        <f>_xlfn.XLOOKUP(BY389,'Normative data'!$V$3:$V$6,'Normative data'!$W$3:$W$6,"Not Found",-1)</f>
        <v>Very low risk</v>
      </c>
      <c r="CA389" s="20"/>
      <c r="CC389" s="20"/>
      <c r="CE389" s="20">
        <v>10</v>
      </c>
      <c r="CG389" s="20"/>
      <c r="CH389" s="20" t="str">
        <f>_xlfn.XLOOKUP(CG389, 'Normative data'!$S$9:$S$15,'Normative data'!$T$9:$T$15, "Not Found", -1)</f>
        <v>not completed</v>
      </c>
      <c r="CI389" s="20"/>
      <c r="CJ389" s="20" t="str">
        <f>_xlfn.XLOOKUP(CI389, 'Normative data'!$S$9:$S$15, 'Normative data'!$T$9:$T$15, "Not Found", -1)</f>
        <v>not completed</v>
      </c>
      <c r="CK389" s="20" t="s">
        <v>938</v>
      </c>
      <c r="CL389" s="20" t="s">
        <v>939</v>
      </c>
      <c r="CN389" s="20" t="s">
        <v>940</v>
      </c>
      <c r="CO389" s="20" t="s">
        <v>682</v>
      </c>
      <c r="CQ389" s="20"/>
      <c r="CR389" s="20" t="str" cm="1">
        <f t="array" ref="CR389">IF(OR(ISBLANK(E389),ISBLANK(CQ389)),"Incomplete",_xlfn.XLOOKUP(CQ389,_xlfn.XLOOKUP(E389,'Normative data'!$Y$3:$Y$6,'Normative data'!$Z$3:$AG$6,,-1),'Normative data'!$Z$2:$AG$2,"Not Found",-1))</f>
        <v>Incomplete</v>
      </c>
      <c r="CS389" s="20"/>
      <c r="CT389" s="20"/>
      <c r="CU389" s="20" t="str" cm="1">
        <f t="array" ref="CU389">_xlfn.XLOOKUP(CS389&amp;CT389,(VLOOKUP!$A$3:$A$250)&amp;(VLOOKUP!$B$3:$B$250),VLOOKUP!$C$3:$C$250,"Incomplete",-1)</f>
        <v>Incomplete</v>
      </c>
      <c r="CV389" s="20" t="str" cm="1">
        <f t="array" ref="CV389">_xlfn.XLOOKUP(CU389, _xlfn.XLOOKUP(E389, 'Normative data'!$Y$11:$Y$14, 'Normative data'!$Z$11:$AG$14, ,-1), 'Normative data'!$Z$10:$AG$10, "Not Found", -1)</f>
        <v>Excellent</v>
      </c>
      <c r="CW389" s="20" t="str" cm="1">
        <f t="array" ref="CW389">IF(OR(ISBLANK(CS389),ISBLANK(CT389)),"Incomplete",_xlfn.XLOOKUP(CS389&amp;CT389,VLOOKUP!$A$4:$A$250&amp;VLOOKUP!$B$4:$B$250,VLOOKUP!$D$4:$D$250,"0"))</f>
        <v>Incomplete</v>
      </c>
    </row>
    <row r="390" spans="1:101">
      <c r="A390" s="22" t="s">
        <v>227</v>
      </c>
      <c r="B390" s="22" t="s">
        <v>229</v>
      </c>
      <c r="C390" s="17" t="s">
        <v>86</v>
      </c>
      <c r="D390" s="23">
        <v>40875</v>
      </c>
      <c r="F390" s="17">
        <v>8</v>
      </c>
      <c r="G390" s="17">
        <v>2025</v>
      </c>
      <c r="S390" s="20"/>
      <c r="T390" s="20">
        <v>169</v>
      </c>
      <c r="U390" s="20">
        <v>59.3</v>
      </c>
      <c r="V390" s="20"/>
      <c r="W390" s="20">
        <v>10</v>
      </c>
      <c r="X390" s="20">
        <f>SUM(T390-W390)</f>
        <v>159</v>
      </c>
      <c r="Y390" s="20">
        <v>27.4</v>
      </c>
      <c r="Z390" s="20">
        <v>20.8</v>
      </c>
      <c r="AA390" s="20">
        <v>16.899999999999999</v>
      </c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41" t="str">
        <f t="shared" si="109"/>
        <v>Incomplete</v>
      </c>
      <c r="AZ390" s="20"/>
      <c r="BA390" s="20" t="str">
        <f t="shared" si="110"/>
        <v>Incomplete</v>
      </c>
      <c r="BB390" s="20"/>
      <c r="BC390" s="20" t="str">
        <f t="shared" si="111"/>
        <v>Incomplete</v>
      </c>
      <c r="BD390" s="20"/>
      <c r="BE390" s="20" t="str">
        <f t="shared" si="112"/>
        <v>Incomplete</v>
      </c>
      <c r="BF390" s="20"/>
      <c r="BG390" s="20"/>
      <c r="BH390" s="20"/>
      <c r="BI390" s="20" t="str">
        <f>IF(OR(ISBLANK(BG390), ISBLANK(BH390)),"Incomplete",(SUM(BH390-BG390)))</f>
        <v>Incomplete</v>
      </c>
      <c r="BJ390" s="20"/>
      <c r="BK390" s="20">
        <v>5</v>
      </c>
      <c r="BL390" s="20"/>
      <c r="BM390" s="20">
        <v>5</v>
      </c>
      <c r="BN390" s="20"/>
      <c r="BO390" s="20"/>
      <c r="BP390" s="20"/>
      <c r="BQ390" s="20"/>
      <c r="BR390" s="20"/>
      <c r="BS390" s="20"/>
      <c r="BT390" s="20"/>
      <c r="BU390" s="20"/>
      <c r="BV390" s="20"/>
      <c r="BW390" s="91">
        <f t="shared" si="113"/>
        <v>0</v>
      </c>
      <c r="BX390" s="91" t="str">
        <f>_xlfn.XLOOKUP(BW390,'Normative data'!$V$3:$V$6,'Normative data'!$W$3:$W$6,"Not Found",-1)</f>
        <v>Not completed</v>
      </c>
      <c r="BY390" s="91">
        <f t="shared" si="114"/>
        <v>0</v>
      </c>
      <c r="BZ390" s="91" t="str">
        <f>_xlfn.XLOOKUP(BY390,'Normative data'!$V$3:$V$6,'Normative data'!$W$3:$W$6,"Not Found",-1)</f>
        <v>Not completed</v>
      </c>
      <c r="CA390" s="20"/>
      <c r="CC390" s="20"/>
      <c r="CE390" s="20"/>
      <c r="CG390" s="20"/>
      <c r="CH390" s="20" t="str">
        <f>_xlfn.XLOOKUP(CG390, 'Normative data'!$S$9:$S$15,'Normative data'!$T$9:$T$15, "Not Found", -1)</f>
        <v>not completed</v>
      </c>
      <c r="CI390" s="20"/>
      <c r="CJ390" s="20" t="str">
        <f>_xlfn.XLOOKUP(CI390, 'Normative data'!$S$9:$S$15, 'Normative data'!$T$9:$T$15, "Not Found", -1)</f>
        <v>not completed</v>
      </c>
      <c r="CK390" s="24">
        <v>2.04</v>
      </c>
      <c r="CL390" s="24">
        <v>4.9000000000000004</v>
      </c>
      <c r="CM390" s="21"/>
      <c r="CN390" s="24">
        <v>6.01</v>
      </c>
      <c r="CO390" s="24">
        <v>8.32</v>
      </c>
      <c r="CP390" s="24"/>
      <c r="CQ390" s="20"/>
      <c r="CR390" s="20" t="str" cm="1">
        <f t="array" ref="CR390">IF(OR(ISBLANK(E390),ISBLANK(CQ390)),"Incomplete",_xlfn.XLOOKUP(CQ390,_xlfn.XLOOKUP(E390,'Normative data'!$Y$3:$Y$6,'Normative data'!$Z$3:$AG$6,,-1),'Normative data'!$Z$2:$AG$2,"Not Found",-1))</f>
        <v>Incomplete</v>
      </c>
      <c r="CS390" s="20"/>
      <c r="CT390" s="20"/>
      <c r="CU390" s="20" t="str" cm="1">
        <f t="array" ref="CU390">_xlfn.XLOOKUP(CS390&amp;CT390,(VLOOKUP!$A$3:$A$250)&amp;(VLOOKUP!$B$3:$B$250),VLOOKUP!$C$3:$C$250,"Incomplete",-1)</f>
        <v>Incomplete</v>
      </c>
      <c r="CV390" s="20" t="str" cm="1">
        <f t="array" ref="CV390">_xlfn.XLOOKUP(CU390, _xlfn.XLOOKUP(E390, 'Normative data'!$Y$11:$Y$14, 'Normative data'!$Z$11:$AG$14, ,-1), 'Normative data'!$Z$10:$AG$10, "Not Found", -1)</f>
        <v>Excellent</v>
      </c>
      <c r="CW390" s="20" t="str" cm="1">
        <f t="array" ref="CW390">IF(OR(ISBLANK(CS390),ISBLANK(CT390)),"Incomplete",_xlfn.XLOOKUP(CS390&amp;CT390,VLOOKUP!$A$4:$A$250&amp;VLOOKUP!$B$4:$B$250,VLOOKUP!$D$4:$D$250,"0"))</f>
        <v>Incomplete</v>
      </c>
    </row>
    <row r="391" spans="1:101">
      <c r="A391" s="17" t="s">
        <v>695</v>
      </c>
      <c r="B391" s="17" t="s">
        <v>229</v>
      </c>
      <c r="C391" s="17" t="s">
        <v>86</v>
      </c>
      <c r="D391" s="23">
        <v>40875</v>
      </c>
      <c r="G391" s="17">
        <v>2025</v>
      </c>
      <c r="S391" s="20"/>
      <c r="T391" s="20" t="s">
        <v>941</v>
      </c>
      <c r="U391" s="20" t="s">
        <v>393</v>
      </c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>
        <v>28.7</v>
      </c>
      <c r="AR391" s="20">
        <v>0.48299999999999998</v>
      </c>
      <c r="AS391" s="20">
        <v>28.1</v>
      </c>
      <c r="AT391" s="20">
        <v>0.47899999999999998</v>
      </c>
      <c r="AU391" s="20">
        <v>13.3</v>
      </c>
      <c r="AV391" s="20">
        <v>0.33</v>
      </c>
      <c r="AW391" s="20">
        <v>13</v>
      </c>
      <c r="AX391" s="20">
        <v>0.32600000000000001</v>
      </c>
      <c r="AY391" s="41" t="e">
        <f>IF(OR(ISBLANK(#REF!), ISBLANK(AQ391)), "Incomplete", (60.7*AQ391)+(45.3*#REF!)-2055)</f>
        <v>#REF!</v>
      </c>
      <c r="AZ391" s="20"/>
      <c r="BA391" s="20" t="e">
        <f>IF(OR(ISBLANK(#REF!), ISBLANK(AS391)), "Incomplete", (60.7*AS391)+(45.3*#REF!)-2055)</f>
        <v>#REF!</v>
      </c>
      <c r="BB391" s="20"/>
      <c r="BC391" s="20" t="e">
        <f>IF(OR(ISBLANK(#REF!), ISBLANK(AU391)), "Incomplete", (60.7*AU391)+(45.3*#REF!)-2055)</f>
        <v>#REF!</v>
      </c>
      <c r="BD391" s="20"/>
      <c r="BE391" s="20" t="e">
        <f>IF(OR(ISBLANK(#REF!), ISBLANK(AW391)), "Incomplete", (60.7*AW391)+(45.3*#REF!)-2055)</f>
        <v>#REF!</v>
      </c>
      <c r="BF391" s="20"/>
      <c r="BG391" s="20"/>
      <c r="BH391" s="20"/>
      <c r="BI391" s="20" t="str">
        <f>IF(OR(ISBLANK(BG391), ISBLANK(BH391)),"Incomplete",(SUM(BH391-BG391)))</f>
        <v>Incomplete</v>
      </c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91" t="str">
        <f>IFERROR(SUM(BQ391+BR391+BS391)/(3*(#REF!-S391))*100, "Incomplete")</f>
        <v>Incomplete</v>
      </c>
      <c r="BX391" s="91" t="str">
        <f>_xlfn.XLOOKUP(BW391,'Normative data'!$V$3:$V$6,'Normative data'!$W$3:$W$6,"Not Found",-1)</f>
        <v>Very low risk</v>
      </c>
      <c r="BY391" s="91" t="str">
        <f>IFERROR(SUM(BT391+BU391+BV391)/(3*(#REF!-S391))*100, "Incomplete")</f>
        <v>Incomplete</v>
      </c>
      <c r="BZ391" s="91" t="str">
        <f>_xlfn.XLOOKUP(BY391,'Normative data'!$V$3:$V$6,'Normative data'!$W$3:$W$6,"Not Found",-1)</f>
        <v>Very low risk</v>
      </c>
      <c r="CA391" s="20"/>
      <c r="CC391" s="20"/>
      <c r="CE391" s="20"/>
      <c r="CG391" s="20"/>
      <c r="CH391" s="20" t="str">
        <f>_xlfn.XLOOKUP(CG391, 'Normative data'!$S$9:$S$15,'Normative data'!$T$9:$T$15, "Not Found", -1)</f>
        <v>not completed</v>
      </c>
      <c r="CI391" s="20"/>
      <c r="CJ391" s="20" t="str">
        <f>_xlfn.XLOOKUP(CI391, 'Normative data'!$S$9:$S$15, 'Normative data'!$T$9:$T$15, "Not Found", -1)</f>
        <v>not completed</v>
      </c>
      <c r="CK391" s="21"/>
      <c r="CL391" s="21"/>
      <c r="CM391" s="21"/>
      <c r="CN391" s="21"/>
      <c r="CO391" s="21"/>
      <c r="CQ391" s="20"/>
      <c r="CR391" s="20" t="str" cm="1">
        <f t="array" ref="CR391">IF(OR(ISBLANK(E391),ISBLANK(CQ391)),"Incomplete",_xlfn.XLOOKUP(CQ391,_xlfn.XLOOKUP(E391,'Normative data'!$Y$3:$Y$6,'Normative data'!$Z$3:$AG$6,,-1),'Normative data'!$Z$2:$AG$2,"Not Found",-1))</f>
        <v>Incomplete</v>
      </c>
      <c r="CS391" s="20"/>
      <c r="CT391" s="20"/>
      <c r="CU391" s="20" t="str" cm="1">
        <f t="array" ref="CU391">_xlfn.XLOOKUP(CS391&amp;CT391,(VLOOKUP!$A$3:$A$250)&amp;(VLOOKUP!$B$3:$B$250),VLOOKUP!$C$3:$C$250,"Incomplete",-1)</f>
        <v>Incomplete</v>
      </c>
      <c r="CV391" s="20" t="str" cm="1">
        <f t="array" ref="CV391">_xlfn.XLOOKUP(CU391, _xlfn.XLOOKUP(E391, 'Normative data'!$Y$11:$Y$14, 'Normative data'!$Z$11:$AG$14, ,-1), 'Normative data'!$Z$10:$AG$10, "Not Found", -1)</f>
        <v>Excellent</v>
      </c>
      <c r="CW391" s="20" t="str" cm="1">
        <f t="array" ref="CW391">IF(OR(ISBLANK(CS391),ISBLANK(CT391)),"Incomplete",_xlfn.XLOOKUP(CS391&amp;CT391,VLOOKUP!$A$4:$A$250&amp;VLOOKUP!$B$4:$B$250,VLOOKUP!$D$4:$D$250,"0"))</f>
        <v>Incomplete</v>
      </c>
    </row>
    <row r="392" spans="1:101">
      <c r="A392" s="22" t="s">
        <v>700</v>
      </c>
      <c r="B392" s="22" t="s">
        <v>942</v>
      </c>
      <c r="C392" s="17" t="s">
        <v>86</v>
      </c>
      <c r="D392" s="23">
        <v>40731</v>
      </c>
      <c r="F392" s="17">
        <v>8</v>
      </c>
      <c r="G392" s="17">
        <v>2025</v>
      </c>
      <c r="S392" s="20"/>
      <c r="T392" s="20">
        <v>167</v>
      </c>
      <c r="U392" s="20">
        <v>64.8</v>
      </c>
      <c r="V392" s="20"/>
      <c r="W392" s="20">
        <v>22.4</v>
      </c>
      <c r="X392" s="20">
        <f>SUM(T392-W392)</f>
        <v>144.6</v>
      </c>
      <c r="Y392" s="20">
        <v>23.1</v>
      </c>
      <c r="Z392" s="20">
        <v>23.2</v>
      </c>
      <c r="AA392" s="20">
        <v>34.6</v>
      </c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41" t="str">
        <f t="shared" ref="AY392:AY408" si="115">IF(OR(ISBLANK(U392), ISBLANK(AQ392)), "Incomplete", (60.7*AQ392)+(45.3*U392)-2055)</f>
        <v>Incomplete</v>
      </c>
      <c r="AZ392" s="20"/>
      <c r="BA392" s="20" t="str">
        <f t="shared" ref="BA392:BA408" si="116">IF(OR(ISBLANK(U392), ISBLANK(AS392)), "Incomplete", (60.7*AS392)+(45.3*U392)-2055)</f>
        <v>Incomplete</v>
      </c>
      <c r="BB392" s="20"/>
      <c r="BC392" s="20" t="str">
        <f t="shared" ref="BC392:BC408" si="117">IF(OR(ISBLANK(U392), ISBLANK(AU392)), "Incomplete", (60.7*AU392)+(45.3*U392)-2055)</f>
        <v>Incomplete</v>
      </c>
      <c r="BD392" s="20"/>
      <c r="BE392" s="20" t="str">
        <f t="shared" ref="BE392:BE408" si="118">IF(OR(ISBLANK(U392), ISBLANK(AW392)), "Incomplete", (60.7*AW392)+(45.3*U392)-2055)</f>
        <v>Incomplete</v>
      </c>
      <c r="BF392" s="20"/>
      <c r="BG392" s="20">
        <v>16</v>
      </c>
      <c r="BH392" s="20">
        <v>37</v>
      </c>
      <c r="BI392" s="20" t="e">
        <f>IF(OR(ISBLANK(#REF!), ISBLANK(#REF!)),"Incomplete",(SUM(#REF!-#REF!)))</f>
        <v>#REF!</v>
      </c>
      <c r="BJ392" s="20"/>
      <c r="BK392" s="20">
        <v>5</v>
      </c>
      <c r="BL392" s="20"/>
      <c r="BM392" s="20">
        <v>7</v>
      </c>
      <c r="BN392" s="20"/>
      <c r="BO392" s="20"/>
      <c r="BP392" s="20"/>
      <c r="BQ392" s="20"/>
      <c r="BR392" s="20"/>
      <c r="BS392" s="20"/>
      <c r="BT392" s="20"/>
      <c r="BU392" s="20"/>
      <c r="BV392" s="20"/>
      <c r="BW392" s="91">
        <f t="shared" ref="BW392:BW408" si="119">IFERROR(SUM(BQ392+BR392+BS392)/(3*(T392-S392))*100, "Incomplete")</f>
        <v>0</v>
      </c>
      <c r="BX392" s="91" t="str">
        <f>_xlfn.XLOOKUP(BW392,'Normative data'!$V$3:$V$6,'Normative data'!$W$3:$W$6,"Not Found",-1)</f>
        <v>Not completed</v>
      </c>
      <c r="BY392" s="91">
        <f t="shared" ref="BY392:BY408" si="120">IFERROR(SUM(BT392+BU392+BV392)/(3*(T392-S392))*100, "Incomplete")</f>
        <v>0</v>
      </c>
      <c r="BZ392" s="91" t="str">
        <f>_xlfn.XLOOKUP(BY392,'Normative data'!$V$3:$V$6,'Normative data'!$W$3:$W$6,"Not Found",-1)</f>
        <v>Not completed</v>
      </c>
      <c r="CA392" s="20"/>
      <c r="CC392" s="20"/>
      <c r="CE392" s="20">
        <v>3</v>
      </c>
      <c r="CG392" s="20"/>
      <c r="CH392" s="20" t="str">
        <f>_xlfn.XLOOKUP(CG392, 'Normative data'!$S$9:$S$15,'Normative data'!$T$9:$T$15, "Not Found", -1)</f>
        <v>not completed</v>
      </c>
      <c r="CI392" s="20"/>
      <c r="CJ392" s="20" t="str">
        <f>_xlfn.XLOOKUP(CI392, 'Normative data'!$S$9:$S$15, 'Normative data'!$T$9:$T$15, "Not Found", -1)</f>
        <v>not completed</v>
      </c>
      <c r="CK392" s="24">
        <v>2.5499999999999998</v>
      </c>
      <c r="CL392" s="24">
        <v>3.92</v>
      </c>
      <c r="CM392" s="21"/>
      <c r="CN392" s="24">
        <v>7.68</v>
      </c>
      <c r="CO392" s="24">
        <v>6.51</v>
      </c>
      <c r="CP392" s="24"/>
      <c r="CQ392" s="20"/>
      <c r="CR392" s="20" t="str" cm="1">
        <f t="array" ref="CR392">IF(OR(ISBLANK(E392),ISBLANK(CQ392)),"Incomplete",_xlfn.XLOOKUP(CQ392,_xlfn.XLOOKUP(E392,'Normative data'!$Y$3:$Y$6,'Normative data'!$Z$3:$AG$6,,-1),'Normative data'!$Z$2:$AG$2,"Not Found",-1))</f>
        <v>Incomplete</v>
      </c>
      <c r="CS392" s="20"/>
      <c r="CT392" s="20"/>
      <c r="CU392" s="20" t="str" cm="1">
        <f t="array" ref="CU392">_xlfn.XLOOKUP(CS392&amp;CT392,(VLOOKUP!$A$3:$A$250)&amp;(VLOOKUP!$B$3:$B$250),VLOOKUP!$C$3:$C$250,"Incomplete",-1)</f>
        <v>Incomplete</v>
      </c>
      <c r="CV392" s="20" t="str" cm="1">
        <f t="array" ref="CV392">_xlfn.XLOOKUP(CU392, _xlfn.XLOOKUP(E392, 'Normative data'!$Y$11:$Y$14, 'Normative data'!$Z$11:$AG$14, ,-1), 'Normative data'!$Z$10:$AG$10, "Not Found", -1)</f>
        <v>Excellent</v>
      </c>
      <c r="CW392" s="20" t="str" cm="1">
        <f t="array" ref="CW392">IF(OR(ISBLANK(CS392),ISBLANK(CT392)),"Incomplete",_xlfn.XLOOKUP(CS392&amp;CT392,VLOOKUP!$A$4:$A$250&amp;VLOOKUP!$B$4:$B$250,VLOOKUP!$D$4:$D$250,"0"))</f>
        <v>Incomplete</v>
      </c>
    </row>
    <row r="393" spans="1:101">
      <c r="A393" s="17" t="s">
        <v>811</v>
      </c>
      <c r="B393" s="17" t="s">
        <v>943</v>
      </c>
      <c r="C393" s="17" t="s">
        <v>86</v>
      </c>
      <c r="D393" s="26"/>
      <c r="G393" s="17">
        <v>2025</v>
      </c>
      <c r="S393" s="20"/>
      <c r="T393" s="20" t="s">
        <v>944</v>
      </c>
      <c r="U393" s="20">
        <v>64</v>
      </c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41" t="str">
        <f t="shared" si="115"/>
        <v>Incomplete</v>
      </c>
      <c r="AZ393" s="20"/>
      <c r="BA393" s="20" t="str">
        <f t="shared" si="116"/>
        <v>Incomplete</v>
      </c>
      <c r="BB393" s="20"/>
      <c r="BC393" s="20" t="str">
        <f t="shared" si="117"/>
        <v>Incomplete</v>
      </c>
      <c r="BD393" s="20"/>
      <c r="BE393" s="20" t="str">
        <f t="shared" si="118"/>
        <v>Incomplete</v>
      </c>
      <c r="BF393" s="20"/>
      <c r="BG393" s="20"/>
      <c r="BH393" s="20"/>
      <c r="BI393" s="20" t="str">
        <f t="shared" ref="BI393:BI404" si="121">IF(OR(ISBLANK(BG393), ISBLANK(BH393)),"Incomplete",(SUM(BH393-BG393)))</f>
        <v>Incomplete</v>
      </c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91" t="str">
        <f t="shared" si="119"/>
        <v>Incomplete</v>
      </c>
      <c r="BX393" s="91" t="str">
        <f>_xlfn.XLOOKUP(BW393,'Normative data'!$V$3:$V$6,'Normative data'!$W$3:$W$6,"Not Found",-1)</f>
        <v>Very low risk</v>
      </c>
      <c r="BY393" s="91" t="str">
        <f t="shared" si="120"/>
        <v>Incomplete</v>
      </c>
      <c r="BZ393" s="91" t="str">
        <f>_xlfn.XLOOKUP(BY393,'Normative data'!$V$3:$V$6,'Normative data'!$W$3:$W$6,"Not Found",-1)</f>
        <v>Very low risk</v>
      </c>
      <c r="CA393" s="20"/>
      <c r="CC393" s="20"/>
      <c r="CE393" s="20"/>
      <c r="CG393" s="20"/>
      <c r="CH393" s="20" t="str">
        <f>_xlfn.XLOOKUP(CG393, 'Normative data'!$S$9:$S$15,'Normative data'!$T$9:$T$15, "Not Found", -1)</f>
        <v>not completed</v>
      </c>
      <c r="CI393" s="20"/>
      <c r="CJ393" s="20" t="str">
        <f>_xlfn.XLOOKUP(CI393, 'Normative data'!$S$9:$S$15, 'Normative data'!$T$9:$T$15, "Not Found", -1)</f>
        <v>not completed</v>
      </c>
      <c r="CK393" s="21"/>
      <c r="CL393" s="21"/>
      <c r="CM393" s="21"/>
      <c r="CN393" s="21"/>
      <c r="CO393" s="21"/>
      <c r="CQ393" s="20"/>
      <c r="CR393" s="20" t="str" cm="1">
        <f t="array" ref="CR393">IF(OR(ISBLANK(E393),ISBLANK(CQ393)),"Incomplete",_xlfn.XLOOKUP(CQ393,_xlfn.XLOOKUP(E393,'Normative data'!$Y$3:$Y$6,'Normative data'!$Z$3:$AG$6,,-1),'Normative data'!$Z$2:$AG$2,"Not Found",-1))</f>
        <v>Incomplete</v>
      </c>
      <c r="CS393" s="20"/>
      <c r="CT393" s="20"/>
      <c r="CU393" s="20" t="str" cm="1">
        <f t="array" ref="CU393">_xlfn.XLOOKUP(CS393&amp;CT393,(VLOOKUP!$A$3:$A$250)&amp;(VLOOKUP!$B$3:$B$250),VLOOKUP!$C$3:$C$250,"Incomplete",-1)</f>
        <v>Incomplete</v>
      </c>
      <c r="CV393" s="20" t="str" cm="1">
        <f t="array" ref="CV393">_xlfn.XLOOKUP(CU393, _xlfn.XLOOKUP(E393, 'Normative data'!$Y$11:$Y$14, 'Normative data'!$Z$11:$AG$14, ,-1), 'Normative data'!$Z$10:$AG$10, "Not Found", -1)</f>
        <v>Excellent</v>
      </c>
      <c r="CW393" s="20" t="str" cm="1">
        <f t="array" ref="CW393">IF(OR(ISBLANK(CS393),ISBLANK(CT393)),"Incomplete",_xlfn.XLOOKUP(CS393&amp;CT393,VLOOKUP!$A$4:$A$250&amp;VLOOKUP!$B$4:$B$250,VLOOKUP!$D$4:$D$250,"0"))</f>
        <v>Incomplete</v>
      </c>
    </row>
    <row r="394" spans="1:101">
      <c r="A394" s="18" t="s">
        <v>792</v>
      </c>
      <c r="B394" s="18" t="s">
        <v>791</v>
      </c>
      <c r="C394" s="17" t="s">
        <v>86</v>
      </c>
      <c r="D394" s="19"/>
      <c r="F394" s="17">
        <v>9</v>
      </c>
      <c r="G394" s="17">
        <v>2025</v>
      </c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41" t="str">
        <f t="shared" si="115"/>
        <v>Incomplete</v>
      </c>
      <c r="AZ394" s="20"/>
      <c r="BA394" s="20" t="str">
        <f t="shared" si="116"/>
        <v>Incomplete</v>
      </c>
      <c r="BB394" s="20"/>
      <c r="BC394" s="20" t="str">
        <f t="shared" si="117"/>
        <v>Incomplete</v>
      </c>
      <c r="BD394" s="20"/>
      <c r="BE394" s="20" t="str">
        <f t="shared" si="118"/>
        <v>Incomplete</v>
      </c>
      <c r="BF394" s="20"/>
      <c r="BG394" s="20">
        <v>12</v>
      </c>
      <c r="BH394" s="20">
        <v>22.2</v>
      </c>
      <c r="BI394" s="20">
        <f t="shared" si="121"/>
        <v>10.199999999999999</v>
      </c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91" t="str">
        <f t="shared" si="119"/>
        <v>Incomplete</v>
      </c>
      <c r="BX394" s="91" t="str">
        <f>_xlfn.XLOOKUP(BW394,'Normative data'!$V$3:$V$6,'Normative data'!$W$3:$W$6,"Not Found",-1)</f>
        <v>Very low risk</v>
      </c>
      <c r="BY394" s="91" t="str">
        <f t="shared" si="120"/>
        <v>Incomplete</v>
      </c>
      <c r="BZ394" s="91" t="str">
        <f>_xlfn.XLOOKUP(BY394,'Normative data'!$V$3:$V$6,'Normative data'!$W$3:$W$6,"Not Found",-1)</f>
        <v>Very low risk</v>
      </c>
      <c r="CA394" s="20"/>
      <c r="CC394" s="20"/>
      <c r="CE394" s="20">
        <v>3</v>
      </c>
      <c r="CG394" s="20"/>
      <c r="CH394" s="20" t="str">
        <f>_xlfn.XLOOKUP(CG394, 'Normative data'!$S$9:$S$15,'Normative data'!$T$9:$T$15, "Not Found", -1)</f>
        <v>not completed</v>
      </c>
      <c r="CI394" s="20"/>
      <c r="CJ394" s="20" t="str">
        <f>_xlfn.XLOOKUP(CI394, 'Normative data'!$S$9:$S$15, 'Normative data'!$T$9:$T$15, "Not Found", -1)</f>
        <v>not completed</v>
      </c>
      <c r="CK394" s="20" t="s">
        <v>477</v>
      </c>
      <c r="CL394" s="20" t="s">
        <v>697</v>
      </c>
      <c r="CM394" s="21"/>
      <c r="CN394" s="20" t="s">
        <v>663</v>
      </c>
      <c r="CO394" s="20" t="s">
        <v>514</v>
      </c>
      <c r="CP394" s="21"/>
      <c r="CQ394" s="20"/>
      <c r="CR394" s="20" t="str" cm="1">
        <f t="array" ref="CR394">IF(OR(ISBLANK(E394),ISBLANK(CQ394)),"Incomplete",_xlfn.XLOOKUP(CQ394,_xlfn.XLOOKUP(E394,'Normative data'!$Y$3:$Y$6,'Normative data'!$Z$3:$AG$6,,-1),'Normative data'!$Z$2:$AG$2,"Not Found",-1))</f>
        <v>Incomplete</v>
      </c>
      <c r="CS394" s="20"/>
      <c r="CT394" s="20"/>
      <c r="CU394" s="20" t="str" cm="1">
        <f t="array" ref="CU394">_xlfn.XLOOKUP(CS394&amp;CT394,(VLOOKUP!$A$3:$A$250)&amp;(VLOOKUP!$B$3:$B$250),VLOOKUP!$C$3:$C$250,"Incomplete",-1)</f>
        <v>Incomplete</v>
      </c>
      <c r="CV394" s="20" t="str" cm="1">
        <f t="array" ref="CV394">_xlfn.XLOOKUP(CU394, _xlfn.XLOOKUP(E394, 'Normative data'!$Y$11:$Y$14, 'Normative data'!$Z$11:$AG$14, ,-1), 'Normative data'!$Z$10:$AG$10, "Not Found", -1)</f>
        <v>Excellent</v>
      </c>
      <c r="CW394" s="20" t="str" cm="1">
        <f t="array" ref="CW394">IF(OR(ISBLANK(CS394),ISBLANK(CT394)),"Incomplete",_xlfn.XLOOKUP(CS394&amp;CT394,VLOOKUP!$A$4:$A$250&amp;VLOOKUP!$B$4:$B$250,VLOOKUP!$D$4:$D$250,"0"))</f>
        <v>Incomplete</v>
      </c>
    </row>
    <row r="395" spans="1:101">
      <c r="A395" s="17" t="s">
        <v>253</v>
      </c>
      <c r="B395" s="17" t="s">
        <v>669</v>
      </c>
      <c r="C395" s="17" t="s">
        <v>86</v>
      </c>
      <c r="D395" s="20"/>
      <c r="F395" s="20" t="s">
        <v>107</v>
      </c>
      <c r="G395" s="17">
        <v>2026</v>
      </c>
      <c r="I395" s="20">
        <v>2</v>
      </c>
      <c r="J395" s="20" t="s">
        <v>100</v>
      </c>
      <c r="K395" s="20" t="s">
        <v>108</v>
      </c>
      <c r="L395" s="20"/>
      <c r="S395" s="20">
        <v>88.1</v>
      </c>
      <c r="T395" s="20">
        <v>169.4</v>
      </c>
      <c r="AY395" s="41" t="str">
        <f t="shared" si="115"/>
        <v>Incomplete</v>
      </c>
      <c r="BA395" s="20" t="str">
        <f t="shared" si="116"/>
        <v>Incomplete</v>
      </c>
      <c r="BC395" s="20" t="str">
        <f t="shared" si="117"/>
        <v>Incomplete</v>
      </c>
      <c r="BE395" s="20" t="str">
        <f t="shared" si="118"/>
        <v>Incomplete</v>
      </c>
      <c r="BH395" s="17">
        <v>19.3</v>
      </c>
      <c r="BI395" s="20" t="str">
        <f t="shared" si="121"/>
        <v>Incomplete</v>
      </c>
      <c r="BJ395" s="20"/>
      <c r="BK395" s="17">
        <v>14.8</v>
      </c>
      <c r="BL395" s="20"/>
      <c r="BM395" s="17">
        <v>10.5</v>
      </c>
      <c r="BN395" s="20"/>
      <c r="BW395" s="91">
        <f t="shared" si="119"/>
        <v>0</v>
      </c>
      <c r="BX395" s="91" t="str">
        <f>_xlfn.XLOOKUP(BW395,'Normative data'!$V$3:$V$6,'Normative data'!$W$3:$W$6,"Not Found",-1)</f>
        <v>Not completed</v>
      </c>
      <c r="BY395" s="91">
        <f t="shared" si="120"/>
        <v>0</v>
      </c>
      <c r="BZ395" s="91" t="str">
        <f>_xlfn.XLOOKUP(BY395,'Normative data'!$V$3:$V$6,'Normative data'!$W$3:$W$6,"Not Found",-1)</f>
        <v>Not completed</v>
      </c>
      <c r="CA395" s="20"/>
      <c r="CC395" s="20"/>
      <c r="CE395" s="17">
        <v>10</v>
      </c>
      <c r="CG395" s="17">
        <v>20.65</v>
      </c>
      <c r="CH395" s="20" t="str">
        <f>_xlfn.XLOOKUP(CG395, 'Normative data'!$S$9:$S$15,'Normative data'!$T$9:$T$15, "Not Found", -1)</f>
        <v>Average</v>
      </c>
      <c r="CI395" s="17">
        <v>20.6</v>
      </c>
      <c r="CJ395" s="20" t="str">
        <f>_xlfn.XLOOKUP(CI395, 'Normative data'!$S$9:$S$15, 'Normative data'!$T$9:$T$15, "Not Found", -1)</f>
        <v>Average</v>
      </c>
      <c r="CK395" s="17">
        <v>2.4700000000000002</v>
      </c>
      <c r="CL395" s="17">
        <v>4.05</v>
      </c>
      <c r="CN395" s="17">
        <v>7.31</v>
      </c>
      <c r="CO395" s="17">
        <v>6.84</v>
      </c>
      <c r="CR395" s="20" t="str" cm="1">
        <f t="array" ref="CR395">IF(OR(ISBLANK(E395),ISBLANK(CQ395)),"Incomplete",_xlfn.XLOOKUP(CQ395,_xlfn.XLOOKUP(E395,'Normative data'!$Y$3:$Y$6,'Normative data'!$Z$3:$AG$6,,-1),'Normative data'!$Z$2:$AG$2,"Not Found",-1))</f>
        <v>Incomplete</v>
      </c>
      <c r="CS395" s="20"/>
      <c r="CT395" s="20"/>
      <c r="CU395" s="20" t="str" cm="1">
        <f t="array" ref="CU395">_xlfn.XLOOKUP(CS395&amp;CT395,(VLOOKUP!$A$3:$A$250)&amp;(VLOOKUP!$B$3:$B$250),VLOOKUP!$C$3:$C$250,"Incomplete",-1)</f>
        <v>Incomplete</v>
      </c>
      <c r="CV395" s="20" t="str" cm="1">
        <f t="array" ref="CV395">_xlfn.XLOOKUP(CU395, _xlfn.XLOOKUP(E395, 'Normative data'!$Y$11:$Y$14, 'Normative data'!$Z$11:$AG$14, ,-1), 'Normative data'!$Z$10:$AG$10, "Not Found", -1)</f>
        <v>Excellent</v>
      </c>
      <c r="CW395" s="20" t="str" cm="1">
        <f t="array" ref="CW395">IF(OR(ISBLANK(CS395),ISBLANK(CT395)),"Incomplete",_xlfn.XLOOKUP(CS395&amp;CT395,VLOOKUP!$A$4:$A$250&amp;VLOOKUP!$B$4:$B$250,VLOOKUP!$D$4:$D$250,"0"))</f>
        <v>Incomplete</v>
      </c>
    </row>
    <row r="396" spans="1:101">
      <c r="A396" s="17" t="s">
        <v>945</v>
      </c>
      <c r="B396" s="17" t="s">
        <v>946</v>
      </c>
      <c r="C396" s="17" t="s">
        <v>86</v>
      </c>
      <c r="D396" s="26">
        <v>40585</v>
      </c>
      <c r="F396" s="20" t="s">
        <v>217</v>
      </c>
      <c r="G396" s="17">
        <v>2026</v>
      </c>
      <c r="I396" s="20">
        <v>2</v>
      </c>
      <c r="J396" s="20"/>
      <c r="K396" s="20"/>
      <c r="L396" s="20"/>
      <c r="S396" s="20">
        <v>79.7</v>
      </c>
      <c r="T396" s="20">
        <v>153</v>
      </c>
      <c r="AQ396" s="20"/>
      <c r="AR396" s="20"/>
      <c r="AS396" s="20"/>
      <c r="AT396" s="20"/>
      <c r="AU396" s="20"/>
      <c r="AV396" s="20"/>
      <c r="AW396" s="20"/>
      <c r="AX396" s="20"/>
      <c r="AY396" s="41" t="str">
        <f t="shared" si="115"/>
        <v>Incomplete</v>
      </c>
      <c r="BA396" s="20" t="str">
        <f t="shared" si="116"/>
        <v>Incomplete</v>
      </c>
      <c r="BC396" s="20" t="str">
        <f t="shared" si="117"/>
        <v>Incomplete</v>
      </c>
      <c r="BE396" s="20" t="str">
        <f t="shared" si="118"/>
        <v>Incomplete</v>
      </c>
      <c r="BG396" s="17">
        <v>3.5</v>
      </c>
      <c r="BH396" s="17">
        <v>41</v>
      </c>
      <c r="BI396" s="20">
        <f t="shared" si="121"/>
        <v>37.5</v>
      </c>
      <c r="BJ396" s="20"/>
      <c r="BK396" s="17">
        <v>5</v>
      </c>
      <c r="BL396" s="20"/>
      <c r="BM396" s="17">
        <v>5.5</v>
      </c>
      <c r="BN396" s="20"/>
      <c r="BW396" s="91">
        <f t="shared" si="119"/>
        <v>0</v>
      </c>
      <c r="BX396" s="91" t="str">
        <f>_xlfn.XLOOKUP(BW396,'Normative data'!$V$3:$V$6,'Normative data'!$W$3:$W$6,"Not Found",-1)</f>
        <v>Not completed</v>
      </c>
      <c r="BY396" s="91">
        <f t="shared" si="120"/>
        <v>0</v>
      </c>
      <c r="BZ396" s="91" t="str">
        <f>_xlfn.XLOOKUP(BY396,'Normative data'!$V$3:$V$6,'Normative data'!$W$3:$W$6,"Not Found",-1)</f>
        <v>Not completed</v>
      </c>
      <c r="CA396" s="17">
        <v>21</v>
      </c>
      <c r="CC396" s="20"/>
      <c r="CE396" s="17">
        <v>12</v>
      </c>
      <c r="CG396" s="20"/>
      <c r="CH396" s="20" t="str">
        <f>_xlfn.XLOOKUP(CG396, 'Normative data'!$S$9:$S$15,'Normative data'!$T$9:$T$15, "Not Found", -1)</f>
        <v>not completed</v>
      </c>
      <c r="CI396" s="20"/>
      <c r="CJ396" s="20" t="str">
        <f>_xlfn.XLOOKUP(CI396, 'Normative data'!$S$9:$S$15, 'Normative data'!$T$9:$T$15, "Not Found", -1)</f>
        <v>not completed</v>
      </c>
      <c r="CK396" s="17">
        <v>2.39</v>
      </c>
      <c r="CL396" s="17">
        <v>4.18</v>
      </c>
      <c r="CN396" s="17">
        <v>7.89</v>
      </c>
      <c r="CO396" s="17">
        <v>6.34</v>
      </c>
      <c r="CR396" s="20" t="str" cm="1">
        <f t="array" ref="CR396">IF(OR(ISBLANK(E396),ISBLANK(CQ396)),"Incomplete",_xlfn.XLOOKUP(CQ396,_xlfn.XLOOKUP(E396,'Normative data'!$Y$3:$Y$6,'Normative data'!$Z$3:$AG$6,,-1),'Normative data'!$Z$2:$AG$2,"Not Found",-1))</f>
        <v>Incomplete</v>
      </c>
      <c r="CS396" s="20"/>
      <c r="CT396" s="20"/>
      <c r="CU396" s="20" t="str" cm="1">
        <f t="array" ref="CU396">_xlfn.XLOOKUP(CS396&amp;CT396,(VLOOKUP!$A$3:$A$250)&amp;(VLOOKUP!$B$3:$B$250),VLOOKUP!$C$3:$C$250,"Incomplete",-1)</f>
        <v>Incomplete</v>
      </c>
      <c r="CV396" s="20" t="str" cm="1">
        <f t="array" ref="CV396">_xlfn.XLOOKUP(CU396, _xlfn.XLOOKUP(E396, 'Normative data'!$Y$11:$Y$14, 'Normative data'!$Z$11:$AG$14, ,-1), 'Normative data'!$Z$10:$AG$10, "Not Found", -1)</f>
        <v>Excellent</v>
      </c>
      <c r="CW396" s="20" t="str" cm="1">
        <f t="array" ref="CW396">IF(OR(ISBLANK(CS396),ISBLANK(CT396)),"Incomplete",_xlfn.XLOOKUP(CS396&amp;CT396,VLOOKUP!$A$4:$A$250&amp;VLOOKUP!$B$4:$B$250,VLOOKUP!$D$4:$D$250,"0"))</f>
        <v>Incomplete</v>
      </c>
    </row>
    <row r="397" spans="1:101">
      <c r="A397" s="17" t="s">
        <v>149</v>
      </c>
      <c r="B397" s="17" t="s">
        <v>947</v>
      </c>
      <c r="C397" s="17" t="s">
        <v>86</v>
      </c>
      <c r="D397" s="26">
        <v>40258</v>
      </c>
      <c r="E397" s="17">
        <v>16.3</v>
      </c>
      <c r="F397" s="20" t="s">
        <v>99</v>
      </c>
      <c r="G397" s="17">
        <v>2026</v>
      </c>
      <c r="I397" s="20">
        <v>2</v>
      </c>
      <c r="J397" s="20" t="s">
        <v>88</v>
      </c>
      <c r="K397" s="20" t="s">
        <v>297</v>
      </c>
      <c r="L397" s="20"/>
      <c r="S397" s="20">
        <v>86.6</v>
      </c>
      <c r="T397" s="20">
        <v>171</v>
      </c>
      <c r="U397" s="17">
        <v>64</v>
      </c>
      <c r="V397" s="17">
        <v>30.3</v>
      </c>
      <c r="W397" s="17">
        <v>22.4</v>
      </c>
      <c r="X397" s="17">
        <v>41.6</v>
      </c>
      <c r="Y397" s="17">
        <v>22.5</v>
      </c>
      <c r="Z397" s="17">
        <v>21.9</v>
      </c>
      <c r="AA397" s="17">
        <v>35</v>
      </c>
      <c r="AB397" s="17">
        <v>6.7</v>
      </c>
      <c r="AC397" s="17">
        <v>91.7</v>
      </c>
      <c r="AD397" s="17">
        <v>6.75</v>
      </c>
      <c r="AE397" s="17">
        <v>92.4</v>
      </c>
      <c r="AF397" s="17">
        <v>3.4</v>
      </c>
      <c r="AG397" s="17">
        <v>125</v>
      </c>
      <c r="AH397" s="17">
        <v>3.4</v>
      </c>
      <c r="AI397" s="17">
        <v>125.3</v>
      </c>
      <c r="AJ397" s="17">
        <v>385.9</v>
      </c>
      <c r="AK397" s="17">
        <v>378.9</v>
      </c>
      <c r="AL397" s="17">
        <v>345.1</v>
      </c>
      <c r="AM397" s="17">
        <v>339.6</v>
      </c>
      <c r="AN397" s="17">
        <v>94</v>
      </c>
      <c r="AQ397" s="17">
        <v>18.399999999999999</v>
      </c>
      <c r="AR397" s="17">
        <v>0.38700000000000001</v>
      </c>
      <c r="AS397" s="17">
        <v>25.7</v>
      </c>
      <c r="AT397" s="17">
        <v>0.45800000000000002</v>
      </c>
      <c r="AU397" s="17">
        <v>10.5</v>
      </c>
      <c r="AV397" s="17">
        <v>0.29199999999999998</v>
      </c>
      <c r="AW397" s="17">
        <v>14</v>
      </c>
      <c r="AX397" s="17">
        <v>0.33800000000000002</v>
      </c>
      <c r="AY397" s="41">
        <f t="shared" si="115"/>
        <v>1961.08</v>
      </c>
      <c r="BA397" s="20">
        <f t="shared" si="116"/>
        <v>2404.1899999999996</v>
      </c>
      <c r="BC397" s="20">
        <f t="shared" si="117"/>
        <v>1481.5499999999997</v>
      </c>
      <c r="BE397" s="20">
        <f t="shared" si="118"/>
        <v>1694</v>
      </c>
      <c r="BG397" s="17">
        <v>7</v>
      </c>
      <c r="BH397" s="17">
        <v>41</v>
      </c>
      <c r="BI397" s="20">
        <f t="shared" si="121"/>
        <v>34</v>
      </c>
      <c r="BJ397" s="20"/>
      <c r="BK397" s="17">
        <v>8</v>
      </c>
      <c r="BL397" s="20"/>
      <c r="BM397" s="17">
        <v>8</v>
      </c>
      <c r="BN397" s="20"/>
      <c r="BO397" s="17">
        <v>50.5</v>
      </c>
      <c r="BP397" s="17">
        <v>51</v>
      </c>
      <c r="BQ397" s="17">
        <v>78</v>
      </c>
      <c r="BR397" s="17">
        <v>85</v>
      </c>
      <c r="BS397" s="17">
        <v>86</v>
      </c>
      <c r="BT397" s="17">
        <v>79</v>
      </c>
      <c r="BU397" s="17">
        <v>78</v>
      </c>
      <c r="BV397" s="17">
        <v>80</v>
      </c>
      <c r="BW397" s="91">
        <f t="shared" si="119"/>
        <v>98.341232227488135</v>
      </c>
      <c r="BX397" s="91" t="str">
        <f>_xlfn.XLOOKUP(BW397,'Normative data'!$V$3:$V$6,'Normative data'!$W$3:$W$6,"Not Found",-1)</f>
        <v>Low risk</v>
      </c>
      <c r="BY397" s="91">
        <f t="shared" si="120"/>
        <v>93.60189573459715</v>
      </c>
      <c r="BZ397" s="91" t="str">
        <f>_xlfn.XLOOKUP(BY397,'Normative data'!$V$3:$V$6,'Normative data'!$W$3:$W$6,"Not Found",-1)</f>
        <v>High risk</v>
      </c>
      <c r="CA397" s="20"/>
      <c r="CC397" s="20"/>
      <c r="CE397" s="17">
        <v>20</v>
      </c>
      <c r="CG397" s="20"/>
      <c r="CH397" s="20" t="str">
        <f>_xlfn.XLOOKUP(CG397, 'Normative data'!$S$9:$S$15,'Normative data'!$T$9:$T$15, "Not Found", -1)</f>
        <v>not completed</v>
      </c>
      <c r="CI397" s="20"/>
      <c r="CJ397" s="20" t="str">
        <f>_xlfn.XLOOKUP(CI397, 'Normative data'!$S$9:$S$15, 'Normative data'!$T$9:$T$15, "Not Found", -1)</f>
        <v>not completed</v>
      </c>
      <c r="CK397" s="17">
        <v>2.25</v>
      </c>
      <c r="CL397" s="17">
        <v>4.4400000000000004</v>
      </c>
      <c r="CN397" s="17">
        <v>6.75</v>
      </c>
      <c r="CO397" s="17">
        <v>7.41</v>
      </c>
      <c r="CR397" s="20" t="str" cm="1">
        <f t="array" ref="CR397">IF(OR(ISBLANK(E397),ISBLANK(CQ397)),"Incomplete",_xlfn.XLOOKUP(CQ397,_xlfn.XLOOKUP(E397,'Normative data'!$Y$3:$Y$6,'Normative data'!$Z$3:$AG$6,,-1),'Normative data'!$Z$2:$AG$2,"Not Found",-1))</f>
        <v>Incomplete</v>
      </c>
      <c r="CS397" s="20"/>
      <c r="CT397" s="20"/>
      <c r="CU397" s="20" t="str" cm="1">
        <f t="array" ref="CU397">_xlfn.XLOOKUP(CS397&amp;CT397,(VLOOKUP!$A$3:$A$250)&amp;(VLOOKUP!$B$3:$B$250),VLOOKUP!$C$3:$C$250,"Incomplete",-1)</f>
        <v>Incomplete</v>
      </c>
      <c r="CV397" s="20" t="str" cm="1">
        <f t="array" ref="CV397">_xlfn.XLOOKUP(CU397, _xlfn.XLOOKUP(E397, 'Normative data'!$Y$11:$Y$14, 'Normative data'!$Z$11:$AG$14, ,-1), 'Normative data'!$Z$10:$AG$10, "Not Found", -1)</f>
        <v>Excellent</v>
      </c>
      <c r="CW397" s="20" t="str" cm="1">
        <f t="array" ref="CW397">IF(OR(ISBLANK(CS397),ISBLANK(CT397)),"Incomplete",_xlfn.XLOOKUP(CS397&amp;CT397,VLOOKUP!$A$4:$A$250&amp;VLOOKUP!$B$4:$B$250,VLOOKUP!$D$4:$D$250,"0"))</f>
        <v>Incomplete</v>
      </c>
    </row>
    <row r="398" spans="1:101">
      <c r="A398" s="17" t="s">
        <v>948</v>
      </c>
      <c r="B398" s="17" t="s">
        <v>745</v>
      </c>
      <c r="C398" s="17" t="s">
        <v>86</v>
      </c>
      <c r="D398" s="26">
        <v>41035</v>
      </c>
      <c r="E398" s="17">
        <v>13.9</v>
      </c>
      <c r="F398" s="20" t="s">
        <v>107</v>
      </c>
      <c r="G398" s="17">
        <v>2026</v>
      </c>
      <c r="I398" s="20">
        <v>2</v>
      </c>
      <c r="J398" s="20" t="s">
        <v>100</v>
      </c>
      <c r="K398" s="20" t="s">
        <v>158</v>
      </c>
      <c r="L398" s="20"/>
      <c r="S398" s="20">
        <v>75.7</v>
      </c>
      <c r="T398" s="20">
        <v>151.4</v>
      </c>
      <c r="U398" s="17">
        <v>38.799999999999997</v>
      </c>
      <c r="V398" s="17">
        <v>23.5</v>
      </c>
      <c r="W398" s="17">
        <v>6.7</v>
      </c>
      <c r="X398" s="17">
        <v>32.1</v>
      </c>
      <c r="Y398" s="17">
        <v>17</v>
      </c>
      <c r="Z398" s="17">
        <v>16.899999999999999</v>
      </c>
      <c r="AA398" s="17">
        <v>17.2</v>
      </c>
      <c r="AB398" s="17">
        <v>4.6500000000000004</v>
      </c>
      <c r="AC398" s="17">
        <v>101.1</v>
      </c>
      <c r="AD398" s="17">
        <v>4.57</v>
      </c>
      <c r="AE398" s="17">
        <v>99.2</v>
      </c>
      <c r="AF398" s="17">
        <v>1.3</v>
      </c>
      <c r="AG398" s="17">
        <v>79.099999999999994</v>
      </c>
      <c r="AH398" s="17">
        <v>1.3</v>
      </c>
      <c r="AI398" s="17">
        <v>78.599999999999994</v>
      </c>
      <c r="AJ398" s="17">
        <v>331.2</v>
      </c>
      <c r="AK398" s="17">
        <v>344</v>
      </c>
      <c r="AL398" s="17">
        <v>296.89999999999998</v>
      </c>
      <c r="AM398" s="17">
        <v>308.3</v>
      </c>
      <c r="AN398" s="17">
        <v>86</v>
      </c>
      <c r="AO398" s="17">
        <v>0.77</v>
      </c>
      <c r="AP398" s="17">
        <v>5.0999999999999996</v>
      </c>
      <c r="AQ398" s="17">
        <v>24.4</v>
      </c>
      <c r="AR398" s="17">
        <v>0.44600000000000001</v>
      </c>
      <c r="AS398" s="17">
        <v>27.3</v>
      </c>
      <c r="AT398" s="17">
        <v>0.47199999999999998</v>
      </c>
      <c r="AU398" s="17">
        <v>13.5</v>
      </c>
      <c r="AV398" s="17">
        <v>0.33200000000000002</v>
      </c>
      <c r="AW398" s="17">
        <v>15.6</v>
      </c>
      <c r="AX398" s="17">
        <v>0.35699999999999998</v>
      </c>
      <c r="AY398" s="41">
        <f t="shared" si="115"/>
        <v>1183.7199999999998</v>
      </c>
      <c r="BA398" s="20">
        <f t="shared" si="116"/>
        <v>1359.75</v>
      </c>
      <c r="BC398" s="20">
        <f t="shared" si="117"/>
        <v>522.09000000000015</v>
      </c>
      <c r="BE398" s="20">
        <f t="shared" si="118"/>
        <v>649.55999999999995</v>
      </c>
      <c r="BG398" s="17">
        <v>16</v>
      </c>
      <c r="BH398" s="17">
        <v>45</v>
      </c>
      <c r="BI398" s="20">
        <f t="shared" si="121"/>
        <v>29</v>
      </c>
      <c r="BJ398" s="20"/>
      <c r="BK398" s="17">
        <v>13.7</v>
      </c>
      <c r="BL398" s="20"/>
      <c r="BM398" s="17">
        <v>14.8</v>
      </c>
      <c r="BN398" s="20"/>
      <c r="BO398" s="17">
        <v>39</v>
      </c>
      <c r="BP398" s="17">
        <v>38.5</v>
      </c>
      <c r="BQ398" s="17">
        <v>93</v>
      </c>
      <c r="BR398" s="17">
        <v>89</v>
      </c>
      <c r="BS398" s="17">
        <v>92</v>
      </c>
      <c r="BT398" s="17">
        <v>92</v>
      </c>
      <c r="BU398" s="17">
        <v>94</v>
      </c>
      <c r="BV398" s="17">
        <v>103</v>
      </c>
      <c r="BW398" s="91">
        <f t="shared" si="119"/>
        <v>120.65169528841919</v>
      </c>
      <c r="BX398" s="91" t="str">
        <f>_xlfn.XLOOKUP(BW398,'Normative data'!$V$3:$V$6,'Normative data'!$W$3:$W$6,"Not Found",-1)</f>
        <v>Very low risk</v>
      </c>
      <c r="BY398" s="91">
        <f t="shared" si="120"/>
        <v>127.25671510347863</v>
      </c>
      <c r="BZ398" s="91" t="str">
        <f>_xlfn.XLOOKUP(BY398,'Normative data'!$V$3:$V$6,'Normative data'!$W$3:$W$6,"Not Found",-1)</f>
        <v>Very low risk</v>
      </c>
      <c r="CA398" s="17">
        <v>42</v>
      </c>
      <c r="CC398" s="20"/>
      <c r="CE398" s="17">
        <v>25</v>
      </c>
      <c r="CG398" s="17">
        <v>19.64</v>
      </c>
      <c r="CH398" s="20" t="str">
        <f>_xlfn.XLOOKUP(CG398, 'Normative data'!$S$9:$S$15,'Normative data'!$T$9:$T$15, "Not Found", -1)</f>
        <v>Average</v>
      </c>
      <c r="CI398" s="17">
        <v>18.22</v>
      </c>
      <c r="CJ398" s="20" t="str">
        <f>_xlfn.XLOOKUP(CI398, 'Normative data'!$S$9:$S$15, 'Normative data'!$T$9:$T$15, "Not Found", -1)</f>
        <v>Average</v>
      </c>
      <c r="CK398" s="17">
        <v>2.2999999999999998</v>
      </c>
      <c r="CL398" s="17">
        <v>4.3499999999999996</v>
      </c>
      <c r="CN398" s="17">
        <v>7.14</v>
      </c>
      <c r="CO398" s="17">
        <v>7</v>
      </c>
      <c r="CQ398" s="17">
        <v>5.5</v>
      </c>
      <c r="CR398" s="20" t="str" cm="1">
        <f t="array" ref="CR398">IF(OR(ISBLANK(E398),ISBLANK(CQ398)),"Incomplete",_xlfn.XLOOKUP(CQ398,_xlfn.XLOOKUP(E398,'Normative data'!$Y$3:$Y$6,'Normative data'!$Z$3:$AG$6,,-1),'Normative data'!$Z$2:$AG$2,"Not Found",-1))</f>
        <v>Average</v>
      </c>
      <c r="CS398" s="20">
        <v>5</v>
      </c>
      <c r="CT398" s="20">
        <v>5</v>
      </c>
      <c r="CU398" s="20" cm="1">
        <f t="array" ref="CU398">_xlfn.XLOOKUP(CS398&amp;CT398,(VLOOKUP!$A$3:$A$250)&amp;(VLOOKUP!$B$3:$B$250),VLOOKUP!$C$3:$C$250,"Incomplete",-1)</f>
        <v>740</v>
      </c>
      <c r="CV398" s="20" t="str" cm="1">
        <f t="array" ref="CV398">_xlfn.XLOOKUP(CU398, _xlfn.XLOOKUP(E398, 'Normative data'!$Y$11:$Y$14, 'Normative data'!$Z$11:$AG$14, ,-1), 'Normative data'!$Z$10:$AG$10, "Not Found", -1)</f>
        <v>Average</v>
      </c>
      <c r="CW398" s="20" cm="1">
        <f t="array" ref="CW398">IF(OR(ISBLANK(CS398),ISBLANK(CT398)),"Incomplete",_xlfn.XLOOKUP(CS398&amp;CT398,VLOOKUP!$A$4:$A$250&amp;VLOOKUP!$B$4:$B$250,VLOOKUP!$D$4:$D$250,"0"))</f>
        <v>31</v>
      </c>
    </row>
    <row r="399" spans="1:101">
      <c r="A399" s="17" t="s">
        <v>746</v>
      </c>
      <c r="B399" s="17" t="s">
        <v>745</v>
      </c>
      <c r="C399" s="17" t="s">
        <v>86</v>
      </c>
      <c r="D399" s="26">
        <v>40425</v>
      </c>
      <c r="F399" s="20" t="s">
        <v>178</v>
      </c>
      <c r="G399" s="17">
        <v>2026</v>
      </c>
      <c r="I399" s="20">
        <v>2</v>
      </c>
      <c r="J399" s="20"/>
      <c r="K399" s="20"/>
      <c r="L399" s="20"/>
      <c r="S399" s="20"/>
      <c r="T399" s="20"/>
      <c r="AQ399" s="20"/>
      <c r="AR399" s="20"/>
      <c r="AS399" s="20"/>
      <c r="AT399" s="20"/>
      <c r="AU399" s="20"/>
      <c r="AV399" s="20"/>
      <c r="AW399" s="20"/>
      <c r="AX399" s="20"/>
      <c r="AY399" s="41" t="str">
        <f t="shared" si="115"/>
        <v>Incomplete</v>
      </c>
      <c r="BA399" s="20" t="str">
        <f t="shared" si="116"/>
        <v>Incomplete</v>
      </c>
      <c r="BC399" s="20" t="str">
        <f t="shared" si="117"/>
        <v>Incomplete</v>
      </c>
      <c r="BE399" s="20" t="str">
        <f t="shared" si="118"/>
        <v>Incomplete</v>
      </c>
      <c r="BH399" s="20"/>
      <c r="BI399" s="20" t="str">
        <f t="shared" si="121"/>
        <v>Incomplete</v>
      </c>
      <c r="BJ399" s="20"/>
      <c r="BK399" s="17">
        <v>8.5</v>
      </c>
      <c r="BL399" s="20"/>
      <c r="BM399" s="17">
        <v>9.5</v>
      </c>
      <c r="BN399" s="20"/>
      <c r="BQ399" s="17">
        <v>79</v>
      </c>
      <c r="BR399" s="17">
        <v>81</v>
      </c>
      <c r="BS399" s="17">
        <v>85</v>
      </c>
      <c r="BT399" s="17">
        <v>78</v>
      </c>
      <c r="BU399" s="17">
        <v>80</v>
      </c>
      <c r="BV399" s="17">
        <v>80</v>
      </c>
      <c r="BW399" s="91" t="str">
        <f t="shared" si="119"/>
        <v>Incomplete</v>
      </c>
      <c r="BX399" s="91" t="str">
        <f>_xlfn.XLOOKUP(BW399,'Normative data'!$V$3:$V$6,'Normative data'!$W$3:$W$6,"Not Found",-1)</f>
        <v>Very low risk</v>
      </c>
      <c r="BY399" s="91" t="str">
        <f t="shared" si="120"/>
        <v>Incomplete</v>
      </c>
      <c r="BZ399" s="91" t="str">
        <f>_xlfn.XLOOKUP(BY399,'Normative data'!$V$3:$V$6,'Normative data'!$W$3:$W$6,"Not Found",-1)</f>
        <v>Very low risk</v>
      </c>
      <c r="CA399" s="17">
        <v>25</v>
      </c>
      <c r="CC399" s="20"/>
      <c r="CE399" s="17">
        <v>15</v>
      </c>
      <c r="CG399" s="17">
        <v>21.62</v>
      </c>
      <c r="CH399" s="20" t="str">
        <f>_xlfn.XLOOKUP(CG399, 'Normative data'!$S$9:$S$15,'Normative data'!$T$9:$T$15, "Not Found", -1)</f>
        <v>Average</v>
      </c>
      <c r="CI399" s="17">
        <v>19.600000000000001</v>
      </c>
      <c r="CJ399" s="20" t="str">
        <f>_xlfn.XLOOKUP(CI399, 'Normative data'!$S$9:$S$15, 'Normative data'!$T$9:$T$15, "Not Found", -1)</f>
        <v>Average</v>
      </c>
      <c r="CK399" s="17">
        <v>2.2999999999999998</v>
      </c>
      <c r="CL399" s="17">
        <v>4.3499999999999996</v>
      </c>
      <c r="CN399" s="17">
        <v>7.13</v>
      </c>
      <c r="CO399" s="17">
        <v>7.01</v>
      </c>
      <c r="CR399" s="20" t="str" cm="1">
        <f t="array" ref="CR399">IF(OR(ISBLANK(E399),ISBLANK(CQ399)),"Incomplete",_xlfn.XLOOKUP(CQ399,_xlfn.XLOOKUP(E399,'Normative data'!$Y$3:$Y$6,'Normative data'!$Z$3:$AG$6,,-1),'Normative data'!$Z$2:$AG$2,"Not Found",-1))</f>
        <v>Incomplete</v>
      </c>
      <c r="CS399" s="20"/>
      <c r="CT399" s="20"/>
      <c r="CU399" s="20" t="str" cm="1">
        <f t="array" ref="CU399">_xlfn.XLOOKUP(CS399&amp;CT399,(VLOOKUP!$A$3:$A$250)&amp;(VLOOKUP!$B$3:$B$250),VLOOKUP!$C$3:$C$250,"Incomplete",-1)</f>
        <v>Incomplete</v>
      </c>
      <c r="CV399" s="20" t="str" cm="1">
        <f t="array" ref="CV399">_xlfn.XLOOKUP(CU399, _xlfn.XLOOKUP(E399, 'Normative data'!$Y$11:$Y$14, 'Normative data'!$Z$11:$AG$14, ,-1), 'Normative data'!$Z$10:$AG$10, "Not Found", -1)</f>
        <v>Excellent</v>
      </c>
      <c r="CW399" s="20" t="str" cm="1">
        <f t="array" ref="CW399">IF(OR(ISBLANK(CS399),ISBLANK(CT399)),"Incomplete",_xlfn.XLOOKUP(CS399&amp;CT399,VLOOKUP!$A$4:$A$250&amp;VLOOKUP!$B$4:$B$250,VLOOKUP!$D$4:$D$250,"0"))</f>
        <v>Incomplete</v>
      </c>
    </row>
    <row r="400" spans="1:101">
      <c r="A400" s="17" t="s">
        <v>949</v>
      </c>
      <c r="B400" s="17" t="s">
        <v>745</v>
      </c>
      <c r="C400" s="17" t="s">
        <v>86</v>
      </c>
      <c r="D400" s="26"/>
      <c r="F400" s="20" t="s">
        <v>251</v>
      </c>
      <c r="G400" s="17">
        <v>2026</v>
      </c>
      <c r="I400" s="20">
        <v>2</v>
      </c>
      <c r="J400" s="20" t="s">
        <v>88</v>
      </c>
      <c r="K400" s="20" t="s">
        <v>184</v>
      </c>
      <c r="L400" s="20"/>
      <c r="S400" s="20">
        <v>75.599999999999994</v>
      </c>
      <c r="T400" s="20">
        <v>151.19999999999999</v>
      </c>
      <c r="AQ400" s="20"/>
      <c r="AR400" s="20"/>
      <c r="AS400" s="20"/>
      <c r="AT400" s="20"/>
      <c r="AU400" s="20"/>
      <c r="AV400" s="20"/>
      <c r="AW400" s="20"/>
      <c r="AX400" s="20"/>
      <c r="AY400" s="41" t="str">
        <f t="shared" si="115"/>
        <v>Incomplete</v>
      </c>
      <c r="BA400" s="20" t="str">
        <f t="shared" si="116"/>
        <v>Incomplete</v>
      </c>
      <c r="BC400" s="20" t="str">
        <f t="shared" si="117"/>
        <v>Incomplete</v>
      </c>
      <c r="BE400" s="20" t="str">
        <f t="shared" si="118"/>
        <v>Incomplete</v>
      </c>
      <c r="BH400" s="17">
        <v>39.799999999999997</v>
      </c>
      <c r="BI400" s="20" t="str">
        <f t="shared" si="121"/>
        <v>Incomplete</v>
      </c>
      <c r="BJ400" s="20"/>
      <c r="BK400" s="17">
        <v>8.5</v>
      </c>
      <c r="BL400" s="20"/>
      <c r="BM400" s="17">
        <v>9</v>
      </c>
      <c r="BN400" s="20"/>
      <c r="BW400" s="91">
        <f t="shared" si="119"/>
        <v>0</v>
      </c>
      <c r="BX400" s="91" t="str">
        <f>_xlfn.XLOOKUP(BW400,'Normative data'!$V$3:$V$6,'Normative data'!$W$3:$W$6,"Not Found",-1)</f>
        <v>Not completed</v>
      </c>
      <c r="BY400" s="91">
        <f t="shared" si="120"/>
        <v>0</v>
      </c>
      <c r="BZ400" s="91" t="str">
        <f>_xlfn.XLOOKUP(BY400,'Normative data'!$V$3:$V$6,'Normative data'!$W$3:$W$6,"Not Found",-1)</f>
        <v>Not completed</v>
      </c>
      <c r="CG400" s="17">
        <v>19.77</v>
      </c>
      <c r="CH400" s="20" t="str">
        <f>_xlfn.XLOOKUP(CG400, 'Normative data'!$S$9:$S$15,'Normative data'!$T$9:$T$15, "Not Found", -1)</f>
        <v>Average</v>
      </c>
      <c r="CI400" s="17">
        <v>19.5</v>
      </c>
      <c r="CJ400" s="20" t="str">
        <f>_xlfn.XLOOKUP(CI400, 'Normative data'!$S$9:$S$15, 'Normative data'!$T$9:$T$15, "Not Found", -1)</f>
        <v>Average</v>
      </c>
      <c r="CK400" s="17">
        <v>2.39</v>
      </c>
      <c r="CL400" s="17">
        <v>4.18</v>
      </c>
      <c r="CN400" s="17">
        <v>7.22</v>
      </c>
      <c r="CO400" s="17">
        <v>6.93</v>
      </c>
      <c r="CR400" s="20" t="str" cm="1">
        <f t="array" ref="CR400">IF(OR(ISBLANK(E400),ISBLANK(CQ400)),"Incomplete",_xlfn.XLOOKUP(CQ400,_xlfn.XLOOKUP(E400,'Normative data'!$Y$3:$Y$6,'Normative data'!$Z$3:$AG$6,,-1),'Normative data'!$Z$2:$AG$2,"Not Found",-1))</f>
        <v>Incomplete</v>
      </c>
      <c r="CS400" s="20"/>
      <c r="CT400" s="20"/>
      <c r="CU400" s="20" t="str" cm="1">
        <f t="array" ref="CU400">_xlfn.XLOOKUP(CS400&amp;CT400,(VLOOKUP!$A$3:$A$250)&amp;(VLOOKUP!$B$3:$B$250),VLOOKUP!$C$3:$C$250,"Incomplete",-1)</f>
        <v>Incomplete</v>
      </c>
      <c r="CV400" s="20" t="str" cm="1">
        <f t="array" ref="CV400">_xlfn.XLOOKUP(CU400, _xlfn.XLOOKUP(E400, 'Normative data'!$Y$11:$Y$14, 'Normative data'!$Z$11:$AG$14, ,-1), 'Normative data'!$Z$10:$AG$10, "Not Found", -1)</f>
        <v>Excellent</v>
      </c>
      <c r="CW400" s="20" t="str" cm="1">
        <f t="array" ref="CW400">IF(OR(ISBLANK(CS400),ISBLANK(CT400)),"Incomplete",_xlfn.XLOOKUP(CS400&amp;CT400,VLOOKUP!$A$4:$A$250&amp;VLOOKUP!$B$4:$B$250,VLOOKUP!$D$4:$D$250,"0"))</f>
        <v>Incomplete</v>
      </c>
    </row>
    <row r="401" spans="1:101">
      <c r="A401" s="17" t="s">
        <v>950</v>
      </c>
      <c r="B401" s="17" t="s">
        <v>745</v>
      </c>
      <c r="C401" s="17" t="s">
        <v>86</v>
      </c>
      <c r="D401" s="26">
        <v>40712</v>
      </c>
      <c r="F401" s="20" t="s">
        <v>217</v>
      </c>
      <c r="G401" s="17">
        <v>2026</v>
      </c>
      <c r="I401" s="20">
        <v>2</v>
      </c>
      <c r="J401" s="20" t="s">
        <v>122</v>
      </c>
      <c r="K401" s="20" t="s">
        <v>105</v>
      </c>
      <c r="L401" s="20"/>
      <c r="S401" s="20">
        <v>80.599999999999994</v>
      </c>
      <c r="T401" s="20">
        <v>157</v>
      </c>
      <c r="U401" s="17">
        <v>45.9</v>
      </c>
      <c r="V401" s="17">
        <v>24.6</v>
      </c>
      <c r="W401" s="17">
        <v>12.2</v>
      </c>
      <c r="X401" s="17">
        <v>33.700000000000003</v>
      </c>
      <c r="Y401" s="17">
        <v>17.8</v>
      </c>
      <c r="AA401" s="17">
        <v>26.5</v>
      </c>
      <c r="AB401" s="17">
        <v>4.8</v>
      </c>
      <c r="AC401" s="17">
        <v>89.3</v>
      </c>
      <c r="AD401" s="17">
        <v>4.92</v>
      </c>
      <c r="AE401" s="17">
        <v>91.5</v>
      </c>
      <c r="AF401" s="17">
        <v>2</v>
      </c>
      <c r="AG401" s="17">
        <v>105.8</v>
      </c>
      <c r="AH401" s="17">
        <v>2.1</v>
      </c>
      <c r="AI401" s="17">
        <v>106.3</v>
      </c>
      <c r="AJ401" s="17">
        <v>359.3</v>
      </c>
      <c r="AK401" s="17">
        <v>341.7</v>
      </c>
      <c r="AL401" s="17">
        <v>323.3</v>
      </c>
      <c r="AM401" s="17">
        <v>308.8</v>
      </c>
      <c r="AN401" s="17">
        <v>95</v>
      </c>
      <c r="AY401" s="41" t="str">
        <f t="shared" si="115"/>
        <v>Incomplete</v>
      </c>
      <c r="BA401" s="20" t="str">
        <f t="shared" si="116"/>
        <v>Incomplete</v>
      </c>
      <c r="BC401" s="20" t="str">
        <f t="shared" si="117"/>
        <v>Incomplete</v>
      </c>
      <c r="BE401" s="20" t="str">
        <f t="shared" si="118"/>
        <v>Incomplete</v>
      </c>
      <c r="BG401" s="17">
        <v>9.5</v>
      </c>
      <c r="BH401" s="17">
        <v>31</v>
      </c>
      <c r="BI401" s="20">
        <f t="shared" si="121"/>
        <v>21.5</v>
      </c>
      <c r="BJ401" s="20"/>
      <c r="BK401" s="17">
        <v>12</v>
      </c>
      <c r="BL401" s="20"/>
      <c r="BM401" s="17">
        <v>15</v>
      </c>
      <c r="BN401" s="20"/>
      <c r="BO401" s="17">
        <v>44</v>
      </c>
      <c r="BP401" s="17">
        <v>44</v>
      </c>
      <c r="BQ401" s="17">
        <v>81</v>
      </c>
      <c r="BR401" s="17">
        <v>74</v>
      </c>
      <c r="BS401" s="17">
        <v>79</v>
      </c>
      <c r="BT401" s="17">
        <v>77</v>
      </c>
      <c r="BU401" s="17">
        <v>85</v>
      </c>
      <c r="BV401" s="17">
        <v>80</v>
      </c>
      <c r="BW401" s="91">
        <f t="shared" si="119"/>
        <v>102.09424083769633</v>
      </c>
      <c r="BX401" s="91" t="str">
        <f>_xlfn.XLOOKUP(BW401,'Normative data'!$V$3:$V$6,'Normative data'!$W$3:$W$6,"Not Found",-1)</f>
        <v>Low risk</v>
      </c>
      <c r="BY401" s="91">
        <f t="shared" si="120"/>
        <v>105.58464223385688</v>
      </c>
      <c r="BZ401" s="91" t="str">
        <f>_xlfn.XLOOKUP(BY401,'Normative data'!$V$3:$V$6,'Normative data'!$W$3:$W$6,"Not Found",-1)</f>
        <v>Low risk</v>
      </c>
      <c r="CA401" s="17">
        <v>20</v>
      </c>
      <c r="CC401" s="20"/>
      <c r="CE401" s="17">
        <v>2</v>
      </c>
      <c r="CG401" s="20"/>
      <c r="CH401" s="20" t="str">
        <f>_xlfn.XLOOKUP(CG401, 'Normative data'!$S$9:$S$15,'Normative data'!$T$9:$T$15, "Not Found", -1)</f>
        <v>not completed</v>
      </c>
      <c r="CI401" s="20"/>
      <c r="CJ401" s="20" t="str">
        <f>_xlfn.XLOOKUP(CI401, 'Normative data'!$S$9:$S$15, 'Normative data'!$T$9:$T$15, "Not Found", -1)</f>
        <v>not completed</v>
      </c>
      <c r="CK401" s="17">
        <v>2.4700000000000002</v>
      </c>
      <c r="CL401" s="17">
        <v>4.05</v>
      </c>
      <c r="CN401" s="17">
        <v>7.82</v>
      </c>
      <c r="CO401" s="17">
        <v>6.39</v>
      </c>
      <c r="CR401" s="20" t="str" cm="1">
        <f t="array" ref="CR401">IF(OR(ISBLANK(E401),ISBLANK(CQ401)),"Incomplete",_xlfn.XLOOKUP(CQ401,_xlfn.XLOOKUP(E401,'Normative data'!$Y$3:$Y$6,'Normative data'!$Z$3:$AG$6,,-1),'Normative data'!$Z$2:$AG$2,"Not Found",-1))</f>
        <v>Incomplete</v>
      </c>
      <c r="CS401" s="20"/>
      <c r="CT401" s="20"/>
      <c r="CU401" s="20" t="str" cm="1">
        <f t="array" ref="CU401">_xlfn.XLOOKUP(CS401&amp;CT401,(VLOOKUP!$A$3:$A$250)&amp;(VLOOKUP!$B$3:$B$250),VLOOKUP!$C$3:$C$250,"Incomplete",-1)</f>
        <v>Incomplete</v>
      </c>
      <c r="CV401" s="20" t="str" cm="1">
        <f t="array" ref="CV401">_xlfn.XLOOKUP(CU401, _xlfn.XLOOKUP(E401, 'Normative data'!$Y$11:$Y$14, 'Normative data'!$Z$11:$AG$14, ,-1), 'Normative data'!$Z$10:$AG$10, "Not Found", -1)</f>
        <v>Excellent</v>
      </c>
      <c r="CW401" s="20" t="str" cm="1">
        <f t="array" ref="CW401">IF(OR(ISBLANK(CS401),ISBLANK(CT401)),"Incomplete",_xlfn.XLOOKUP(CS401&amp;CT401,VLOOKUP!$A$4:$A$250&amp;VLOOKUP!$B$4:$B$250,VLOOKUP!$D$4:$D$250,"0"))</f>
        <v>Incomplete</v>
      </c>
    </row>
    <row r="402" spans="1:101">
      <c r="A402" s="17" t="s">
        <v>951</v>
      </c>
      <c r="B402" s="17" t="s">
        <v>745</v>
      </c>
      <c r="C402" s="17" t="s">
        <v>86</v>
      </c>
      <c r="D402" s="26">
        <v>41142</v>
      </c>
      <c r="E402" s="17">
        <v>13.7</v>
      </c>
      <c r="F402" s="20" t="s">
        <v>251</v>
      </c>
      <c r="G402" s="17">
        <v>2026</v>
      </c>
      <c r="I402" s="20">
        <v>2</v>
      </c>
      <c r="J402" s="20" t="s">
        <v>100</v>
      </c>
      <c r="K402" s="20" t="s">
        <v>108</v>
      </c>
      <c r="L402" s="20"/>
      <c r="S402" s="20"/>
      <c r="T402" s="20">
        <v>167.4</v>
      </c>
      <c r="U402" s="17">
        <v>62.3</v>
      </c>
      <c r="V402" s="17">
        <v>32.799999999999997</v>
      </c>
      <c r="W402" s="17">
        <v>17.5</v>
      </c>
      <c r="X402" s="17">
        <v>44.8</v>
      </c>
      <c r="Y402" s="17">
        <v>24.5</v>
      </c>
      <c r="Z402" s="17">
        <v>22.2</v>
      </c>
      <c r="AA402" s="17">
        <v>28</v>
      </c>
      <c r="AB402" s="17">
        <v>6.98</v>
      </c>
      <c r="AC402" s="17">
        <v>99.3</v>
      </c>
      <c r="AD402" s="17">
        <v>7.09</v>
      </c>
      <c r="AE402" s="17">
        <v>100.7</v>
      </c>
      <c r="AF402" s="17">
        <v>2.7</v>
      </c>
      <c r="AG402" s="17">
        <v>105.5</v>
      </c>
      <c r="AH402" s="17">
        <v>2.7</v>
      </c>
      <c r="AI402" s="17">
        <v>105.9</v>
      </c>
      <c r="AJ402" s="17">
        <v>312.60000000000002</v>
      </c>
      <c r="AK402" s="17">
        <v>302.10000000000002</v>
      </c>
      <c r="AL402" s="17">
        <v>281.5</v>
      </c>
      <c r="AM402" s="17">
        <v>271.89999999999998</v>
      </c>
      <c r="AN402" s="17">
        <v>99</v>
      </c>
      <c r="AO402" s="17">
        <v>0.88</v>
      </c>
      <c r="AP402" s="17">
        <v>6.6</v>
      </c>
      <c r="AY402" s="41" t="str">
        <f t="shared" si="115"/>
        <v>Incomplete</v>
      </c>
      <c r="BA402" s="20" t="str">
        <f t="shared" si="116"/>
        <v>Incomplete</v>
      </c>
      <c r="BC402" s="20" t="str">
        <f t="shared" si="117"/>
        <v>Incomplete</v>
      </c>
      <c r="BE402" s="20" t="str">
        <f t="shared" si="118"/>
        <v>Incomplete</v>
      </c>
      <c r="BH402" s="17">
        <v>27</v>
      </c>
      <c r="BI402" s="20" t="str">
        <f t="shared" si="121"/>
        <v>Incomplete</v>
      </c>
      <c r="BJ402" s="20"/>
      <c r="BK402" s="17">
        <v>5.2</v>
      </c>
      <c r="BL402" s="20"/>
      <c r="BM402" s="17">
        <v>5.4</v>
      </c>
      <c r="BN402" s="20"/>
      <c r="BW402" s="91">
        <f t="shared" si="119"/>
        <v>0</v>
      </c>
      <c r="BX402" s="91" t="str">
        <f>_xlfn.XLOOKUP(BW402,'Normative data'!$V$3:$V$6,'Normative data'!$W$3:$W$6,"Not Found",-1)</f>
        <v>Not completed</v>
      </c>
      <c r="BY402" s="91">
        <f t="shared" si="120"/>
        <v>0</v>
      </c>
      <c r="BZ402" s="91" t="str">
        <f>_xlfn.XLOOKUP(BY402,'Normative data'!$V$3:$V$6,'Normative data'!$W$3:$W$6,"Not Found",-1)</f>
        <v>Not completed</v>
      </c>
      <c r="CG402" s="17">
        <v>20.82</v>
      </c>
      <c r="CH402" s="20" t="str">
        <f>_xlfn.XLOOKUP(CG402, 'Normative data'!$S$9:$S$15,'Normative data'!$T$9:$T$15, "Not Found", -1)</f>
        <v>Average</v>
      </c>
      <c r="CI402" s="17">
        <v>19.59</v>
      </c>
      <c r="CJ402" s="20" t="str">
        <f>_xlfn.XLOOKUP(CI402, 'Normative data'!$S$9:$S$15, 'Normative data'!$T$9:$T$15, "Not Found", -1)</f>
        <v>Average</v>
      </c>
      <c r="CK402" s="21"/>
      <c r="CL402" s="21"/>
      <c r="CM402" s="21"/>
      <c r="CN402" s="21"/>
      <c r="CO402" s="21"/>
      <c r="CQ402" s="17">
        <v>3.3</v>
      </c>
      <c r="CR402" s="20" t="str" cm="1">
        <f t="array" ref="CR402">IF(OR(ISBLANK(E402),ISBLANK(CQ402)),"Incomplete",_xlfn.XLOOKUP(CQ402,_xlfn.XLOOKUP(E402,'Normative data'!$Y$3:$Y$6,'Normative data'!$Z$3:$AG$6,,-1),'Normative data'!$Z$2:$AG$2,"Not Found",-1))</f>
        <v>Poor</v>
      </c>
      <c r="CS402" s="20">
        <v>3</v>
      </c>
      <c r="CT402" s="20">
        <v>3</v>
      </c>
      <c r="CU402" s="20" cm="1">
        <f t="array" ref="CU402">_xlfn.XLOOKUP(CS402&amp;CT402,(VLOOKUP!$A$3:$A$250)&amp;(VLOOKUP!$B$3:$B$250),VLOOKUP!$C$3:$C$250,"Incomplete",-1)</f>
        <v>360</v>
      </c>
      <c r="CV402" s="20" t="str" cm="1">
        <f t="array" ref="CV402">_xlfn.XLOOKUP(CU402, _xlfn.XLOOKUP(E402, 'Normative data'!$Y$11:$Y$14, 'Normative data'!$Z$11:$AG$14, ,-1), 'Normative data'!$Z$10:$AG$10, "Not Found", -1)</f>
        <v xml:space="preserve">Poor </v>
      </c>
      <c r="CW402" s="20" cm="1">
        <f t="array" ref="CW402">IF(OR(ISBLANK(CS402),ISBLANK(CT402)),"Incomplete",_xlfn.XLOOKUP(CS402&amp;CT402,VLOOKUP!$A$4:$A$250&amp;VLOOKUP!$B$4:$B$250,VLOOKUP!$D$4:$D$250,"0"))</f>
        <v>24</v>
      </c>
    </row>
    <row r="403" spans="1:101">
      <c r="A403" s="17" t="s">
        <v>952</v>
      </c>
      <c r="B403" s="17" t="s">
        <v>745</v>
      </c>
      <c r="C403" s="17" t="s">
        <v>86</v>
      </c>
      <c r="D403" s="26">
        <v>40449</v>
      </c>
      <c r="E403" s="17">
        <v>15.6</v>
      </c>
      <c r="F403" s="20" t="s">
        <v>186</v>
      </c>
      <c r="G403" s="17">
        <v>2026</v>
      </c>
      <c r="I403" s="20">
        <v>2</v>
      </c>
      <c r="J403" s="20" t="s">
        <v>100</v>
      </c>
      <c r="K403" s="20" t="s">
        <v>556</v>
      </c>
      <c r="L403" s="20"/>
      <c r="S403" s="20">
        <v>86.4</v>
      </c>
      <c r="T403" s="20">
        <v>167.3</v>
      </c>
      <c r="U403" s="17">
        <v>73.599999999999994</v>
      </c>
      <c r="V403" s="17">
        <v>34.6</v>
      </c>
      <c r="W403" s="17">
        <v>26.3</v>
      </c>
      <c r="X403" s="17">
        <v>47.3</v>
      </c>
      <c r="Y403" s="17">
        <v>26.3</v>
      </c>
      <c r="Z403" s="17">
        <v>26.3</v>
      </c>
      <c r="AA403" s="17">
        <v>35.700000000000003</v>
      </c>
      <c r="AB403" s="17">
        <v>7.21</v>
      </c>
      <c r="AC403" s="17">
        <v>97.1</v>
      </c>
      <c r="AD403" s="17">
        <v>7.28</v>
      </c>
      <c r="AE403" s="17">
        <v>98.1</v>
      </c>
      <c r="AF403" s="17">
        <v>3.7</v>
      </c>
      <c r="AG403" s="17">
        <v>143.9</v>
      </c>
      <c r="AH403" s="17">
        <v>3.7</v>
      </c>
      <c r="AI403" s="17">
        <v>143.9</v>
      </c>
      <c r="AJ403" s="17">
        <v>327.3</v>
      </c>
      <c r="AK403" s="17">
        <v>31.4</v>
      </c>
      <c r="AL403" s="17">
        <v>287.3</v>
      </c>
      <c r="AM403" s="17">
        <v>280.39999999999998</v>
      </c>
      <c r="AN403" s="17">
        <v>82</v>
      </c>
      <c r="AO403" s="17">
        <v>0.98</v>
      </c>
      <c r="AP403" s="17">
        <v>7</v>
      </c>
      <c r="AY403" s="41" t="str">
        <f t="shared" si="115"/>
        <v>Incomplete</v>
      </c>
      <c r="BA403" s="20" t="str">
        <f t="shared" si="116"/>
        <v>Incomplete</v>
      </c>
      <c r="BC403" s="20" t="str">
        <f t="shared" si="117"/>
        <v>Incomplete</v>
      </c>
      <c r="BE403" s="20" t="str">
        <f t="shared" si="118"/>
        <v>Incomplete</v>
      </c>
      <c r="BH403" s="20"/>
      <c r="BI403" s="20" t="str">
        <f t="shared" si="121"/>
        <v>Incomplete</v>
      </c>
      <c r="BJ403" s="20"/>
      <c r="BK403" s="17">
        <v>9</v>
      </c>
      <c r="BL403" s="20"/>
      <c r="BM403" s="17">
        <v>8.5</v>
      </c>
      <c r="BN403" s="20"/>
      <c r="BW403" s="91">
        <f t="shared" si="119"/>
        <v>0</v>
      </c>
      <c r="BX403" s="91" t="str">
        <f>_xlfn.XLOOKUP(BW403,'Normative data'!$V$3:$V$6,'Normative data'!$W$3:$W$6,"Not Found",-1)</f>
        <v>Not completed</v>
      </c>
      <c r="BY403" s="91">
        <f t="shared" si="120"/>
        <v>0</v>
      </c>
      <c r="BZ403" s="91" t="str">
        <f>_xlfn.XLOOKUP(BY403,'Normative data'!$V$3:$V$6,'Normative data'!$W$3:$W$6,"Not Found",-1)</f>
        <v>Not completed</v>
      </c>
      <c r="CA403" s="17">
        <v>33</v>
      </c>
      <c r="CH403" s="20" t="str">
        <f>_xlfn.XLOOKUP(CG403, 'Normative data'!$S$9:$S$15,'Normative data'!$T$9:$T$15, "Not Found", -1)</f>
        <v>not completed</v>
      </c>
      <c r="CJ403" s="20" t="str">
        <f>_xlfn.XLOOKUP(CI403, 'Normative data'!$S$9:$S$15, 'Normative data'!$T$9:$T$15, "Not Found", -1)</f>
        <v>not completed</v>
      </c>
      <c r="CK403" s="17">
        <v>2.2400000000000002</v>
      </c>
      <c r="CL403" s="17">
        <v>4.46</v>
      </c>
      <c r="CN403" s="17">
        <v>7.05</v>
      </c>
      <c r="CO403" s="17">
        <v>7.09</v>
      </c>
      <c r="CR403" s="20" t="str" cm="1">
        <f t="array" ref="CR403">IF(OR(ISBLANK(E403),ISBLANK(CQ403)),"Incomplete",_xlfn.XLOOKUP(CQ403,_xlfn.XLOOKUP(E403,'Normative data'!$Y$3:$Y$6,'Normative data'!$Z$3:$AG$6,,-1),'Normative data'!$Z$2:$AG$2,"Not Found",-1))</f>
        <v>Incomplete</v>
      </c>
      <c r="CS403" s="20"/>
      <c r="CT403" s="20"/>
      <c r="CU403" s="20" t="str" cm="1">
        <f t="array" ref="CU403">_xlfn.XLOOKUP(CS403&amp;CT403,(VLOOKUP!$A$3:$A$250)&amp;(VLOOKUP!$B$3:$B$250),VLOOKUP!$C$3:$C$250,"Incomplete",-1)</f>
        <v>Incomplete</v>
      </c>
      <c r="CV403" s="20" t="str" cm="1">
        <f t="array" ref="CV403">_xlfn.XLOOKUP(CU403, _xlfn.XLOOKUP(E403, 'Normative data'!$Y$11:$Y$14, 'Normative data'!$Z$11:$AG$14, ,-1), 'Normative data'!$Z$10:$AG$10, "Not Found", -1)</f>
        <v>Excellent</v>
      </c>
      <c r="CW403" s="20" t="str" cm="1">
        <f t="array" ref="CW403">IF(OR(ISBLANK(CS403),ISBLANK(CT403)),"Incomplete",_xlfn.XLOOKUP(CS403&amp;CT403,VLOOKUP!$A$4:$A$250&amp;VLOOKUP!$B$4:$B$250,VLOOKUP!$D$4:$D$250,"0"))</f>
        <v>Incomplete</v>
      </c>
    </row>
    <row r="404" spans="1:101">
      <c r="A404" s="18" t="s">
        <v>216</v>
      </c>
      <c r="B404" s="18" t="s">
        <v>220</v>
      </c>
      <c r="C404" s="17" t="s">
        <v>86</v>
      </c>
      <c r="D404" s="19">
        <v>40795</v>
      </c>
      <c r="F404" s="17">
        <v>8</v>
      </c>
      <c r="G404" s="17">
        <v>2025</v>
      </c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41" t="str">
        <f t="shared" si="115"/>
        <v>Incomplete</v>
      </c>
      <c r="AZ404" s="20"/>
      <c r="BA404" s="20" t="str">
        <f t="shared" si="116"/>
        <v>Incomplete</v>
      </c>
      <c r="BB404" s="20"/>
      <c r="BC404" s="20" t="str">
        <f t="shared" si="117"/>
        <v>Incomplete</v>
      </c>
      <c r="BD404" s="20"/>
      <c r="BE404" s="20" t="str">
        <f t="shared" si="118"/>
        <v>Incomplete</v>
      </c>
      <c r="BF404" s="20"/>
      <c r="BG404" s="20">
        <v>11</v>
      </c>
      <c r="BH404" s="20">
        <v>26</v>
      </c>
      <c r="BI404" s="20">
        <f t="shared" si="121"/>
        <v>15</v>
      </c>
      <c r="BJ404" s="20"/>
      <c r="BK404" s="20">
        <v>5</v>
      </c>
      <c r="BL404" s="20"/>
      <c r="BM404" s="20">
        <v>5</v>
      </c>
      <c r="BN404" s="20"/>
      <c r="BO404" s="20"/>
      <c r="BP404" s="20"/>
      <c r="BQ404" s="20"/>
      <c r="BR404" s="20"/>
      <c r="BS404" s="20"/>
      <c r="BT404" s="20"/>
      <c r="BU404" s="20"/>
      <c r="BV404" s="20"/>
      <c r="BW404" s="91" t="str">
        <f t="shared" si="119"/>
        <v>Incomplete</v>
      </c>
      <c r="BX404" s="91" t="str">
        <f>_xlfn.XLOOKUP(BW404,'Normative data'!$V$3:$V$6,'Normative data'!$W$3:$W$6,"Not Found",-1)</f>
        <v>Very low risk</v>
      </c>
      <c r="BY404" s="91" t="str">
        <f t="shared" si="120"/>
        <v>Incomplete</v>
      </c>
      <c r="BZ404" s="91" t="str">
        <f>_xlfn.XLOOKUP(BY404,'Normative data'!$V$3:$V$6,'Normative data'!$W$3:$W$6,"Not Found",-1)</f>
        <v>Very low risk</v>
      </c>
      <c r="CA404" s="20"/>
      <c r="CC404" s="20"/>
      <c r="CE404" s="20">
        <v>3</v>
      </c>
      <c r="CG404" s="20"/>
      <c r="CH404" s="20" t="str">
        <f>_xlfn.XLOOKUP(CG404, 'Normative data'!$S$9:$S$15,'Normative data'!$T$9:$T$15, "Not Found", -1)</f>
        <v>not completed</v>
      </c>
      <c r="CI404" s="20"/>
      <c r="CJ404" s="20" t="str">
        <f>_xlfn.XLOOKUP(CI404, 'Normative data'!$S$9:$S$15, 'Normative data'!$T$9:$T$15, "Not Found", -1)</f>
        <v>not completed</v>
      </c>
      <c r="CK404" s="21">
        <v>2.46</v>
      </c>
      <c r="CL404" s="21">
        <v>4.07</v>
      </c>
      <c r="CM404" s="21"/>
      <c r="CN404" s="21">
        <v>7.68</v>
      </c>
      <c r="CO404" s="21">
        <v>6.51</v>
      </c>
      <c r="CP404" s="21"/>
      <c r="CQ404" s="20"/>
      <c r="CR404" s="20" t="str" cm="1">
        <f t="array" ref="CR404">IF(OR(ISBLANK(E404),ISBLANK(CQ404)),"Incomplete",_xlfn.XLOOKUP(CQ404,_xlfn.XLOOKUP(E404,'Normative data'!$Y$3:$Y$6,'Normative data'!$Z$3:$AG$6,,-1),'Normative data'!$Z$2:$AG$2,"Not Found",-1))</f>
        <v>Incomplete</v>
      </c>
      <c r="CS404" s="20"/>
      <c r="CT404" s="20"/>
      <c r="CU404" s="20" t="str" cm="1">
        <f t="array" ref="CU404">_xlfn.XLOOKUP(CS404&amp;CT404,(VLOOKUP!$A$3:$A$250)&amp;(VLOOKUP!$B$3:$B$250),VLOOKUP!$C$3:$C$250,"Incomplete",-1)</f>
        <v>Incomplete</v>
      </c>
      <c r="CV404" s="20" t="str" cm="1">
        <f t="array" ref="CV404">_xlfn.XLOOKUP(CU404, _xlfn.XLOOKUP(E404, 'Normative data'!$Y$11:$Y$14, 'Normative data'!$Z$11:$AG$14, ,-1), 'Normative data'!$Z$10:$AG$10, "Not Found", -1)</f>
        <v>Excellent</v>
      </c>
      <c r="CW404" s="20" t="str" cm="1">
        <f t="array" ref="CW404">IF(OR(ISBLANK(CS404),ISBLANK(CT404)),"Incomplete",_xlfn.XLOOKUP(CS404&amp;CT404,VLOOKUP!$A$4:$A$250&amp;VLOOKUP!$B$4:$B$250,VLOOKUP!$D$4:$D$250,"0"))</f>
        <v>Incomplete</v>
      </c>
    </row>
    <row r="405" spans="1:101">
      <c r="A405" s="17" t="s">
        <v>953</v>
      </c>
      <c r="B405" s="17" t="s">
        <v>220</v>
      </c>
      <c r="C405" s="17" t="s">
        <v>86</v>
      </c>
      <c r="D405" s="26">
        <v>40690</v>
      </c>
      <c r="F405" s="17">
        <v>8</v>
      </c>
      <c r="G405" s="17">
        <v>2025</v>
      </c>
      <c r="S405" s="20"/>
      <c r="T405" s="20">
        <v>158</v>
      </c>
      <c r="U405" s="20">
        <v>53.5</v>
      </c>
      <c r="V405" s="20"/>
      <c r="W405" s="20">
        <v>13.9</v>
      </c>
      <c r="X405" s="20">
        <f>SUM(T405-W405)</f>
        <v>144.1</v>
      </c>
      <c r="Y405" s="20">
        <v>21.6</v>
      </c>
      <c r="Z405" s="20">
        <v>21.4</v>
      </c>
      <c r="AA405" s="20">
        <v>26</v>
      </c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41" t="str">
        <f t="shared" si="115"/>
        <v>Incomplete</v>
      </c>
      <c r="AZ405" s="20"/>
      <c r="BA405" s="20" t="str">
        <f t="shared" si="116"/>
        <v>Incomplete</v>
      </c>
      <c r="BB405" s="20"/>
      <c r="BC405" s="20" t="str">
        <f t="shared" si="117"/>
        <v>Incomplete</v>
      </c>
      <c r="BD405" s="20"/>
      <c r="BE405" s="20" t="str">
        <f t="shared" si="118"/>
        <v>Incomplete</v>
      </c>
      <c r="BF405" s="20"/>
      <c r="BG405" s="20">
        <v>16.8</v>
      </c>
      <c r="BH405" s="20">
        <v>45.9</v>
      </c>
      <c r="BI405" s="20" t="e">
        <f>IF(OR(ISBLANK(#REF!), ISBLANK(#REF!)),"Incomplete",(SUM(#REF!-#REF!)))</f>
        <v>#REF!</v>
      </c>
      <c r="BJ405" s="20"/>
      <c r="BK405" s="20">
        <v>10</v>
      </c>
      <c r="BL405" s="20"/>
      <c r="BM405" s="20">
        <v>9</v>
      </c>
      <c r="BN405" s="20"/>
      <c r="BO405" s="20"/>
      <c r="BP405" s="20"/>
      <c r="BQ405" s="20"/>
      <c r="BR405" s="20"/>
      <c r="BS405" s="20"/>
      <c r="BT405" s="20"/>
      <c r="BU405" s="20"/>
      <c r="BV405" s="20"/>
      <c r="BW405" s="91">
        <f t="shared" si="119"/>
        <v>0</v>
      </c>
      <c r="BX405" s="91" t="str">
        <f>_xlfn.XLOOKUP(BW405,'Normative data'!$V$3:$V$6,'Normative data'!$W$3:$W$6,"Not Found",-1)</f>
        <v>Not completed</v>
      </c>
      <c r="BY405" s="91">
        <f t="shared" si="120"/>
        <v>0</v>
      </c>
      <c r="BZ405" s="91" t="str">
        <f>_xlfn.XLOOKUP(BY405,'Normative data'!$V$3:$V$6,'Normative data'!$W$3:$W$6,"Not Found",-1)</f>
        <v>Not completed</v>
      </c>
      <c r="CA405" s="20"/>
      <c r="CC405" s="20"/>
      <c r="CE405" s="20">
        <v>17</v>
      </c>
      <c r="CG405" s="20"/>
      <c r="CH405" s="20" t="str">
        <f>_xlfn.XLOOKUP(CG405, 'Normative data'!$S$9:$S$15,'Normative data'!$T$9:$T$15, "Not Found", -1)</f>
        <v>not completed</v>
      </c>
      <c r="CI405" s="20"/>
      <c r="CJ405" s="20" t="str">
        <f>_xlfn.XLOOKUP(CI405, 'Normative data'!$S$9:$S$15, 'Normative data'!$T$9:$T$15, "Not Found", -1)</f>
        <v>not completed</v>
      </c>
      <c r="CK405" s="25">
        <v>2.23</v>
      </c>
      <c r="CL405" s="25">
        <v>4.4800000000000004</v>
      </c>
      <c r="CM405" s="21"/>
      <c r="CN405" s="25">
        <v>6.83</v>
      </c>
      <c r="CO405" s="25">
        <v>7.32</v>
      </c>
      <c r="CP405" s="25"/>
      <c r="CQ405" s="20"/>
      <c r="CR405" s="20" t="str" cm="1">
        <f t="array" ref="CR405">IF(OR(ISBLANK(E405),ISBLANK(CQ405)),"Incomplete",_xlfn.XLOOKUP(CQ405,_xlfn.XLOOKUP(E405,'Normative data'!$Y$3:$Y$6,'Normative data'!$Z$3:$AG$6,,-1),'Normative data'!$Z$2:$AG$2,"Not Found",-1))</f>
        <v>Incomplete</v>
      </c>
      <c r="CS405" s="20"/>
      <c r="CT405" s="20"/>
      <c r="CU405" s="20" t="str" cm="1">
        <f t="array" ref="CU405">_xlfn.XLOOKUP(CS405&amp;CT405,(VLOOKUP!$A$3:$A$250)&amp;(VLOOKUP!$B$3:$B$250),VLOOKUP!$C$3:$C$250,"Incomplete",-1)</f>
        <v>Incomplete</v>
      </c>
      <c r="CV405" s="20" t="str" cm="1">
        <f t="array" ref="CV405">_xlfn.XLOOKUP(CU405, _xlfn.XLOOKUP(E405, 'Normative data'!$Y$11:$Y$14, 'Normative data'!$Z$11:$AG$14, ,-1), 'Normative data'!$Z$10:$AG$10, "Not Found", -1)</f>
        <v>Excellent</v>
      </c>
      <c r="CW405" s="20" t="str" cm="1">
        <f t="array" ref="CW405">IF(OR(ISBLANK(CS405),ISBLANK(CT405)),"Incomplete",_xlfn.XLOOKUP(CS405&amp;CT405,VLOOKUP!$A$4:$A$250&amp;VLOOKUP!$B$4:$B$250,VLOOKUP!$D$4:$D$250,"0"))</f>
        <v>Incomplete</v>
      </c>
    </row>
    <row r="406" spans="1:101">
      <c r="A406" s="17" t="s">
        <v>954</v>
      </c>
      <c r="B406" s="17" t="s">
        <v>220</v>
      </c>
      <c r="C406" s="17" t="s">
        <v>86</v>
      </c>
      <c r="D406" s="26">
        <v>40690</v>
      </c>
      <c r="G406" s="17">
        <v>2025</v>
      </c>
      <c r="S406" s="20"/>
      <c r="T406" s="20" t="s">
        <v>955</v>
      </c>
      <c r="U406" s="20" t="s">
        <v>853</v>
      </c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41" t="str">
        <f t="shared" si="115"/>
        <v>Incomplete</v>
      </c>
      <c r="AZ406" s="20"/>
      <c r="BA406" s="20" t="str">
        <f t="shared" si="116"/>
        <v>Incomplete</v>
      </c>
      <c r="BB406" s="20"/>
      <c r="BC406" s="20" t="str">
        <f t="shared" si="117"/>
        <v>Incomplete</v>
      </c>
      <c r="BD406" s="20"/>
      <c r="BE406" s="20" t="str">
        <f t="shared" si="118"/>
        <v>Incomplete</v>
      </c>
      <c r="BF406" s="20"/>
      <c r="BG406" s="20"/>
      <c r="BH406" s="20"/>
      <c r="BI406" s="20" t="str">
        <f>IF(OR(ISBLANK(BG406), ISBLANK(BH406)),"Incomplete",(SUM(BH406-BG406)))</f>
        <v>Incomplete</v>
      </c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91" t="str">
        <f t="shared" si="119"/>
        <v>Incomplete</v>
      </c>
      <c r="BX406" s="91" t="str">
        <f>_xlfn.XLOOKUP(BW406,'Normative data'!$V$3:$V$6,'Normative data'!$W$3:$W$6,"Not Found",-1)</f>
        <v>Very low risk</v>
      </c>
      <c r="BY406" s="91" t="str">
        <f t="shared" si="120"/>
        <v>Incomplete</v>
      </c>
      <c r="BZ406" s="91" t="str">
        <f>_xlfn.XLOOKUP(BY406,'Normative data'!$V$3:$V$6,'Normative data'!$W$3:$W$6,"Not Found",-1)</f>
        <v>Very low risk</v>
      </c>
      <c r="CA406" s="20"/>
      <c r="CC406" s="20"/>
      <c r="CE406" s="20"/>
      <c r="CG406" s="20"/>
      <c r="CH406" s="20" t="str">
        <f>_xlfn.XLOOKUP(CG406, 'Normative data'!$S$9:$S$15,'Normative data'!$T$9:$T$15, "Not Found", -1)</f>
        <v>not completed</v>
      </c>
      <c r="CI406" s="20"/>
      <c r="CJ406" s="20" t="str">
        <f>_xlfn.XLOOKUP(CI406, 'Normative data'!$S$9:$S$15, 'Normative data'!$T$9:$T$15, "Not Found", -1)</f>
        <v>not completed</v>
      </c>
      <c r="CK406" s="21"/>
      <c r="CL406" s="21"/>
      <c r="CM406" s="21"/>
      <c r="CN406" s="21"/>
      <c r="CO406" s="21"/>
      <c r="CQ406" s="20"/>
      <c r="CR406" s="20" t="str" cm="1">
        <f t="array" ref="CR406">IF(OR(ISBLANK(E406),ISBLANK(CQ406)),"Incomplete",_xlfn.XLOOKUP(CQ406,_xlfn.XLOOKUP(E406,'Normative data'!$Y$3:$Y$6,'Normative data'!$Z$3:$AG$6,,-1),'Normative data'!$Z$2:$AG$2,"Not Found",-1))</f>
        <v>Incomplete</v>
      </c>
      <c r="CS406" s="20"/>
      <c r="CT406" s="20"/>
      <c r="CU406" s="20" t="str" cm="1">
        <f t="array" ref="CU406">_xlfn.XLOOKUP(CS406&amp;CT406,(VLOOKUP!$A$3:$A$250)&amp;(VLOOKUP!$B$3:$B$250),VLOOKUP!$C$3:$C$250,"Incomplete",-1)</f>
        <v>Incomplete</v>
      </c>
      <c r="CV406" s="20" t="str" cm="1">
        <f t="array" ref="CV406">_xlfn.XLOOKUP(CU406, _xlfn.XLOOKUP(E406, 'Normative data'!$Y$11:$Y$14, 'Normative data'!$Z$11:$AG$14, ,-1), 'Normative data'!$Z$10:$AG$10, "Not Found", -1)</f>
        <v>Excellent</v>
      </c>
      <c r="CW406" s="20" t="str" cm="1">
        <f t="array" ref="CW406">IF(OR(ISBLANK(CS406),ISBLANK(CT406)),"Incomplete",_xlfn.XLOOKUP(CS406&amp;CT406,VLOOKUP!$A$4:$A$250&amp;VLOOKUP!$B$4:$B$250,VLOOKUP!$D$4:$D$250,"0"))</f>
        <v>Incomplete</v>
      </c>
    </row>
    <row r="407" spans="1:101">
      <c r="A407" s="18" t="s">
        <v>190</v>
      </c>
      <c r="B407" s="18" t="s">
        <v>189</v>
      </c>
      <c r="C407" s="17" t="s">
        <v>86</v>
      </c>
      <c r="D407" s="19">
        <v>40731</v>
      </c>
      <c r="F407" s="17">
        <v>8</v>
      </c>
      <c r="G407" s="17">
        <v>2025</v>
      </c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41" t="str">
        <f t="shared" si="115"/>
        <v>Incomplete</v>
      </c>
      <c r="AZ407" s="20"/>
      <c r="BA407" s="20" t="str">
        <f t="shared" si="116"/>
        <v>Incomplete</v>
      </c>
      <c r="BB407" s="20"/>
      <c r="BC407" s="20" t="str">
        <f t="shared" si="117"/>
        <v>Incomplete</v>
      </c>
      <c r="BD407" s="20"/>
      <c r="BE407" s="20" t="str">
        <f t="shared" si="118"/>
        <v>Incomplete</v>
      </c>
      <c r="BF407" s="20"/>
      <c r="BG407" s="20">
        <v>9</v>
      </c>
      <c r="BH407" s="20">
        <v>32</v>
      </c>
      <c r="BI407" s="20">
        <f>IF(OR(ISBLANK(BG407), ISBLANK(BH407)),"Incomplete",(SUM(BH407-BG407)))</f>
        <v>23</v>
      </c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91" t="str">
        <f t="shared" si="119"/>
        <v>Incomplete</v>
      </c>
      <c r="BX407" s="91" t="str">
        <f>_xlfn.XLOOKUP(BW407,'Normative data'!$V$3:$V$6,'Normative data'!$W$3:$W$6,"Not Found",-1)</f>
        <v>Very low risk</v>
      </c>
      <c r="BY407" s="91" t="str">
        <f t="shared" si="120"/>
        <v>Incomplete</v>
      </c>
      <c r="BZ407" s="91" t="str">
        <f>_xlfn.XLOOKUP(BY407,'Normative data'!$V$3:$V$6,'Normative data'!$W$3:$W$6,"Not Found",-1)</f>
        <v>Very low risk</v>
      </c>
      <c r="CA407" s="20"/>
      <c r="CC407" s="20"/>
      <c r="CE407" s="20">
        <v>1</v>
      </c>
      <c r="CG407" s="20"/>
      <c r="CH407" s="20" t="str">
        <f>_xlfn.XLOOKUP(CG407, 'Normative data'!$S$9:$S$15,'Normative data'!$T$9:$T$15, "Not Found", -1)</f>
        <v>not completed</v>
      </c>
      <c r="CI407" s="20"/>
      <c r="CJ407" s="20" t="str">
        <f>_xlfn.XLOOKUP(CI407, 'Normative data'!$S$9:$S$15, 'Normative data'!$T$9:$T$15, "Not Found", -1)</f>
        <v>not completed</v>
      </c>
      <c r="CK407" s="21">
        <v>2.2999999999999998</v>
      </c>
      <c r="CL407" s="21">
        <v>4.3499999999999996</v>
      </c>
      <c r="CM407" s="21"/>
      <c r="CN407" s="21">
        <v>7.28</v>
      </c>
      <c r="CO407" s="21">
        <v>6.87</v>
      </c>
      <c r="CP407" s="21"/>
      <c r="CQ407" s="20"/>
      <c r="CR407" s="20" t="str" cm="1">
        <f t="array" ref="CR407">IF(OR(ISBLANK(E407),ISBLANK(CQ407)),"Incomplete",_xlfn.XLOOKUP(CQ407,_xlfn.XLOOKUP(E407,'Normative data'!$Y$3:$Y$6,'Normative data'!$Z$3:$AG$6,,-1),'Normative data'!$Z$2:$AG$2,"Not Found",-1))</f>
        <v>Incomplete</v>
      </c>
      <c r="CS407" s="20"/>
      <c r="CT407" s="20"/>
      <c r="CU407" s="20" t="str" cm="1">
        <f t="array" ref="CU407">_xlfn.XLOOKUP(CS407&amp;CT407,(VLOOKUP!$A$3:$A$250)&amp;(VLOOKUP!$B$3:$B$250),VLOOKUP!$C$3:$C$250,"Incomplete",-1)</f>
        <v>Incomplete</v>
      </c>
      <c r="CV407" s="20" t="str" cm="1">
        <f t="array" ref="CV407">_xlfn.XLOOKUP(CU407, _xlfn.XLOOKUP(E407, 'Normative data'!$Y$11:$Y$14, 'Normative data'!$Z$11:$AG$14, ,-1), 'Normative data'!$Z$10:$AG$10, "Not Found", -1)</f>
        <v>Excellent</v>
      </c>
      <c r="CW407" s="20" t="str" cm="1">
        <f t="array" ref="CW407">IF(OR(ISBLANK(CS407),ISBLANK(CT407)),"Incomplete",_xlfn.XLOOKUP(CS407&amp;CT407,VLOOKUP!$A$4:$A$250&amp;VLOOKUP!$B$4:$B$250,VLOOKUP!$D$4:$D$250,"0"))</f>
        <v>Incomplete</v>
      </c>
    </row>
    <row r="408" spans="1:101">
      <c r="A408" s="18" t="s">
        <v>956</v>
      </c>
      <c r="B408" s="18" t="s">
        <v>807</v>
      </c>
      <c r="C408" s="17" t="s">
        <v>86</v>
      </c>
      <c r="D408" s="19">
        <v>39399</v>
      </c>
      <c r="F408" s="17">
        <v>11</v>
      </c>
      <c r="G408" s="17">
        <v>2025</v>
      </c>
      <c r="J408" s="17" t="s">
        <v>122</v>
      </c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41" t="str">
        <f t="shared" si="115"/>
        <v>Incomplete</v>
      </c>
      <c r="AZ408" s="20"/>
      <c r="BA408" s="20" t="str">
        <f t="shared" si="116"/>
        <v>Incomplete</v>
      </c>
      <c r="BB408" s="20"/>
      <c r="BC408" s="20" t="str">
        <f t="shared" si="117"/>
        <v>Incomplete</v>
      </c>
      <c r="BD408" s="20"/>
      <c r="BE408" s="20" t="str">
        <f t="shared" si="118"/>
        <v>Incomplete</v>
      </c>
      <c r="BF408" s="20"/>
      <c r="BG408" s="20">
        <v>21</v>
      </c>
      <c r="BH408" s="20">
        <v>38</v>
      </c>
      <c r="BI408" s="20" t="e">
        <f>IF(OR(ISBLANK(#REF!), ISBLANK(#REF!)),"Incomplete",(SUM(#REF!-#REF!)))</f>
        <v>#REF!</v>
      </c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91" t="str">
        <f t="shared" si="119"/>
        <v>Incomplete</v>
      </c>
      <c r="BX408" s="91" t="str">
        <f>_xlfn.XLOOKUP(BW408,'Normative data'!$V$3:$V$6,'Normative data'!$W$3:$W$6,"Not Found",-1)</f>
        <v>Very low risk</v>
      </c>
      <c r="BY408" s="91" t="str">
        <f t="shared" si="120"/>
        <v>Incomplete</v>
      </c>
      <c r="BZ408" s="91" t="str">
        <f>_xlfn.XLOOKUP(BY408,'Normative data'!$V$3:$V$6,'Normative data'!$W$3:$W$6,"Not Found",-1)</f>
        <v>Very low risk</v>
      </c>
      <c r="CA408" s="20"/>
      <c r="CC408" s="20"/>
      <c r="CE408" s="20"/>
      <c r="CG408" s="20">
        <v>16.38</v>
      </c>
      <c r="CH408" s="20" t="str">
        <f>_xlfn.XLOOKUP(CG408, 'Normative data'!$S$9:$S$15,'Normative data'!$T$9:$T$15, "Not Found", -1)</f>
        <v>Excellent</v>
      </c>
      <c r="CI408" s="20">
        <v>16.670000000000002</v>
      </c>
      <c r="CJ408" s="20" t="str">
        <f>_xlfn.XLOOKUP(CI408, 'Normative data'!$S$9:$S$15, 'Normative data'!$T$9:$T$15, "Not Found", -1)</f>
        <v>Excellent</v>
      </c>
      <c r="CK408" s="21">
        <v>2.87</v>
      </c>
      <c r="CL408" s="21">
        <v>3.48</v>
      </c>
      <c r="CM408" s="21"/>
      <c r="CN408" s="21">
        <v>6.88</v>
      </c>
      <c r="CO408" s="21">
        <v>7.27</v>
      </c>
      <c r="CQ408" s="20"/>
      <c r="CR408" s="20" t="str" cm="1">
        <f t="array" ref="CR408">IF(OR(ISBLANK(E408),ISBLANK(CQ408)),"Incomplete",_xlfn.XLOOKUP(CQ408,_xlfn.XLOOKUP(E408,'Normative data'!$Y$3:$Y$6,'Normative data'!$Z$3:$AG$6,,-1),'Normative data'!$Z$2:$AG$2,"Not Found",-1))</f>
        <v>Incomplete</v>
      </c>
      <c r="CS408" s="20"/>
      <c r="CT408" s="20"/>
      <c r="CU408" s="20" t="str" cm="1">
        <f t="array" ref="CU408">_xlfn.XLOOKUP(CS408&amp;CT408,(VLOOKUP!$A$3:$A$250)&amp;(VLOOKUP!$B$3:$B$250),VLOOKUP!$C$3:$C$250,"Incomplete",-1)</f>
        <v>Incomplete</v>
      </c>
      <c r="CV408" s="20" t="str" cm="1">
        <f t="array" ref="CV408">_xlfn.XLOOKUP(CU408, _xlfn.XLOOKUP(E408, 'Normative data'!$Y$11:$Y$14, 'Normative data'!$Z$11:$AG$14, ,-1), 'Normative data'!$Z$10:$AG$10, "Not Found", -1)</f>
        <v>Excellent</v>
      </c>
      <c r="CW408" s="20" t="str" cm="1">
        <f t="array" ref="CW408">IF(OR(ISBLANK(CS408),ISBLANK(CT408)),"Incomplete",_xlfn.XLOOKUP(CS408&amp;CT408,VLOOKUP!$A$4:$A$250&amp;VLOOKUP!$B$4:$B$250,VLOOKUP!$D$4:$D$250,"0"))</f>
        <v>Incomplete</v>
      </c>
    </row>
    <row r="409" spans="1:101">
      <c r="A409" s="17" t="s">
        <v>956</v>
      </c>
      <c r="B409" s="17" t="s">
        <v>807</v>
      </c>
      <c r="C409" s="17" t="s">
        <v>86</v>
      </c>
      <c r="D409" s="19">
        <v>39399</v>
      </c>
      <c r="G409" s="17">
        <v>2025</v>
      </c>
      <c r="S409" s="20"/>
      <c r="T409" s="20" t="s">
        <v>955</v>
      </c>
      <c r="U409" s="20" t="s">
        <v>957</v>
      </c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41" t="str">
        <f>IF(OR(ISBLANK(#REF!), ISBLANK(AQ409)), "Incomplete", (60.7*AQ409)+(45.3*#REF!)-2055)</f>
        <v>Incomplete</v>
      </c>
      <c r="AZ409" s="20"/>
      <c r="BA409" s="20" t="str">
        <f>IF(OR(ISBLANK(#REF!), ISBLANK(AS409)), "Incomplete", (60.7*AS409)+(45.3*#REF!)-2055)</f>
        <v>Incomplete</v>
      </c>
      <c r="BB409" s="20"/>
      <c r="BC409" s="20" t="str">
        <f>IF(OR(ISBLANK(#REF!), ISBLANK(AU409)), "Incomplete", (60.7*AU409)+(45.3*#REF!)-2055)</f>
        <v>Incomplete</v>
      </c>
      <c r="BD409" s="20"/>
      <c r="BE409" s="20" t="str">
        <f>IF(OR(ISBLANK(#REF!), ISBLANK(AW409)), "Incomplete", (60.7*AW409)+(45.3*#REF!)-2055)</f>
        <v>Incomplete</v>
      </c>
      <c r="BF409" s="20"/>
      <c r="BG409" s="20"/>
      <c r="BH409" s="20"/>
      <c r="BI409" s="20" t="str">
        <f t="shared" ref="BI409:BI419" si="122">IF(OR(ISBLANK(BG409), ISBLANK(BH409)),"Incomplete",(SUM(BH409-BG409)))</f>
        <v>Incomplete</v>
      </c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91" t="str">
        <f>IFERROR(SUM(BQ409+BR409+BS409)/(3*(#REF!-S409))*100, "Incomplete")</f>
        <v>Incomplete</v>
      </c>
      <c r="BX409" s="91" t="str">
        <f>_xlfn.XLOOKUP(BW409,'Normative data'!$V$3:$V$6,'Normative data'!$W$3:$W$6,"Not Found",-1)</f>
        <v>Very low risk</v>
      </c>
      <c r="BY409" s="91" t="str">
        <f>IFERROR(SUM(BT409+BU409+BV409)/(3*(#REF!-S409))*100, "Incomplete")</f>
        <v>Incomplete</v>
      </c>
      <c r="BZ409" s="91" t="str">
        <f>_xlfn.XLOOKUP(BY409,'Normative data'!$V$3:$V$6,'Normative data'!$W$3:$W$6,"Not Found",-1)</f>
        <v>Very low risk</v>
      </c>
      <c r="CA409" s="20"/>
      <c r="CC409" s="20"/>
      <c r="CE409" s="20"/>
      <c r="CG409" s="20">
        <v>15.79</v>
      </c>
      <c r="CH409" s="20" t="str">
        <f>_xlfn.XLOOKUP(CG409, 'Normative data'!$S$9:$S$15,'Normative data'!$T$9:$T$15, "Not Found", -1)</f>
        <v>Excellent</v>
      </c>
      <c r="CI409" s="20">
        <v>15.89</v>
      </c>
      <c r="CJ409" s="20" t="str">
        <f>_xlfn.XLOOKUP(CI409, 'Normative data'!$S$9:$S$15, 'Normative data'!$T$9:$T$15, "Not Found", -1)</f>
        <v>Excellent</v>
      </c>
      <c r="CK409" s="20" t="s">
        <v>328</v>
      </c>
      <c r="CL409" s="20" t="s">
        <v>784</v>
      </c>
      <c r="CM409" s="21"/>
      <c r="CN409" s="20" t="s">
        <v>834</v>
      </c>
      <c r="CO409" s="20" t="s">
        <v>833</v>
      </c>
      <c r="CQ409" s="20"/>
      <c r="CR409" s="20" t="str" cm="1">
        <f t="array" ref="CR409">IF(OR(ISBLANK(E409),ISBLANK(CQ409)),"Incomplete",_xlfn.XLOOKUP(CQ409,_xlfn.XLOOKUP(E409,'Normative data'!$Y$3:$Y$6,'Normative data'!$Z$3:$AG$6,,-1),'Normative data'!$Z$2:$AG$2,"Not Found",-1))</f>
        <v>Incomplete</v>
      </c>
      <c r="CS409" s="20"/>
      <c r="CT409" s="20"/>
      <c r="CU409" s="20" t="str" cm="1">
        <f t="array" ref="CU409">_xlfn.XLOOKUP(CS409&amp;CT409,(VLOOKUP!$A$3:$A$250)&amp;(VLOOKUP!$B$3:$B$250),VLOOKUP!$C$3:$C$250,"Incomplete",-1)</f>
        <v>Incomplete</v>
      </c>
      <c r="CV409" s="20" t="str" cm="1">
        <f t="array" ref="CV409">_xlfn.XLOOKUP(CU409, _xlfn.XLOOKUP(E409, 'Normative data'!$Y$11:$Y$14, 'Normative data'!$Z$11:$AG$14, ,-1), 'Normative data'!$Z$10:$AG$10, "Not Found", -1)</f>
        <v>Excellent</v>
      </c>
      <c r="CW409" s="20" t="str" cm="1">
        <f t="array" ref="CW409">IF(OR(ISBLANK(CS409),ISBLANK(CT409)),"Incomplete",_xlfn.XLOOKUP(CS409&amp;CT409,VLOOKUP!$A$4:$A$250&amp;VLOOKUP!$B$4:$B$250,VLOOKUP!$D$4:$D$250,"0"))</f>
        <v>Incomplete</v>
      </c>
    </row>
    <row r="410" spans="1:101">
      <c r="A410" s="17" t="s">
        <v>958</v>
      </c>
      <c r="B410" s="17" t="s">
        <v>807</v>
      </c>
      <c r="C410" s="17" t="s">
        <v>86</v>
      </c>
      <c r="D410" s="19">
        <v>39399</v>
      </c>
      <c r="G410" s="17">
        <v>2026</v>
      </c>
      <c r="H410" s="20" t="s">
        <v>114</v>
      </c>
      <c r="I410" s="17">
        <v>1</v>
      </c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30">
        <v>28.8</v>
      </c>
      <c r="AR410" s="30">
        <v>0.48499999999999999</v>
      </c>
      <c r="AS410" s="30">
        <v>35.200000000000003</v>
      </c>
      <c r="AT410" s="30">
        <v>0.53600000000000003</v>
      </c>
      <c r="AU410" s="30">
        <v>21.4</v>
      </c>
      <c r="AV410" s="30">
        <v>0.41799999999999998</v>
      </c>
      <c r="AW410" s="30">
        <v>21.9</v>
      </c>
      <c r="AX410" s="30">
        <v>0.42299999999999999</v>
      </c>
      <c r="AY410" s="41" t="str">
        <f t="shared" ref="AY410:AY424" si="123">IF(OR(ISBLANK(U410), ISBLANK(AQ410)), "Incomplete", (60.7*AQ410)+(45.3*U410)-2055)</f>
        <v>Incomplete</v>
      </c>
      <c r="AZ410" s="20"/>
      <c r="BA410" s="20" t="str">
        <f t="shared" ref="BA410:BA424" si="124">IF(OR(ISBLANK(U410), ISBLANK(AS410)), "Incomplete", (60.7*AS410)+(45.3*U410)-2055)</f>
        <v>Incomplete</v>
      </c>
      <c r="BB410" s="20"/>
      <c r="BC410" s="20" t="str">
        <f t="shared" ref="BC410:BC424" si="125">IF(OR(ISBLANK(U410), ISBLANK(AU410)), "Incomplete", (60.7*AU410)+(45.3*U410)-2055)</f>
        <v>Incomplete</v>
      </c>
      <c r="BD410" s="20"/>
      <c r="BE410" s="20" t="str">
        <f t="shared" ref="BE410:BE424" si="126">IF(OR(ISBLANK(U410), ISBLANK(AW410)), "Incomplete", (60.7*AW410)+(45.3*U410)-2055)</f>
        <v>Incomplete</v>
      </c>
      <c r="BF410" s="20"/>
      <c r="BG410" s="30">
        <v>20</v>
      </c>
      <c r="BH410" s="30">
        <v>50</v>
      </c>
      <c r="BI410" s="20">
        <f t="shared" si="122"/>
        <v>30</v>
      </c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91" t="str">
        <f t="shared" ref="BW410:BW424" si="127">IFERROR(SUM(BQ410+BR410+BS410)/(3*(T410-S410))*100, "Incomplete")</f>
        <v>Incomplete</v>
      </c>
      <c r="BX410" s="91" t="str">
        <f>_xlfn.XLOOKUP(BW410,'Normative data'!$V$3:$V$6,'Normative data'!$W$3:$W$6,"Not Found",-1)</f>
        <v>Very low risk</v>
      </c>
      <c r="BY410" s="91" t="str">
        <f t="shared" ref="BY410:BY424" si="128">IFERROR(SUM(BT410+BU410+BV410)/(3*(T410-S410))*100, "Incomplete")</f>
        <v>Incomplete</v>
      </c>
      <c r="BZ410" s="91" t="str">
        <f>_xlfn.XLOOKUP(BY410,'Normative data'!$V$3:$V$6,'Normative data'!$W$3:$W$6,"Not Found",-1)</f>
        <v>Very low risk</v>
      </c>
      <c r="CA410" s="20"/>
      <c r="CC410" s="30">
        <v>45</v>
      </c>
      <c r="CD410" s="30"/>
      <c r="CE410" s="30">
        <v>17</v>
      </c>
      <c r="CF410" s="30"/>
      <c r="CG410" s="30">
        <v>15.79</v>
      </c>
      <c r="CH410" s="20" t="str">
        <f>_xlfn.XLOOKUP(CG410, 'Normative data'!$S$9:$S$15,'Normative data'!$T$9:$T$15, "Not Found", -1)</f>
        <v>Excellent</v>
      </c>
      <c r="CI410" s="30">
        <v>15.89</v>
      </c>
      <c r="CJ410" s="20" t="str">
        <f>_xlfn.XLOOKUP(CI410, 'Normative data'!$S$9:$S$15, 'Normative data'!$T$9:$T$15, "Not Found", -1)</f>
        <v>Excellent</v>
      </c>
      <c r="CK410" s="30" t="s">
        <v>959</v>
      </c>
      <c r="CL410" s="30" t="s">
        <v>960</v>
      </c>
      <c r="CM410" s="30"/>
      <c r="CN410" s="30" t="s">
        <v>961</v>
      </c>
      <c r="CO410" s="30" t="s">
        <v>962</v>
      </c>
      <c r="CP410" s="30"/>
      <c r="CQ410" s="20"/>
      <c r="CR410" s="20" t="str" cm="1">
        <f t="array" ref="CR410">IF(OR(ISBLANK(E410),ISBLANK(CQ410)),"Incomplete",_xlfn.XLOOKUP(CQ410,_xlfn.XLOOKUP(E410,'Normative data'!$Y$3:$Y$6,'Normative data'!$Z$3:$AG$6,,-1),'Normative data'!$Z$2:$AG$2,"Not Found",-1))</f>
        <v>Incomplete</v>
      </c>
      <c r="CS410" s="20"/>
      <c r="CT410" s="20"/>
      <c r="CU410" s="20" t="str" cm="1">
        <f t="array" ref="CU410">_xlfn.XLOOKUP(CS410&amp;CT410,(VLOOKUP!$A$3:$A$250)&amp;(VLOOKUP!$B$3:$B$250),VLOOKUP!$C$3:$C$250,"Incomplete",-1)</f>
        <v>Incomplete</v>
      </c>
      <c r="CV410" s="20" t="str" cm="1">
        <f t="array" ref="CV410">_xlfn.XLOOKUP(CU410, _xlfn.XLOOKUP(E410, 'Normative data'!$Y$11:$Y$14, 'Normative data'!$Z$11:$AG$14, ,-1), 'Normative data'!$Z$10:$AG$10, "Not Found", -1)</f>
        <v>Excellent</v>
      </c>
      <c r="CW410" s="20" t="str" cm="1">
        <f t="array" ref="CW410">IF(OR(ISBLANK(CS410),ISBLANK(CT410)),"Incomplete",_xlfn.XLOOKUP(CS410&amp;CT410,VLOOKUP!$A$4:$A$250&amp;VLOOKUP!$B$4:$B$250,VLOOKUP!$D$4:$D$250,"0"))</f>
        <v>Incomplete</v>
      </c>
    </row>
    <row r="411" spans="1:101">
      <c r="A411" s="17" t="s">
        <v>733</v>
      </c>
      <c r="B411" s="17" t="s">
        <v>963</v>
      </c>
      <c r="C411" s="17" t="s">
        <v>86</v>
      </c>
      <c r="D411" s="26">
        <v>39527</v>
      </c>
      <c r="E411" s="17">
        <v>14.3</v>
      </c>
      <c r="F411" s="20" t="s">
        <v>97</v>
      </c>
      <c r="G411" s="17">
        <v>2026</v>
      </c>
      <c r="I411" s="20">
        <v>2</v>
      </c>
      <c r="J411" s="20"/>
      <c r="K411" s="20"/>
      <c r="L411" s="20"/>
      <c r="S411" s="20">
        <v>81.2</v>
      </c>
      <c r="T411" s="20">
        <v>162.19999999999999</v>
      </c>
      <c r="U411" s="17">
        <v>56.4</v>
      </c>
      <c r="V411" s="17">
        <v>31.9</v>
      </c>
      <c r="W411" s="17">
        <v>12.7</v>
      </c>
      <c r="X411" s="17">
        <v>43.7</v>
      </c>
      <c r="Y411" s="17">
        <v>24</v>
      </c>
      <c r="Z411" s="17">
        <v>21.4</v>
      </c>
      <c r="AA411" s="17">
        <v>22.6</v>
      </c>
      <c r="AB411" s="17">
        <v>6.66</v>
      </c>
      <c r="AC411" s="17">
        <v>104.7</v>
      </c>
      <c r="AD411" s="17">
        <v>6.57</v>
      </c>
      <c r="AE411" s="17">
        <v>103.3</v>
      </c>
      <c r="AF411" s="17">
        <v>2.1</v>
      </c>
      <c r="AG411" s="17">
        <v>91.6</v>
      </c>
      <c r="AH411" s="17">
        <v>2.1</v>
      </c>
      <c r="AI411" s="17">
        <v>91</v>
      </c>
      <c r="AJ411" s="17">
        <v>284.8</v>
      </c>
      <c r="AK411" s="17">
        <v>291.8</v>
      </c>
      <c r="AL411" s="17">
        <v>252</v>
      </c>
      <c r="AM411" s="17">
        <v>258</v>
      </c>
      <c r="AN411" s="17">
        <v>106</v>
      </c>
      <c r="AQ411" s="20"/>
      <c r="AR411" s="20"/>
      <c r="AS411" s="20"/>
      <c r="AT411" s="20"/>
      <c r="AU411" s="20"/>
      <c r="AV411" s="20"/>
      <c r="AW411" s="20"/>
      <c r="AX411" s="20"/>
      <c r="AY411" s="41" t="str">
        <f t="shared" si="123"/>
        <v>Incomplete</v>
      </c>
      <c r="BA411" s="20" t="str">
        <f t="shared" si="124"/>
        <v>Incomplete</v>
      </c>
      <c r="BC411" s="20" t="str">
        <f t="shared" si="125"/>
        <v>Incomplete</v>
      </c>
      <c r="BE411" s="20" t="str">
        <f t="shared" si="126"/>
        <v>Incomplete</v>
      </c>
      <c r="BG411" s="17">
        <v>11</v>
      </c>
      <c r="BH411" s="17">
        <v>33.5</v>
      </c>
      <c r="BI411" s="20">
        <f t="shared" si="122"/>
        <v>22.5</v>
      </c>
      <c r="BJ411" s="20"/>
      <c r="BK411" s="17">
        <v>11</v>
      </c>
      <c r="BL411" s="20"/>
      <c r="BM411" s="17">
        <v>11.5</v>
      </c>
      <c r="BN411" s="20"/>
      <c r="BO411" s="17">
        <v>49</v>
      </c>
      <c r="BP411" s="17">
        <v>50</v>
      </c>
      <c r="BQ411" s="17">
        <v>81</v>
      </c>
      <c r="BR411" s="17">
        <v>82</v>
      </c>
      <c r="BS411" s="17">
        <v>62</v>
      </c>
      <c r="BT411" s="17">
        <v>81</v>
      </c>
      <c r="BU411" s="17">
        <v>64</v>
      </c>
      <c r="BV411" s="17">
        <v>61</v>
      </c>
      <c r="BW411" s="91">
        <f t="shared" si="127"/>
        <v>92.592592592592609</v>
      </c>
      <c r="BX411" s="91" t="str">
        <f>_xlfn.XLOOKUP(BW411,'Normative data'!$V$3:$V$6,'Normative data'!$W$3:$W$6,"Not Found",-1)</f>
        <v>High risk</v>
      </c>
      <c r="BY411" s="91">
        <f t="shared" si="128"/>
        <v>84.773662551440353</v>
      </c>
      <c r="BZ411" s="91" t="str">
        <f>_xlfn.XLOOKUP(BY411,'Normative data'!$V$3:$V$6,'Normative data'!$W$3:$W$6,"Not Found",-1)</f>
        <v>High risk</v>
      </c>
      <c r="CA411" s="17">
        <v>34</v>
      </c>
      <c r="CC411" s="20"/>
      <c r="CE411" s="17">
        <v>30</v>
      </c>
      <c r="CG411" s="17">
        <v>18.2</v>
      </c>
      <c r="CH411" s="20" t="str">
        <f>_xlfn.XLOOKUP(CG411, 'Normative data'!$S$9:$S$15,'Normative data'!$T$9:$T$15, "Not Found", -1)</f>
        <v>Average</v>
      </c>
      <c r="CI411" s="17">
        <v>18</v>
      </c>
      <c r="CJ411" s="20" t="str">
        <f>_xlfn.XLOOKUP(CI411, 'Normative data'!$S$9:$S$15, 'Normative data'!$T$9:$T$15, "Not Found", -1)</f>
        <v>Average</v>
      </c>
      <c r="CK411" s="17">
        <v>2.04</v>
      </c>
      <c r="CL411" s="17">
        <v>4.9000000000000004</v>
      </c>
      <c r="CN411" s="17">
        <v>6.44</v>
      </c>
      <c r="CO411" s="17">
        <v>7.76</v>
      </c>
      <c r="CR411" s="20" t="str" cm="1">
        <f t="array" ref="CR411">IF(OR(ISBLANK(E411),ISBLANK(CQ411)),"Incomplete",_xlfn.XLOOKUP(CQ411,_xlfn.XLOOKUP(E411,'Normative data'!$Y$3:$Y$6,'Normative data'!$Z$3:$AG$6,,-1),'Normative data'!$Z$2:$AG$2,"Not Found",-1))</f>
        <v>Incomplete</v>
      </c>
      <c r="CS411" s="20"/>
      <c r="CT411" s="20"/>
      <c r="CU411" s="20" t="str" cm="1">
        <f t="array" ref="CU411">_xlfn.XLOOKUP(CS411&amp;CT411,(VLOOKUP!$A$3:$A$250)&amp;(VLOOKUP!$B$3:$B$250),VLOOKUP!$C$3:$C$250,"Incomplete",-1)</f>
        <v>Incomplete</v>
      </c>
      <c r="CV411" s="20" t="str" cm="1">
        <f t="array" ref="CV411">_xlfn.XLOOKUP(CU411, _xlfn.XLOOKUP(E411, 'Normative data'!$Y$11:$Y$14, 'Normative data'!$Z$11:$AG$14, ,-1), 'Normative data'!$Z$10:$AG$10, "Not Found", -1)</f>
        <v>Excellent</v>
      </c>
      <c r="CW411" s="20" t="str" cm="1">
        <f t="array" ref="CW411">IF(OR(ISBLANK(CS411),ISBLANK(CT411)),"Incomplete",_xlfn.XLOOKUP(CS411&amp;CT411,VLOOKUP!$A$4:$A$250&amp;VLOOKUP!$B$4:$B$250,VLOOKUP!$D$4:$D$250,"0"))</f>
        <v>Incomplete</v>
      </c>
    </row>
    <row r="412" spans="1:101">
      <c r="A412" s="17" t="s">
        <v>964</v>
      </c>
      <c r="B412" s="17" t="s">
        <v>963</v>
      </c>
      <c r="C412" s="17" t="s">
        <v>86</v>
      </c>
      <c r="D412" s="20"/>
      <c r="F412" s="20" t="s">
        <v>107</v>
      </c>
      <c r="G412" s="17">
        <v>2026</v>
      </c>
      <c r="I412" s="20">
        <v>2</v>
      </c>
      <c r="J412" s="20" t="s">
        <v>88</v>
      </c>
      <c r="K412" s="20" t="s">
        <v>196</v>
      </c>
      <c r="L412" s="20"/>
      <c r="S412" s="20">
        <v>89.1</v>
      </c>
      <c r="T412" s="20">
        <v>174.4</v>
      </c>
      <c r="AY412" s="41" t="str">
        <f t="shared" si="123"/>
        <v>Incomplete</v>
      </c>
      <c r="BA412" s="20" t="str">
        <f t="shared" si="124"/>
        <v>Incomplete</v>
      </c>
      <c r="BC412" s="20" t="str">
        <f t="shared" si="125"/>
        <v>Incomplete</v>
      </c>
      <c r="BE412" s="20" t="str">
        <f t="shared" si="126"/>
        <v>Incomplete</v>
      </c>
      <c r="BH412" s="17">
        <v>35</v>
      </c>
      <c r="BI412" s="20" t="str">
        <f t="shared" si="122"/>
        <v>Incomplete</v>
      </c>
      <c r="BJ412" s="20"/>
      <c r="BK412" s="17">
        <v>12</v>
      </c>
      <c r="BL412" s="20"/>
      <c r="BM412" s="17">
        <v>14</v>
      </c>
      <c r="BN412" s="20"/>
      <c r="BW412" s="91">
        <f t="shared" si="127"/>
        <v>0</v>
      </c>
      <c r="BX412" s="91" t="str">
        <f>_xlfn.XLOOKUP(BW412,'Normative data'!$V$3:$V$6,'Normative data'!$W$3:$W$6,"Not Found",-1)</f>
        <v>Not completed</v>
      </c>
      <c r="BY412" s="91">
        <f t="shared" si="128"/>
        <v>0</v>
      </c>
      <c r="BZ412" s="91" t="str">
        <f>_xlfn.XLOOKUP(BY412,'Normative data'!$V$3:$V$6,'Normative data'!$W$3:$W$6,"Not Found",-1)</f>
        <v>Not completed</v>
      </c>
      <c r="CA412" s="20"/>
      <c r="CC412" s="20"/>
      <c r="CE412" s="17">
        <v>30</v>
      </c>
      <c r="CG412" s="17">
        <v>18.739999999999998</v>
      </c>
      <c r="CH412" s="20" t="str">
        <f>_xlfn.XLOOKUP(CG412, 'Normative data'!$S$9:$S$15,'Normative data'!$T$9:$T$15, "Not Found", -1)</f>
        <v>Average</v>
      </c>
      <c r="CI412" s="17">
        <v>19.62</v>
      </c>
      <c r="CJ412" s="20" t="str">
        <f>_xlfn.XLOOKUP(CI412, 'Normative data'!$S$9:$S$15, 'Normative data'!$T$9:$T$15, "Not Found", -1)</f>
        <v>Average</v>
      </c>
      <c r="CK412" s="17">
        <v>2.14</v>
      </c>
      <c r="CL412" s="17">
        <v>4.67</v>
      </c>
      <c r="CN412" s="17">
        <v>6.85</v>
      </c>
      <c r="CO412" s="17">
        <v>7.3</v>
      </c>
      <c r="CQ412" s="17">
        <v>6.1</v>
      </c>
      <c r="CR412" s="20" t="str" cm="1">
        <f t="array" ref="CR412">IF(OR(ISBLANK(E412),ISBLANK(CQ412)),"Incomplete",_xlfn.XLOOKUP(CQ412,_xlfn.XLOOKUP(E412,'Normative data'!$Y$3:$Y$6,'Normative data'!$Z$3:$AG$6,,-1),'Normative data'!$Z$2:$AG$2,"Not Found",-1))</f>
        <v>Incomplete</v>
      </c>
      <c r="CS412" s="20">
        <v>6</v>
      </c>
      <c r="CT412" s="20">
        <v>1</v>
      </c>
      <c r="CU412" s="20" cm="1">
        <f t="array" ref="CU412">_xlfn.XLOOKUP(CS412&amp;CT412,(VLOOKUP!$A$3:$A$250)&amp;(VLOOKUP!$B$3:$B$250),VLOOKUP!$C$3:$C$250,"Incomplete",-1)</f>
        <v>840</v>
      </c>
      <c r="CV412" s="20" t="str" cm="1">
        <f t="array" ref="CV412">_xlfn.XLOOKUP(CU412, _xlfn.XLOOKUP(E412, 'Normative data'!$Y$11:$Y$14, 'Normative data'!$Z$11:$AG$14, ,-1), 'Normative data'!$Z$10:$AG$10, "Not Found", -1)</f>
        <v xml:space="preserve">Fair </v>
      </c>
      <c r="CW412" s="20" cm="1">
        <f t="array" ref="CW412">IF(OR(ISBLANK(CS412),ISBLANK(CT412)),"Incomplete",_xlfn.XLOOKUP(CS412&amp;CT412,VLOOKUP!$A$4:$A$250&amp;VLOOKUP!$B$4:$B$250,VLOOKUP!$D$4:$D$250,"0"))</f>
        <v>33</v>
      </c>
    </row>
    <row r="413" spans="1:101">
      <c r="A413" s="17" t="s">
        <v>965</v>
      </c>
      <c r="B413" s="17" t="s">
        <v>966</v>
      </c>
      <c r="C413" s="17" t="s">
        <v>86</v>
      </c>
      <c r="D413" s="26"/>
      <c r="F413" s="20" t="s">
        <v>235</v>
      </c>
      <c r="G413" s="17">
        <v>2026</v>
      </c>
      <c r="I413" s="20">
        <v>2</v>
      </c>
      <c r="J413" s="20" t="s">
        <v>122</v>
      </c>
      <c r="K413" s="20" t="s">
        <v>108</v>
      </c>
      <c r="L413" s="20"/>
      <c r="S413" s="20">
        <v>77.099999999999994</v>
      </c>
      <c r="T413" s="20">
        <v>153.69999999999999</v>
      </c>
      <c r="AY413" s="41" t="str">
        <f t="shared" si="123"/>
        <v>Incomplete</v>
      </c>
      <c r="BA413" s="20" t="str">
        <f t="shared" si="124"/>
        <v>Incomplete</v>
      </c>
      <c r="BC413" s="20" t="str">
        <f t="shared" si="125"/>
        <v>Incomplete</v>
      </c>
      <c r="BE413" s="20" t="str">
        <f t="shared" si="126"/>
        <v>Incomplete</v>
      </c>
      <c r="BH413" s="17">
        <v>28.6</v>
      </c>
      <c r="BI413" s="20" t="str">
        <f t="shared" si="122"/>
        <v>Incomplete</v>
      </c>
      <c r="BJ413" s="20"/>
      <c r="BK413" s="17">
        <v>5</v>
      </c>
      <c r="BL413" s="20"/>
      <c r="BM413" s="17">
        <v>6</v>
      </c>
      <c r="BN413" s="20"/>
      <c r="BW413" s="91">
        <f t="shared" si="127"/>
        <v>0</v>
      </c>
      <c r="BX413" s="91" t="str">
        <f>_xlfn.XLOOKUP(BW413,'Normative data'!$V$3:$V$6,'Normative data'!$W$3:$W$6,"Not Found",-1)</f>
        <v>Not completed</v>
      </c>
      <c r="BY413" s="91">
        <f t="shared" si="128"/>
        <v>0</v>
      </c>
      <c r="BZ413" s="91" t="str">
        <f>_xlfn.XLOOKUP(BY413,'Normative data'!$V$3:$V$6,'Normative data'!$W$3:$W$6,"Not Found",-1)</f>
        <v>Not completed</v>
      </c>
      <c r="CA413" s="20"/>
      <c r="CC413" s="20"/>
      <c r="CE413" s="17">
        <v>6</v>
      </c>
      <c r="CH413" s="20" t="str">
        <f>_xlfn.XLOOKUP(CG413, 'Normative data'!$S$9:$S$15,'Normative data'!$T$9:$T$15, "Not Found", -1)</f>
        <v>not completed</v>
      </c>
      <c r="CI413" s="17">
        <v>19.79</v>
      </c>
      <c r="CJ413" s="20" t="str">
        <f>_xlfn.XLOOKUP(CI413, 'Normative data'!$S$9:$S$15, 'Normative data'!$T$9:$T$15, "Not Found", -1)</f>
        <v>Average</v>
      </c>
      <c r="CK413" s="17">
        <v>2.35</v>
      </c>
      <c r="CL413" s="17">
        <v>4.26</v>
      </c>
      <c r="CN413" s="17">
        <v>7.35</v>
      </c>
      <c r="CO413" s="17">
        <v>6.8</v>
      </c>
      <c r="CQ413" s="17">
        <v>5.0999999999999996</v>
      </c>
      <c r="CR413" s="20" t="str" cm="1">
        <f t="array" ref="CR413">IF(OR(ISBLANK(E413),ISBLANK(CQ413)),"Incomplete",_xlfn.XLOOKUP(CQ413,_xlfn.XLOOKUP(E413,'Normative data'!$Y$3:$Y$6,'Normative data'!$Z$3:$AG$6,,-1),'Normative data'!$Z$2:$AG$2,"Not Found",-1))</f>
        <v>Incomplete</v>
      </c>
      <c r="CS413" s="20">
        <v>5</v>
      </c>
      <c r="CT413" s="20">
        <v>1</v>
      </c>
      <c r="CU413" s="20" cm="1">
        <f t="array" ref="CU413">_xlfn.XLOOKUP(CS413&amp;CT413,(VLOOKUP!$A$3:$A$250)&amp;(VLOOKUP!$B$3:$B$250),VLOOKUP!$C$3:$C$250,"Incomplete",-1)</f>
        <v>660</v>
      </c>
      <c r="CV413" s="20" t="str" cm="1">
        <f t="array" ref="CV413">_xlfn.XLOOKUP(CU413, _xlfn.XLOOKUP(E413, 'Normative data'!$Y$11:$Y$14, 'Normative data'!$Z$11:$AG$14, ,-1), 'Normative data'!$Z$10:$AG$10, "Not Found", -1)</f>
        <v xml:space="preserve">Poor </v>
      </c>
      <c r="CW413" s="20" cm="1">
        <f t="array" ref="CW413">IF(OR(ISBLANK(CS413),ISBLANK(CT413)),"Incomplete",_xlfn.XLOOKUP(CS413&amp;CT413,VLOOKUP!$A$4:$A$250&amp;VLOOKUP!$B$4:$B$250,VLOOKUP!$D$4:$D$250,"0"))</f>
        <v>30</v>
      </c>
    </row>
    <row r="414" spans="1:101">
      <c r="A414" s="22" t="s">
        <v>967</v>
      </c>
      <c r="B414" s="22" t="s">
        <v>968</v>
      </c>
      <c r="C414" s="17" t="s">
        <v>86</v>
      </c>
      <c r="D414" s="23">
        <v>40861</v>
      </c>
      <c r="F414" s="17">
        <v>8</v>
      </c>
      <c r="G414" s="17">
        <v>2025</v>
      </c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41" t="str">
        <f t="shared" si="123"/>
        <v>Incomplete</v>
      </c>
      <c r="AZ414" s="20"/>
      <c r="BA414" s="20" t="str">
        <f t="shared" si="124"/>
        <v>Incomplete</v>
      </c>
      <c r="BB414" s="20"/>
      <c r="BC414" s="20" t="str">
        <f t="shared" si="125"/>
        <v>Incomplete</v>
      </c>
      <c r="BD414" s="20"/>
      <c r="BE414" s="20" t="str">
        <f t="shared" si="126"/>
        <v>Incomplete</v>
      </c>
      <c r="BF414" s="20"/>
      <c r="BG414" s="20">
        <v>15</v>
      </c>
      <c r="BH414" s="20">
        <v>26.5</v>
      </c>
      <c r="BI414" s="20">
        <f t="shared" si="122"/>
        <v>11.5</v>
      </c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91" t="str">
        <f t="shared" si="127"/>
        <v>Incomplete</v>
      </c>
      <c r="BX414" s="91" t="str">
        <f>_xlfn.XLOOKUP(BW414,'Normative data'!$V$3:$V$6,'Normative data'!$W$3:$W$6,"Not Found",-1)</f>
        <v>Very low risk</v>
      </c>
      <c r="BY414" s="91" t="str">
        <f t="shared" si="128"/>
        <v>Incomplete</v>
      </c>
      <c r="BZ414" s="91" t="str">
        <f>_xlfn.XLOOKUP(BY414,'Normative data'!$V$3:$V$6,'Normative data'!$W$3:$W$6,"Not Found",-1)</f>
        <v>Very low risk</v>
      </c>
      <c r="CA414" s="20"/>
      <c r="CC414" s="20"/>
      <c r="CE414" s="20"/>
      <c r="CG414" s="20"/>
      <c r="CH414" s="20" t="str">
        <f>_xlfn.XLOOKUP(CG414, 'Normative data'!$S$9:$S$15,'Normative data'!$T$9:$T$15, "Not Found", -1)</f>
        <v>not completed</v>
      </c>
      <c r="CI414" s="20"/>
      <c r="CJ414" s="20" t="str">
        <f>_xlfn.XLOOKUP(CI414, 'Normative data'!$S$9:$S$15, 'Normative data'!$T$9:$T$15, "Not Found", -1)</f>
        <v>not completed</v>
      </c>
      <c r="CK414" s="21"/>
      <c r="CL414" s="21"/>
      <c r="CM414" s="21"/>
      <c r="CN414" s="21"/>
      <c r="CO414" s="21"/>
      <c r="CP414" s="24"/>
      <c r="CQ414" s="20"/>
      <c r="CR414" s="20" t="str" cm="1">
        <f t="array" ref="CR414">IF(OR(ISBLANK(E414),ISBLANK(CQ414)),"Incomplete",_xlfn.XLOOKUP(CQ414,_xlfn.XLOOKUP(E414,'Normative data'!$Y$3:$Y$6,'Normative data'!$Z$3:$AG$6,,-1),'Normative data'!$Z$2:$AG$2,"Not Found",-1))</f>
        <v>Incomplete</v>
      </c>
      <c r="CS414" s="20"/>
      <c r="CT414" s="20"/>
      <c r="CU414" s="20" t="str" cm="1">
        <f t="array" ref="CU414">_xlfn.XLOOKUP(CS414&amp;CT414,(VLOOKUP!$A$3:$A$250)&amp;(VLOOKUP!$B$3:$B$250),VLOOKUP!$C$3:$C$250,"Incomplete",-1)</f>
        <v>Incomplete</v>
      </c>
      <c r="CV414" s="20" t="str" cm="1">
        <f t="array" ref="CV414">_xlfn.XLOOKUP(CU414, _xlfn.XLOOKUP(E414, 'Normative data'!$Y$11:$Y$14, 'Normative data'!$Z$11:$AG$14, ,-1), 'Normative data'!$Z$10:$AG$10, "Not Found", -1)</f>
        <v>Excellent</v>
      </c>
      <c r="CW414" s="20" t="str" cm="1">
        <f t="array" ref="CW414">IF(OR(ISBLANK(CS414),ISBLANK(CT414)),"Incomplete",_xlfn.XLOOKUP(CS414&amp;CT414,VLOOKUP!$A$4:$A$250&amp;VLOOKUP!$B$4:$B$250,VLOOKUP!$D$4:$D$250,"0"))</f>
        <v>Incomplete</v>
      </c>
    </row>
    <row r="415" spans="1:101">
      <c r="A415" s="22" t="s">
        <v>969</v>
      </c>
      <c r="B415" s="22" t="s">
        <v>968</v>
      </c>
      <c r="C415" s="17" t="s">
        <v>86</v>
      </c>
      <c r="D415" s="23">
        <v>40365</v>
      </c>
      <c r="F415" s="17">
        <v>9</v>
      </c>
      <c r="G415" s="17">
        <v>2025</v>
      </c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41" t="str">
        <f t="shared" si="123"/>
        <v>Incomplete</v>
      </c>
      <c r="AZ415" s="20"/>
      <c r="BA415" s="20" t="str">
        <f t="shared" si="124"/>
        <v>Incomplete</v>
      </c>
      <c r="BB415" s="20"/>
      <c r="BC415" s="20" t="str">
        <f t="shared" si="125"/>
        <v>Incomplete</v>
      </c>
      <c r="BD415" s="20"/>
      <c r="BE415" s="20" t="str">
        <f t="shared" si="126"/>
        <v>Incomplete</v>
      </c>
      <c r="BF415" s="20"/>
      <c r="BG415" s="20">
        <v>18.5</v>
      </c>
      <c r="BH415" s="20">
        <v>37.5</v>
      </c>
      <c r="BI415" s="20">
        <f t="shared" si="122"/>
        <v>19</v>
      </c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91" t="str">
        <f t="shared" si="127"/>
        <v>Incomplete</v>
      </c>
      <c r="BX415" s="91" t="str">
        <f>_xlfn.XLOOKUP(BW415,'Normative data'!$V$3:$V$6,'Normative data'!$W$3:$W$6,"Not Found",-1)</f>
        <v>Very low risk</v>
      </c>
      <c r="BY415" s="91" t="str">
        <f t="shared" si="128"/>
        <v>Incomplete</v>
      </c>
      <c r="BZ415" s="91" t="str">
        <f>_xlfn.XLOOKUP(BY415,'Normative data'!$V$3:$V$6,'Normative data'!$W$3:$W$6,"Not Found",-1)</f>
        <v>Very low risk</v>
      </c>
      <c r="CA415" s="20"/>
      <c r="CC415" s="20"/>
      <c r="CE415" s="20">
        <v>1</v>
      </c>
      <c r="CG415" s="20"/>
      <c r="CH415" s="20" t="str">
        <f>_xlfn.XLOOKUP(CG415, 'Normative data'!$S$9:$S$15,'Normative data'!$T$9:$T$15, "Not Found", -1)</f>
        <v>not completed</v>
      </c>
      <c r="CI415" s="20"/>
      <c r="CJ415" s="20" t="str">
        <f>_xlfn.XLOOKUP(CI415, 'Normative data'!$S$9:$S$15, 'Normative data'!$T$9:$T$15, "Not Found", -1)</f>
        <v>not completed</v>
      </c>
      <c r="CK415" s="24">
        <v>2.7</v>
      </c>
      <c r="CL415" s="24">
        <v>3.7</v>
      </c>
      <c r="CM415" s="21"/>
      <c r="CN415" s="24">
        <v>8.7899999999999991</v>
      </c>
      <c r="CO415" s="24">
        <v>5.69</v>
      </c>
      <c r="CP415" s="24"/>
      <c r="CQ415" s="20"/>
      <c r="CR415" s="20" t="str" cm="1">
        <f t="array" ref="CR415">IF(OR(ISBLANK(E415),ISBLANK(CQ415)),"Incomplete",_xlfn.XLOOKUP(CQ415,_xlfn.XLOOKUP(E415,'Normative data'!$Y$3:$Y$6,'Normative data'!$Z$3:$AG$6,,-1),'Normative data'!$Z$2:$AG$2,"Not Found",-1))</f>
        <v>Incomplete</v>
      </c>
      <c r="CS415" s="20"/>
      <c r="CT415" s="20"/>
      <c r="CU415" s="20" t="str" cm="1">
        <f t="array" ref="CU415">_xlfn.XLOOKUP(CS415&amp;CT415,(VLOOKUP!$A$3:$A$250)&amp;(VLOOKUP!$B$3:$B$250),VLOOKUP!$C$3:$C$250,"Incomplete",-1)</f>
        <v>Incomplete</v>
      </c>
      <c r="CV415" s="20" t="str" cm="1">
        <f t="array" ref="CV415">_xlfn.XLOOKUP(CU415, _xlfn.XLOOKUP(E415, 'Normative data'!$Y$11:$Y$14, 'Normative data'!$Z$11:$AG$14, ,-1), 'Normative data'!$Z$10:$AG$10, "Not Found", -1)</f>
        <v>Excellent</v>
      </c>
      <c r="CW415" s="20" t="str" cm="1">
        <f t="array" ref="CW415">IF(OR(ISBLANK(CS415),ISBLANK(CT415)),"Incomplete",_xlfn.XLOOKUP(CS415&amp;CT415,VLOOKUP!$A$4:$A$250&amp;VLOOKUP!$B$4:$B$250,VLOOKUP!$D$4:$D$250,"0"))</f>
        <v>Incomplete</v>
      </c>
    </row>
    <row r="416" spans="1:101">
      <c r="A416" s="17" t="s">
        <v>970</v>
      </c>
      <c r="B416" s="17" t="s">
        <v>968</v>
      </c>
      <c r="C416" s="17" t="s">
        <v>86</v>
      </c>
      <c r="D416" s="23">
        <v>40365</v>
      </c>
      <c r="F416" s="17">
        <v>9</v>
      </c>
      <c r="G416" s="17">
        <v>2025</v>
      </c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41" t="str">
        <f t="shared" si="123"/>
        <v>Incomplete</v>
      </c>
      <c r="AZ416" s="20"/>
      <c r="BA416" s="20" t="str">
        <f t="shared" si="124"/>
        <v>Incomplete</v>
      </c>
      <c r="BB416" s="20"/>
      <c r="BC416" s="20" t="str">
        <f t="shared" si="125"/>
        <v>Incomplete</v>
      </c>
      <c r="BD416" s="20"/>
      <c r="BE416" s="20" t="str">
        <f t="shared" si="126"/>
        <v>Incomplete</v>
      </c>
      <c r="BF416" s="20"/>
      <c r="BG416" s="20"/>
      <c r="BH416" s="20"/>
      <c r="BI416" s="20" t="str">
        <f t="shared" si="122"/>
        <v>Incomplete</v>
      </c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91" t="str">
        <f t="shared" si="127"/>
        <v>Incomplete</v>
      </c>
      <c r="BX416" s="91" t="str">
        <f>_xlfn.XLOOKUP(BW416,'Normative data'!$V$3:$V$6,'Normative data'!$W$3:$W$6,"Not Found",-1)</f>
        <v>Very low risk</v>
      </c>
      <c r="BY416" s="91" t="str">
        <f t="shared" si="128"/>
        <v>Incomplete</v>
      </c>
      <c r="BZ416" s="91" t="str">
        <f>_xlfn.XLOOKUP(BY416,'Normative data'!$V$3:$V$6,'Normative data'!$W$3:$W$6,"Not Found",-1)</f>
        <v>Very low risk</v>
      </c>
      <c r="CA416" s="20"/>
      <c r="CC416" s="20"/>
      <c r="CE416" s="20"/>
      <c r="CG416" s="20"/>
      <c r="CH416" s="20" t="str">
        <f>_xlfn.XLOOKUP(CG416, 'Normative data'!$S$9:$S$15,'Normative data'!$T$9:$T$15, "Not Found", -1)</f>
        <v>not completed</v>
      </c>
      <c r="CI416" s="20"/>
      <c r="CJ416" s="20" t="str">
        <f>_xlfn.XLOOKUP(CI416, 'Normative data'!$S$9:$S$15, 'Normative data'!$T$9:$T$15, "Not Found", -1)</f>
        <v>not completed</v>
      </c>
      <c r="CK416" s="20" t="s">
        <v>971</v>
      </c>
      <c r="CL416" s="20" t="s">
        <v>972</v>
      </c>
      <c r="CN416" s="20" t="s">
        <v>973</v>
      </c>
      <c r="CO416" s="20" t="s">
        <v>974</v>
      </c>
      <c r="CQ416" s="20"/>
      <c r="CR416" s="20" t="str" cm="1">
        <f t="array" ref="CR416">IF(OR(ISBLANK(E416),ISBLANK(CQ416)),"Incomplete",_xlfn.XLOOKUP(CQ416,_xlfn.XLOOKUP(E416,'Normative data'!$Y$3:$Y$6,'Normative data'!$Z$3:$AG$6,,-1),'Normative data'!$Z$2:$AG$2,"Not Found",-1))</f>
        <v>Incomplete</v>
      </c>
      <c r="CS416" s="20"/>
      <c r="CT416" s="20"/>
      <c r="CU416" s="20" t="str" cm="1">
        <f t="array" ref="CU416">_xlfn.XLOOKUP(CS416&amp;CT416,(VLOOKUP!$A$3:$A$250)&amp;(VLOOKUP!$B$3:$B$250),VLOOKUP!$C$3:$C$250,"Incomplete",-1)</f>
        <v>Incomplete</v>
      </c>
      <c r="CV416" s="20" t="str" cm="1">
        <f t="array" ref="CV416">_xlfn.XLOOKUP(CU416, _xlfn.XLOOKUP(E416, 'Normative data'!$Y$11:$Y$14, 'Normative data'!$Z$11:$AG$14, ,-1), 'Normative data'!$Z$10:$AG$10, "Not Found", -1)</f>
        <v>Excellent</v>
      </c>
      <c r="CW416" s="20" t="str" cm="1">
        <f t="array" ref="CW416">IF(OR(ISBLANK(CS416),ISBLANK(CT416)),"Incomplete",_xlfn.XLOOKUP(CS416&amp;CT416,VLOOKUP!$A$4:$A$250&amp;VLOOKUP!$B$4:$B$250,VLOOKUP!$D$4:$D$250,"0"))</f>
        <v>Incomplete</v>
      </c>
    </row>
    <row r="417" spans="1:101">
      <c r="A417" s="17" t="s">
        <v>975</v>
      </c>
      <c r="B417" s="17" t="s">
        <v>976</v>
      </c>
      <c r="C417" s="17" t="s">
        <v>86</v>
      </c>
      <c r="D417" s="26"/>
      <c r="F417" s="20" t="s">
        <v>151</v>
      </c>
      <c r="G417" s="17">
        <v>2026</v>
      </c>
      <c r="I417" s="20">
        <v>2</v>
      </c>
      <c r="J417" s="20" t="s">
        <v>100</v>
      </c>
      <c r="K417" s="20" t="s">
        <v>228</v>
      </c>
      <c r="L417" s="20"/>
      <c r="S417" s="20"/>
      <c r="T417" s="20"/>
      <c r="AQ417" s="20"/>
      <c r="AR417" s="20"/>
      <c r="AS417" s="20"/>
      <c r="AT417" s="20"/>
      <c r="AU417" s="20"/>
      <c r="AV417" s="20"/>
      <c r="AW417" s="20"/>
      <c r="AX417" s="20"/>
      <c r="AY417" s="41" t="str">
        <f t="shared" si="123"/>
        <v>Incomplete</v>
      </c>
      <c r="BA417" s="20" t="str">
        <f t="shared" si="124"/>
        <v>Incomplete</v>
      </c>
      <c r="BC417" s="20" t="str">
        <f t="shared" si="125"/>
        <v>Incomplete</v>
      </c>
      <c r="BE417" s="20" t="str">
        <f t="shared" si="126"/>
        <v>Incomplete</v>
      </c>
      <c r="BH417" s="20"/>
      <c r="BI417" s="20" t="str">
        <f t="shared" si="122"/>
        <v>Incomplete</v>
      </c>
      <c r="BJ417" s="20"/>
      <c r="BL417" s="20"/>
      <c r="BM417" s="20"/>
      <c r="BN417" s="20"/>
      <c r="BQ417" s="17">
        <v>71</v>
      </c>
      <c r="BR417" s="17">
        <v>70</v>
      </c>
      <c r="BS417" s="17">
        <v>57</v>
      </c>
      <c r="BT417" s="17">
        <v>75</v>
      </c>
      <c r="BU417" s="17">
        <v>57</v>
      </c>
      <c r="BV417" s="17">
        <v>69</v>
      </c>
      <c r="BW417" s="91" t="str">
        <f t="shared" si="127"/>
        <v>Incomplete</v>
      </c>
      <c r="BX417" s="91" t="str">
        <f>_xlfn.XLOOKUP(BW417,'Normative data'!$V$3:$V$6,'Normative data'!$W$3:$W$6,"Not Found",-1)</f>
        <v>Very low risk</v>
      </c>
      <c r="BY417" s="91" t="str">
        <f t="shared" si="128"/>
        <v>Incomplete</v>
      </c>
      <c r="BZ417" s="91" t="str">
        <f>_xlfn.XLOOKUP(BY417,'Normative data'!$V$3:$V$6,'Normative data'!$W$3:$W$6,"Not Found",-1)</f>
        <v>Very low risk</v>
      </c>
      <c r="CA417" s="17">
        <v>30</v>
      </c>
      <c r="CC417" s="20"/>
      <c r="CE417" s="17">
        <v>15</v>
      </c>
      <c r="CG417" s="17">
        <v>18.72</v>
      </c>
      <c r="CH417" s="20" t="str">
        <f>_xlfn.XLOOKUP(CG417, 'Normative data'!$S$9:$S$15,'Normative data'!$T$9:$T$15, "Not Found", -1)</f>
        <v>Average</v>
      </c>
      <c r="CI417" s="17">
        <v>20.059999999999999</v>
      </c>
      <c r="CJ417" s="20" t="str">
        <f>_xlfn.XLOOKUP(CI417, 'Normative data'!$S$9:$S$15, 'Normative data'!$T$9:$T$15, "Not Found", -1)</f>
        <v>Average</v>
      </c>
      <c r="CK417" s="17">
        <v>2.38</v>
      </c>
      <c r="CL417" s="17">
        <v>4.2</v>
      </c>
      <c r="CN417" s="17">
        <v>7.48</v>
      </c>
      <c r="CO417" s="17">
        <v>6.68</v>
      </c>
      <c r="CR417" s="20" t="str" cm="1">
        <f t="array" ref="CR417">IF(OR(ISBLANK(E417),ISBLANK(CQ417)),"Incomplete",_xlfn.XLOOKUP(CQ417,_xlfn.XLOOKUP(E417,'Normative data'!$Y$3:$Y$6,'Normative data'!$Z$3:$AG$6,,-1),'Normative data'!$Z$2:$AG$2,"Not Found",-1))</f>
        <v>Incomplete</v>
      </c>
      <c r="CS417" s="20"/>
      <c r="CT417" s="20"/>
      <c r="CU417" s="20" t="str" cm="1">
        <f t="array" ref="CU417">_xlfn.XLOOKUP(CS417&amp;CT417,(VLOOKUP!$A$3:$A$250)&amp;(VLOOKUP!$B$3:$B$250),VLOOKUP!$C$3:$C$250,"Incomplete",-1)</f>
        <v>Incomplete</v>
      </c>
      <c r="CV417" s="20" t="str" cm="1">
        <f t="array" ref="CV417">_xlfn.XLOOKUP(CU417, _xlfn.XLOOKUP(E417, 'Normative data'!$Y$11:$Y$14, 'Normative data'!$Z$11:$AG$14, ,-1), 'Normative data'!$Z$10:$AG$10, "Not Found", -1)</f>
        <v>Excellent</v>
      </c>
      <c r="CW417" s="20" t="str" cm="1">
        <f t="array" ref="CW417">IF(OR(ISBLANK(CS417),ISBLANK(CT417)),"Incomplete",_xlfn.XLOOKUP(CS417&amp;CT417,VLOOKUP!$A$4:$A$250&amp;VLOOKUP!$B$4:$B$250,VLOOKUP!$D$4:$D$250,"0"))</f>
        <v>Incomplete</v>
      </c>
    </row>
    <row r="418" spans="1:101">
      <c r="A418" s="17" t="s">
        <v>977</v>
      </c>
      <c r="B418" s="17" t="s">
        <v>976</v>
      </c>
      <c r="C418" s="17" t="s">
        <v>86</v>
      </c>
      <c r="D418" s="26">
        <v>39553</v>
      </c>
      <c r="F418" s="20">
        <v>12</v>
      </c>
      <c r="G418" s="17">
        <v>2026</v>
      </c>
      <c r="I418" s="20">
        <v>2</v>
      </c>
      <c r="J418" s="20" t="s">
        <v>122</v>
      </c>
      <c r="K418" s="20" t="s">
        <v>101</v>
      </c>
      <c r="L418" s="20" t="s">
        <v>298</v>
      </c>
      <c r="S418" s="20">
        <v>87.4</v>
      </c>
      <c r="T418" s="20">
        <v>162.6</v>
      </c>
      <c r="U418" s="17">
        <v>59.7</v>
      </c>
      <c r="V418" s="17">
        <v>34.299999999999997</v>
      </c>
      <c r="W418" s="17">
        <v>12.9</v>
      </c>
      <c r="X418" s="17">
        <v>46.8</v>
      </c>
      <c r="Y418" s="17">
        <v>26.1</v>
      </c>
      <c r="Z418" s="17">
        <v>22.6</v>
      </c>
      <c r="AA418" s="17">
        <v>21.6</v>
      </c>
      <c r="AB418" s="17">
        <v>7.25</v>
      </c>
      <c r="AC418" s="17">
        <v>110.5</v>
      </c>
      <c r="AD418" s="17">
        <v>7.37</v>
      </c>
      <c r="AE418" s="17">
        <v>112.3</v>
      </c>
      <c r="AF418" s="17">
        <v>2.2000000000000002</v>
      </c>
      <c r="AG418" s="17">
        <v>90.9</v>
      </c>
      <c r="AH418" s="17">
        <v>2.2000000000000002</v>
      </c>
      <c r="AI418" s="17">
        <v>91</v>
      </c>
      <c r="AJ418" s="17">
        <v>276.39999999999998</v>
      </c>
      <c r="AK418" s="17">
        <v>264.60000000000002</v>
      </c>
      <c r="AL418" s="17">
        <v>240.1</v>
      </c>
      <c r="AM418" s="17">
        <v>231</v>
      </c>
      <c r="AN418" s="17">
        <v>84</v>
      </c>
      <c r="AO418" s="17">
        <v>0.08</v>
      </c>
      <c r="AP418" s="17">
        <v>7.3</v>
      </c>
      <c r="AQ418" s="17">
        <v>25.5</v>
      </c>
      <c r="AR418" s="17">
        <v>0.45600000000000002</v>
      </c>
      <c r="AS418" s="17">
        <v>32.9</v>
      </c>
      <c r="AT418" s="17">
        <v>0.51800000000000002</v>
      </c>
      <c r="AU418" s="17">
        <v>15.2</v>
      </c>
      <c r="AV418" s="17">
        <v>0.35199999999999998</v>
      </c>
      <c r="AW418" s="17">
        <v>15.9</v>
      </c>
      <c r="AX418" s="17">
        <v>0.36</v>
      </c>
      <c r="AY418" s="41">
        <f t="shared" si="123"/>
        <v>2197.2600000000002</v>
      </c>
      <c r="BA418" s="20">
        <f t="shared" si="124"/>
        <v>2646.4399999999996</v>
      </c>
      <c r="BC418" s="20">
        <f t="shared" si="125"/>
        <v>1572.0499999999997</v>
      </c>
      <c r="BE418" s="20">
        <f t="shared" si="126"/>
        <v>1614.54</v>
      </c>
      <c r="BG418" s="17">
        <v>13</v>
      </c>
      <c r="BH418" s="17">
        <v>53.5</v>
      </c>
      <c r="BI418" s="20">
        <f t="shared" si="122"/>
        <v>40.5</v>
      </c>
      <c r="BJ418" s="20"/>
      <c r="BK418" s="17">
        <v>12</v>
      </c>
      <c r="BL418" s="20"/>
      <c r="BM418" s="17">
        <v>10</v>
      </c>
      <c r="BN418" s="20"/>
      <c r="BO418" s="17">
        <v>54</v>
      </c>
      <c r="BP418" s="17">
        <v>53.5</v>
      </c>
      <c r="BQ418" s="17">
        <v>69.099999999999994</v>
      </c>
      <c r="BR418" s="17">
        <v>85.2</v>
      </c>
      <c r="BS418" s="17">
        <v>82.5</v>
      </c>
      <c r="BT418" s="17">
        <v>70</v>
      </c>
      <c r="BU418" s="17">
        <v>81.5</v>
      </c>
      <c r="BV418" s="17">
        <v>80.3</v>
      </c>
      <c r="BW418" s="91">
        <f t="shared" si="127"/>
        <v>104.96453900709221</v>
      </c>
      <c r="BX418" s="91" t="str">
        <f>_xlfn.XLOOKUP(BW418,'Normative data'!$V$3:$V$6,'Normative data'!$W$3:$W$6,"Not Found",-1)</f>
        <v>Low risk</v>
      </c>
      <c r="BY418" s="91">
        <f t="shared" si="128"/>
        <v>102.74822695035463</v>
      </c>
      <c r="BZ418" s="91" t="str">
        <f>_xlfn.XLOOKUP(BY418,'Normative data'!$V$3:$V$6,'Normative data'!$W$3:$W$6,"Not Found",-1)</f>
        <v>Low risk</v>
      </c>
      <c r="CA418" s="17">
        <v>17</v>
      </c>
      <c r="CC418" s="20"/>
      <c r="CE418" s="17">
        <v>16</v>
      </c>
      <c r="CG418" s="17">
        <v>18.93</v>
      </c>
      <c r="CH418" s="20" t="str">
        <f>_xlfn.XLOOKUP(CG418, 'Normative data'!$S$9:$S$15,'Normative data'!$T$9:$T$15, "Not Found", -1)</f>
        <v>Average</v>
      </c>
      <c r="CI418" s="17">
        <v>18.75</v>
      </c>
      <c r="CJ418" s="20" t="str">
        <f>_xlfn.XLOOKUP(CI418, 'Normative data'!$S$9:$S$15, 'Normative data'!$T$9:$T$15, "Not Found", -1)</f>
        <v>Average</v>
      </c>
      <c r="CK418" s="21"/>
      <c r="CL418" s="21"/>
      <c r="CM418" s="21"/>
      <c r="CN418" s="21"/>
      <c r="CO418" s="21"/>
      <c r="CQ418" s="17">
        <v>6.3</v>
      </c>
      <c r="CR418" s="20" t="str" cm="1">
        <f t="array" ref="CR418">IF(OR(ISBLANK(E418),ISBLANK(CQ418)),"Incomplete",_xlfn.XLOOKUP(CQ418,_xlfn.XLOOKUP(E418,'Normative data'!$Y$3:$Y$6,'Normative data'!$Z$3:$AG$6,,-1),'Normative data'!$Z$2:$AG$2,"Not Found",-1))</f>
        <v>Incomplete</v>
      </c>
      <c r="CS418" s="20">
        <v>6</v>
      </c>
      <c r="CT418" s="20">
        <v>3</v>
      </c>
      <c r="CU418" s="20" cm="1">
        <f t="array" ref="CU418">_xlfn.XLOOKUP(CS418&amp;CT418,(VLOOKUP!$A$3:$A$250)&amp;(VLOOKUP!$B$3:$B$250),VLOOKUP!$C$3:$C$250,"Incomplete",-1)</f>
        <v>880</v>
      </c>
      <c r="CV418" s="20" t="str" cm="1">
        <f t="array" ref="CV418">_xlfn.XLOOKUP(CU418, _xlfn.XLOOKUP(E418, 'Normative data'!$Y$11:$Y$14, 'Normative data'!$Z$11:$AG$14, ,-1), 'Normative data'!$Z$10:$AG$10, "Not Found", -1)</f>
        <v xml:space="preserve">Fair </v>
      </c>
      <c r="CW418" s="20" cm="1">
        <f t="array" ref="CW418">IF(OR(ISBLANK(CS418),ISBLANK(CT418)),"Incomplete",_xlfn.XLOOKUP(CS418&amp;CT418,VLOOKUP!$A$4:$A$250&amp;VLOOKUP!$B$4:$B$250,VLOOKUP!$D$4:$D$250,"0"))</f>
        <v>34</v>
      </c>
    </row>
    <row r="419" spans="1:101">
      <c r="A419" s="17" t="s">
        <v>978</v>
      </c>
      <c r="B419" s="17" t="s">
        <v>979</v>
      </c>
      <c r="C419" s="17" t="s">
        <v>86</v>
      </c>
      <c r="D419" s="26">
        <v>40036</v>
      </c>
      <c r="F419" s="20" t="s">
        <v>151</v>
      </c>
      <c r="G419" s="17">
        <v>2026</v>
      </c>
      <c r="I419" s="20">
        <v>2</v>
      </c>
      <c r="J419" s="20"/>
      <c r="K419" s="20"/>
      <c r="L419" s="20"/>
      <c r="S419" s="20">
        <v>87.3</v>
      </c>
      <c r="T419" s="20">
        <v>166</v>
      </c>
      <c r="U419" s="17">
        <v>58.7</v>
      </c>
      <c r="V419" s="17">
        <v>32.200000000000003</v>
      </c>
      <c r="W419" s="17">
        <v>14.7</v>
      </c>
      <c r="X419" s="17">
        <v>44</v>
      </c>
      <c r="Y419" s="17">
        <v>24.3</v>
      </c>
      <c r="Z419" s="17">
        <v>21.3</v>
      </c>
      <c r="AA419" s="17">
        <v>25</v>
      </c>
      <c r="AB419" s="17">
        <v>7.16</v>
      </c>
      <c r="AC419" s="17">
        <v>105.5</v>
      </c>
      <c r="AD419" s="17">
        <v>7.25</v>
      </c>
      <c r="AE419" s="17">
        <v>106.9</v>
      </c>
      <c r="AF419" s="17">
        <v>2.5</v>
      </c>
      <c r="AG419" s="17">
        <v>98.7</v>
      </c>
      <c r="AH419" s="17">
        <v>2.5</v>
      </c>
      <c r="AI419" s="17">
        <v>98.7</v>
      </c>
      <c r="AJ419" s="17">
        <v>309.89999999999998</v>
      </c>
      <c r="AK419" s="17">
        <v>299.2</v>
      </c>
      <c r="AL419" s="17">
        <v>271.8</v>
      </c>
      <c r="AM419" s="17">
        <v>263.8</v>
      </c>
      <c r="AN419" s="17">
        <v>102</v>
      </c>
      <c r="AO419" s="17">
        <v>0.82</v>
      </c>
      <c r="AP419" s="17">
        <v>6.7</v>
      </c>
      <c r="AQ419" s="17">
        <v>27</v>
      </c>
      <c r="AR419" s="17">
        <v>0.46899999999999997</v>
      </c>
      <c r="AS419" s="17">
        <v>29.8</v>
      </c>
      <c r="AT419" s="17">
        <v>0.49299999999999999</v>
      </c>
      <c r="AU419" s="17">
        <v>14.2</v>
      </c>
      <c r="AV419" s="17">
        <v>0.34</v>
      </c>
      <c r="AW419" s="17">
        <v>17.3</v>
      </c>
      <c r="AX419" s="17">
        <v>0.376</v>
      </c>
      <c r="AY419" s="41">
        <f t="shared" si="123"/>
        <v>2243.0100000000002</v>
      </c>
      <c r="BA419" s="20">
        <f t="shared" si="124"/>
        <v>2412.9700000000003</v>
      </c>
      <c r="BC419" s="20">
        <f t="shared" si="125"/>
        <v>1466.0500000000002</v>
      </c>
      <c r="BE419" s="20">
        <f t="shared" si="126"/>
        <v>1654.2200000000003</v>
      </c>
      <c r="BG419" s="17">
        <v>10</v>
      </c>
      <c r="BH419" s="17">
        <v>47</v>
      </c>
      <c r="BI419" s="20">
        <f t="shared" si="122"/>
        <v>37</v>
      </c>
      <c r="BJ419" s="20"/>
      <c r="BK419" s="17">
        <v>6</v>
      </c>
      <c r="BL419" s="20"/>
      <c r="BM419" s="17">
        <v>8</v>
      </c>
      <c r="BN419" s="20"/>
      <c r="BO419" s="17">
        <v>46.5</v>
      </c>
      <c r="BP419" s="17">
        <v>47</v>
      </c>
      <c r="BQ419" s="17">
        <v>82</v>
      </c>
      <c r="BR419" s="17">
        <v>92</v>
      </c>
      <c r="BS419" s="17">
        <v>82</v>
      </c>
      <c r="BT419" s="17">
        <v>87</v>
      </c>
      <c r="BU419" s="17">
        <v>88</v>
      </c>
      <c r="BV419" s="17">
        <v>82</v>
      </c>
      <c r="BW419" s="91">
        <f t="shared" si="127"/>
        <v>108.42863193562049</v>
      </c>
      <c r="BX419" s="91" t="str">
        <f>_xlfn.XLOOKUP(BW419,'Normative data'!$V$3:$V$6,'Normative data'!$W$3:$W$6,"Not Found",-1)</f>
        <v>Low risk</v>
      </c>
      <c r="BY419" s="91">
        <f t="shared" si="128"/>
        <v>108.85218127911899</v>
      </c>
      <c r="BZ419" s="91" t="str">
        <f>_xlfn.XLOOKUP(BY419,'Normative data'!$V$3:$V$6,'Normative data'!$W$3:$W$6,"Not Found",-1)</f>
        <v>Low risk</v>
      </c>
      <c r="CA419" s="17">
        <v>60</v>
      </c>
      <c r="CC419" s="20"/>
      <c r="CE419" s="17">
        <v>21</v>
      </c>
      <c r="CG419" s="17">
        <v>17.649999999999999</v>
      </c>
      <c r="CH419" s="20" t="str">
        <f>_xlfn.XLOOKUP(CG419, 'Normative data'!$S$9:$S$15,'Normative data'!$T$9:$T$15, "Not Found", -1)</f>
        <v>Above Average</v>
      </c>
      <c r="CI419" s="17">
        <v>17.8</v>
      </c>
      <c r="CJ419" s="20" t="str">
        <f>_xlfn.XLOOKUP(CI419, 'Normative data'!$S$9:$S$15, 'Normative data'!$T$9:$T$15, "Not Found", -1)</f>
        <v>Above Average</v>
      </c>
      <c r="CK419" s="17">
        <v>2.13</v>
      </c>
      <c r="CL419" s="17">
        <v>4.6900000000000004</v>
      </c>
      <c r="CN419" s="17">
        <v>6.64</v>
      </c>
      <c r="CO419" s="17">
        <v>7.53</v>
      </c>
      <c r="CQ419" s="17">
        <v>10.4</v>
      </c>
      <c r="CR419" s="20" t="str" cm="1">
        <f t="array" ref="CR419">IF(OR(ISBLANK(E419),ISBLANK(CQ419)),"Incomplete",_xlfn.XLOOKUP(CQ419,_xlfn.XLOOKUP(E419,'Normative data'!$Y$3:$Y$6,'Normative data'!$Z$3:$AG$6,,-1),'Normative data'!$Z$2:$AG$2,"Not Found",-1))</f>
        <v>Incomplete</v>
      </c>
      <c r="CS419" s="20">
        <v>10</v>
      </c>
      <c r="CT419" s="20">
        <v>4</v>
      </c>
      <c r="CU419" s="20" cm="1">
        <f t="array" ref="CU419">_xlfn.XLOOKUP(CS419&amp;CT419,(VLOOKUP!$A$3:$A$250)&amp;(VLOOKUP!$B$3:$B$250),VLOOKUP!$C$3:$C$250,"Incomplete",-1)</f>
        <v>1740</v>
      </c>
      <c r="CV419" s="20" t="str" cm="1">
        <f t="array" ref="CV419">_xlfn.XLOOKUP(CU419, _xlfn.XLOOKUP(E419, 'Normative data'!$Y$11:$Y$14, 'Normative data'!$Z$11:$AG$14, ,-1), 'Normative data'!$Z$10:$AG$10, "Not Found", -1)</f>
        <v xml:space="preserve">Good </v>
      </c>
      <c r="CW419" s="20" cm="1">
        <f t="array" ref="CW419">IF(OR(ISBLANK(CS419),ISBLANK(CT419)),"Incomplete",_xlfn.XLOOKUP(CS419&amp;CT419,VLOOKUP!$A$4:$A$250&amp;VLOOKUP!$B$4:$B$250,VLOOKUP!$D$4:$D$250,"0"))</f>
        <v>48</v>
      </c>
    </row>
    <row r="420" spans="1:101">
      <c r="A420" s="17" t="s">
        <v>150</v>
      </c>
      <c r="B420" s="17" t="s">
        <v>149</v>
      </c>
      <c r="C420" s="17" t="s">
        <v>86</v>
      </c>
      <c r="D420" s="26">
        <v>40011</v>
      </c>
      <c r="F420" s="17">
        <v>10</v>
      </c>
      <c r="G420" s="17">
        <v>2025</v>
      </c>
      <c r="J420" s="17" t="s">
        <v>122</v>
      </c>
      <c r="S420" s="20"/>
      <c r="T420" s="20">
        <v>155.5</v>
      </c>
      <c r="U420" s="20">
        <v>51</v>
      </c>
      <c r="V420" s="20"/>
      <c r="W420" s="20">
        <v>12.2</v>
      </c>
      <c r="X420" s="20">
        <f>SUM(T420-W420)</f>
        <v>143.30000000000001</v>
      </c>
      <c r="Y420" s="20">
        <v>21.2</v>
      </c>
      <c r="Z420" s="20">
        <v>21.1</v>
      </c>
      <c r="AA420" s="20">
        <v>23.9</v>
      </c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>
        <v>22.8</v>
      </c>
      <c r="AR420" s="20">
        <v>0.43099999999999999</v>
      </c>
      <c r="AS420" s="20">
        <v>29.6</v>
      </c>
      <c r="AT420" s="20">
        <v>0.49099999999999999</v>
      </c>
      <c r="AU420" s="20">
        <v>11.5</v>
      </c>
      <c r="AV420" s="20">
        <v>0.30599999999999999</v>
      </c>
      <c r="AW420" s="20">
        <v>15.9</v>
      </c>
      <c r="AX420" s="20">
        <v>0.36</v>
      </c>
      <c r="AY420" s="41">
        <f t="shared" si="123"/>
        <v>1639.2599999999998</v>
      </c>
      <c r="AZ420" s="20"/>
      <c r="BA420" s="20">
        <f t="shared" si="124"/>
        <v>2052.0200000000004</v>
      </c>
      <c r="BB420" s="20"/>
      <c r="BC420" s="20">
        <f t="shared" si="125"/>
        <v>953.34999999999991</v>
      </c>
      <c r="BD420" s="20"/>
      <c r="BE420" s="20">
        <f t="shared" si="126"/>
        <v>1220.4299999999998</v>
      </c>
      <c r="BF420" s="20"/>
      <c r="BG420" s="20">
        <v>19.8</v>
      </c>
      <c r="BH420" s="20">
        <v>41.6</v>
      </c>
      <c r="BI420" s="20" t="e">
        <f>IF(OR(ISBLANK(#REF!), ISBLANK(#REF!)),"Incomplete",(SUM(#REF!-#REF!)))</f>
        <v>#REF!</v>
      </c>
      <c r="BJ420" s="20"/>
      <c r="BK420" s="20">
        <v>6</v>
      </c>
      <c r="BL420" s="20"/>
      <c r="BM420" s="20">
        <v>6</v>
      </c>
      <c r="BN420" s="20"/>
      <c r="BO420" s="20"/>
      <c r="BP420" s="20"/>
      <c r="BQ420" s="20"/>
      <c r="BR420" s="20"/>
      <c r="BS420" s="20"/>
      <c r="BT420" s="20"/>
      <c r="BU420" s="20"/>
      <c r="BV420" s="20"/>
      <c r="BW420" s="91">
        <f t="shared" si="127"/>
        <v>0</v>
      </c>
      <c r="BX420" s="91" t="str">
        <f>_xlfn.XLOOKUP(BW420,'Normative data'!$V$3:$V$6,'Normative data'!$W$3:$W$6,"Not Found",-1)</f>
        <v>Not completed</v>
      </c>
      <c r="BY420" s="91">
        <f t="shared" si="128"/>
        <v>0</v>
      </c>
      <c r="BZ420" s="91" t="str">
        <f>_xlfn.XLOOKUP(BY420,'Normative data'!$V$3:$V$6,'Normative data'!$W$3:$W$6,"Not Found",-1)</f>
        <v>Not completed</v>
      </c>
      <c r="CA420" s="20"/>
      <c r="CC420" s="20"/>
      <c r="CE420" s="20">
        <v>7</v>
      </c>
      <c r="CG420" s="20">
        <v>17.98</v>
      </c>
      <c r="CH420" s="20" t="e">
        <f>_xlfn.XLOOKUP(#REF!, 'Normative data'!$S$9:$S$15,'Normative data'!$T$9:$T$15, "Not Found", -1)</f>
        <v>#REF!</v>
      </c>
      <c r="CI420" s="20">
        <v>17.579999999999998</v>
      </c>
      <c r="CJ420" s="20" t="e">
        <f>_xlfn.XLOOKUP(#REF!, 'Normative data'!$S$9:$S$15, 'Normative data'!$T$9:$T$15, "Not Found", -1)</f>
        <v>#REF!</v>
      </c>
      <c r="CK420" s="20" t="s">
        <v>538</v>
      </c>
      <c r="CL420" s="20" t="s">
        <v>539</v>
      </c>
      <c r="CM420" s="21"/>
      <c r="CN420" s="20" t="s">
        <v>980</v>
      </c>
      <c r="CO420" s="20" t="s">
        <v>981</v>
      </c>
      <c r="CQ420" s="20"/>
      <c r="CR420" s="20" t="str" cm="1">
        <f t="array" ref="CR420">IF(OR(ISBLANK(E420),ISBLANK(CQ420)),"Incomplete",_xlfn.XLOOKUP(CQ420,_xlfn.XLOOKUP(E420,'Normative data'!$Y$3:$Y$6,'Normative data'!$Z$3:$AG$6,,-1),'Normative data'!$Z$2:$AG$2,"Not Found",-1))</f>
        <v>Incomplete</v>
      </c>
      <c r="CS420" s="20"/>
      <c r="CT420" s="20"/>
      <c r="CU420" s="20" t="str" cm="1">
        <f t="array" ref="CU420">_xlfn.XLOOKUP(CS420&amp;CT420,(VLOOKUP!$A$3:$A$250)&amp;(VLOOKUP!$B$3:$B$250),VLOOKUP!$C$3:$C$250,"Incomplete",-1)</f>
        <v>Incomplete</v>
      </c>
      <c r="CV420" s="20" t="str" cm="1">
        <f t="array" ref="CV420">_xlfn.XLOOKUP(CU420, _xlfn.XLOOKUP(E420, 'Normative data'!$Y$11:$Y$14, 'Normative data'!$Z$11:$AG$14, ,-1), 'Normative data'!$Z$10:$AG$10, "Not Found", -1)</f>
        <v>Excellent</v>
      </c>
      <c r="CW420" s="20" t="str" cm="1">
        <f t="array" ref="CW420">IF(OR(ISBLANK(CS420),ISBLANK(CT420)),"Incomplete",_xlfn.XLOOKUP(CS420&amp;CT420,VLOOKUP!$A$4:$A$250&amp;VLOOKUP!$B$4:$B$250,VLOOKUP!$D$4:$D$250,"0"))</f>
        <v>Incomplete</v>
      </c>
    </row>
    <row r="421" spans="1:101">
      <c r="A421" s="22" t="s">
        <v>947</v>
      </c>
      <c r="B421" s="22" t="s">
        <v>149</v>
      </c>
      <c r="C421" s="17" t="s">
        <v>86</v>
      </c>
      <c r="D421" s="23">
        <v>40268</v>
      </c>
      <c r="F421" s="17">
        <v>9</v>
      </c>
      <c r="G421" s="17">
        <v>2025</v>
      </c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41" t="str">
        <f t="shared" si="123"/>
        <v>Incomplete</v>
      </c>
      <c r="AZ421" s="20"/>
      <c r="BA421" s="20" t="str">
        <f t="shared" si="124"/>
        <v>Incomplete</v>
      </c>
      <c r="BB421" s="20"/>
      <c r="BC421" s="20" t="str">
        <f t="shared" si="125"/>
        <v>Incomplete</v>
      </c>
      <c r="BD421" s="20"/>
      <c r="BE421" s="20" t="str">
        <f t="shared" si="126"/>
        <v>Incomplete</v>
      </c>
      <c r="BF421" s="20"/>
      <c r="BG421" s="20"/>
      <c r="BH421" s="20"/>
      <c r="BI421" s="20" t="str">
        <f>IF(OR(ISBLANK(BG421), ISBLANK(BH421)),"Incomplete",(SUM(BH421-BG421)))</f>
        <v>Incomplete</v>
      </c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91" t="str">
        <f t="shared" si="127"/>
        <v>Incomplete</v>
      </c>
      <c r="BX421" s="91" t="str">
        <f>_xlfn.XLOOKUP(BW421,'Normative data'!$V$3:$V$6,'Normative data'!$W$3:$W$6,"Not Found",-1)</f>
        <v>Very low risk</v>
      </c>
      <c r="BY421" s="91" t="str">
        <f t="shared" si="128"/>
        <v>Incomplete</v>
      </c>
      <c r="BZ421" s="91" t="str">
        <f>_xlfn.XLOOKUP(BY421,'Normative data'!$V$3:$V$6,'Normative data'!$W$3:$W$6,"Not Found",-1)</f>
        <v>Very low risk</v>
      </c>
      <c r="CA421" s="20"/>
      <c r="CC421" s="20"/>
      <c r="CE421" s="20">
        <v>7</v>
      </c>
      <c r="CG421" s="20"/>
      <c r="CH421" s="20" t="str">
        <f>_xlfn.XLOOKUP(CG421, 'Normative data'!$S$9:$S$15,'Normative data'!$T$9:$T$15, "Not Found", -1)</f>
        <v>not completed</v>
      </c>
      <c r="CI421" s="20"/>
      <c r="CJ421" s="20" t="str">
        <f>_xlfn.XLOOKUP(CI421, 'Normative data'!$S$9:$S$15, 'Normative data'!$T$9:$T$15, "Not Found", -1)</f>
        <v>not completed</v>
      </c>
      <c r="CK421" s="24">
        <v>2.76</v>
      </c>
      <c r="CL421" s="24">
        <v>3.62</v>
      </c>
      <c r="CM421" s="24"/>
      <c r="CN421" s="24">
        <v>7.72</v>
      </c>
      <c r="CO421" s="24">
        <v>6.48</v>
      </c>
      <c r="CP421" s="24"/>
      <c r="CQ421" s="20"/>
      <c r="CR421" s="20" t="str" cm="1">
        <f t="array" ref="CR421">IF(OR(ISBLANK(E421),ISBLANK(CQ421)),"Incomplete",_xlfn.XLOOKUP(CQ421,_xlfn.XLOOKUP(E421,'Normative data'!$Y$3:$Y$6,'Normative data'!$Z$3:$AG$6,,-1),'Normative data'!$Z$2:$AG$2,"Not Found",-1))</f>
        <v>Incomplete</v>
      </c>
      <c r="CS421" s="20"/>
      <c r="CT421" s="20"/>
      <c r="CU421" s="20" t="str" cm="1">
        <f t="array" ref="CU421">_xlfn.XLOOKUP(CS421&amp;CT421,(VLOOKUP!$A$3:$A$250)&amp;(VLOOKUP!$B$3:$B$250),VLOOKUP!$C$3:$C$250,"Incomplete",-1)</f>
        <v>Incomplete</v>
      </c>
      <c r="CV421" s="20" t="str" cm="1">
        <f t="array" ref="CV421">_xlfn.XLOOKUP(CU421, _xlfn.XLOOKUP(E421, 'Normative data'!$Y$11:$Y$14, 'Normative data'!$Z$11:$AG$14, ,-1), 'Normative data'!$Z$10:$AG$10, "Not Found", -1)</f>
        <v>Excellent</v>
      </c>
      <c r="CW421" s="20" t="str" cm="1">
        <f t="array" ref="CW421">IF(OR(ISBLANK(CS421),ISBLANK(CT421)),"Incomplete",_xlfn.XLOOKUP(CS421&amp;CT421,VLOOKUP!$A$4:$A$250&amp;VLOOKUP!$B$4:$B$250,VLOOKUP!$D$4:$D$250,"0"))</f>
        <v>Incomplete</v>
      </c>
    </row>
    <row r="422" spans="1:101">
      <c r="A422" s="17" t="s">
        <v>982</v>
      </c>
      <c r="B422" s="18" t="s">
        <v>557</v>
      </c>
      <c r="C422" s="17" t="s">
        <v>86</v>
      </c>
      <c r="D422" s="19">
        <v>40268</v>
      </c>
      <c r="F422" s="17">
        <v>9</v>
      </c>
      <c r="G422" s="17">
        <v>2025</v>
      </c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41" t="str">
        <f t="shared" si="123"/>
        <v>Incomplete</v>
      </c>
      <c r="AZ422" s="20"/>
      <c r="BA422" s="20" t="str">
        <f t="shared" si="124"/>
        <v>Incomplete</v>
      </c>
      <c r="BB422" s="20"/>
      <c r="BC422" s="20" t="str">
        <f t="shared" si="125"/>
        <v>Incomplete</v>
      </c>
      <c r="BD422" s="20"/>
      <c r="BE422" s="20" t="str">
        <f t="shared" si="126"/>
        <v>Incomplete</v>
      </c>
      <c r="BF422" s="20"/>
      <c r="BG422" s="20">
        <v>13</v>
      </c>
      <c r="BH422" s="20">
        <v>27</v>
      </c>
      <c r="BI422" s="20" t="e">
        <f>IF(OR(ISBLANK(#REF!), ISBLANK(#REF!)),"Incomplete",(SUM(#REF!-#REF!)))</f>
        <v>#REF!</v>
      </c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91" t="str">
        <f t="shared" si="127"/>
        <v>Incomplete</v>
      </c>
      <c r="BX422" s="91" t="str">
        <f>_xlfn.XLOOKUP(BW422,'Normative data'!$V$3:$V$6,'Normative data'!$W$3:$W$6,"Not Found",-1)</f>
        <v>Very low risk</v>
      </c>
      <c r="BY422" s="91" t="str">
        <f t="shared" si="128"/>
        <v>Incomplete</v>
      </c>
      <c r="BZ422" s="91" t="str">
        <f>_xlfn.XLOOKUP(BY422,'Normative data'!$V$3:$V$6,'Normative data'!$W$3:$W$6,"Not Found",-1)</f>
        <v>Very low risk</v>
      </c>
      <c r="CA422" s="20"/>
      <c r="CC422" s="20"/>
      <c r="CE422" s="20"/>
      <c r="CG422" s="20"/>
      <c r="CH422" s="20" t="str">
        <f>_xlfn.XLOOKUP(CG422, 'Normative data'!$S$9:$S$15,'Normative data'!$T$9:$T$15, "Not Found", -1)</f>
        <v>not completed</v>
      </c>
      <c r="CI422" s="20"/>
      <c r="CJ422" s="20" t="str">
        <f>_xlfn.XLOOKUP(CI422, 'Normative data'!$S$9:$S$15, 'Normative data'!$T$9:$T$15, "Not Found", -1)</f>
        <v>not completed</v>
      </c>
      <c r="CK422" s="21">
        <v>2.48</v>
      </c>
      <c r="CL422" s="21">
        <v>4.03</v>
      </c>
      <c r="CM422" s="21"/>
      <c r="CN422" s="21">
        <v>7.56</v>
      </c>
      <c r="CO422" s="21">
        <v>6.61</v>
      </c>
      <c r="CP422" s="21"/>
      <c r="CQ422" s="20"/>
      <c r="CR422" s="20" t="str" cm="1">
        <f t="array" ref="CR422">IF(OR(ISBLANK(E422),ISBLANK(CQ422)),"Incomplete",_xlfn.XLOOKUP(CQ422,_xlfn.XLOOKUP(E422,'Normative data'!$Y$3:$Y$6,'Normative data'!$Z$3:$AG$6,,-1),'Normative data'!$Z$2:$AG$2,"Not Found",-1))</f>
        <v>Incomplete</v>
      </c>
      <c r="CS422" s="20"/>
      <c r="CT422" s="20"/>
      <c r="CU422" s="20" t="str" cm="1">
        <f t="array" ref="CU422">_xlfn.XLOOKUP(CS422&amp;CT422,(VLOOKUP!$A$3:$A$250)&amp;(VLOOKUP!$B$3:$B$250),VLOOKUP!$C$3:$C$250,"Incomplete",-1)</f>
        <v>Incomplete</v>
      </c>
      <c r="CV422" s="20" t="str" cm="1">
        <f t="array" ref="CV422">_xlfn.XLOOKUP(CU422, _xlfn.XLOOKUP(E422, 'Normative data'!$Y$11:$Y$14, 'Normative data'!$Z$11:$AG$14, ,-1), 'Normative data'!$Z$10:$AG$10, "Not Found", -1)</f>
        <v>Excellent</v>
      </c>
      <c r="CW422" s="20" t="str" cm="1">
        <f t="array" ref="CW422">IF(OR(ISBLANK(CS422),ISBLANK(CT422)),"Incomplete",_xlfn.XLOOKUP(CS422&amp;CT422,VLOOKUP!$A$4:$A$250&amp;VLOOKUP!$B$4:$B$250,VLOOKUP!$D$4:$D$250,"0"))</f>
        <v>Incomplete</v>
      </c>
    </row>
    <row r="423" spans="1:101">
      <c r="A423" s="17" t="s">
        <v>982</v>
      </c>
      <c r="B423" s="17" t="s">
        <v>557</v>
      </c>
      <c r="C423" s="17" t="s">
        <v>86</v>
      </c>
      <c r="D423" s="19">
        <v>40268</v>
      </c>
      <c r="F423" s="17">
        <v>9</v>
      </c>
      <c r="G423" s="17">
        <v>2025</v>
      </c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41" t="str">
        <f t="shared" si="123"/>
        <v>Incomplete</v>
      </c>
      <c r="AZ423" s="20"/>
      <c r="BA423" s="20" t="str">
        <f t="shared" si="124"/>
        <v>Incomplete</v>
      </c>
      <c r="BB423" s="20"/>
      <c r="BC423" s="20" t="str">
        <f t="shared" si="125"/>
        <v>Incomplete</v>
      </c>
      <c r="BD423" s="20"/>
      <c r="BE423" s="20" t="str">
        <f t="shared" si="126"/>
        <v>Incomplete</v>
      </c>
      <c r="BF423" s="20"/>
      <c r="BG423" s="20"/>
      <c r="BH423" s="20"/>
      <c r="BI423" s="20" t="str">
        <f>IF(OR(ISBLANK(BG423), ISBLANK(BH423)),"Incomplete",(SUM(BH423-BG423)))</f>
        <v>Incomplete</v>
      </c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91" t="str">
        <f t="shared" si="127"/>
        <v>Incomplete</v>
      </c>
      <c r="BX423" s="91" t="str">
        <f>_xlfn.XLOOKUP(BW423,'Normative data'!$V$3:$V$6,'Normative data'!$W$3:$W$6,"Not Found",-1)</f>
        <v>Very low risk</v>
      </c>
      <c r="BY423" s="91" t="str">
        <f t="shared" si="128"/>
        <v>Incomplete</v>
      </c>
      <c r="BZ423" s="91" t="str">
        <f>_xlfn.XLOOKUP(BY423,'Normative data'!$V$3:$V$6,'Normative data'!$W$3:$W$6,"Not Found",-1)</f>
        <v>Very low risk</v>
      </c>
      <c r="CA423" s="20"/>
      <c r="CC423" s="20"/>
      <c r="CE423" s="20">
        <v>8</v>
      </c>
      <c r="CG423" s="20"/>
      <c r="CH423" s="20" t="str">
        <f>_xlfn.XLOOKUP(CG423, 'Normative data'!$S$9:$S$15,'Normative data'!$T$9:$T$15, "Not Found", -1)</f>
        <v>not completed</v>
      </c>
      <c r="CI423" s="20"/>
      <c r="CJ423" s="20" t="str">
        <f>_xlfn.XLOOKUP(CI423, 'Normative data'!$S$9:$S$15, 'Normative data'!$T$9:$T$15, "Not Found", -1)</f>
        <v>not completed</v>
      </c>
      <c r="CK423" s="20" t="s">
        <v>428</v>
      </c>
      <c r="CL423" s="20" t="s">
        <v>905</v>
      </c>
      <c r="CN423" s="20" t="s">
        <v>748</v>
      </c>
      <c r="CO423" s="20" t="s">
        <v>749</v>
      </c>
      <c r="CQ423" s="20"/>
      <c r="CR423" s="20" t="str" cm="1">
        <f t="array" ref="CR423">IF(OR(ISBLANK(E423),ISBLANK(CQ423)),"Incomplete",_xlfn.XLOOKUP(CQ423,_xlfn.XLOOKUP(E423,'Normative data'!$Y$3:$Y$6,'Normative data'!$Z$3:$AG$6,,-1),'Normative data'!$Z$2:$AG$2,"Not Found",-1))</f>
        <v>Incomplete</v>
      </c>
      <c r="CS423" s="20"/>
      <c r="CT423" s="20"/>
      <c r="CU423" s="20" t="str" cm="1">
        <f t="array" ref="CU423">_xlfn.XLOOKUP(CS423&amp;CT423,(VLOOKUP!$A$3:$A$250)&amp;(VLOOKUP!$B$3:$B$250),VLOOKUP!$C$3:$C$250,"Incomplete",-1)</f>
        <v>Incomplete</v>
      </c>
      <c r="CV423" s="20" t="str" cm="1">
        <f t="array" ref="CV423">_xlfn.XLOOKUP(CU423, _xlfn.XLOOKUP(E423, 'Normative data'!$Y$11:$Y$14, 'Normative data'!$Z$11:$AG$14, ,-1), 'Normative data'!$Z$10:$AG$10, "Not Found", -1)</f>
        <v>Excellent</v>
      </c>
      <c r="CW423" s="20" t="str" cm="1">
        <f t="array" ref="CW423">IF(OR(ISBLANK(CS423),ISBLANK(CT423)),"Incomplete",_xlfn.XLOOKUP(CS423&amp;CT423,VLOOKUP!$A$4:$A$250&amp;VLOOKUP!$B$4:$B$250,VLOOKUP!$D$4:$D$250,"0"))</f>
        <v>Incomplete</v>
      </c>
    </row>
    <row r="424" spans="1:101">
      <c r="A424" s="22" t="s">
        <v>983</v>
      </c>
      <c r="B424" s="22" t="s">
        <v>984</v>
      </c>
      <c r="C424" s="17" t="s">
        <v>86</v>
      </c>
      <c r="D424" s="23">
        <v>40735</v>
      </c>
      <c r="F424" s="17">
        <v>8</v>
      </c>
      <c r="G424" s="17">
        <v>2025</v>
      </c>
      <c r="J424" s="17" t="s">
        <v>122</v>
      </c>
      <c r="S424" s="20"/>
      <c r="T424" s="20">
        <v>169</v>
      </c>
      <c r="U424" s="20">
        <v>67.400000000000006</v>
      </c>
      <c r="V424" s="20"/>
      <c r="W424" s="20">
        <v>16.5</v>
      </c>
      <c r="X424" s="20">
        <f>SUM(T424-W424)</f>
        <v>152.5</v>
      </c>
      <c r="Y424" s="20">
        <v>28.2</v>
      </c>
      <c r="Z424" s="20">
        <v>23.6</v>
      </c>
      <c r="AA424" s="20">
        <v>24.5</v>
      </c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41" t="str">
        <f t="shared" si="123"/>
        <v>Incomplete</v>
      </c>
      <c r="AZ424" s="20"/>
      <c r="BA424" s="20" t="str">
        <f t="shared" si="124"/>
        <v>Incomplete</v>
      </c>
      <c r="BB424" s="20"/>
      <c r="BC424" s="20" t="str">
        <f t="shared" si="125"/>
        <v>Incomplete</v>
      </c>
      <c r="BD424" s="20"/>
      <c r="BE424" s="20" t="str">
        <f t="shared" si="126"/>
        <v>Incomplete</v>
      </c>
      <c r="BF424" s="20"/>
      <c r="BG424" s="20"/>
      <c r="BH424" s="20"/>
      <c r="BI424" s="20" t="str">
        <f>IF(OR(ISBLANK(BG424), ISBLANK(BH424)),"Incomplete",(SUM(BH424-BG424)))</f>
        <v>Incomplete</v>
      </c>
      <c r="BJ424" s="20"/>
      <c r="BK424" s="20">
        <v>5</v>
      </c>
      <c r="BL424" s="20"/>
      <c r="BM424" s="20">
        <v>6</v>
      </c>
      <c r="BN424" s="20"/>
      <c r="BO424" s="20"/>
      <c r="BP424" s="20"/>
      <c r="BQ424" s="20"/>
      <c r="BR424" s="20"/>
      <c r="BS424" s="20"/>
      <c r="BT424" s="20"/>
      <c r="BU424" s="20"/>
      <c r="BV424" s="20"/>
      <c r="BW424" s="91">
        <f t="shared" si="127"/>
        <v>0</v>
      </c>
      <c r="BX424" s="91" t="str">
        <f>_xlfn.XLOOKUP(BW424,'Normative data'!$V$3:$V$6,'Normative data'!$W$3:$W$6,"Not Found",-1)</f>
        <v>Not completed</v>
      </c>
      <c r="BY424" s="91">
        <f t="shared" si="128"/>
        <v>0</v>
      </c>
      <c r="BZ424" s="91" t="str">
        <f>_xlfn.XLOOKUP(BY424,'Normative data'!$V$3:$V$6,'Normative data'!$W$3:$W$6,"Not Found",-1)</f>
        <v>Not completed</v>
      </c>
      <c r="CA424" s="20"/>
      <c r="CC424" s="20"/>
      <c r="CE424" s="20"/>
      <c r="CG424" s="20">
        <v>19.71</v>
      </c>
      <c r="CH424" s="20" t="e">
        <f>_xlfn.XLOOKUP(#REF!, 'Normative data'!$S$9:$S$15,'Normative data'!$T$9:$T$15, "Not Found", -1)</f>
        <v>#REF!</v>
      </c>
      <c r="CI424" s="20">
        <v>18.93</v>
      </c>
      <c r="CJ424" s="20" t="e">
        <f>_xlfn.XLOOKUP(#REF!, 'Normative data'!$S$9:$S$15, 'Normative data'!$T$9:$T$15, "Not Found", -1)</f>
        <v>#REF!</v>
      </c>
      <c r="CK424" s="21"/>
      <c r="CL424" s="21"/>
      <c r="CM424" s="21"/>
      <c r="CN424" s="21"/>
      <c r="CO424" s="21"/>
      <c r="CP424" s="24"/>
      <c r="CQ424" s="20"/>
      <c r="CR424" s="20" t="str" cm="1">
        <f t="array" ref="CR424">IF(OR(ISBLANK(E424),ISBLANK(CQ424)),"Incomplete",_xlfn.XLOOKUP(CQ424,_xlfn.XLOOKUP(E424,'Normative data'!$Y$3:$Y$6,'Normative data'!$Z$3:$AG$6,,-1),'Normative data'!$Z$2:$AG$2,"Not Found",-1))</f>
        <v>Incomplete</v>
      </c>
      <c r="CS424" s="20"/>
      <c r="CT424" s="20"/>
      <c r="CU424" s="20" t="str" cm="1">
        <f t="array" ref="CU424">_xlfn.XLOOKUP(CS424&amp;CT424,(VLOOKUP!$A$3:$A$250)&amp;(VLOOKUP!$B$3:$B$250),VLOOKUP!$C$3:$C$250,"Incomplete",-1)</f>
        <v>Incomplete</v>
      </c>
      <c r="CV424" s="20" t="str" cm="1">
        <f t="array" ref="CV424">_xlfn.XLOOKUP(CU424, _xlfn.XLOOKUP(E424, 'Normative data'!$Y$11:$Y$14, 'Normative data'!$Z$11:$AG$14, ,-1), 'Normative data'!$Z$10:$AG$10, "Not Found", -1)</f>
        <v>Excellent</v>
      </c>
      <c r="CW424" s="20" t="str" cm="1">
        <f t="array" ref="CW424">IF(OR(ISBLANK(CS424),ISBLANK(CT424)),"Incomplete",_xlfn.XLOOKUP(CS424&amp;CT424,VLOOKUP!$A$4:$A$250&amp;VLOOKUP!$B$4:$B$250,VLOOKUP!$D$4:$D$250,"0"))</f>
        <v>Incomplete</v>
      </c>
    </row>
    <row r="425" spans="1:101">
      <c r="A425" s="17" t="s">
        <v>983</v>
      </c>
      <c r="B425" s="17" t="s">
        <v>984</v>
      </c>
      <c r="C425" s="17" t="s">
        <v>86</v>
      </c>
      <c r="D425" s="23">
        <v>40735</v>
      </c>
      <c r="G425" s="17">
        <v>2025</v>
      </c>
      <c r="J425" s="17" t="s">
        <v>122</v>
      </c>
      <c r="S425" s="20"/>
      <c r="T425" s="20" t="s">
        <v>443</v>
      </c>
      <c r="U425" s="20" t="s">
        <v>985</v>
      </c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>
        <v>18.2</v>
      </c>
      <c r="AR425" s="20">
        <v>0.38500000000000001</v>
      </c>
      <c r="AS425" s="20">
        <v>23.4</v>
      </c>
      <c r="AT425" s="20">
        <v>0.437</v>
      </c>
      <c r="AU425" s="20">
        <v>7.5</v>
      </c>
      <c r="AV425" s="20">
        <v>0.248</v>
      </c>
      <c r="AW425" s="20">
        <v>5.0999999999999996</v>
      </c>
      <c r="AX425" s="20">
        <v>0.20300000000000001</v>
      </c>
      <c r="AY425" s="41" t="e">
        <f>IF(OR(ISBLANK(#REF!), ISBLANK(AQ425)), "Incomplete", (60.7*AQ425)+(45.3*#REF!)-2055)</f>
        <v>#REF!</v>
      </c>
      <c r="AZ425" s="20"/>
      <c r="BA425" s="20" t="e">
        <f>IF(OR(ISBLANK(#REF!), ISBLANK(AS425)), "Incomplete", (60.7*AS425)+(45.3*#REF!)-2055)</f>
        <v>#REF!</v>
      </c>
      <c r="BB425" s="20"/>
      <c r="BC425" s="20" t="e">
        <f>IF(OR(ISBLANK(#REF!), ISBLANK(AU425)), "Incomplete", (60.7*AU425)+(45.3*#REF!)-2055)</f>
        <v>#REF!</v>
      </c>
      <c r="BD425" s="20"/>
      <c r="BE425" s="20" t="e">
        <f>IF(OR(ISBLANK(#REF!), ISBLANK(AW425)), "Incomplete", (60.7*AW425)+(45.3*#REF!)-2055)</f>
        <v>#REF!</v>
      </c>
      <c r="BF425" s="20"/>
      <c r="BG425" s="20">
        <v>9</v>
      </c>
      <c r="BH425" s="20">
        <v>31</v>
      </c>
      <c r="BI425" s="20" t="e">
        <f>IF(OR(ISBLANK(#REF!), ISBLANK(#REF!)),"Incomplete",(SUM(#REF!-#REF!)))</f>
        <v>#REF!</v>
      </c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91" t="str">
        <f>IFERROR(SUM(BQ425+BR425+BS425)/(3*(#REF!-S425))*100, "Incomplete")</f>
        <v>Incomplete</v>
      </c>
      <c r="BX425" s="91" t="str">
        <f>_xlfn.XLOOKUP(BW425,'Normative data'!$V$3:$V$6,'Normative data'!$W$3:$W$6,"Not Found",-1)</f>
        <v>Very low risk</v>
      </c>
      <c r="BY425" s="91" t="str">
        <f>IFERROR(SUM(BT425+BU425+BV425)/(3*(#REF!-S425))*100, "Incomplete")</f>
        <v>Incomplete</v>
      </c>
      <c r="BZ425" s="91" t="str">
        <f>_xlfn.XLOOKUP(BY425,'Normative data'!$V$3:$V$6,'Normative data'!$W$3:$W$6,"Not Found",-1)</f>
        <v>Very low risk</v>
      </c>
      <c r="CA425" s="20"/>
      <c r="CC425" s="20"/>
      <c r="CE425" s="20">
        <v>8</v>
      </c>
      <c r="CG425" s="20">
        <v>18.489999999999998</v>
      </c>
      <c r="CH425" s="20" t="e">
        <f>_xlfn.XLOOKUP(#REF!, 'Normative data'!$S$9:$S$15,'Normative data'!$T$9:$T$15, "Not Found", -1)</f>
        <v>#REF!</v>
      </c>
      <c r="CI425" s="20">
        <v>18.12</v>
      </c>
      <c r="CJ425" s="20" t="e">
        <f>_xlfn.XLOOKUP(#REF!, 'Normative data'!$S$9:$S$15, 'Normative data'!$T$9:$T$15, "Not Found", -1)</f>
        <v>#REF!</v>
      </c>
      <c r="CK425" s="24">
        <v>2.2200000000000002</v>
      </c>
      <c r="CL425" s="24">
        <v>4.5</v>
      </c>
      <c r="CM425" s="21"/>
      <c r="CN425" s="24">
        <v>6.95</v>
      </c>
      <c r="CO425" s="24">
        <v>7.19</v>
      </c>
      <c r="CQ425" s="20"/>
      <c r="CR425" s="20" t="str" cm="1">
        <f t="array" ref="CR425">IF(OR(ISBLANK(E425),ISBLANK(CQ425)),"Incomplete",_xlfn.XLOOKUP(CQ425,_xlfn.XLOOKUP(E425,'Normative data'!$Y$3:$Y$6,'Normative data'!$Z$3:$AG$6,,-1),'Normative data'!$Z$2:$AG$2,"Not Found",-1))</f>
        <v>Incomplete</v>
      </c>
      <c r="CS425" s="20"/>
      <c r="CT425" s="20"/>
      <c r="CU425" s="20" t="str" cm="1">
        <f t="array" ref="CU425">_xlfn.XLOOKUP(CS425&amp;CT425,(VLOOKUP!$A$3:$A$250)&amp;(VLOOKUP!$B$3:$B$250),VLOOKUP!$C$3:$C$250,"Incomplete",-1)</f>
        <v>Incomplete</v>
      </c>
      <c r="CV425" s="20" t="str" cm="1">
        <f t="array" ref="CV425">_xlfn.XLOOKUP(CU425, _xlfn.XLOOKUP(E425, 'Normative data'!$Y$11:$Y$14, 'Normative data'!$Z$11:$AG$14, ,-1), 'Normative data'!$Z$10:$AG$10, "Not Found", -1)</f>
        <v>Excellent</v>
      </c>
      <c r="CW425" s="20" t="str" cm="1">
        <f t="array" ref="CW425">IF(OR(ISBLANK(CS425),ISBLANK(CT425)),"Incomplete",_xlfn.XLOOKUP(CS425&amp;CT425,VLOOKUP!$A$4:$A$250&amp;VLOOKUP!$B$4:$B$250,VLOOKUP!$D$4:$D$250,"0"))</f>
        <v>Incomplete</v>
      </c>
    </row>
    <row r="426" spans="1:101">
      <c r="A426" s="22" t="s">
        <v>986</v>
      </c>
      <c r="B426" s="22" t="s">
        <v>987</v>
      </c>
      <c r="C426" s="17" t="s">
        <v>86</v>
      </c>
      <c r="D426" s="23">
        <v>39938</v>
      </c>
      <c r="F426" s="17">
        <v>11</v>
      </c>
      <c r="G426" s="17">
        <v>2025</v>
      </c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41" t="str">
        <f t="shared" ref="AY426:AY445" si="129">IF(OR(ISBLANK(U426), ISBLANK(AQ426)), "Incomplete", (60.7*AQ426)+(45.3*U426)-2055)</f>
        <v>Incomplete</v>
      </c>
      <c r="AZ426" s="20"/>
      <c r="BA426" s="20" t="str">
        <f t="shared" ref="BA426:BA445" si="130">IF(OR(ISBLANK(U426), ISBLANK(AS426)), "Incomplete", (60.7*AS426)+(45.3*U426)-2055)</f>
        <v>Incomplete</v>
      </c>
      <c r="BB426" s="20"/>
      <c r="BC426" s="20" t="str">
        <f t="shared" ref="BC426:BC445" si="131">IF(OR(ISBLANK(U426), ISBLANK(AU426)), "Incomplete", (60.7*AU426)+(45.3*U426)-2055)</f>
        <v>Incomplete</v>
      </c>
      <c r="BD426" s="20"/>
      <c r="BE426" s="20" t="str">
        <f t="shared" ref="BE426:BE445" si="132">IF(OR(ISBLANK(U426), ISBLANK(AW426)), "Incomplete", (60.7*AW426)+(45.3*U426)-2055)</f>
        <v>Incomplete</v>
      </c>
      <c r="BF426" s="20"/>
      <c r="BG426" s="20">
        <v>10</v>
      </c>
      <c r="BH426" s="20">
        <v>45</v>
      </c>
      <c r="BI426" s="20">
        <f t="shared" ref="BI426:BI437" si="133">IF(OR(ISBLANK(BG426), ISBLANK(BH426)),"Incomplete",(SUM(BH426-BG426)))</f>
        <v>35</v>
      </c>
      <c r="BJ426" s="20"/>
      <c r="BK426" s="20">
        <v>4</v>
      </c>
      <c r="BL426" s="20"/>
      <c r="BM426" s="20">
        <v>5</v>
      </c>
      <c r="BN426" s="20"/>
      <c r="BO426" s="20"/>
      <c r="BP426" s="20"/>
      <c r="BQ426" s="20"/>
      <c r="BR426" s="20"/>
      <c r="BS426" s="20"/>
      <c r="BT426" s="20"/>
      <c r="BU426" s="20"/>
      <c r="BV426" s="20"/>
      <c r="BW426" s="91" t="str">
        <f t="shared" ref="BW426:BW445" si="134">IFERROR(SUM(BQ426+BR426+BS426)/(3*(T426-S426))*100, "Incomplete")</f>
        <v>Incomplete</v>
      </c>
      <c r="BX426" s="91" t="str">
        <f>_xlfn.XLOOKUP(BW426,'Normative data'!$V$3:$V$6,'Normative data'!$W$3:$W$6,"Not Found",-1)</f>
        <v>Very low risk</v>
      </c>
      <c r="BY426" s="91" t="str">
        <f t="shared" ref="BY426:BY445" si="135">IFERROR(SUM(BT426+BU426+BV426)/(3*(T426-S426))*100, "Incomplete")</f>
        <v>Incomplete</v>
      </c>
      <c r="BZ426" s="91" t="str">
        <f>_xlfn.XLOOKUP(BY426,'Normative data'!$V$3:$V$6,'Normative data'!$W$3:$W$6,"Not Found",-1)</f>
        <v>Very low risk</v>
      </c>
      <c r="CA426" s="20"/>
      <c r="CC426" s="20"/>
      <c r="CE426" s="20"/>
      <c r="CG426" s="20"/>
      <c r="CH426" s="20" t="str">
        <f>_xlfn.XLOOKUP(CG426, 'Normative data'!$S$9:$S$15,'Normative data'!$T$9:$T$15, "Not Found", -1)</f>
        <v>not completed</v>
      </c>
      <c r="CI426" s="20"/>
      <c r="CJ426" s="20" t="str">
        <f>_xlfn.XLOOKUP(CI426, 'Normative data'!$S$9:$S$15, 'Normative data'!$T$9:$T$15, "Not Found", -1)</f>
        <v>not completed</v>
      </c>
      <c r="CK426" s="24">
        <v>2.2000000000000002</v>
      </c>
      <c r="CL426" s="24">
        <v>4.55</v>
      </c>
      <c r="CM426" s="21"/>
      <c r="CN426" s="24">
        <v>6.7</v>
      </c>
      <c r="CO426" s="24">
        <v>7.46</v>
      </c>
      <c r="CP426" s="24"/>
      <c r="CQ426" s="20"/>
      <c r="CR426" s="20" t="str" cm="1">
        <f t="array" ref="CR426">IF(OR(ISBLANK(E426),ISBLANK(CQ426)),"Incomplete",_xlfn.XLOOKUP(CQ426,_xlfn.XLOOKUP(E426,'Normative data'!$Y$3:$Y$6,'Normative data'!$Z$3:$AG$6,,-1),'Normative data'!$Z$2:$AG$2,"Not Found",-1))</f>
        <v>Incomplete</v>
      </c>
      <c r="CS426" s="20"/>
      <c r="CT426" s="20"/>
      <c r="CU426" s="20" t="str" cm="1">
        <f t="array" ref="CU426">_xlfn.XLOOKUP(CS426&amp;CT426,(VLOOKUP!$A$3:$A$250)&amp;(VLOOKUP!$B$3:$B$250),VLOOKUP!$C$3:$C$250,"Incomplete",-1)</f>
        <v>Incomplete</v>
      </c>
      <c r="CV426" s="20" t="str" cm="1">
        <f t="array" ref="CV426">_xlfn.XLOOKUP(CU426, _xlfn.XLOOKUP(E426, 'Normative data'!$Y$11:$Y$14, 'Normative data'!$Z$11:$AG$14, ,-1), 'Normative data'!$Z$10:$AG$10, "Not Found", -1)</f>
        <v>Excellent</v>
      </c>
      <c r="CW426" s="20" t="str" cm="1">
        <f t="array" ref="CW426">IF(OR(ISBLANK(CS426),ISBLANK(CT426)),"Incomplete",_xlfn.XLOOKUP(CS426&amp;CT426,VLOOKUP!$A$4:$A$250&amp;VLOOKUP!$B$4:$B$250,VLOOKUP!$D$4:$D$250,"0"))</f>
        <v>Incomplete</v>
      </c>
    </row>
    <row r="427" spans="1:101">
      <c r="A427" s="22" t="s">
        <v>988</v>
      </c>
      <c r="B427" s="22" t="s">
        <v>989</v>
      </c>
      <c r="C427" s="17" t="s">
        <v>86</v>
      </c>
      <c r="D427" s="23">
        <v>40168</v>
      </c>
      <c r="F427" s="17">
        <v>9</v>
      </c>
      <c r="G427" s="17">
        <v>2025</v>
      </c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41" t="str">
        <f t="shared" si="129"/>
        <v>Incomplete</v>
      </c>
      <c r="AZ427" s="20"/>
      <c r="BA427" s="20" t="str">
        <f t="shared" si="130"/>
        <v>Incomplete</v>
      </c>
      <c r="BB427" s="20"/>
      <c r="BC427" s="20" t="str">
        <f t="shared" si="131"/>
        <v>Incomplete</v>
      </c>
      <c r="BD427" s="20"/>
      <c r="BE427" s="20" t="str">
        <f t="shared" si="132"/>
        <v>Incomplete</v>
      </c>
      <c r="BF427" s="20"/>
      <c r="BG427" s="20">
        <v>9</v>
      </c>
      <c r="BH427" s="20">
        <v>27</v>
      </c>
      <c r="BI427" s="20">
        <f t="shared" si="133"/>
        <v>18</v>
      </c>
      <c r="BJ427" s="20"/>
      <c r="BK427" s="20">
        <v>3</v>
      </c>
      <c r="BL427" s="20"/>
      <c r="BM427" s="20">
        <v>4</v>
      </c>
      <c r="BN427" s="20"/>
      <c r="BO427" s="20"/>
      <c r="BP427" s="20"/>
      <c r="BQ427" s="20"/>
      <c r="BR427" s="20"/>
      <c r="BS427" s="20"/>
      <c r="BT427" s="20"/>
      <c r="BU427" s="20"/>
      <c r="BV427" s="20"/>
      <c r="BW427" s="91" t="str">
        <f t="shared" si="134"/>
        <v>Incomplete</v>
      </c>
      <c r="BX427" s="91" t="str">
        <f>_xlfn.XLOOKUP(BW427,'Normative data'!$V$3:$V$6,'Normative data'!$W$3:$W$6,"Not Found",-1)</f>
        <v>Very low risk</v>
      </c>
      <c r="BY427" s="91" t="str">
        <f t="shared" si="135"/>
        <v>Incomplete</v>
      </c>
      <c r="BZ427" s="91" t="str">
        <f>_xlfn.XLOOKUP(BY427,'Normative data'!$V$3:$V$6,'Normative data'!$W$3:$W$6,"Not Found",-1)</f>
        <v>Very low risk</v>
      </c>
      <c r="CA427" s="20"/>
      <c r="CC427" s="20"/>
      <c r="CE427" s="20">
        <v>7</v>
      </c>
      <c r="CG427" s="20"/>
      <c r="CH427" s="20" t="str">
        <f>_xlfn.XLOOKUP(CG427, 'Normative data'!$S$9:$S$15,'Normative data'!$T$9:$T$15, "Not Found", -1)</f>
        <v>not completed</v>
      </c>
      <c r="CI427" s="20"/>
      <c r="CJ427" s="20" t="str">
        <f>_xlfn.XLOOKUP(CI427, 'Normative data'!$S$9:$S$15, 'Normative data'!$T$9:$T$15, "Not Found", -1)</f>
        <v>not completed</v>
      </c>
      <c r="CK427" s="24">
        <v>2.4300000000000002</v>
      </c>
      <c r="CL427" s="24">
        <v>4.12</v>
      </c>
      <c r="CM427" s="21"/>
      <c r="CN427" s="24">
        <v>7.76</v>
      </c>
      <c r="CO427" s="24">
        <v>6.44</v>
      </c>
      <c r="CP427" s="24"/>
      <c r="CQ427" s="20"/>
      <c r="CR427" s="20" t="str" cm="1">
        <f t="array" ref="CR427">IF(OR(ISBLANK(E427),ISBLANK(CQ427)),"Incomplete",_xlfn.XLOOKUP(CQ427,_xlfn.XLOOKUP(E427,'Normative data'!$Y$3:$Y$6,'Normative data'!$Z$3:$AG$6,,-1),'Normative data'!$Z$2:$AG$2,"Not Found",-1))</f>
        <v>Incomplete</v>
      </c>
      <c r="CS427" s="20"/>
      <c r="CT427" s="20"/>
      <c r="CU427" s="20" t="str" cm="1">
        <f t="array" ref="CU427">_xlfn.XLOOKUP(CS427&amp;CT427,(VLOOKUP!$A$3:$A$250)&amp;(VLOOKUP!$B$3:$B$250),VLOOKUP!$C$3:$C$250,"Incomplete",-1)</f>
        <v>Incomplete</v>
      </c>
      <c r="CV427" s="20" t="str" cm="1">
        <f t="array" ref="CV427">_xlfn.XLOOKUP(CU427, _xlfn.XLOOKUP(E427, 'Normative data'!$Y$11:$Y$14, 'Normative data'!$Z$11:$AG$14, ,-1), 'Normative data'!$Z$10:$AG$10, "Not Found", -1)</f>
        <v>Excellent</v>
      </c>
      <c r="CW427" s="20" t="str" cm="1">
        <f t="array" ref="CW427">IF(OR(ISBLANK(CS427),ISBLANK(CT427)),"Incomplete",_xlfn.XLOOKUP(CS427&amp;CT427,VLOOKUP!$A$4:$A$250&amp;VLOOKUP!$B$4:$B$250,VLOOKUP!$D$4:$D$250,"0"))</f>
        <v>Incomplete</v>
      </c>
    </row>
    <row r="428" spans="1:101">
      <c r="A428" s="22" t="s">
        <v>988</v>
      </c>
      <c r="B428" s="22" t="s">
        <v>989</v>
      </c>
      <c r="C428" s="17" t="s">
        <v>86</v>
      </c>
      <c r="D428" s="23">
        <v>40168</v>
      </c>
      <c r="F428" s="17">
        <v>9</v>
      </c>
      <c r="G428" s="17">
        <v>2025</v>
      </c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41" t="str">
        <f t="shared" si="129"/>
        <v>Incomplete</v>
      </c>
      <c r="AZ428" s="20"/>
      <c r="BA428" s="20" t="str">
        <f t="shared" si="130"/>
        <v>Incomplete</v>
      </c>
      <c r="BB428" s="20"/>
      <c r="BC428" s="20" t="str">
        <f t="shared" si="131"/>
        <v>Incomplete</v>
      </c>
      <c r="BD428" s="20"/>
      <c r="BE428" s="20" t="str">
        <f t="shared" si="132"/>
        <v>Incomplete</v>
      </c>
      <c r="BF428" s="20"/>
      <c r="BG428" s="20"/>
      <c r="BH428" s="20"/>
      <c r="BI428" s="20" t="str">
        <f t="shared" si="133"/>
        <v>Incomplete</v>
      </c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91" t="str">
        <f t="shared" si="134"/>
        <v>Incomplete</v>
      </c>
      <c r="BX428" s="91" t="str">
        <f>_xlfn.XLOOKUP(BW428,'Normative data'!$V$3:$V$6,'Normative data'!$W$3:$W$6,"Not Found",-1)</f>
        <v>Very low risk</v>
      </c>
      <c r="BY428" s="91" t="str">
        <f t="shared" si="135"/>
        <v>Incomplete</v>
      </c>
      <c r="BZ428" s="91" t="str">
        <f>_xlfn.XLOOKUP(BY428,'Normative data'!$V$3:$V$6,'Normative data'!$W$3:$W$6,"Not Found",-1)</f>
        <v>Very low risk</v>
      </c>
      <c r="CA428" s="20"/>
      <c r="CC428" s="20"/>
      <c r="CE428" s="20"/>
      <c r="CG428" s="20"/>
      <c r="CH428" s="20" t="str">
        <f>_xlfn.XLOOKUP(CG428, 'Normative data'!$S$9:$S$15,'Normative data'!$T$9:$T$15, "Not Found", -1)</f>
        <v>not completed</v>
      </c>
      <c r="CI428" s="20"/>
      <c r="CJ428" s="20" t="str">
        <f>_xlfn.XLOOKUP(CI428, 'Normative data'!$S$9:$S$15, 'Normative data'!$T$9:$T$15, "Not Found", -1)</f>
        <v>not completed</v>
      </c>
      <c r="CK428" s="20" t="s">
        <v>990</v>
      </c>
      <c r="CL428" s="20" t="s">
        <v>991</v>
      </c>
      <c r="CM428" s="21"/>
      <c r="CN428" s="20" t="s">
        <v>992</v>
      </c>
      <c r="CO428" s="20" t="s">
        <v>993</v>
      </c>
      <c r="CP428" s="24"/>
      <c r="CQ428" s="20"/>
      <c r="CR428" s="20" t="str" cm="1">
        <f t="array" ref="CR428">IF(OR(ISBLANK(E428),ISBLANK(CQ428)),"Incomplete",_xlfn.XLOOKUP(CQ428,_xlfn.XLOOKUP(E428,'Normative data'!$Y$3:$Y$6,'Normative data'!$Z$3:$AG$6,,-1),'Normative data'!$Z$2:$AG$2,"Not Found",-1))</f>
        <v>Incomplete</v>
      </c>
      <c r="CS428" s="20"/>
      <c r="CT428" s="20"/>
      <c r="CU428" s="20" t="str" cm="1">
        <f t="array" ref="CU428">_xlfn.XLOOKUP(CS428&amp;CT428,(VLOOKUP!$A$3:$A$250)&amp;(VLOOKUP!$B$3:$B$250),VLOOKUP!$C$3:$C$250,"Incomplete",-1)</f>
        <v>Incomplete</v>
      </c>
      <c r="CV428" s="20" t="str" cm="1">
        <f t="array" ref="CV428">_xlfn.XLOOKUP(CU428, _xlfn.XLOOKUP(E428, 'Normative data'!$Y$11:$Y$14, 'Normative data'!$Z$11:$AG$14, ,-1), 'Normative data'!$Z$10:$AG$10, "Not Found", -1)</f>
        <v>Excellent</v>
      </c>
      <c r="CW428" s="20" t="str" cm="1">
        <f t="array" ref="CW428">IF(OR(ISBLANK(CS428),ISBLANK(CT428)),"Incomplete",_xlfn.XLOOKUP(CS428&amp;CT428,VLOOKUP!$A$4:$A$250&amp;VLOOKUP!$B$4:$B$250,VLOOKUP!$D$4:$D$250,"0"))</f>
        <v>Incomplete</v>
      </c>
    </row>
    <row r="429" spans="1:101">
      <c r="A429" s="22" t="s">
        <v>885</v>
      </c>
      <c r="B429" s="22" t="s">
        <v>884</v>
      </c>
      <c r="C429" s="17" t="s">
        <v>86</v>
      </c>
      <c r="D429" s="23"/>
      <c r="F429" s="17">
        <v>10</v>
      </c>
      <c r="G429" s="17">
        <v>2025</v>
      </c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41" t="str">
        <f t="shared" si="129"/>
        <v>Incomplete</v>
      </c>
      <c r="AZ429" s="20"/>
      <c r="BA429" s="20" t="str">
        <f t="shared" si="130"/>
        <v>Incomplete</v>
      </c>
      <c r="BB429" s="20"/>
      <c r="BC429" s="20" t="str">
        <f t="shared" si="131"/>
        <v>Incomplete</v>
      </c>
      <c r="BD429" s="20"/>
      <c r="BE429" s="20" t="str">
        <f t="shared" si="132"/>
        <v>Incomplete</v>
      </c>
      <c r="BF429" s="20"/>
      <c r="BG429" s="20">
        <v>14.5</v>
      </c>
      <c r="BH429" s="20">
        <v>42.2</v>
      </c>
      <c r="BI429" s="20">
        <f t="shared" si="133"/>
        <v>27.700000000000003</v>
      </c>
      <c r="BJ429" s="20"/>
      <c r="BK429" s="20">
        <v>5</v>
      </c>
      <c r="BL429" s="20"/>
      <c r="BM429" s="20">
        <v>4</v>
      </c>
      <c r="BN429" s="20"/>
      <c r="BO429" s="20"/>
      <c r="BP429" s="20"/>
      <c r="BQ429" s="20"/>
      <c r="BR429" s="20"/>
      <c r="BS429" s="20"/>
      <c r="BT429" s="20"/>
      <c r="BU429" s="20"/>
      <c r="BV429" s="20"/>
      <c r="BW429" s="91" t="str">
        <f t="shared" si="134"/>
        <v>Incomplete</v>
      </c>
      <c r="BX429" s="91" t="str">
        <f>_xlfn.XLOOKUP(BW429,'Normative data'!$V$3:$V$6,'Normative data'!$W$3:$W$6,"Not Found",-1)</f>
        <v>Very low risk</v>
      </c>
      <c r="BY429" s="91" t="str">
        <f t="shared" si="135"/>
        <v>Incomplete</v>
      </c>
      <c r="BZ429" s="91" t="str">
        <f>_xlfn.XLOOKUP(BY429,'Normative data'!$V$3:$V$6,'Normative data'!$W$3:$W$6,"Not Found",-1)</f>
        <v>Very low risk</v>
      </c>
      <c r="CA429" s="20"/>
      <c r="CC429" s="20"/>
      <c r="CE429" s="20">
        <v>3</v>
      </c>
      <c r="CG429" s="20"/>
      <c r="CH429" s="20" t="str">
        <f>_xlfn.XLOOKUP(CG429, 'Normative data'!$S$9:$S$15,'Normative data'!$T$9:$T$15, "Not Found", -1)</f>
        <v>not completed</v>
      </c>
      <c r="CI429" s="20"/>
      <c r="CJ429" s="20" t="str">
        <f>_xlfn.XLOOKUP(CI429, 'Normative data'!$S$9:$S$15, 'Normative data'!$T$9:$T$15, "Not Found", -1)</f>
        <v>not completed</v>
      </c>
      <c r="CK429" s="24">
        <v>2.23</v>
      </c>
      <c r="CL429" s="24">
        <v>4.4800000000000004</v>
      </c>
      <c r="CM429" s="21"/>
      <c r="CN429" s="24">
        <v>6.88</v>
      </c>
      <c r="CO429" s="24">
        <v>7.27</v>
      </c>
      <c r="CP429" s="24"/>
      <c r="CQ429" s="20"/>
      <c r="CR429" s="20" t="str" cm="1">
        <f t="array" ref="CR429">IF(OR(ISBLANK(E429),ISBLANK(CQ429)),"Incomplete",_xlfn.XLOOKUP(CQ429,_xlfn.XLOOKUP(E429,'Normative data'!$Y$3:$Y$6,'Normative data'!$Z$3:$AG$6,,-1),'Normative data'!$Z$2:$AG$2,"Not Found",-1))</f>
        <v>Incomplete</v>
      </c>
      <c r="CS429" s="20"/>
      <c r="CT429" s="20"/>
      <c r="CU429" s="20" t="str" cm="1">
        <f t="array" ref="CU429">_xlfn.XLOOKUP(CS429&amp;CT429,(VLOOKUP!$A$3:$A$250)&amp;(VLOOKUP!$B$3:$B$250),VLOOKUP!$C$3:$C$250,"Incomplete",-1)</f>
        <v>Incomplete</v>
      </c>
      <c r="CV429" s="20" t="str" cm="1">
        <f t="array" ref="CV429">_xlfn.XLOOKUP(CU429, _xlfn.XLOOKUP(E429, 'Normative data'!$Y$11:$Y$14, 'Normative data'!$Z$11:$AG$14, ,-1), 'Normative data'!$Z$10:$AG$10, "Not Found", -1)</f>
        <v>Excellent</v>
      </c>
      <c r="CW429" s="20" t="str" cm="1">
        <f t="array" ref="CW429">IF(OR(ISBLANK(CS429),ISBLANK(CT429)),"Incomplete",_xlfn.XLOOKUP(CS429&amp;CT429,VLOOKUP!$A$4:$A$250&amp;VLOOKUP!$B$4:$B$250,VLOOKUP!$D$4:$D$250,"0"))</f>
        <v>Incomplete</v>
      </c>
    </row>
    <row r="430" spans="1:101">
      <c r="A430" s="22" t="s">
        <v>885</v>
      </c>
      <c r="B430" s="22" t="s">
        <v>884</v>
      </c>
      <c r="C430" s="17" t="s">
        <v>86</v>
      </c>
      <c r="D430" s="23"/>
      <c r="F430" s="17">
        <v>10</v>
      </c>
      <c r="G430" s="17">
        <v>2025</v>
      </c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41" t="str">
        <f t="shared" si="129"/>
        <v>Incomplete</v>
      </c>
      <c r="AZ430" s="20"/>
      <c r="BA430" s="20" t="str">
        <f t="shared" si="130"/>
        <v>Incomplete</v>
      </c>
      <c r="BB430" s="20"/>
      <c r="BC430" s="20" t="str">
        <f t="shared" si="131"/>
        <v>Incomplete</v>
      </c>
      <c r="BD430" s="20"/>
      <c r="BE430" s="20" t="str">
        <f t="shared" si="132"/>
        <v>Incomplete</v>
      </c>
      <c r="BF430" s="20"/>
      <c r="BG430" s="20"/>
      <c r="BH430" s="20"/>
      <c r="BI430" s="20" t="str">
        <f t="shared" si="133"/>
        <v>Incomplete</v>
      </c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91" t="str">
        <f t="shared" si="134"/>
        <v>Incomplete</v>
      </c>
      <c r="BX430" s="91" t="str">
        <f>_xlfn.XLOOKUP(BW430,'Normative data'!$V$3:$V$6,'Normative data'!$W$3:$W$6,"Not Found",-1)</f>
        <v>Very low risk</v>
      </c>
      <c r="BY430" s="91" t="str">
        <f t="shared" si="135"/>
        <v>Incomplete</v>
      </c>
      <c r="BZ430" s="91" t="str">
        <f>_xlfn.XLOOKUP(BY430,'Normative data'!$V$3:$V$6,'Normative data'!$W$3:$W$6,"Not Found",-1)</f>
        <v>Very low risk</v>
      </c>
      <c r="CA430" s="20"/>
      <c r="CC430" s="20"/>
      <c r="CE430" s="20"/>
      <c r="CG430" s="20"/>
      <c r="CH430" s="20" t="str">
        <f>_xlfn.XLOOKUP(CG430, 'Normative data'!$S$9:$S$15,'Normative data'!$T$9:$T$15, "Not Found", -1)</f>
        <v>not completed</v>
      </c>
      <c r="CI430" s="20"/>
      <c r="CJ430" s="20" t="str">
        <f>_xlfn.XLOOKUP(CI430, 'Normative data'!$S$9:$S$15, 'Normative data'!$T$9:$T$15, "Not Found", -1)</f>
        <v>not completed</v>
      </c>
      <c r="CK430" s="20" t="s">
        <v>497</v>
      </c>
      <c r="CL430" s="20" t="s">
        <v>498</v>
      </c>
      <c r="CM430" s="21"/>
      <c r="CN430" s="20" t="s">
        <v>994</v>
      </c>
      <c r="CO430" s="20" t="s">
        <v>305</v>
      </c>
      <c r="CP430" s="24"/>
      <c r="CQ430" s="20"/>
      <c r="CR430" s="20" t="str" cm="1">
        <f t="array" ref="CR430">IF(OR(ISBLANK(E430),ISBLANK(CQ430)),"Incomplete",_xlfn.XLOOKUP(CQ430,_xlfn.XLOOKUP(E430,'Normative data'!$Y$3:$Y$6,'Normative data'!$Z$3:$AG$6,,-1),'Normative data'!$Z$2:$AG$2,"Not Found",-1))</f>
        <v>Incomplete</v>
      </c>
      <c r="CS430" s="20"/>
      <c r="CT430" s="20"/>
      <c r="CU430" s="20" t="str" cm="1">
        <f t="array" ref="CU430">_xlfn.XLOOKUP(CS430&amp;CT430,(VLOOKUP!$A$3:$A$250)&amp;(VLOOKUP!$B$3:$B$250),VLOOKUP!$C$3:$C$250,"Incomplete",-1)</f>
        <v>Incomplete</v>
      </c>
      <c r="CV430" s="20" t="str" cm="1">
        <f t="array" ref="CV430">_xlfn.XLOOKUP(CU430, _xlfn.XLOOKUP(E430, 'Normative data'!$Y$11:$Y$14, 'Normative data'!$Z$11:$AG$14, ,-1), 'Normative data'!$Z$10:$AG$10, "Not Found", -1)</f>
        <v>Excellent</v>
      </c>
      <c r="CW430" s="20" t="str" cm="1">
        <f t="array" ref="CW430">IF(OR(ISBLANK(CS430),ISBLANK(CT430)),"Incomplete",_xlfn.XLOOKUP(CS430&amp;CT430,VLOOKUP!$A$4:$A$250&amp;VLOOKUP!$B$4:$B$250,VLOOKUP!$D$4:$D$250,"0"))</f>
        <v>Incomplete</v>
      </c>
    </row>
    <row r="431" spans="1:101">
      <c r="A431" s="17" t="s">
        <v>140</v>
      </c>
      <c r="B431" s="17" t="s">
        <v>139</v>
      </c>
      <c r="C431" s="17" t="s">
        <v>86</v>
      </c>
      <c r="D431" s="26"/>
      <c r="F431" s="20">
        <v>12</v>
      </c>
      <c r="G431" s="17">
        <v>2026</v>
      </c>
      <c r="I431" s="20">
        <v>2</v>
      </c>
      <c r="J431" s="20" t="s">
        <v>122</v>
      </c>
      <c r="K431" s="20" t="s">
        <v>228</v>
      </c>
      <c r="L431" s="20"/>
      <c r="S431" s="20"/>
      <c r="T431" s="20"/>
      <c r="AQ431" s="20"/>
      <c r="AR431" s="20"/>
      <c r="AS431" s="20"/>
      <c r="AT431" s="20"/>
      <c r="AU431" s="20"/>
      <c r="AV431" s="20"/>
      <c r="AW431" s="20"/>
      <c r="AX431" s="20"/>
      <c r="AY431" s="41" t="str">
        <f t="shared" si="129"/>
        <v>Incomplete</v>
      </c>
      <c r="BA431" s="20" t="str">
        <f t="shared" si="130"/>
        <v>Incomplete</v>
      </c>
      <c r="BC431" s="20" t="str">
        <f t="shared" si="131"/>
        <v>Incomplete</v>
      </c>
      <c r="BE431" s="20" t="str">
        <f t="shared" si="132"/>
        <v>Incomplete</v>
      </c>
      <c r="BH431" s="20"/>
      <c r="BI431" s="20" t="str">
        <f t="shared" si="133"/>
        <v>Incomplete</v>
      </c>
      <c r="BJ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91" t="str">
        <f t="shared" si="134"/>
        <v>Incomplete</v>
      </c>
      <c r="BX431" s="91" t="str">
        <f>_xlfn.XLOOKUP(BW431,'Normative data'!$V$3:$V$6,'Normative data'!$W$3:$W$6,"Not Found",-1)</f>
        <v>Very low risk</v>
      </c>
      <c r="BY431" s="91" t="str">
        <f t="shared" si="135"/>
        <v>Incomplete</v>
      </c>
      <c r="BZ431" s="91" t="str">
        <f>_xlfn.XLOOKUP(BY431,'Normative data'!$V$3:$V$6,'Normative data'!$W$3:$W$6,"Not Found",-1)</f>
        <v>Very low risk</v>
      </c>
      <c r="CA431" s="20"/>
      <c r="CC431" s="20"/>
      <c r="CE431" s="20"/>
      <c r="CG431" s="20"/>
      <c r="CH431" s="20" t="str">
        <f>_xlfn.XLOOKUP(CG431, 'Normative data'!$S$9:$S$15,'Normative data'!$T$9:$T$15, "Not Found", -1)</f>
        <v>not completed</v>
      </c>
      <c r="CI431" s="20"/>
      <c r="CJ431" s="20" t="str">
        <f>_xlfn.XLOOKUP(CI431, 'Normative data'!$S$9:$S$15, 'Normative data'!$T$9:$T$15, "Not Found", -1)</f>
        <v>not completed</v>
      </c>
      <c r="CK431" s="21"/>
      <c r="CL431" s="21"/>
      <c r="CM431" s="21"/>
      <c r="CN431" s="21"/>
      <c r="CO431" s="21"/>
      <c r="CR431" s="20" t="str" cm="1">
        <f t="array" ref="CR431">IF(OR(ISBLANK(E431),ISBLANK(CQ431)),"Incomplete",_xlfn.XLOOKUP(CQ431,_xlfn.XLOOKUP(E431,'Normative data'!$Y$3:$Y$6,'Normative data'!$Z$3:$AG$6,,-1),'Normative data'!$Z$2:$AG$2,"Not Found",-1))</f>
        <v>Incomplete</v>
      </c>
      <c r="CS431" s="20"/>
      <c r="CT431" s="20"/>
      <c r="CU431" s="20" t="str" cm="1">
        <f t="array" ref="CU431">_xlfn.XLOOKUP(CS431&amp;CT431,(VLOOKUP!$A$3:$A$250)&amp;(VLOOKUP!$B$3:$B$250),VLOOKUP!$C$3:$C$250,"Incomplete",-1)</f>
        <v>Incomplete</v>
      </c>
      <c r="CV431" s="20" t="str" cm="1">
        <f t="array" ref="CV431">_xlfn.XLOOKUP(CU431, _xlfn.XLOOKUP(E431, 'Normative data'!$Y$11:$Y$14, 'Normative data'!$Z$11:$AG$14, ,-1), 'Normative data'!$Z$10:$AG$10, "Not Found", -1)</f>
        <v>Excellent</v>
      </c>
      <c r="CW431" s="20" t="str" cm="1">
        <f t="array" ref="CW431">IF(OR(ISBLANK(CS431),ISBLANK(CT431)),"Incomplete",_xlfn.XLOOKUP(CS431&amp;CT431,VLOOKUP!$A$4:$A$250&amp;VLOOKUP!$B$4:$B$250,VLOOKUP!$D$4:$D$250,"0"))</f>
        <v>Incomplete</v>
      </c>
    </row>
    <row r="432" spans="1:101">
      <c r="A432" s="17" t="s">
        <v>702</v>
      </c>
      <c r="B432" s="17" t="s">
        <v>139</v>
      </c>
      <c r="C432" s="17" t="s">
        <v>86</v>
      </c>
      <c r="D432" s="26">
        <v>40246</v>
      </c>
      <c r="E432" s="17">
        <v>15.7</v>
      </c>
      <c r="F432" s="20" t="s">
        <v>178</v>
      </c>
      <c r="G432" s="17">
        <v>2026</v>
      </c>
      <c r="I432" s="20">
        <v>2</v>
      </c>
      <c r="J432" s="20" t="s">
        <v>100</v>
      </c>
      <c r="K432" s="20" t="s">
        <v>297</v>
      </c>
      <c r="L432" s="20" t="s">
        <v>224</v>
      </c>
      <c r="S432" s="20">
        <v>87.1</v>
      </c>
      <c r="T432" s="20">
        <v>160.69999999999999</v>
      </c>
      <c r="U432" s="17">
        <v>68</v>
      </c>
      <c r="V432" s="17">
        <v>33.6</v>
      </c>
      <c r="W432" s="17">
        <v>22.1</v>
      </c>
      <c r="X432" s="17">
        <v>45.9</v>
      </c>
      <c r="Y432" s="17">
        <v>25.5</v>
      </c>
      <c r="Z432" s="17">
        <v>26.3</v>
      </c>
      <c r="AA432" s="17">
        <v>32.5</v>
      </c>
      <c r="AB432" s="17">
        <v>7.17</v>
      </c>
      <c r="AC432" s="17">
        <v>110.1</v>
      </c>
      <c r="AD432" s="17">
        <v>7.11</v>
      </c>
      <c r="AE432" s="17">
        <v>109.2</v>
      </c>
      <c r="AF432" s="17">
        <v>3.5</v>
      </c>
      <c r="AG432" s="17">
        <v>160.9</v>
      </c>
      <c r="AH432" s="17">
        <v>3.5</v>
      </c>
      <c r="AI432" s="17">
        <v>159.80000000000001</v>
      </c>
      <c r="AJ432" s="17">
        <v>269.8</v>
      </c>
      <c r="AK432" s="17">
        <v>272.89999999999998</v>
      </c>
      <c r="AL432" s="17">
        <v>235.3</v>
      </c>
      <c r="AM432" s="17">
        <v>238.9</v>
      </c>
      <c r="AN432" s="17">
        <v>77</v>
      </c>
      <c r="AO432" s="17">
        <v>0.86</v>
      </c>
      <c r="AP432" s="17">
        <v>7.3</v>
      </c>
      <c r="AQ432" s="17">
        <v>15.4</v>
      </c>
      <c r="AR432" s="17">
        <v>0.35499999999999998</v>
      </c>
      <c r="AS432" s="17">
        <v>25.7</v>
      </c>
      <c r="AT432" s="17">
        <v>0.45800000000000002</v>
      </c>
      <c r="AU432" s="17">
        <v>14.1</v>
      </c>
      <c r="AV432" s="17">
        <v>0.33900000000000002</v>
      </c>
      <c r="AW432" s="17">
        <v>7.9</v>
      </c>
      <c r="AX432" s="17">
        <v>0.254</v>
      </c>
      <c r="AY432" s="41">
        <f t="shared" si="129"/>
        <v>1960.1799999999998</v>
      </c>
      <c r="BA432" s="20">
        <f t="shared" si="130"/>
        <v>2585.3899999999994</v>
      </c>
      <c r="BC432" s="20">
        <f t="shared" si="131"/>
        <v>1881.2699999999995</v>
      </c>
      <c r="BE432" s="20">
        <f t="shared" si="132"/>
        <v>1504.9299999999998</v>
      </c>
      <c r="BG432" s="17">
        <v>16.5</v>
      </c>
      <c r="BH432" s="17">
        <v>51.5</v>
      </c>
      <c r="BI432" s="20">
        <f t="shared" si="133"/>
        <v>35</v>
      </c>
      <c r="BJ432" s="20"/>
      <c r="BK432" s="17">
        <v>13</v>
      </c>
      <c r="BL432" s="20"/>
      <c r="BM432" s="17">
        <v>16</v>
      </c>
      <c r="BN432" s="20"/>
      <c r="BO432" s="17">
        <v>51</v>
      </c>
      <c r="BP432" s="17">
        <v>52</v>
      </c>
      <c r="BQ432" s="17">
        <v>77</v>
      </c>
      <c r="BR432" s="17">
        <v>76</v>
      </c>
      <c r="BS432" s="17">
        <v>70</v>
      </c>
      <c r="BT432" s="17">
        <v>86</v>
      </c>
      <c r="BU432" s="17">
        <v>79</v>
      </c>
      <c r="BV432" s="17">
        <v>78</v>
      </c>
      <c r="BW432" s="91">
        <f t="shared" si="134"/>
        <v>100.99637681159422</v>
      </c>
      <c r="BX432" s="91" t="str">
        <f>_xlfn.XLOOKUP(BW432,'Normative data'!$V$3:$V$6,'Normative data'!$W$3:$W$6,"Not Found",-1)</f>
        <v>Low risk</v>
      </c>
      <c r="BY432" s="91">
        <f t="shared" si="135"/>
        <v>110.05434782608697</v>
      </c>
      <c r="BZ432" s="91" t="str">
        <f>_xlfn.XLOOKUP(BY432,'Normative data'!$V$3:$V$6,'Normative data'!$W$3:$W$6,"Not Found",-1)</f>
        <v>Low risk</v>
      </c>
      <c r="CA432" s="17">
        <v>24</v>
      </c>
      <c r="CC432" s="20"/>
      <c r="CE432" s="17">
        <v>10</v>
      </c>
      <c r="CG432" s="17">
        <v>17.72</v>
      </c>
      <c r="CH432" s="20" t="str">
        <f>_xlfn.XLOOKUP(CG432, 'Normative data'!$S$9:$S$15,'Normative data'!$T$9:$T$15, "Not Found", -1)</f>
        <v>Above Average</v>
      </c>
      <c r="CI432" s="17">
        <v>17.350000000000001</v>
      </c>
      <c r="CJ432" s="20" t="str">
        <f>_xlfn.XLOOKUP(CI432, 'Normative data'!$S$9:$S$15, 'Normative data'!$T$9:$T$15, "Not Found", -1)</f>
        <v>Above Average</v>
      </c>
      <c r="CK432" s="17">
        <v>2.31</v>
      </c>
      <c r="CL432" s="17">
        <v>4.33</v>
      </c>
      <c r="CN432" s="17">
        <v>6.77</v>
      </c>
      <c r="CO432" s="17">
        <v>7.39</v>
      </c>
      <c r="CQ432" s="17">
        <v>9.1</v>
      </c>
      <c r="CR432" s="20" t="str" cm="1">
        <f t="array" ref="CR432">IF(OR(ISBLANK(E432),ISBLANK(CQ432)),"Incomplete",_xlfn.XLOOKUP(CQ432,_xlfn.XLOOKUP(E432,'Normative data'!$Y$3:$Y$6,'Normative data'!$Z$3:$AG$6,,-1),'Normative data'!$Z$2:$AG$2,"Not Found",-1))</f>
        <v>Very good</v>
      </c>
      <c r="CS432" s="20">
        <v>9</v>
      </c>
      <c r="CT432" s="20">
        <v>1</v>
      </c>
      <c r="CU432" s="20" cm="1">
        <f t="array" ref="CU432">_xlfn.XLOOKUP(CS432&amp;CT432,(VLOOKUP!$A$3:$A$250)&amp;(VLOOKUP!$B$3:$B$250),VLOOKUP!$C$3:$C$250,"Incomplete",-1)</f>
        <v>1460</v>
      </c>
      <c r="CV432" s="20" t="str" cm="1">
        <f t="array" ref="CV432">_xlfn.XLOOKUP(CU432, _xlfn.XLOOKUP(E432, 'Normative data'!$Y$11:$Y$14, 'Normative data'!$Z$11:$AG$14, ,-1), 'Normative data'!$Z$10:$AG$10, "Not Found", -1)</f>
        <v xml:space="preserve">Good </v>
      </c>
      <c r="CW432" s="20" cm="1">
        <f t="array" ref="CW432">IF(OR(ISBLANK(CS432),ISBLANK(CT432)),"Incomplete",_xlfn.XLOOKUP(CS432&amp;CT432,VLOOKUP!$A$4:$A$250&amp;VLOOKUP!$B$4:$B$250,VLOOKUP!$D$4:$D$250,"0"))</f>
        <v>44</v>
      </c>
    </row>
    <row r="433" spans="1:101">
      <c r="A433" s="17" t="s">
        <v>872</v>
      </c>
      <c r="B433" s="17" t="s">
        <v>139</v>
      </c>
      <c r="C433" s="17" t="s">
        <v>86</v>
      </c>
      <c r="D433" s="26">
        <v>41159</v>
      </c>
      <c r="E433" s="17">
        <v>13.8</v>
      </c>
      <c r="F433" s="20" t="s">
        <v>107</v>
      </c>
      <c r="G433" s="17">
        <v>2026</v>
      </c>
      <c r="I433" s="20">
        <v>2</v>
      </c>
      <c r="J433" s="20" t="s">
        <v>100</v>
      </c>
      <c r="K433" s="20" t="s">
        <v>158</v>
      </c>
      <c r="L433" s="20"/>
      <c r="S433" s="20">
        <v>81.8</v>
      </c>
      <c r="T433" s="25">
        <v>158.1</v>
      </c>
      <c r="U433" s="17">
        <v>50.3</v>
      </c>
      <c r="V433" s="17">
        <v>27.2</v>
      </c>
      <c r="W433" s="17">
        <v>13.1</v>
      </c>
      <c r="X433" s="17">
        <v>37.200000000000003</v>
      </c>
      <c r="Y433" s="17">
        <v>20.100000000000001</v>
      </c>
      <c r="Z433" s="17">
        <v>20.100000000000001</v>
      </c>
      <c r="AA433" s="17">
        <v>26.1</v>
      </c>
      <c r="AB433" s="17">
        <v>5.58</v>
      </c>
      <c r="AC433" s="17">
        <v>98.5</v>
      </c>
      <c r="AD433" s="17">
        <v>5.55</v>
      </c>
      <c r="AE433" s="17">
        <v>98</v>
      </c>
      <c r="AF433" s="17">
        <v>2.2000000000000002</v>
      </c>
      <c r="AG433" s="17">
        <v>104.8</v>
      </c>
      <c r="AH433" s="17">
        <v>2.2000000000000002</v>
      </c>
      <c r="AI433" s="17">
        <v>104.2</v>
      </c>
      <c r="AJ433" s="17">
        <v>318.3</v>
      </c>
      <c r="AK433" s="17">
        <v>320.5</v>
      </c>
      <c r="AL433" s="17">
        <v>282.60000000000002</v>
      </c>
      <c r="AM433" s="17">
        <v>286.60000000000002</v>
      </c>
      <c r="AN433" s="17">
        <v>99</v>
      </c>
      <c r="AO433" s="17">
        <v>0.82</v>
      </c>
      <c r="AP433" s="17">
        <v>5.8</v>
      </c>
      <c r="AQ433" s="17">
        <v>23.7</v>
      </c>
      <c r="AR433" s="17">
        <v>0.44</v>
      </c>
      <c r="AS433" s="17">
        <v>29.6</v>
      </c>
      <c r="AT433" s="17">
        <v>0.49099999999999999</v>
      </c>
      <c r="AU433" s="17">
        <v>10.4</v>
      </c>
      <c r="AV433" s="17">
        <v>0.29099999999999998</v>
      </c>
      <c r="AW433" s="17">
        <v>9.3000000000000007</v>
      </c>
      <c r="AX433" s="17">
        <v>0.27600000000000002</v>
      </c>
      <c r="AY433" s="41">
        <f t="shared" si="129"/>
        <v>1662.1799999999994</v>
      </c>
      <c r="BA433" s="20">
        <f t="shared" si="130"/>
        <v>2020.31</v>
      </c>
      <c r="BC433" s="20">
        <f t="shared" si="131"/>
        <v>854.86999999999989</v>
      </c>
      <c r="BE433" s="20">
        <f t="shared" si="132"/>
        <v>788.09999999999991</v>
      </c>
      <c r="BG433" s="17">
        <v>20.5</v>
      </c>
      <c r="BH433" s="17">
        <v>40</v>
      </c>
      <c r="BI433" s="20">
        <f t="shared" si="133"/>
        <v>19.5</v>
      </c>
      <c r="BJ433" s="20"/>
      <c r="BK433" s="17">
        <v>5.9</v>
      </c>
      <c r="BL433" s="20"/>
      <c r="BM433" s="17">
        <v>4.3</v>
      </c>
      <c r="BN433" s="20"/>
      <c r="BO433" s="17">
        <v>47.5</v>
      </c>
      <c r="BP433" s="17">
        <v>46</v>
      </c>
      <c r="BQ433" s="17">
        <v>65</v>
      </c>
      <c r="BR433" s="17">
        <v>69</v>
      </c>
      <c r="BS433" s="17">
        <v>77</v>
      </c>
      <c r="BT433" s="17">
        <v>82</v>
      </c>
      <c r="BU433" s="17">
        <v>81</v>
      </c>
      <c r="BV433" s="17">
        <v>71</v>
      </c>
      <c r="BW433" s="91">
        <f t="shared" si="134"/>
        <v>92.17999126256008</v>
      </c>
      <c r="BX433" s="91" t="str">
        <f>_xlfn.XLOOKUP(BW433,'Normative data'!$V$3:$V$6,'Normative data'!$W$3:$W$6,"Not Found",-1)</f>
        <v>High risk</v>
      </c>
      <c r="BY433" s="91">
        <f t="shared" si="135"/>
        <v>102.22804718217564</v>
      </c>
      <c r="BZ433" s="91" t="str">
        <f>_xlfn.XLOOKUP(BY433,'Normative data'!$V$3:$V$6,'Normative data'!$W$3:$W$6,"Not Found",-1)</f>
        <v>Low risk</v>
      </c>
      <c r="CA433" s="17">
        <v>25</v>
      </c>
      <c r="CC433" s="20"/>
      <c r="CE433" s="17">
        <v>4</v>
      </c>
      <c r="CG433" s="17">
        <v>20.43</v>
      </c>
      <c r="CH433" s="20" t="str">
        <f>_xlfn.XLOOKUP(CG433, 'Normative data'!$S$9:$S$15,'Normative data'!$T$9:$T$15, "Not Found", -1)</f>
        <v>Average</v>
      </c>
      <c r="CI433" s="17">
        <v>19.850000000000001</v>
      </c>
      <c r="CJ433" s="20" t="str">
        <f>_xlfn.XLOOKUP(CI433, 'Normative data'!$S$9:$S$15, 'Normative data'!$T$9:$T$15, "Not Found", -1)</f>
        <v>Average</v>
      </c>
      <c r="CK433" s="17">
        <v>2.14</v>
      </c>
      <c r="CL433" s="17">
        <v>4.67</v>
      </c>
      <c r="CN433" s="17">
        <v>7.26</v>
      </c>
      <c r="CO433" s="17">
        <v>6.89</v>
      </c>
      <c r="CQ433" s="17">
        <v>5.3</v>
      </c>
      <c r="CR433" s="20" t="str" cm="1">
        <f t="array" ref="CR433">IF(OR(ISBLANK(E433),ISBLANK(CQ433)),"Incomplete",_xlfn.XLOOKUP(CQ433,_xlfn.XLOOKUP(E433,'Normative data'!$Y$3:$Y$6,'Normative data'!$Z$3:$AG$6,,-1),'Normative data'!$Z$2:$AG$2,"Not Found",-1))</f>
        <v>Average</v>
      </c>
      <c r="CS433" s="20">
        <v>5</v>
      </c>
      <c r="CT433" s="20">
        <v>3</v>
      </c>
      <c r="CU433" s="20" cm="1">
        <f t="array" ref="CU433">_xlfn.XLOOKUP(CS433&amp;CT433,(VLOOKUP!$A$3:$A$250)&amp;(VLOOKUP!$B$3:$B$250),VLOOKUP!$C$3:$C$250,"Incomplete",-1)</f>
        <v>700</v>
      </c>
      <c r="CV433" s="20" t="str" cm="1">
        <f t="array" ref="CV433">_xlfn.XLOOKUP(CU433, _xlfn.XLOOKUP(E433, 'Normative data'!$Y$11:$Y$14, 'Normative data'!$Z$11:$AG$14, ,-1), 'Normative data'!$Z$10:$AG$10, "Not Found", -1)</f>
        <v>Average</v>
      </c>
      <c r="CW433" s="20" cm="1">
        <f t="array" ref="CW433">IF(OR(ISBLANK(CS433),ISBLANK(CT433)),"Incomplete",_xlfn.XLOOKUP(CS433&amp;CT433,VLOOKUP!$A$4:$A$250&amp;VLOOKUP!$B$4:$B$250,VLOOKUP!$D$4:$D$250,"0"))</f>
        <v>31</v>
      </c>
    </row>
    <row r="434" spans="1:101">
      <c r="A434" s="18" t="s">
        <v>274</v>
      </c>
      <c r="B434" s="18" t="s">
        <v>995</v>
      </c>
      <c r="C434" s="17" t="s">
        <v>86</v>
      </c>
      <c r="D434" s="19">
        <v>39713</v>
      </c>
      <c r="F434" s="17">
        <v>11</v>
      </c>
      <c r="G434" s="17">
        <v>2025</v>
      </c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41" t="str">
        <f t="shared" si="129"/>
        <v>Incomplete</v>
      </c>
      <c r="AZ434" s="20"/>
      <c r="BA434" s="20" t="str">
        <f t="shared" si="130"/>
        <v>Incomplete</v>
      </c>
      <c r="BB434" s="20"/>
      <c r="BC434" s="20" t="str">
        <f t="shared" si="131"/>
        <v>Incomplete</v>
      </c>
      <c r="BD434" s="20"/>
      <c r="BE434" s="20" t="str">
        <f t="shared" si="132"/>
        <v>Incomplete</v>
      </c>
      <c r="BF434" s="20"/>
      <c r="BG434" s="20"/>
      <c r="BH434" s="20"/>
      <c r="BI434" s="20" t="str">
        <f t="shared" si="133"/>
        <v>Incomplete</v>
      </c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91" t="str">
        <f t="shared" si="134"/>
        <v>Incomplete</v>
      </c>
      <c r="BX434" s="91" t="str">
        <f>_xlfn.XLOOKUP(BW434,'Normative data'!$V$3:$V$6,'Normative data'!$W$3:$W$6,"Not Found",-1)</f>
        <v>Very low risk</v>
      </c>
      <c r="BY434" s="91" t="str">
        <f t="shared" si="135"/>
        <v>Incomplete</v>
      </c>
      <c r="BZ434" s="91" t="str">
        <f>_xlfn.XLOOKUP(BY434,'Normative data'!$V$3:$V$6,'Normative data'!$W$3:$W$6,"Not Found",-1)</f>
        <v>Very low risk</v>
      </c>
      <c r="CA434" s="20"/>
      <c r="CC434" s="20"/>
      <c r="CE434" s="20">
        <v>36</v>
      </c>
      <c r="CG434" s="20"/>
      <c r="CH434" s="20" t="str">
        <f>_xlfn.XLOOKUP(CG434, 'Normative data'!$S$9:$S$15,'Normative data'!$T$9:$T$15, "Not Found", -1)</f>
        <v>not completed</v>
      </c>
      <c r="CI434" s="20"/>
      <c r="CJ434" s="20" t="str">
        <f>_xlfn.XLOOKUP(CI434, 'Normative data'!$S$9:$S$15, 'Normative data'!$T$9:$T$15, "Not Found", -1)</f>
        <v>not completed</v>
      </c>
      <c r="CK434" s="21">
        <v>2.09</v>
      </c>
      <c r="CL434" s="21">
        <v>4.78</v>
      </c>
      <c r="CM434" s="21"/>
      <c r="CN434" s="21">
        <v>6.27</v>
      </c>
      <c r="CO434" s="21">
        <v>7.97</v>
      </c>
      <c r="CP434" s="21"/>
      <c r="CQ434" s="20"/>
      <c r="CR434" s="20" t="str" cm="1">
        <f t="array" ref="CR434">IF(OR(ISBLANK(E434),ISBLANK(CQ434)),"Incomplete",_xlfn.XLOOKUP(CQ434,_xlfn.XLOOKUP(E434,'Normative data'!$Y$3:$Y$6,'Normative data'!$Z$3:$AG$6,,-1),'Normative data'!$Z$2:$AG$2,"Not Found",-1))</f>
        <v>Incomplete</v>
      </c>
      <c r="CS434" s="20"/>
      <c r="CT434" s="20"/>
      <c r="CU434" s="20" t="str" cm="1">
        <f t="array" ref="CU434">_xlfn.XLOOKUP(CS434&amp;CT434,(VLOOKUP!$A$3:$A$250)&amp;(VLOOKUP!$B$3:$B$250),VLOOKUP!$C$3:$C$250,"Incomplete",-1)</f>
        <v>Incomplete</v>
      </c>
      <c r="CV434" s="20" t="str" cm="1">
        <f t="array" ref="CV434">_xlfn.XLOOKUP(CU434, _xlfn.XLOOKUP(E434, 'Normative data'!$Y$11:$Y$14, 'Normative data'!$Z$11:$AG$14, ,-1), 'Normative data'!$Z$10:$AG$10, "Not Found", -1)</f>
        <v>Excellent</v>
      </c>
      <c r="CW434" s="20" t="str" cm="1">
        <f t="array" ref="CW434">IF(OR(ISBLANK(CS434),ISBLANK(CT434)),"Incomplete",_xlfn.XLOOKUP(CS434&amp;CT434,VLOOKUP!$A$4:$A$250&amp;VLOOKUP!$B$4:$B$250,VLOOKUP!$D$4:$D$250,"0"))</f>
        <v>Incomplete</v>
      </c>
    </row>
    <row r="435" spans="1:101">
      <c r="A435" s="18" t="s">
        <v>996</v>
      </c>
      <c r="B435" s="18" t="s">
        <v>997</v>
      </c>
      <c r="C435" s="17" t="s">
        <v>86</v>
      </c>
      <c r="D435" s="19">
        <v>40851</v>
      </c>
      <c r="F435" s="17">
        <v>8</v>
      </c>
      <c r="G435" s="17">
        <v>2025</v>
      </c>
      <c r="J435" s="17" t="s">
        <v>122</v>
      </c>
      <c r="S435" s="20"/>
      <c r="T435" s="20">
        <v>155</v>
      </c>
      <c r="U435" s="20">
        <v>44.8</v>
      </c>
      <c r="V435" s="20"/>
      <c r="W435" s="20">
        <v>6.6</v>
      </c>
      <c r="X435" s="20">
        <f>SUM(T435-W435)</f>
        <v>148.4</v>
      </c>
      <c r="Y435" s="20">
        <v>20.8</v>
      </c>
      <c r="Z435" s="20">
        <v>18.600000000000001</v>
      </c>
      <c r="AA435" s="20">
        <v>14.7</v>
      </c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41" t="str">
        <f t="shared" si="129"/>
        <v>Incomplete</v>
      </c>
      <c r="AZ435" s="20"/>
      <c r="BA435" s="20" t="str">
        <f t="shared" si="130"/>
        <v>Incomplete</v>
      </c>
      <c r="BB435" s="20"/>
      <c r="BC435" s="20" t="str">
        <f t="shared" si="131"/>
        <v>Incomplete</v>
      </c>
      <c r="BD435" s="20"/>
      <c r="BE435" s="20" t="str">
        <f t="shared" si="132"/>
        <v>Incomplete</v>
      </c>
      <c r="BF435" s="20"/>
      <c r="BG435" s="20"/>
      <c r="BH435" s="20"/>
      <c r="BI435" s="20" t="str">
        <f t="shared" si="133"/>
        <v>Incomplete</v>
      </c>
      <c r="BJ435" s="20"/>
      <c r="BK435" s="20">
        <v>7</v>
      </c>
      <c r="BL435" s="20"/>
      <c r="BM435" s="20">
        <v>8</v>
      </c>
      <c r="BN435" s="20"/>
      <c r="BO435" s="20"/>
      <c r="BP435" s="20"/>
      <c r="BQ435" s="20"/>
      <c r="BR435" s="20"/>
      <c r="BS435" s="20"/>
      <c r="BT435" s="20"/>
      <c r="BU435" s="20"/>
      <c r="BV435" s="20"/>
      <c r="BW435" s="91">
        <f t="shared" si="134"/>
        <v>0</v>
      </c>
      <c r="BX435" s="91" t="str">
        <f>_xlfn.XLOOKUP(BW435,'Normative data'!$V$3:$V$6,'Normative data'!$W$3:$W$6,"Not Found",-1)</f>
        <v>Not completed</v>
      </c>
      <c r="BY435" s="91">
        <f t="shared" si="135"/>
        <v>0</v>
      </c>
      <c r="BZ435" s="91" t="str">
        <f>_xlfn.XLOOKUP(BY435,'Normative data'!$V$3:$V$6,'Normative data'!$W$3:$W$6,"Not Found",-1)</f>
        <v>Not completed</v>
      </c>
      <c r="CA435" s="20"/>
      <c r="CC435" s="20"/>
      <c r="CE435" s="20"/>
      <c r="CG435" s="20"/>
      <c r="CH435" s="20" t="str">
        <f>_xlfn.XLOOKUP(CG435, 'Normative data'!$S$9:$S$15,'Normative data'!$T$9:$T$15, "Not Found", -1)</f>
        <v>not completed</v>
      </c>
      <c r="CI435" s="20"/>
      <c r="CJ435" s="20" t="str">
        <f>_xlfn.XLOOKUP(CI435, 'Normative data'!$S$9:$S$15, 'Normative data'!$T$9:$T$15, "Not Found", -1)</f>
        <v>not completed</v>
      </c>
      <c r="CK435" s="21"/>
      <c r="CL435" s="21"/>
      <c r="CM435" s="21"/>
      <c r="CN435" s="21"/>
      <c r="CO435" s="21"/>
      <c r="CP435" s="21"/>
      <c r="CQ435" s="20"/>
      <c r="CR435" s="20" t="str" cm="1">
        <f t="array" ref="CR435">IF(OR(ISBLANK(E435),ISBLANK(CQ435)),"Incomplete",_xlfn.XLOOKUP(CQ435,_xlfn.XLOOKUP(E435,'Normative data'!$Y$3:$Y$6,'Normative data'!$Z$3:$AG$6,,-1),'Normative data'!$Z$2:$AG$2,"Not Found",-1))</f>
        <v>Incomplete</v>
      </c>
      <c r="CS435" s="20"/>
      <c r="CT435" s="20"/>
      <c r="CU435" s="20" t="str" cm="1">
        <f t="array" ref="CU435">_xlfn.XLOOKUP(CS435&amp;CT435,(VLOOKUP!$A$3:$A$250)&amp;(VLOOKUP!$B$3:$B$250),VLOOKUP!$C$3:$C$250,"Incomplete",-1)</f>
        <v>Incomplete</v>
      </c>
      <c r="CV435" s="20" t="str" cm="1">
        <f t="array" ref="CV435">_xlfn.XLOOKUP(CU435, _xlfn.XLOOKUP(E435, 'Normative data'!$Y$11:$Y$14, 'Normative data'!$Z$11:$AG$14, ,-1), 'Normative data'!$Z$10:$AG$10, "Not Found", -1)</f>
        <v>Excellent</v>
      </c>
      <c r="CW435" s="20" t="str" cm="1">
        <f t="array" ref="CW435">IF(OR(ISBLANK(CS435),ISBLANK(CT435)),"Incomplete",_xlfn.XLOOKUP(CS435&amp;CT435,VLOOKUP!$A$4:$A$250&amp;VLOOKUP!$B$4:$B$250,VLOOKUP!$D$4:$D$250,"0"))</f>
        <v>Incomplete</v>
      </c>
    </row>
    <row r="436" spans="1:101">
      <c r="A436" s="18" t="s">
        <v>996</v>
      </c>
      <c r="B436" s="18" t="s">
        <v>997</v>
      </c>
      <c r="C436" s="17" t="s">
        <v>86</v>
      </c>
      <c r="D436" s="19">
        <v>40851</v>
      </c>
      <c r="F436" s="17">
        <v>8</v>
      </c>
      <c r="G436" s="17">
        <v>2025</v>
      </c>
      <c r="J436" s="17" t="s">
        <v>122</v>
      </c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41" t="str">
        <f t="shared" si="129"/>
        <v>Incomplete</v>
      </c>
      <c r="AZ436" s="20"/>
      <c r="BA436" s="20" t="str">
        <f t="shared" si="130"/>
        <v>Incomplete</v>
      </c>
      <c r="BB436" s="20"/>
      <c r="BC436" s="20" t="str">
        <f t="shared" si="131"/>
        <v>Incomplete</v>
      </c>
      <c r="BD436" s="20"/>
      <c r="BE436" s="20" t="str">
        <f t="shared" si="132"/>
        <v>Incomplete</v>
      </c>
      <c r="BF436" s="20"/>
      <c r="BG436" s="20">
        <v>9</v>
      </c>
      <c r="BH436" s="20">
        <v>39</v>
      </c>
      <c r="BI436" s="20">
        <f t="shared" si="133"/>
        <v>30</v>
      </c>
      <c r="BJ436" s="20"/>
      <c r="BK436" s="20">
        <v>7</v>
      </c>
      <c r="BL436" s="20"/>
      <c r="BM436" s="20">
        <v>5</v>
      </c>
      <c r="BN436" s="20"/>
      <c r="BO436" s="20"/>
      <c r="BP436" s="20"/>
      <c r="BQ436" s="20"/>
      <c r="BR436" s="20"/>
      <c r="BS436" s="20"/>
      <c r="BT436" s="20"/>
      <c r="BU436" s="20"/>
      <c r="BV436" s="20"/>
      <c r="BW436" s="91" t="str">
        <f t="shared" si="134"/>
        <v>Incomplete</v>
      </c>
      <c r="BX436" s="91" t="str">
        <f>_xlfn.XLOOKUP(BW436,'Normative data'!$V$3:$V$6,'Normative data'!$W$3:$W$6,"Not Found",-1)</f>
        <v>Very low risk</v>
      </c>
      <c r="BY436" s="91" t="str">
        <f t="shared" si="135"/>
        <v>Incomplete</v>
      </c>
      <c r="BZ436" s="91" t="str">
        <f>_xlfn.XLOOKUP(BY436,'Normative data'!$V$3:$V$6,'Normative data'!$W$3:$W$6,"Not Found",-1)</f>
        <v>Very low risk</v>
      </c>
      <c r="CA436" s="20"/>
      <c r="CC436" s="20"/>
      <c r="CE436" s="20">
        <v>36</v>
      </c>
      <c r="CG436" s="20">
        <v>17.34</v>
      </c>
      <c r="CH436" s="20" t="e">
        <f>_xlfn.XLOOKUP(#REF!, 'Normative data'!$S$9:$S$15,'Normative data'!$T$9:$T$15, "Not Found", -1)</f>
        <v>#REF!</v>
      </c>
      <c r="CI436" s="20">
        <v>17.03</v>
      </c>
      <c r="CJ436" s="20" t="e">
        <f>_xlfn.XLOOKUP(#REF!, 'Normative data'!$S$9:$S$15, 'Normative data'!$T$9:$T$15, "Not Found", -1)</f>
        <v>#REF!</v>
      </c>
      <c r="CK436" s="21">
        <v>2.19</v>
      </c>
      <c r="CL436" s="21">
        <v>4.97</v>
      </c>
      <c r="CM436" s="21"/>
      <c r="CN436" s="21">
        <v>6.78</v>
      </c>
      <c r="CO436" s="21">
        <v>7.37</v>
      </c>
      <c r="CP436" s="21"/>
      <c r="CQ436" s="20"/>
      <c r="CR436" s="20" t="str" cm="1">
        <f t="array" ref="CR436">IF(OR(ISBLANK(E436),ISBLANK(CQ436)),"Incomplete",_xlfn.XLOOKUP(CQ436,_xlfn.XLOOKUP(E436,'Normative data'!$Y$3:$Y$6,'Normative data'!$Z$3:$AG$6,,-1),'Normative data'!$Z$2:$AG$2,"Not Found",-1))</f>
        <v>Incomplete</v>
      </c>
      <c r="CS436" s="20"/>
      <c r="CT436" s="20"/>
      <c r="CU436" s="20" t="str" cm="1">
        <f t="array" ref="CU436">_xlfn.XLOOKUP(CS436&amp;CT436,(VLOOKUP!$A$3:$A$250)&amp;(VLOOKUP!$B$3:$B$250),VLOOKUP!$C$3:$C$250,"Incomplete",-1)</f>
        <v>Incomplete</v>
      </c>
      <c r="CV436" s="20" t="str" cm="1">
        <f t="array" ref="CV436">_xlfn.XLOOKUP(CU436, _xlfn.XLOOKUP(E436, 'Normative data'!$Y$11:$Y$14, 'Normative data'!$Z$11:$AG$14, ,-1), 'Normative data'!$Z$10:$AG$10, "Not Found", -1)</f>
        <v>Excellent</v>
      </c>
      <c r="CW436" s="20" t="str" cm="1">
        <f t="array" ref="CW436">IF(OR(ISBLANK(CS436),ISBLANK(CT436)),"Incomplete",_xlfn.XLOOKUP(CS436&amp;CT436,VLOOKUP!$A$4:$A$250&amp;VLOOKUP!$B$4:$B$250,VLOOKUP!$D$4:$D$250,"0"))</f>
        <v>Incomplete</v>
      </c>
    </row>
    <row r="437" spans="1:101">
      <c r="A437" s="17" t="s">
        <v>367</v>
      </c>
      <c r="B437" s="17" t="s">
        <v>874</v>
      </c>
      <c r="C437" s="17" t="s">
        <v>86</v>
      </c>
      <c r="D437" s="26"/>
      <c r="F437" s="17">
        <v>8</v>
      </c>
      <c r="G437" s="17">
        <v>2025</v>
      </c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41" t="str">
        <f t="shared" si="129"/>
        <v>Incomplete</v>
      </c>
      <c r="AZ437" s="20"/>
      <c r="BA437" s="20" t="str">
        <f t="shared" si="130"/>
        <v>Incomplete</v>
      </c>
      <c r="BB437" s="20"/>
      <c r="BC437" s="20" t="str">
        <f t="shared" si="131"/>
        <v>Incomplete</v>
      </c>
      <c r="BD437" s="20"/>
      <c r="BE437" s="20" t="str">
        <f t="shared" si="132"/>
        <v>Incomplete</v>
      </c>
      <c r="BF437" s="20"/>
      <c r="BG437" s="20">
        <v>18</v>
      </c>
      <c r="BH437" s="20">
        <v>40.5</v>
      </c>
      <c r="BI437" s="20">
        <f t="shared" si="133"/>
        <v>22.5</v>
      </c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91" t="str">
        <f t="shared" si="134"/>
        <v>Incomplete</v>
      </c>
      <c r="BX437" s="91" t="str">
        <f>_xlfn.XLOOKUP(BW437,'Normative data'!$V$3:$V$6,'Normative data'!$W$3:$W$6,"Not Found",-1)</f>
        <v>Very low risk</v>
      </c>
      <c r="BY437" s="91" t="str">
        <f t="shared" si="135"/>
        <v>Incomplete</v>
      </c>
      <c r="BZ437" s="91" t="str">
        <f>_xlfn.XLOOKUP(BY437,'Normative data'!$V$3:$V$6,'Normative data'!$W$3:$W$6,"Not Found",-1)</f>
        <v>Very low risk</v>
      </c>
      <c r="CA437" s="20"/>
      <c r="CC437" s="20"/>
      <c r="CE437" s="20"/>
      <c r="CG437" s="20"/>
      <c r="CH437" s="20" t="str">
        <f>_xlfn.XLOOKUP(CG437, 'Normative data'!$S$9:$S$15,'Normative data'!$T$9:$T$15, "Not Found", -1)</f>
        <v>not completed</v>
      </c>
      <c r="CI437" s="20"/>
      <c r="CJ437" s="20" t="str">
        <f>_xlfn.XLOOKUP(CI437, 'Normative data'!$S$9:$S$15, 'Normative data'!$T$9:$T$15, "Not Found", -1)</f>
        <v>not completed</v>
      </c>
      <c r="CK437" s="21"/>
      <c r="CL437" s="21"/>
      <c r="CM437" s="21"/>
      <c r="CN437" s="21"/>
      <c r="CO437" s="21"/>
      <c r="CQ437" s="20"/>
      <c r="CR437" s="20" t="str" cm="1">
        <f t="array" ref="CR437">IF(OR(ISBLANK(E437),ISBLANK(CQ437)),"Incomplete",_xlfn.XLOOKUP(CQ437,_xlfn.XLOOKUP(E437,'Normative data'!$Y$3:$Y$6,'Normative data'!$Z$3:$AG$6,,-1),'Normative data'!$Z$2:$AG$2,"Not Found",-1))</f>
        <v>Incomplete</v>
      </c>
      <c r="CS437" s="20"/>
      <c r="CT437" s="20"/>
      <c r="CU437" s="20" t="str" cm="1">
        <f t="array" ref="CU437">_xlfn.XLOOKUP(CS437&amp;CT437,(VLOOKUP!$A$3:$A$250)&amp;(VLOOKUP!$B$3:$B$250),VLOOKUP!$C$3:$C$250,"Incomplete",-1)</f>
        <v>Incomplete</v>
      </c>
      <c r="CV437" s="20" t="str" cm="1">
        <f t="array" ref="CV437">_xlfn.XLOOKUP(CU437, _xlfn.XLOOKUP(E437, 'Normative data'!$Y$11:$Y$14, 'Normative data'!$Z$11:$AG$14, ,-1), 'Normative data'!$Z$10:$AG$10, "Not Found", -1)</f>
        <v>Excellent</v>
      </c>
      <c r="CW437" s="20" t="str" cm="1">
        <f t="array" ref="CW437">IF(OR(ISBLANK(CS437),ISBLANK(CT437)),"Incomplete",_xlfn.XLOOKUP(CS437&amp;CT437,VLOOKUP!$A$4:$A$250&amp;VLOOKUP!$B$4:$B$250,VLOOKUP!$D$4:$D$250,"0"))</f>
        <v>Incomplete</v>
      </c>
    </row>
    <row r="438" spans="1:101">
      <c r="A438" s="17" t="s">
        <v>988</v>
      </c>
      <c r="B438" s="17" t="s">
        <v>874</v>
      </c>
      <c r="C438" s="17" t="s">
        <v>86</v>
      </c>
      <c r="D438" s="26">
        <v>39933</v>
      </c>
      <c r="F438" s="17">
        <v>10</v>
      </c>
      <c r="G438" s="17">
        <v>2025</v>
      </c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41" t="str">
        <f t="shared" si="129"/>
        <v>Incomplete</v>
      </c>
      <c r="AZ438" s="20"/>
      <c r="BA438" s="20" t="str">
        <f t="shared" si="130"/>
        <v>Incomplete</v>
      </c>
      <c r="BB438" s="20"/>
      <c r="BC438" s="20" t="str">
        <f t="shared" si="131"/>
        <v>Incomplete</v>
      </c>
      <c r="BD438" s="20"/>
      <c r="BE438" s="20" t="str">
        <f t="shared" si="132"/>
        <v>Incomplete</v>
      </c>
      <c r="BF438" s="20"/>
      <c r="BG438" s="20">
        <v>15</v>
      </c>
      <c r="BH438" s="20">
        <v>40.700000000000003</v>
      </c>
      <c r="BI438" s="20" t="e">
        <f>IF(OR(ISBLANK(#REF!), ISBLANK(#REF!)),"Incomplete",(SUM(#REF!-#REF!)))</f>
        <v>#REF!</v>
      </c>
      <c r="BJ438" s="20"/>
      <c r="BK438" s="20">
        <v>9</v>
      </c>
      <c r="BL438" s="20"/>
      <c r="BM438" s="20">
        <v>9</v>
      </c>
      <c r="BN438" s="20"/>
      <c r="BO438" s="20"/>
      <c r="BP438" s="20"/>
      <c r="BQ438" s="20"/>
      <c r="BR438" s="20"/>
      <c r="BS438" s="20"/>
      <c r="BT438" s="20"/>
      <c r="BU438" s="20"/>
      <c r="BV438" s="20"/>
      <c r="BW438" s="91" t="str">
        <f t="shared" si="134"/>
        <v>Incomplete</v>
      </c>
      <c r="BX438" s="91" t="str">
        <f>_xlfn.XLOOKUP(BW438,'Normative data'!$V$3:$V$6,'Normative data'!$W$3:$W$6,"Not Found",-1)</f>
        <v>Very low risk</v>
      </c>
      <c r="BY438" s="91" t="str">
        <f t="shared" si="135"/>
        <v>Incomplete</v>
      </c>
      <c r="BZ438" s="91" t="str">
        <f>_xlfn.XLOOKUP(BY438,'Normative data'!$V$3:$V$6,'Normative data'!$W$3:$W$6,"Not Found",-1)</f>
        <v>Very low risk</v>
      </c>
      <c r="CA438" s="20"/>
      <c r="CC438" s="20"/>
      <c r="CE438" s="20">
        <v>1</v>
      </c>
      <c r="CG438" s="20"/>
      <c r="CH438" s="20" t="str">
        <f>_xlfn.XLOOKUP(CG438, 'Normative data'!$S$9:$S$15,'Normative data'!$T$9:$T$15, "Not Found", -1)</f>
        <v>not completed</v>
      </c>
      <c r="CI438" s="20"/>
      <c r="CJ438" s="20" t="str">
        <f>_xlfn.XLOOKUP(CI438, 'Normative data'!$S$9:$S$15, 'Normative data'!$T$9:$T$15, "Not Found", -1)</f>
        <v>not completed</v>
      </c>
      <c r="CK438" s="21">
        <v>2.2999999999999998</v>
      </c>
      <c r="CL438" s="21">
        <v>4.3499999999999996</v>
      </c>
      <c r="CM438" s="21"/>
      <c r="CN438" s="21">
        <v>7.34</v>
      </c>
      <c r="CO438" s="21">
        <v>6.81</v>
      </c>
      <c r="CP438" s="21"/>
      <c r="CQ438" s="20"/>
      <c r="CR438" s="20" t="str" cm="1">
        <f t="array" ref="CR438">IF(OR(ISBLANK(E438),ISBLANK(CQ438)),"Incomplete",_xlfn.XLOOKUP(CQ438,_xlfn.XLOOKUP(E438,'Normative data'!$Y$3:$Y$6,'Normative data'!$Z$3:$AG$6,,-1),'Normative data'!$Z$2:$AG$2,"Not Found",-1))</f>
        <v>Incomplete</v>
      </c>
      <c r="CS438" s="20"/>
      <c r="CT438" s="20"/>
      <c r="CU438" s="20" t="str" cm="1">
        <f t="array" ref="CU438">_xlfn.XLOOKUP(CS438&amp;CT438,(VLOOKUP!$A$3:$A$250)&amp;(VLOOKUP!$B$3:$B$250),VLOOKUP!$C$3:$C$250,"Incomplete",-1)</f>
        <v>Incomplete</v>
      </c>
      <c r="CV438" s="20" t="str" cm="1">
        <f t="array" ref="CV438">_xlfn.XLOOKUP(CU438, _xlfn.XLOOKUP(E438, 'Normative data'!$Y$11:$Y$14, 'Normative data'!$Z$11:$AG$14, ,-1), 'Normative data'!$Z$10:$AG$10, "Not Found", -1)</f>
        <v>Excellent</v>
      </c>
      <c r="CW438" s="20" t="str" cm="1">
        <f t="array" ref="CW438">IF(OR(ISBLANK(CS438),ISBLANK(CT438)),"Incomplete",_xlfn.XLOOKUP(CS438&amp;CT438,VLOOKUP!$A$4:$A$250&amp;VLOOKUP!$B$4:$B$250,VLOOKUP!$D$4:$D$250,"0"))</f>
        <v>Incomplete</v>
      </c>
    </row>
    <row r="439" spans="1:101">
      <c r="A439" s="17" t="s">
        <v>988</v>
      </c>
      <c r="B439" s="17" t="s">
        <v>874</v>
      </c>
      <c r="C439" s="17" t="s">
        <v>86</v>
      </c>
      <c r="D439" s="26">
        <v>39933</v>
      </c>
      <c r="F439" s="17">
        <v>10</v>
      </c>
      <c r="G439" s="17">
        <v>2025</v>
      </c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41" t="str">
        <f t="shared" si="129"/>
        <v>Incomplete</v>
      </c>
      <c r="AZ439" s="20"/>
      <c r="BA439" s="20" t="str">
        <f t="shared" si="130"/>
        <v>Incomplete</v>
      </c>
      <c r="BB439" s="20"/>
      <c r="BC439" s="20" t="str">
        <f t="shared" si="131"/>
        <v>Incomplete</v>
      </c>
      <c r="BD439" s="20"/>
      <c r="BE439" s="20" t="str">
        <f t="shared" si="132"/>
        <v>Incomplete</v>
      </c>
      <c r="BF439" s="20"/>
      <c r="BG439" s="20"/>
      <c r="BH439" s="20"/>
      <c r="BI439" s="20" t="str">
        <f>IF(OR(ISBLANK(BG439), ISBLANK(BH439)),"Incomplete",(SUM(BH439-BG439)))</f>
        <v>Incomplete</v>
      </c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91" t="str">
        <f t="shared" si="134"/>
        <v>Incomplete</v>
      </c>
      <c r="BX439" s="91" t="str">
        <f>_xlfn.XLOOKUP(BW439,'Normative data'!$V$3:$V$6,'Normative data'!$W$3:$W$6,"Not Found",-1)</f>
        <v>Very low risk</v>
      </c>
      <c r="BY439" s="91" t="str">
        <f t="shared" si="135"/>
        <v>Incomplete</v>
      </c>
      <c r="BZ439" s="91" t="str">
        <f>_xlfn.XLOOKUP(BY439,'Normative data'!$V$3:$V$6,'Normative data'!$W$3:$W$6,"Not Found",-1)</f>
        <v>Very low risk</v>
      </c>
      <c r="CA439" s="20"/>
      <c r="CC439" s="20"/>
      <c r="CE439" s="20"/>
      <c r="CG439" s="20"/>
      <c r="CH439" s="20" t="str">
        <f>_xlfn.XLOOKUP(CG439, 'Normative data'!$S$9:$S$15,'Normative data'!$T$9:$T$15, "Not Found", -1)</f>
        <v>not completed</v>
      </c>
      <c r="CI439" s="20"/>
      <c r="CJ439" s="20" t="str">
        <f>_xlfn.XLOOKUP(CI439, 'Normative data'!$S$9:$S$15, 'Normative data'!$T$9:$T$15, "Not Found", -1)</f>
        <v>not completed</v>
      </c>
      <c r="CK439" s="21">
        <v>2.2999999999999998</v>
      </c>
      <c r="CL439" s="21">
        <v>4.3499999999999996</v>
      </c>
      <c r="CM439" s="21"/>
      <c r="CN439" s="21">
        <v>7.34</v>
      </c>
      <c r="CO439" s="21">
        <v>6.81</v>
      </c>
      <c r="CP439" s="21"/>
      <c r="CQ439" s="20"/>
      <c r="CR439" s="20" t="str" cm="1">
        <f t="array" ref="CR439">IF(OR(ISBLANK(E439),ISBLANK(CQ439)),"Incomplete",_xlfn.XLOOKUP(CQ439,_xlfn.XLOOKUP(E439,'Normative data'!$Y$3:$Y$6,'Normative data'!$Z$3:$AG$6,,-1),'Normative data'!$Z$2:$AG$2,"Not Found",-1))</f>
        <v>Incomplete</v>
      </c>
      <c r="CS439" s="20"/>
      <c r="CT439" s="20"/>
      <c r="CU439" s="20" t="str" cm="1">
        <f t="array" ref="CU439">_xlfn.XLOOKUP(CS439&amp;CT439,(VLOOKUP!$A$3:$A$250)&amp;(VLOOKUP!$B$3:$B$250),VLOOKUP!$C$3:$C$250,"Incomplete",-1)</f>
        <v>Incomplete</v>
      </c>
      <c r="CV439" s="20" t="str" cm="1">
        <f t="array" ref="CV439">_xlfn.XLOOKUP(CU439, _xlfn.XLOOKUP(E439, 'Normative data'!$Y$11:$Y$14, 'Normative data'!$Z$11:$AG$14, ,-1), 'Normative data'!$Z$10:$AG$10, "Not Found", -1)</f>
        <v>Excellent</v>
      </c>
      <c r="CW439" s="20" t="str" cm="1">
        <f t="array" ref="CW439">IF(OR(ISBLANK(CS439),ISBLANK(CT439)),"Incomplete",_xlfn.XLOOKUP(CS439&amp;CT439,VLOOKUP!$A$4:$A$250&amp;VLOOKUP!$B$4:$B$250,VLOOKUP!$D$4:$D$250,"0"))</f>
        <v>Incomplete</v>
      </c>
    </row>
    <row r="440" spans="1:101">
      <c r="A440" s="17" t="s">
        <v>988</v>
      </c>
      <c r="B440" s="17" t="s">
        <v>874</v>
      </c>
      <c r="C440" s="17" t="s">
        <v>86</v>
      </c>
      <c r="D440" s="26">
        <v>39933</v>
      </c>
      <c r="F440" s="17">
        <v>10</v>
      </c>
      <c r="G440" s="17">
        <v>2025</v>
      </c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41" t="str">
        <f t="shared" si="129"/>
        <v>Incomplete</v>
      </c>
      <c r="AZ440" s="20"/>
      <c r="BA440" s="20" t="str">
        <f t="shared" si="130"/>
        <v>Incomplete</v>
      </c>
      <c r="BB440" s="20"/>
      <c r="BC440" s="20" t="str">
        <f t="shared" si="131"/>
        <v>Incomplete</v>
      </c>
      <c r="BD440" s="20"/>
      <c r="BE440" s="20" t="str">
        <f t="shared" si="132"/>
        <v>Incomplete</v>
      </c>
      <c r="BF440" s="20"/>
      <c r="BG440" s="20"/>
      <c r="BH440" s="20"/>
      <c r="BI440" s="20" t="str">
        <f>IF(OR(ISBLANK(BG440), ISBLANK(BH440)),"Incomplete",(SUM(BH440-BG440)))</f>
        <v>Incomplete</v>
      </c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91" t="str">
        <f t="shared" si="134"/>
        <v>Incomplete</v>
      </c>
      <c r="BX440" s="91" t="str">
        <f>_xlfn.XLOOKUP(BW440,'Normative data'!$V$3:$V$6,'Normative data'!$W$3:$W$6,"Not Found",-1)</f>
        <v>Very low risk</v>
      </c>
      <c r="BY440" s="91" t="str">
        <f t="shared" si="135"/>
        <v>Incomplete</v>
      </c>
      <c r="BZ440" s="91" t="str">
        <f>_xlfn.XLOOKUP(BY440,'Normative data'!$V$3:$V$6,'Normative data'!$W$3:$W$6,"Not Found",-1)</f>
        <v>Very low risk</v>
      </c>
      <c r="CA440" s="20"/>
      <c r="CC440" s="20"/>
      <c r="CE440" s="20"/>
      <c r="CG440" s="20"/>
      <c r="CH440" s="20" t="str">
        <f>_xlfn.XLOOKUP(CG440, 'Normative data'!$S$9:$S$15,'Normative data'!$T$9:$T$15, "Not Found", -1)</f>
        <v>not completed</v>
      </c>
      <c r="CI440" s="20"/>
      <c r="CJ440" s="20" t="str">
        <f>_xlfn.XLOOKUP(CI440, 'Normative data'!$S$9:$S$15, 'Normative data'!$T$9:$T$15, "Not Found", -1)</f>
        <v>not completed</v>
      </c>
      <c r="CK440" s="20" t="s">
        <v>328</v>
      </c>
      <c r="CL440" s="20" t="s">
        <v>998</v>
      </c>
      <c r="CN440" s="20" t="s">
        <v>999</v>
      </c>
      <c r="CO440" s="20" t="s">
        <v>718</v>
      </c>
      <c r="CQ440" s="20"/>
      <c r="CR440" s="20" t="str" cm="1">
        <f t="array" ref="CR440">IF(OR(ISBLANK(E440),ISBLANK(CQ440)),"Incomplete",_xlfn.XLOOKUP(CQ440,_xlfn.XLOOKUP(E440,'Normative data'!$Y$3:$Y$6,'Normative data'!$Z$3:$AG$6,,-1),'Normative data'!$Z$2:$AG$2,"Not Found",-1))</f>
        <v>Incomplete</v>
      </c>
      <c r="CS440" s="20"/>
      <c r="CT440" s="20"/>
      <c r="CU440" s="20" t="str" cm="1">
        <f t="array" ref="CU440">_xlfn.XLOOKUP(CS440&amp;CT440,(VLOOKUP!$A$3:$A$250)&amp;(VLOOKUP!$B$3:$B$250),VLOOKUP!$C$3:$C$250,"Incomplete",-1)</f>
        <v>Incomplete</v>
      </c>
      <c r="CV440" s="20" t="str" cm="1">
        <f t="array" ref="CV440">_xlfn.XLOOKUP(CU440, _xlfn.XLOOKUP(E440, 'Normative data'!$Y$11:$Y$14, 'Normative data'!$Z$11:$AG$14, ,-1), 'Normative data'!$Z$10:$AG$10, "Not Found", -1)</f>
        <v>Excellent</v>
      </c>
      <c r="CW440" s="20" t="str" cm="1">
        <f t="array" ref="CW440">IF(OR(ISBLANK(CS440),ISBLANK(CT440)),"Incomplete",_xlfn.XLOOKUP(CS440&amp;CT440,VLOOKUP!$A$4:$A$250&amp;VLOOKUP!$B$4:$B$250,VLOOKUP!$D$4:$D$250,"0"))</f>
        <v>Incomplete</v>
      </c>
    </row>
    <row r="441" spans="1:101">
      <c r="A441" s="17" t="s">
        <v>1000</v>
      </c>
      <c r="B441" s="17" t="s">
        <v>1001</v>
      </c>
      <c r="C441" s="17" t="s">
        <v>86</v>
      </c>
      <c r="D441" s="26"/>
      <c r="F441" s="17">
        <v>11</v>
      </c>
      <c r="G441" s="17">
        <v>2025</v>
      </c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41" t="str">
        <f t="shared" si="129"/>
        <v>Incomplete</v>
      </c>
      <c r="AZ441" s="20"/>
      <c r="BA441" s="20" t="str">
        <f t="shared" si="130"/>
        <v>Incomplete</v>
      </c>
      <c r="BB441" s="20"/>
      <c r="BC441" s="20" t="str">
        <f t="shared" si="131"/>
        <v>Incomplete</v>
      </c>
      <c r="BD441" s="20"/>
      <c r="BE441" s="20" t="str">
        <f t="shared" si="132"/>
        <v>Incomplete</v>
      </c>
      <c r="BF441" s="20"/>
      <c r="BG441" s="20"/>
      <c r="BH441" s="20"/>
      <c r="BI441" s="20" t="str">
        <f>IF(OR(ISBLANK(BG441), ISBLANK(BH441)),"Incomplete",(SUM(BH441-BG441)))</f>
        <v>Incomplete</v>
      </c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91" t="str">
        <f t="shared" si="134"/>
        <v>Incomplete</v>
      </c>
      <c r="BX441" s="91" t="str">
        <f>_xlfn.XLOOKUP(BW441,'Normative data'!$V$3:$V$6,'Normative data'!$W$3:$W$6,"Not Found",-1)</f>
        <v>Very low risk</v>
      </c>
      <c r="BY441" s="91" t="str">
        <f t="shared" si="135"/>
        <v>Incomplete</v>
      </c>
      <c r="BZ441" s="91" t="str">
        <f>_xlfn.XLOOKUP(BY441,'Normative data'!$V$3:$V$6,'Normative data'!$W$3:$W$6,"Not Found",-1)</f>
        <v>Very low risk</v>
      </c>
      <c r="CA441" s="20"/>
      <c r="CC441" s="20"/>
      <c r="CE441" s="20"/>
      <c r="CG441" s="20"/>
      <c r="CH441" s="20" t="str">
        <f>_xlfn.XLOOKUP(CG441, 'Normative data'!$S$9:$S$15,'Normative data'!$T$9:$T$15, "Not Found", -1)</f>
        <v>not completed</v>
      </c>
      <c r="CI441" s="20"/>
      <c r="CJ441" s="20" t="str">
        <f>_xlfn.XLOOKUP(CI441, 'Normative data'!$S$9:$S$15, 'Normative data'!$T$9:$T$15, "Not Found", -1)</f>
        <v>not completed</v>
      </c>
      <c r="CK441" s="20" t="s">
        <v>1002</v>
      </c>
      <c r="CL441" s="20" t="s">
        <v>1003</v>
      </c>
      <c r="CN441" s="20" t="s">
        <v>1004</v>
      </c>
      <c r="CO441" s="20" t="s">
        <v>1005</v>
      </c>
      <c r="CQ441" s="20"/>
      <c r="CR441" s="20" t="str" cm="1">
        <f t="array" ref="CR441">IF(OR(ISBLANK(E441),ISBLANK(CQ441)),"Incomplete",_xlfn.XLOOKUP(CQ441,_xlfn.XLOOKUP(E441,'Normative data'!$Y$3:$Y$6,'Normative data'!$Z$3:$AG$6,,-1),'Normative data'!$Z$2:$AG$2,"Not Found",-1))</f>
        <v>Incomplete</v>
      </c>
      <c r="CS441" s="20"/>
      <c r="CT441" s="20"/>
      <c r="CU441" s="20" t="str" cm="1">
        <f t="array" ref="CU441">_xlfn.XLOOKUP(CS441&amp;CT441,(VLOOKUP!$A$3:$A$250)&amp;(VLOOKUP!$B$3:$B$250),VLOOKUP!$C$3:$C$250,"Incomplete",-1)</f>
        <v>Incomplete</v>
      </c>
      <c r="CV441" s="20" t="str" cm="1">
        <f t="array" ref="CV441">_xlfn.XLOOKUP(CU441, _xlfn.XLOOKUP(E441, 'Normative data'!$Y$11:$Y$14, 'Normative data'!$Z$11:$AG$14, ,-1), 'Normative data'!$Z$10:$AG$10, "Not Found", -1)</f>
        <v>Excellent</v>
      </c>
      <c r="CW441" s="20" t="str" cm="1">
        <f t="array" ref="CW441">IF(OR(ISBLANK(CS441),ISBLANK(CT441)),"Incomplete",_xlfn.XLOOKUP(CS441&amp;CT441,VLOOKUP!$A$4:$A$250&amp;VLOOKUP!$B$4:$B$250,VLOOKUP!$D$4:$D$250,"0"))</f>
        <v>Incomplete</v>
      </c>
    </row>
    <row r="442" spans="1:101">
      <c r="A442" s="17" t="s">
        <v>969</v>
      </c>
      <c r="B442" s="17" t="s">
        <v>1006</v>
      </c>
      <c r="C442" s="17" t="s">
        <v>86</v>
      </c>
      <c r="D442" s="26"/>
      <c r="F442" s="17">
        <v>11</v>
      </c>
      <c r="G442" s="17">
        <v>2025</v>
      </c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41" t="str">
        <f t="shared" si="129"/>
        <v>Incomplete</v>
      </c>
      <c r="AZ442" s="20"/>
      <c r="BA442" s="20" t="str">
        <f t="shared" si="130"/>
        <v>Incomplete</v>
      </c>
      <c r="BB442" s="20"/>
      <c r="BC442" s="20" t="str">
        <f t="shared" si="131"/>
        <v>Incomplete</v>
      </c>
      <c r="BD442" s="20"/>
      <c r="BE442" s="20" t="str">
        <f t="shared" si="132"/>
        <v>Incomplete</v>
      </c>
      <c r="BF442" s="20"/>
      <c r="BG442" s="20">
        <v>14.5</v>
      </c>
      <c r="BH442" s="20">
        <v>25.5</v>
      </c>
      <c r="BI442" s="20">
        <f>IF(OR(ISBLANK(BG442), ISBLANK(BH442)),"Incomplete",(SUM(BH442-BG442)))</f>
        <v>11</v>
      </c>
      <c r="BJ442" s="20"/>
      <c r="BK442" s="20">
        <v>7</v>
      </c>
      <c r="BL442" s="20"/>
      <c r="BM442" s="20">
        <v>8</v>
      </c>
      <c r="BN442" s="20"/>
      <c r="BO442" s="20"/>
      <c r="BP442" s="20"/>
      <c r="BQ442" s="20"/>
      <c r="BR442" s="20"/>
      <c r="BS442" s="20"/>
      <c r="BT442" s="20"/>
      <c r="BU442" s="20"/>
      <c r="BV442" s="20"/>
      <c r="BW442" s="91" t="str">
        <f t="shared" si="134"/>
        <v>Incomplete</v>
      </c>
      <c r="BX442" s="91" t="str">
        <f>_xlfn.XLOOKUP(BW442,'Normative data'!$V$3:$V$6,'Normative data'!$W$3:$W$6,"Not Found",-1)</f>
        <v>Very low risk</v>
      </c>
      <c r="BY442" s="91" t="str">
        <f t="shared" si="135"/>
        <v>Incomplete</v>
      </c>
      <c r="BZ442" s="91" t="str">
        <f>_xlfn.XLOOKUP(BY442,'Normative data'!$V$3:$V$6,'Normative data'!$W$3:$W$6,"Not Found",-1)</f>
        <v>Very low risk</v>
      </c>
      <c r="CA442" s="20"/>
      <c r="CC442" s="20"/>
      <c r="CE442" s="20"/>
      <c r="CG442" s="20"/>
      <c r="CH442" s="20" t="str">
        <f>_xlfn.XLOOKUP(CG442, 'Normative data'!$S$9:$S$15,'Normative data'!$T$9:$T$15, "Not Found", -1)</f>
        <v>not completed</v>
      </c>
      <c r="CI442" s="20"/>
      <c r="CJ442" s="20" t="str">
        <f>_xlfn.XLOOKUP(CI442, 'Normative data'!$S$9:$S$15, 'Normative data'!$T$9:$T$15, "Not Found", -1)</f>
        <v>not completed</v>
      </c>
      <c r="CK442" s="20" t="s">
        <v>386</v>
      </c>
      <c r="CL442" s="20" t="s">
        <v>506</v>
      </c>
      <c r="CM442" s="21"/>
      <c r="CN442" s="20" t="s">
        <v>718</v>
      </c>
      <c r="CO442" s="20" t="s">
        <v>1007</v>
      </c>
      <c r="CP442" s="25"/>
      <c r="CQ442" s="20"/>
      <c r="CR442" s="20" t="str" cm="1">
        <f t="array" ref="CR442">IF(OR(ISBLANK(E442),ISBLANK(CQ442)),"Incomplete",_xlfn.XLOOKUP(CQ442,_xlfn.XLOOKUP(E442,'Normative data'!$Y$3:$Y$6,'Normative data'!$Z$3:$AG$6,,-1),'Normative data'!$Z$2:$AG$2,"Not Found",-1))</f>
        <v>Incomplete</v>
      </c>
      <c r="CS442" s="20"/>
      <c r="CT442" s="20"/>
      <c r="CU442" s="20" t="str" cm="1">
        <f t="array" ref="CU442">_xlfn.XLOOKUP(CS442&amp;CT442,(VLOOKUP!$A$3:$A$250)&amp;(VLOOKUP!$B$3:$B$250),VLOOKUP!$C$3:$C$250,"Incomplete",-1)</f>
        <v>Incomplete</v>
      </c>
      <c r="CV442" s="20" t="str" cm="1">
        <f t="array" ref="CV442">_xlfn.XLOOKUP(CU442, _xlfn.XLOOKUP(E442, 'Normative data'!$Y$11:$Y$14, 'Normative data'!$Z$11:$AG$14, ,-1), 'Normative data'!$Z$10:$AG$10, "Not Found", -1)</f>
        <v>Excellent</v>
      </c>
      <c r="CW442" s="20" t="str" cm="1">
        <f t="array" ref="CW442">IF(OR(ISBLANK(CS442),ISBLANK(CT442)),"Incomplete",_xlfn.XLOOKUP(CS442&amp;CT442,VLOOKUP!$A$4:$A$250&amp;VLOOKUP!$B$4:$B$250,VLOOKUP!$D$4:$D$250,"0"))</f>
        <v>Incomplete</v>
      </c>
    </row>
    <row r="443" spans="1:101">
      <c r="A443" s="18" t="s">
        <v>296</v>
      </c>
      <c r="B443" s="18" t="s">
        <v>295</v>
      </c>
      <c r="C443" s="17" t="s">
        <v>86</v>
      </c>
      <c r="D443" s="26">
        <v>40334</v>
      </c>
      <c r="F443" s="17">
        <v>9</v>
      </c>
      <c r="G443" s="17">
        <v>2025</v>
      </c>
      <c r="J443" s="17" t="s">
        <v>122</v>
      </c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41" t="str">
        <f t="shared" si="129"/>
        <v>Incomplete</v>
      </c>
      <c r="AZ443" s="20"/>
      <c r="BA443" s="20" t="str">
        <f t="shared" si="130"/>
        <v>Incomplete</v>
      </c>
      <c r="BB443" s="20"/>
      <c r="BC443" s="20" t="str">
        <f t="shared" si="131"/>
        <v>Incomplete</v>
      </c>
      <c r="BD443" s="20"/>
      <c r="BE443" s="20" t="str">
        <f t="shared" si="132"/>
        <v>Incomplete</v>
      </c>
      <c r="BF443" s="20"/>
      <c r="BG443" s="20">
        <v>11</v>
      </c>
      <c r="BH443" s="20"/>
      <c r="BI443" s="20" t="str">
        <f>IF(OR(ISBLANK(#REF!), ISBLANK(BH443)),"Incomplete",(SUM(BH443-#REF!)))</f>
        <v>Incomplete</v>
      </c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91" t="str">
        <f t="shared" si="134"/>
        <v>Incomplete</v>
      </c>
      <c r="BX443" s="91" t="str">
        <f>_xlfn.XLOOKUP(BW443,'Normative data'!$V$3:$V$6,'Normative data'!$W$3:$W$6,"Not Found",-1)</f>
        <v>Very low risk</v>
      </c>
      <c r="BY443" s="91" t="str">
        <f t="shared" si="135"/>
        <v>Incomplete</v>
      </c>
      <c r="BZ443" s="91" t="str">
        <f>_xlfn.XLOOKUP(BY443,'Normative data'!$V$3:$V$6,'Normative data'!$W$3:$W$6,"Not Found",-1)</f>
        <v>Very low risk</v>
      </c>
      <c r="CA443" s="20"/>
      <c r="CC443" s="20"/>
      <c r="CE443" s="20"/>
      <c r="CG443" s="20">
        <v>18.66</v>
      </c>
      <c r="CH443" s="20" t="str">
        <f>_xlfn.XLOOKUP(CG443, 'Normative data'!$S$9:$S$15,'Normative data'!$T$9:$T$15, "Not Found", -1)</f>
        <v>Average</v>
      </c>
      <c r="CI443" s="20">
        <v>19.25</v>
      </c>
      <c r="CJ443" s="20" t="str">
        <f>_xlfn.XLOOKUP(CI443, 'Normative data'!$S$9:$S$15, 'Normative data'!$T$9:$T$15, "Not Found", -1)</f>
        <v>Average</v>
      </c>
      <c r="CK443" s="21">
        <v>2.23</v>
      </c>
      <c r="CL443" s="21">
        <v>4.4800000000000004</v>
      </c>
      <c r="CM443" s="21"/>
      <c r="CN443" s="21">
        <v>6.74</v>
      </c>
      <c r="CO443" s="21">
        <v>7.42</v>
      </c>
      <c r="CQ443" s="20"/>
      <c r="CR443" s="20" t="str" cm="1">
        <f t="array" ref="CR443">IF(OR(ISBLANK(E443),ISBLANK(CQ443)),"Incomplete",_xlfn.XLOOKUP(CQ443,_xlfn.XLOOKUP(E443,'Normative data'!$Y$3:$Y$6,'Normative data'!$Z$3:$AG$6,,-1),'Normative data'!$Z$2:$AG$2,"Not Found",-1))</f>
        <v>Incomplete</v>
      </c>
      <c r="CS443" s="20"/>
      <c r="CT443" s="20"/>
      <c r="CU443" s="20" t="str" cm="1">
        <f t="array" ref="CU443">_xlfn.XLOOKUP(CS443&amp;CT443,(VLOOKUP!$A$3:$A$250)&amp;(VLOOKUP!$B$3:$B$250),VLOOKUP!$C$3:$C$250,"Incomplete",-1)</f>
        <v>Incomplete</v>
      </c>
      <c r="CV443" s="20" t="str" cm="1">
        <f t="array" ref="CV443">_xlfn.XLOOKUP(CU443, _xlfn.XLOOKUP(E443, 'Normative data'!$Y$11:$Y$14, 'Normative data'!$Z$11:$AG$14, ,-1), 'Normative data'!$Z$10:$AG$10, "Not Found", -1)</f>
        <v>Excellent</v>
      </c>
      <c r="CW443" s="20" t="str" cm="1">
        <f t="array" ref="CW443">IF(OR(ISBLANK(CS443),ISBLANK(CT443)),"Incomplete",_xlfn.XLOOKUP(CS443&amp;CT443,VLOOKUP!$A$4:$A$250&amp;VLOOKUP!$B$4:$B$250,VLOOKUP!$D$4:$D$250,"0"))</f>
        <v>Incomplete</v>
      </c>
    </row>
    <row r="444" spans="1:101">
      <c r="A444" s="17" t="s">
        <v>296</v>
      </c>
      <c r="B444" s="17" t="s">
        <v>295</v>
      </c>
      <c r="C444" s="17" t="s">
        <v>86</v>
      </c>
      <c r="D444" s="19">
        <v>40334</v>
      </c>
      <c r="G444" s="17">
        <v>2025</v>
      </c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41" t="str">
        <f t="shared" si="129"/>
        <v>Incomplete</v>
      </c>
      <c r="AZ444" s="20"/>
      <c r="BA444" s="20" t="str">
        <f t="shared" si="130"/>
        <v>Incomplete</v>
      </c>
      <c r="BB444" s="20"/>
      <c r="BC444" s="20" t="str">
        <f t="shared" si="131"/>
        <v>Incomplete</v>
      </c>
      <c r="BD444" s="20"/>
      <c r="BE444" s="20" t="str">
        <f t="shared" si="132"/>
        <v>Incomplete</v>
      </c>
      <c r="BF444" s="20"/>
      <c r="BG444" s="20"/>
      <c r="BH444" s="20"/>
      <c r="BI444" s="20" t="str">
        <f>IF(OR(ISBLANK(BG444), ISBLANK(BH444)),"Incomplete",(SUM(BH444-BG444)))</f>
        <v>Incomplete</v>
      </c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91" t="str">
        <f t="shared" si="134"/>
        <v>Incomplete</v>
      </c>
      <c r="BX444" s="91" t="str">
        <f>_xlfn.XLOOKUP(BW444,'Normative data'!$V$3:$V$6,'Normative data'!$W$3:$W$6,"Not Found",-1)</f>
        <v>Very low risk</v>
      </c>
      <c r="BY444" s="91" t="str">
        <f t="shared" si="135"/>
        <v>Incomplete</v>
      </c>
      <c r="BZ444" s="91" t="str">
        <f>_xlfn.XLOOKUP(BY444,'Normative data'!$V$3:$V$6,'Normative data'!$W$3:$W$6,"Not Found",-1)</f>
        <v>Very low risk</v>
      </c>
      <c r="CA444" s="20"/>
      <c r="CC444" s="20"/>
      <c r="CE444" s="20">
        <v>15</v>
      </c>
      <c r="CG444" s="20">
        <v>18.559999999999999</v>
      </c>
      <c r="CH444" s="20" t="str">
        <f>_xlfn.XLOOKUP(CG444, 'Normative data'!$S$9:$S$15,'Normative data'!$T$9:$T$15, "Not Found", -1)</f>
        <v>Average</v>
      </c>
      <c r="CI444" s="20">
        <v>18.579999999999998</v>
      </c>
      <c r="CJ444" s="20" t="str">
        <f>_xlfn.XLOOKUP(CI444, 'Normative data'!$S$9:$S$15, 'Normative data'!$T$9:$T$15, "Not Found", -1)</f>
        <v>Average</v>
      </c>
      <c r="CK444" s="20" t="s">
        <v>858</v>
      </c>
      <c r="CL444" s="20" t="s">
        <v>920</v>
      </c>
      <c r="CM444" s="21"/>
      <c r="CN444" s="20" t="s">
        <v>346</v>
      </c>
      <c r="CO444" s="20" t="s">
        <v>347</v>
      </c>
      <c r="CQ444" s="20"/>
      <c r="CR444" s="20" t="str" cm="1">
        <f t="array" ref="CR444">IF(OR(ISBLANK(E444),ISBLANK(CQ444)),"Incomplete",_xlfn.XLOOKUP(CQ444,_xlfn.XLOOKUP(E444,'Normative data'!$Y$3:$Y$6,'Normative data'!$Z$3:$AG$6,,-1),'Normative data'!$Z$2:$AG$2,"Not Found",-1))</f>
        <v>Incomplete</v>
      </c>
      <c r="CS444" s="20"/>
      <c r="CT444" s="20"/>
      <c r="CU444" s="20" t="str" cm="1">
        <f t="array" ref="CU444">_xlfn.XLOOKUP(CS444&amp;CT444,(VLOOKUP!$A$3:$A$250)&amp;(VLOOKUP!$B$3:$B$250),VLOOKUP!$C$3:$C$250,"Incomplete",-1)</f>
        <v>Incomplete</v>
      </c>
      <c r="CV444" s="20" t="str" cm="1">
        <f t="array" ref="CV444">_xlfn.XLOOKUP(CU444, _xlfn.XLOOKUP(E444, 'Normative data'!$Y$11:$Y$14, 'Normative data'!$Z$11:$AG$14, ,-1), 'Normative data'!$Z$10:$AG$10, "Not Found", -1)</f>
        <v>Excellent</v>
      </c>
      <c r="CW444" s="20" t="str" cm="1">
        <f t="array" ref="CW444">IF(OR(ISBLANK(CS444),ISBLANK(CT444)),"Incomplete",_xlfn.XLOOKUP(CS444&amp;CT444,VLOOKUP!$A$4:$A$250&amp;VLOOKUP!$B$4:$B$250,VLOOKUP!$D$4:$D$250,"0"))</f>
        <v>Incomplete</v>
      </c>
    </row>
    <row r="445" spans="1:101">
      <c r="A445" s="18" t="s">
        <v>684</v>
      </c>
      <c r="B445" s="18" t="s">
        <v>683</v>
      </c>
      <c r="C445" s="17" t="s">
        <v>86</v>
      </c>
      <c r="D445" s="19">
        <v>39834</v>
      </c>
      <c r="F445" s="17">
        <v>10</v>
      </c>
      <c r="G445" s="17">
        <v>2025</v>
      </c>
      <c r="J445" s="17" t="s">
        <v>88</v>
      </c>
      <c r="S445" s="20"/>
      <c r="T445" s="20">
        <v>160.80000000000001</v>
      </c>
      <c r="U445" s="20">
        <v>54</v>
      </c>
      <c r="V445" s="20"/>
      <c r="W445" s="20">
        <v>12</v>
      </c>
      <c r="X445" s="20">
        <f>SUM(T445-W445)</f>
        <v>148.80000000000001</v>
      </c>
      <c r="Y445" s="20">
        <v>23</v>
      </c>
      <c r="Z445" s="20">
        <v>20.9</v>
      </c>
      <c r="AA445" s="20">
        <v>22.3</v>
      </c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>
        <v>25.7</v>
      </c>
      <c r="AR445" s="20">
        <v>0.45800000000000002</v>
      </c>
      <c r="AS445" s="20">
        <v>31.5</v>
      </c>
      <c r="AT445" s="20">
        <v>0.50700000000000001</v>
      </c>
      <c r="AU445" s="20">
        <v>17.100000000000001</v>
      </c>
      <c r="AV445" s="20">
        <v>0.373</v>
      </c>
      <c r="AW445" s="20">
        <v>20.7</v>
      </c>
      <c r="AX445" s="20">
        <v>0.41099999999999998</v>
      </c>
      <c r="AY445" s="41">
        <f t="shared" si="129"/>
        <v>1951.1899999999996</v>
      </c>
      <c r="AZ445" s="20"/>
      <c r="BA445" s="20">
        <f t="shared" si="130"/>
        <v>2303.25</v>
      </c>
      <c r="BB445" s="20"/>
      <c r="BC445" s="20">
        <f t="shared" si="131"/>
        <v>1429.17</v>
      </c>
      <c r="BD445" s="20"/>
      <c r="BE445" s="20">
        <f t="shared" si="132"/>
        <v>1647.6899999999996</v>
      </c>
      <c r="BF445" s="20"/>
      <c r="BG445" s="20">
        <v>22.3</v>
      </c>
      <c r="BH445" s="20">
        <v>62</v>
      </c>
      <c r="BI445" s="20" t="e">
        <f>IF(OR(ISBLANK(#REF!), ISBLANK(#REF!)),"Incomplete",(SUM(#REF!-#REF!)))</f>
        <v>#REF!</v>
      </c>
      <c r="BJ445" s="20"/>
      <c r="BK445" s="20">
        <v>8</v>
      </c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91">
        <f t="shared" si="134"/>
        <v>0</v>
      </c>
      <c r="BX445" s="91" t="str">
        <f>_xlfn.XLOOKUP(BW445,'Normative data'!$V$3:$V$6,'Normative data'!$W$3:$W$6,"Not Found",-1)</f>
        <v>Not completed</v>
      </c>
      <c r="BY445" s="91">
        <f t="shared" si="135"/>
        <v>0</v>
      </c>
      <c r="BZ445" s="91" t="str">
        <f>_xlfn.XLOOKUP(BY445,'Normative data'!$V$3:$V$6,'Normative data'!$W$3:$W$6,"Not Found",-1)</f>
        <v>Not completed</v>
      </c>
      <c r="CA445" s="20"/>
      <c r="CC445" s="20"/>
      <c r="CE445" s="20"/>
      <c r="CG445" s="20"/>
      <c r="CH445" s="20" t="str">
        <f>_xlfn.XLOOKUP(CG445, 'Normative data'!$S$9:$S$15,'Normative data'!$T$9:$T$15, "Not Found", -1)</f>
        <v>not completed</v>
      </c>
      <c r="CI445" s="20"/>
      <c r="CJ445" s="20" t="str">
        <f>_xlfn.XLOOKUP(CI445, 'Normative data'!$S$9:$S$15, 'Normative data'!$T$9:$T$15, "Not Found", -1)</f>
        <v>not completed</v>
      </c>
      <c r="CK445" s="21">
        <v>2.0699999999999998</v>
      </c>
      <c r="CL445" s="21">
        <v>4.83</v>
      </c>
      <c r="CM445" s="21"/>
      <c r="CN445" s="21">
        <v>6.36</v>
      </c>
      <c r="CO445" s="21">
        <v>7.86</v>
      </c>
      <c r="CQ445" s="20"/>
      <c r="CR445" s="20" t="str" cm="1">
        <f t="array" ref="CR445">IF(OR(ISBLANK(E445),ISBLANK(CQ445)),"Incomplete",_xlfn.XLOOKUP(CQ445,_xlfn.XLOOKUP(E445,'Normative data'!$Y$3:$Y$6,'Normative data'!$Z$3:$AG$6,,-1),'Normative data'!$Z$2:$AG$2,"Not Found",-1))</f>
        <v>Incomplete</v>
      </c>
      <c r="CS445" s="20"/>
      <c r="CT445" s="20"/>
      <c r="CU445" s="20" t="str" cm="1">
        <f t="array" ref="CU445">_xlfn.XLOOKUP(CS445&amp;CT445,(VLOOKUP!$A$3:$A$250)&amp;(VLOOKUP!$B$3:$B$250),VLOOKUP!$C$3:$C$250,"Incomplete",-1)</f>
        <v>Incomplete</v>
      </c>
      <c r="CV445" s="20" t="str" cm="1">
        <f t="array" ref="CV445">_xlfn.XLOOKUP(CU445, _xlfn.XLOOKUP(E445, 'Normative data'!$Y$11:$Y$14, 'Normative data'!$Z$11:$AG$14, ,-1), 'Normative data'!$Z$10:$AG$10, "Not Found", -1)</f>
        <v>Excellent</v>
      </c>
      <c r="CW445" s="20" t="str" cm="1">
        <f t="array" ref="CW445">IF(OR(ISBLANK(CS445),ISBLANK(CT445)),"Incomplete",_xlfn.XLOOKUP(CS445&amp;CT445,VLOOKUP!$A$4:$A$250&amp;VLOOKUP!$B$4:$B$250,VLOOKUP!$D$4:$D$250,"0"))</f>
        <v>Incomplete</v>
      </c>
    </row>
    <row r="446" spans="1:101">
      <c r="A446" s="17" t="s">
        <v>684</v>
      </c>
      <c r="B446" s="17" t="s">
        <v>683</v>
      </c>
      <c r="C446" s="17" t="s">
        <v>86</v>
      </c>
      <c r="D446" s="19">
        <v>39834</v>
      </c>
      <c r="G446" s="17">
        <v>2025</v>
      </c>
      <c r="S446" s="20"/>
      <c r="T446" s="20" t="s">
        <v>1008</v>
      </c>
      <c r="U446" s="20" t="s">
        <v>1009</v>
      </c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>
        <v>25.9</v>
      </c>
      <c r="AR446" s="20">
        <v>0.46</v>
      </c>
      <c r="AS446" s="20">
        <v>29.6</v>
      </c>
      <c r="AT446" s="20">
        <v>0.49099999999999999</v>
      </c>
      <c r="AU446" s="20">
        <v>17.399999999999999</v>
      </c>
      <c r="AV446" s="20">
        <v>0.377</v>
      </c>
      <c r="AW446" s="20">
        <v>18.5</v>
      </c>
      <c r="AX446" s="20">
        <v>0.38800000000000001</v>
      </c>
      <c r="AY446" s="41" t="e">
        <f>IF(OR(ISBLANK(#REF!), ISBLANK(AQ446)), "Incomplete", (60.7*AQ446)+(45.3*#REF!)-2055)</f>
        <v>#REF!</v>
      </c>
      <c r="AZ446" s="20"/>
      <c r="BA446" s="20" t="e">
        <f>IF(OR(ISBLANK(#REF!), ISBLANK(AS446)), "Incomplete", (60.7*AS446)+(45.3*#REF!)-2055)</f>
        <v>#REF!</v>
      </c>
      <c r="BB446" s="20"/>
      <c r="BC446" s="20" t="e">
        <f>IF(OR(ISBLANK(#REF!), ISBLANK(AU446)), "Incomplete", (60.7*AU446)+(45.3*#REF!)-2055)</f>
        <v>#REF!</v>
      </c>
      <c r="BD446" s="20"/>
      <c r="BE446" s="20" t="e">
        <f>IF(OR(ISBLANK(#REF!), ISBLANK(AW446)), "Incomplete", (60.7*AW446)+(45.3*#REF!)-2055)</f>
        <v>#REF!</v>
      </c>
      <c r="BF446" s="20"/>
      <c r="BG446" s="20"/>
      <c r="BH446" s="20"/>
      <c r="BI446" s="20" t="str">
        <f t="shared" ref="BI446:BI461" si="136">IF(OR(ISBLANK(BG446), ISBLANK(BH446)),"Incomplete",(SUM(BH446-BG446)))</f>
        <v>Incomplete</v>
      </c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91" t="str">
        <f>IFERROR(SUM(BQ446+BR446+BS446)/(3*(#REF!-S446))*100, "Incomplete")</f>
        <v>Incomplete</v>
      </c>
      <c r="BX446" s="91" t="str">
        <f>_xlfn.XLOOKUP(BW446,'Normative data'!$V$3:$V$6,'Normative data'!$W$3:$W$6,"Not Found",-1)</f>
        <v>Very low risk</v>
      </c>
      <c r="BY446" s="91" t="str">
        <f>IFERROR(SUM(BT446+BU446+BV446)/(3*(#REF!-S446))*100, "Incomplete")</f>
        <v>Incomplete</v>
      </c>
      <c r="BZ446" s="91" t="str">
        <f>_xlfn.XLOOKUP(BY446,'Normative data'!$V$3:$V$6,'Normative data'!$W$3:$W$6,"Not Found",-1)</f>
        <v>Very low risk</v>
      </c>
      <c r="CA446" s="20"/>
      <c r="CC446" s="20"/>
      <c r="CE446" s="20">
        <v>5</v>
      </c>
      <c r="CG446" s="20"/>
      <c r="CH446" s="20" t="str">
        <f>_xlfn.XLOOKUP(CG446, 'Normative data'!$S$9:$S$15,'Normative data'!$T$9:$T$15, "Not Found", -1)</f>
        <v>not completed</v>
      </c>
      <c r="CI446" s="20"/>
      <c r="CJ446" s="20" t="str">
        <f>_xlfn.XLOOKUP(CI446, 'Normative data'!$S$9:$S$15, 'Normative data'!$T$9:$T$15, "Not Found", -1)</f>
        <v>not completed</v>
      </c>
      <c r="CK446" s="20" t="s">
        <v>327</v>
      </c>
      <c r="CL446" s="20" t="s">
        <v>624</v>
      </c>
      <c r="CM446" s="21"/>
      <c r="CN446" s="20" t="s">
        <v>338</v>
      </c>
      <c r="CO446" s="20" t="s">
        <v>337</v>
      </c>
      <c r="CQ446" s="20"/>
      <c r="CR446" s="20" t="str" cm="1">
        <f t="array" ref="CR446">IF(OR(ISBLANK(E446),ISBLANK(CQ446)),"Incomplete",_xlfn.XLOOKUP(CQ446,_xlfn.XLOOKUP(E446,'Normative data'!$Y$3:$Y$6,'Normative data'!$Z$3:$AG$6,,-1),'Normative data'!$Z$2:$AG$2,"Not Found",-1))</f>
        <v>Incomplete</v>
      </c>
      <c r="CS446" s="20"/>
      <c r="CT446" s="20"/>
      <c r="CU446" s="20" t="str" cm="1">
        <f t="array" ref="CU446">_xlfn.XLOOKUP(CS446&amp;CT446,(VLOOKUP!$A$3:$A$250)&amp;(VLOOKUP!$B$3:$B$250),VLOOKUP!$C$3:$C$250,"Incomplete",-1)</f>
        <v>Incomplete</v>
      </c>
      <c r="CV446" s="20" t="str" cm="1">
        <f t="array" ref="CV446">_xlfn.XLOOKUP(CU446, _xlfn.XLOOKUP(E446, 'Normative data'!$Y$11:$Y$14, 'Normative data'!$Z$11:$AG$14, ,-1), 'Normative data'!$Z$10:$AG$10, "Not Found", -1)</f>
        <v>Excellent</v>
      </c>
      <c r="CW446" s="20" t="str" cm="1">
        <f t="array" ref="CW446">IF(OR(ISBLANK(CS446),ISBLANK(CT446)),"Incomplete",_xlfn.XLOOKUP(CS446&amp;CT446,VLOOKUP!$A$4:$A$250&amp;VLOOKUP!$B$4:$B$250,VLOOKUP!$D$4:$D$250,"0"))</f>
        <v>Incomplete</v>
      </c>
    </row>
    <row r="447" spans="1:101">
      <c r="A447" s="17" t="s">
        <v>1010</v>
      </c>
      <c r="B447" s="17" t="s">
        <v>683</v>
      </c>
      <c r="C447" s="17" t="s">
        <v>86</v>
      </c>
      <c r="D447" s="19">
        <v>39834</v>
      </c>
      <c r="F447" s="17">
        <v>10</v>
      </c>
      <c r="G447" s="17">
        <v>2025</v>
      </c>
      <c r="S447" s="20"/>
      <c r="T447" s="20" t="s">
        <v>1011</v>
      </c>
      <c r="U447" s="20" t="s">
        <v>1012</v>
      </c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41" t="str">
        <f>IF(OR(ISBLANK(#REF!), ISBLANK(AQ447)), "Incomplete", (60.7*AQ447)+(45.3*#REF!)-2055)</f>
        <v>Incomplete</v>
      </c>
      <c r="AZ447" s="20"/>
      <c r="BA447" s="20" t="str">
        <f>IF(OR(ISBLANK(#REF!), ISBLANK(AS447)), "Incomplete", (60.7*AS447)+(45.3*#REF!)-2055)</f>
        <v>Incomplete</v>
      </c>
      <c r="BB447" s="20"/>
      <c r="BC447" s="20" t="str">
        <f>IF(OR(ISBLANK(#REF!), ISBLANK(AU447)), "Incomplete", (60.7*AU447)+(45.3*#REF!)-2055)</f>
        <v>Incomplete</v>
      </c>
      <c r="BD447" s="20"/>
      <c r="BE447" s="20" t="str">
        <f>IF(OR(ISBLANK(#REF!), ISBLANK(AW447)), "Incomplete", (60.7*AW447)+(45.3*#REF!)-2055)</f>
        <v>Incomplete</v>
      </c>
      <c r="BF447" s="20"/>
      <c r="BG447" s="20"/>
      <c r="BH447" s="20"/>
      <c r="BI447" s="20" t="str">
        <f t="shared" si="136"/>
        <v>Incomplete</v>
      </c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91" t="str">
        <f>IFERROR(SUM(BQ447+BR447+BS447)/(3*(#REF!-S447))*100, "Incomplete")</f>
        <v>Incomplete</v>
      </c>
      <c r="BX447" s="91" t="str">
        <f>_xlfn.XLOOKUP(BW447,'Normative data'!$V$3:$V$6,'Normative data'!$W$3:$W$6,"Not Found",-1)</f>
        <v>Very low risk</v>
      </c>
      <c r="BY447" s="91" t="str">
        <f>IFERROR(SUM(BT447+BU447+BV447)/(3*(#REF!-S447))*100, "Incomplete")</f>
        <v>Incomplete</v>
      </c>
      <c r="BZ447" s="91" t="str">
        <f>_xlfn.XLOOKUP(BY447,'Normative data'!$V$3:$V$6,'Normative data'!$W$3:$W$6,"Not Found",-1)</f>
        <v>Very low risk</v>
      </c>
      <c r="CA447" s="20"/>
      <c r="CC447" s="20"/>
      <c r="CE447" s="20"/>
      <c r="CG447" s="20"/>
      <c r="CH447" s="20" t="str">
        <f>_xlfn.XLOOKUP(CG447, 'Normative data'!$S$9:$S$15,'Normative data'!$T$9:$T$15, "Not Found", -1)</f>
        <v>not completed</v>
      </c>
      <c r="CI447" s="20"/>
      <c r="CJ447" s="20" t="str">
        <f>_xlfn.XLOOKUP(CI447, 'Normative data'!$S$9:$S$15, 'Normative data'!$T$9:$T$15, "Not Found", -1)</f>
        <v>not completed</v>
      </c>
      <c r="CQ447" s="20"/>
      <c r="CR447" s="20" t="str" cm="1">
        <f t="array" ref="CR447">IF(OR(ISBLANK(E447),ISBLANK(CQ447)),"Incomplete",_xlfn.XLOOKUP(CQ447,_xlfn.XLOOKUP(E447,'Normative data'!$Y$3:$Y$6,'Normative data'!$Z$3:$AG$6,,-1),'Normative data'!$Z$2:$AG$2,"Not Found",-1))</f>
        <v>Incomplete</v>
      </c>
      <c r="CS447" s="20"/>
      <c r="CT447" s="20"/>
      <c r="CU447" s="20" t="str" cm="1">
        <f t="array" ref="CU447">_xlfn.XLOOKUP(CS447&amp;CT447,(VLOOKUP!$A$3:$A$250)&amp;(VLOOKUP!$B$3:$B$250),VLOOKUP!$C$3:$C$250,"Incomplete",-1)</f>
        <v>Incomplete</v>
      </c>
      <c r="CV447" s="20" t="str" cm="1">
        <f t="array" ref="CV447">_xlfn.XLOOKUP(CU447, _xlfn.XLOOKUP(E447, 'Normative data'!$Y$11:$Y$14, 'Normative data'!$Z$11:$AG$14, ,-1), 'Normative data'!$Z$10:$AG$10, "Not Found", -1)</f>
        <v>Excellent</v>
      </c>
      <c r="CW447" s="20" t="str" cm="1">
        <f t="array" ref="CW447">IF(OR(ISBLANK(CS447),ISBLANK(CT447)),"Incomplete",_xlfn.XLOOKUP(CS447&amp;CT447,VLOOKUP!$A$4:$A$250&amp;VLOOKUP!$B$4:$B$250,VLOOKUP!$D$4:$D$250,"0"))</f>
        <v>Incomplete</v>
      </c>
    </row>
    <row r="448" spans="1:101">
      <c r="A448" s="17" t="s">
        <v>1013</v>
      </c>
      <c r="B448" s="17" t="s">
        <v>1014</v>
      </c>
      <c r="C448" s="17" t="s">
        <v>86</v>
      </c>
      <c r="D448" s="26"/>
      <c r="F448" s="20" t="s">
        <v>162</v>
      </c>
      <c r="G448" s="17">
        <v>2026</v>
      </c>
      <c r="I448" s="20">
        <v>2</v>
      </c>
      <c r="J448" s="20"/>
      <c r="K448" s="20"/>
      <c r="L448" s="20"/>
      <c r="S448" s="20">
        <v>84</v>
      </c>
      <c r="T448" s="20">
        <v>160.19999999999999</v>
      </c>
      <c r="AQ448" s="20"/>
      <c r="AR448" s="20"/>
      <c r="AS448" s="20"/>
      <c r="AT448" s="20"/>
      <c r="AU448" s="20"/>
      <c r="AV448" s="20"/>
      <c r="AW448" s="20"/>
      <c r="AX448" s="20"/>
      <c r="AY448" s="41" t="str">
        <f t="shared" ref="AY448:AY460" si="137">IF(OR(ISBLANK(U448), ISBLANK(AQ448)), "Incomplete", (60.7*AQ448)+(45.3*U448)-2055)</f>
        <v>Incomplete</v>
      </c>
      <c r="BA448" s="20" t="str">
        <f t="shared" ref="BA448:BA460" si="138">IF(OR(ISBLANK(U448), ISBLANK(AS448)), "Incomplete", (60.7*AS448)+(45.3*U448)-2055)</f>
        <v>Incomplete</v>
      </c>
      <c r="BC448" s="20" t="str">
        <f t="shared" ref="BC448:BC460" si="139">IF(OR(ISBLANK(U448), ISBLANK(AU448)), "Incomplete", (60.7*AU448)+(45.3*U448)-2055)</f>
        <v>Incomplete</v>
      </c>
      <c r="BE448" s="20" t="str">
        <f t="shared" ref="BE448:BE460" si="140">IF(OR(ISBLANK(U448), ISBLANK(AW448)), "Incomplete", (60.7*AW448)+(45.3*U448)-2055)</f>
        <v>Incomplete</v>
      </c>
      <c r="BG448" s="17">
        <v>15.5</v>
      </c>
      <c r="BH448" s="17">
        <v>45</v>
      </c>
      <c r="BI448" s="20">
        <f t="shared" si="136"/>
        <v>29.5</v>
      </c>
      <c r="BJ448" s="20"/>
      <c r="BL448" s="20"/>
      <c r="BM448" s="20"/>
      <c r="BN448" s="20"/>
      <c r="BQ448" s="17">
        <v>68</v>
      </c>
      <c r="BR448" s="17">
        <v>79</v>
      </c>
      <c r="BS448" s="17">
        <v>69</v>
      </c>
      <c r="BT448" s="17">
        <v>67</v>
      </c>
      <c r="BU448" s="17">
        <v>78</v>
      </c>
      <c r="BV448" s="17">
        <v>72</v>
      </c>
      <c r="BW448" s="91">
        <f t="shared" ref="BW448:BW460" si="141">IFERROR(SUM(BQ448+BR448+BS448)/(3*(T448-S448))*100, "Incomplete")</f>
        <v>94.488188976377955</v>
      </c>
      <c r="BX448" s="91" t="str">
        <f>_xlfn.XLOOKUP(BW448,'Normative data'!$V$3:$V$6,'Normative data'!$W$3:$W$6,"Not Found",-1)</f>
        <v>High risk</v>
      </c>
      <c r="BY448" s="91">
        <f t="shared" ref="BY448:BY460" si="142">IFERROR(SUM(BT448+BU448+BV448)/(3*(T448-S448))*100, "Incomplete")</f>
        <v>94.925634295713053</v>
      </c>
      <c r="BZ448" s="91" t="str">
        <f>_xlfn.XLOOKUP(BY448,'Normative data'!$V$3:$V$6,'Normative data'!$W$3:$W$6,"Not Found",-1)</f>
        <v>High risk</v>
      </c>
      <c r="CA448" s="20"/>
      <c r="CC448" s="20"/>
      <c r="CE448" s="17">
        <v>6</v>
      </c>
      <c r="CG448" s="17">
        <v>18.22</v>
      </c>
      <c r="CH448" s="20" t="str">
        <f>_xlfn.XLOOKUP(CG448, 'Normative data'!$S$9:$S$15,'Normative data'!$T$9:$T$15, "Not Found", -1)</f>
        <v>Average</v>
      </c>
      <c r="CI448" s="17">
        <v>18.559999999999999</v>
      </c>
      <c r="CJ448" s="20" t="str">
        <f>_xlfn.XLOOKUP(CI448, 'Normative data'!$S$9:$S$15, 'Normative data'!$T$9:$T$15, "Not Found", -1)</f>
        <v>Average</v>
      </c>
      <c r="CK448" s="17">
        <v>2.12</v>
      </c>
      <c r="CL448" s="17">
        <v>4.72</v>
      </c>
      <c r="CN448" s="17">
        <v>6.53</v>
      </c>
      <c r="CO448" s="17">
        <v>7.66</v>
      </c>
      <c r="CR448" s="20" t="str" cm="1">
        <f t="array" ref="CR448">IF(OR(ISBLANK(E448),ISBLANK(CQ448)),"Incomplete",_xlfn.XLOOKUP(CQ448,_xlfn.XLOOKUP(E448,'Normative data'!$Y$3:$Y$6,'Normative data'!$Z$3:$AG$6,,-1),'Normative data'!$Z$2:$AG$2,"Not Found",-1))</f>
        <v>Incomplete</v>
      </c>
      <c r="CS448" s="20"/>
      <c r="CT448" s="20"/>
      <c r="CU448" s="20" t="str" cm="1">
        <f t="array" ref="CU448">_xlfn.XLOOKUP(CS448&amp;CT448,(VLOOKUP!$A$3:$A$250)&amp;(VLOOKUP!$B$3:$B$250),VLOOKUP!$C$3:$C$250,"Incomplete",-1)</f>
        <v>Incomplete</v>
      </c>
      <c r="CV448" s="20" t="str" cm="1">
        <f t="array" ref="CV448">_xlfn.XLOOKUP(CU448, _xlfn.XLOOKUP(E448, 'Normative data'!$Y$11:$Y$14, 'Normative data'!$Z$11:$AG$14, ,-1), 'Normative data'!$Z$10:$AG$10, "Not Found", -1)</f>
        <v>Excellent</v>
      </c>
      <c r="CW448" s="20" t="str" cm="1">
        <f t="array" ref="CW448">IF(OR(ISBLANK(CS448),ISBLANK(CT448)),"Incomplete",_xlfn.XLOOKUP(CS448&amp;CT448,VLOOKUP!$A$4:$A$250&amp;VLOOKUP!$B$4:$B$250,VLOOKUP!$D$4:$D$250,"0"))</f>
        <v>Incomplete</v>
      </c>
    </row>
    <row r="449" spans="1:101">
      <c r="A449" s="17" t="s">
        <v>1015</v>
      </c>
      <c r="B449" s="17" t="s">
        <v>1014</v>
      </c>
      <c r="C449" s="17" t="s">
        <v>86</v>
      </c>
      <c r="D449" s="26"/>
      <c r="F449" s="20" t="s">
        <v>181</v>
      </c>
      <c r="G449" s="17">
        <v>2026</v>
      </c>
      <c r="I449" s="20">
        <v>2</v>
      </c>
      <c r="J449" s="20"/>
      <c r="K449" s="20"/>
      <c r="L449" s="20"/>
      <c r="S449" s="20"/>
      <c r="T449" s="20"/>
      <c r="AQ449" s="20"/>
      <c r="AR449" s="20"/>
      <c r="AS449" s="20"/>
      <c r="AT449" s="20"/>
      <c r="AU449" s="20"/>
      <c r="AV449" s="20"/>
      <c r="AW449" s="20"/>
      <c r="AX449" s="20"/>
      <c r="AY449" s="41" t="str">
        <f t="shared" si="137"/>
        <v>Incomplete</v>
      </c>
      <c r="BA449" s="20" t="str">
        <f t="shared" si="138"/>
        <v>Incomplete</v>
      </c>
      <c r="BC449" s="20" t="str">
        <f t="shared" si="139"/>
        <v>Incomplete</v>
      </c>
      <c r="BE449" s="20" t="str">
        <f t="shared" si="140"/>
        <v>Incomplete</v>
      </c>
      <c r="BH449" s="20"/>
      <c r="BI449" s="20" t="str">
        <f t="shared" si="136"/>
        <v>Incomplete</v>
      </c>
      <c r="BJ449" s="20"/>
      <c r="BL449" s="20"/>
      <c r="BM449" s="20"/>
      <c r="BN449" s="20"/>
      <c r="BW449" s="91" t="str">
        <f t="shared" si="141"/>
        <v>Incomplete</v>
      </c>
      <c r="BX449" s="91" t="str">
        <f>_xlfn.XLOOKUP(BW449,'Normative data'!$V$3:$V$6,'Normative data'!$W$3:$W$6,"Not Found",-1)</f>
        <v>Very low risk</v>
      </c>
      <c r="BY449" s="91" t="str">
        <f t="shared" si="142"/>
        <v>Incomplete</v>
      </c>
      <c r="BZ449" s="91" t="str">
        <f>_xlfn.XLOOKUP(BY449,'Normative data'!$V$3:$V$6,'Normative data'!$W$3:$W$6,"Not Found",-1)</f>
        <v>Very low risk</v>
      </c>
      <c r="CA449" s="17">
        <v>31</v>
      </c>
      <c r="CC449" s="20"/>
      <c r="CE449" s="17">
        <v>14</v>
      </c>
      <c r="CG449" s="20"/>
      <c r="CH449" s="20" t="str">
        <f>_xlfn.XLOOKUP(CG449, 'Normative data'!$S$9:$S$15,'Normative data'!$T$9:$T$15, "Not Found", -1)</f>
        <v>not completed</v>
      </c>
      <c r="CI449" s="20"/>
      <c r="CJ449" s="20" t="str">
        <f>_xlfn.XLOOKUP(CI449, 'Normative data'!$S$9:$S$15, 'Normative data'!$T$9:$T$15, "Not Found", -1)</f>
        <v>not completed</v>
      </c>
      <c r="CK449" s="17">
        <v>2.21</v>
      </c>
      <c r="CL449" s="17">
        <v>4.5199999999999996</v>
      </c>
      <c r="CN449" s="17">
        <v>7.09</v>
      </c>
      <c r="CO449" s="17">
        <v>7.05</v>
      </c>
      <c r="CR449" s="20" t="str" cm="1">
        <f t="array" ref="CR449">IF(OR(ISBLANK(E449),ISBLANK(CQ449)),"Incomplete",_xlfn.XLOOKUP(CQ449,_xlfn.XLOOKUP(E449,'Normative data'!$Y$3:$Y$6,'Normative data'!$Z$3:$AG$6,,-1),'Normative data'!$Z$2:$AG$2,"Not Found",-1))</f>
        <v>Incomplete</v>
      </c>
      <c r="CS449" s="20"/>
      <c r="CT449" s="20"/>
      <c r="CU449" s="20" t="str" cm="1">
        <f t="array" ref="CU449">_xlfn.XLOOKUP(CS449&amp;CT449,(VLOOKUP!$A$3:$A$250)&amp;(VLOOKUP!$B$3:$B$250),VLOOKUP!$C$3:$C$250,"Incomplete",-1)</f>
        <v>Incomplete</v>
      </c>
      <c r="CV449" s="20" t="str" cm="1">
        <f t="array" ref="CV449">_xlfn.XLOOKUP(CU449, _xlfn.XLOOKUP(E449, 'Normative data'!$Y$11:$Y$14, 'Normative data'!$Z$11:$AG$14, ,-1), 'Normative data'!$Z$10:$AG$10, "Not Found", -1)</f>
        <v>Excellent</v>
      </c>
      <c r="CW449" s="20" t="str" cm="1">
        <f t="array" ref="CW449">IF(OR(ISBLANK(CS449),ISBLANK(CT449)),"Incomplete",_xlfn.XLOOKUP(CS449&amp;CT449,VLOOKUP!$A$4:$A$250&amp;VLOOKUP!$B$4:$B$250,VLOOKUP!$D$4:$D$250,"0"))</f>
        <v>Incomplete</v>
      </c>
    </row>
    <row r="450" spans="1:101">
      <c r="A450" s="17" t="s">
        <v>1016</v>
      </c>
      <c r="B450" s="17" t="s">
        <v>1014</v>
      </c>
      <c r="C450" s="17" t="s">
        <v>86</v>
      </c>
      <c r="D450" s="26"/>
      <c r="F450" s="20" t="s">
        <v>186</v>
      </c>
      <c r="G450" s="17">
        <v>2026</v>
      </c>
      <c r="I450" s="20">
        <v>2</v>
      </c>
      <c r="J450" s="20" t="s">
        <v>88</v>
      </c>
      <c r="K450" s="20" t="s">
        <v>556</v>
      </c>
      <c r="L450" s="20"/>
      <c r="S450" s="20"/>
      <c r="T450" s="20"/>
      <c r="AY450" s="41" t="str">
        <f t="shared" si="137"/>
        <v>Incomplete</v>
      </c>
      <c r="BA450" s="20" t="str">
        <f t="shared" si="138"/>
        <v>Incomplete</v>
      </c>
      <c r="BC450" s="20" t="str">
        <f t="shared" si="139"/>
        <v>Incomplete</v>
      </c>
      <c r="BE450" s="20" t="str">
        <f t="shared" si="140"/>
        <v>Incomplete</v>
      </c>
      <c r="BH450" s="20"/>
      <c r="BI450" s="20" t="str">
        <f t="shared" si="136"/>
        <v>Incomplete</v>
      </c>
      <c r="BJ450" s="20"/>
      <c r="BL450" s="20"/>
      <c r="BN450" s="20"/>
      <c r="BW450" s="91" t="str">
        <f t="shared" si="141"/>
        <v>Incomplete</v>
      </c>
      <c r="BX450" s="91" t="str">
        <f>_xlfn.XLOOKUP(BW450,'Normative data'!$V$3:$V$6,'Normative data'!$W$3:$W$6,"Not Found",-1)</f>
        <v>Very low risk</v>
      </c>
      <c r="BY450" s="91" t="str">
        <f t="shared" si="142"/>
        <v>Incomplete</v>
      </c>
      <c r="BZ450" s="91" t="str">
        <f>_xlfn.XLOOKUP(BY450,'Normative data'!$V$3:$V$6,'Normative data'!$W$3:$W$6,"Not Found",-1)</f>
        <v>Very low risk</v>
      </c>
      <c r="CA450" s="17">
        <v>27</v>
      </c>
      <c r="CC450" s="20"/>
      <c r="CE450" s="17">
        <v>6</v>
      </c>
      <c r="CG450" s="20"/>
      <c r="CH450" s="20" t="str">
        <f>_xlfn.XLOOKUP(CG450, 'Normative data'!$S$9:$S$15,'Normative data'!$T$9:$T$15, "Not Found", -1)</f>
        <v>not completed</v>
      </c>
      <c r="CI450" s="20"/>
      <c r="CJ450" s="20" t="str">
        <f>_xlfn.XLOOKUP(CI450, 'Normative data'!$S$9:$S$15, 'Normative data'!$T$9:$T$15, "Not Found", -1)</f>
        <v>not completed</v>
      </c>
      <c r="CK450" s="17">
        <v>2.0699999999999998</v>
      </c>
      <c r="CL450" s="17">
        <v>6.83</v>
      </c>
      <c r="CN450" s="17">
        <v>6.67</v>
      </c>
      <c r="CO450" s="17">
        <v>7.5</v>
      </c>
      <c r="CR450" s="20" t="str" cm="1">
        <f t="array" ref="CR450">IF(OR(ISBLANK(E450),ISBLANK(CQ450)),"Incomplete",_xlfn.XLOOKUP(CQ450,_xlfn.XLOOKUP(E450,'Normative data'!$Y$3:$Y$6,'Normative data'!$Z$3:$AG$6,,-1),'Normative data'!$Z$2:$AG$2,"Not Found",-1))</f>
        <v>Incomplete</v>
      </c>
      <c r="CS450" s="20"/>
      <c r="CT450" s="20"/>
      <c r="CU450" s="20" t="str" cm="1">
        <f t="array" ref="CU450">_xlfn.XLOOKUP(CS450&amp;CT450,(VLOOKUP!$A$3:$A$250)&amp;(VLOOKUP!$B$3:$B$250),VLOOKUP!$C$3:$C$250,"Incomplete",-1)</f>
        <v>Incomplete</v>
      </c>
      <c r="CV450" s="20" t="str" cm="1">
        <f t="array" ref="CV450">_xlfn.XLOOKUP(CU450, _xlfn.XLOOKUP(E450, 'Normative data'!$Y$11:$Y$14, 'Normative data'!$Z$11:$AG$14, ,-1), 'Normative data'!$Z$10:$AG$10, "Not Found", -1)</f>
        <v>Excellent</v>
      </c>
      <c r="CW450" s="20" t="str" cm="1">
        <f t="array" ref="CW450">IF(OR(ISBLANK(CS450),ISBLANK(CT450)),"Incomplete",_xlfn.XLOOKUP(CS450&amp;CT450,VLOOKUP!$A$4:$A$250&amp;VLOOKUP!$B$4:$B$250,VLOOKUP!$D$4:$D$250,"0"))</f>
        <v>Incomplete</v>
      </c>
    </row>
    <row r="451" spans="1:101">
      <c r="A451" s="17" t="s">
        <v>878</v>
      </c>
      <c r="B451" s="17" t="s">
        <v>877</v>
      </c>
      <c r="C451" s="17" t="s">
        <v>86</v>
      </c>
      <c r="D451" s="26"/>
      <c r="F451" s="20" t="s">
        <v>178</v>
      </c>
      <c r="G451" s="17">
        <v>2026</v>
      </c>
      <c r="I451" s="20">
        <v>2</v>
      </c>
      <c r="J451" s="20"/>
      <c r="K451" s="20"/>
      <c r="L451" s="20"/>
      <c r="S451" s="20"/>
      <c r="T451" s="20"/>
      <c r="AQ451" s="20"/>
      <c r="AR451" s="20"/>
      <c r="AS451" s="20"/>
      <c r="AT451" s="20"/>
      <c r="AU451" s="20"/>
      <c r="AV451" s="20"/>
      <c r="AW451" s="20"/>
      <c r="AX451" s="20"/>
      <c r="AY451" s="41" t="str">
        <f t="shared" si="137"/>
        <v>Incomplete</v>
      </c>
      <c r="BA451" s="20" t="str">
        <f t="shared" si="138"/>
        <v>Incomplete</v>
      </c>
      <c r="BC451" s="20" t="str">
        <f t="shared" si="139"/>
        <v>Incomplete</v>
      </c>
      <c r="BE451" s="20" t="str">
        <f t="shared" si="140"/>
        <v>Incomplete</v>
      </c>
      <c r="BH451" s="20"/>
      <c r="BI451" s="20" t="str">
        <f t="shared" si="136"/>
        <v>Incomplete</v>
      </c>
      <c r="BJ451" s="20"/>
      <c r="BK451" s="17">
        <v>8</v>
      </c>
      <c r="BL451" s="20"/>
      <c r="BM451" s="17">
        <v>8</v>
      </c>
      <c r="BN451" s="20"/>
      <c r="BW451" s="91" t="str">
        <f t="shared" si="141"/>
        <v>Incomplete</v>
      </c>
      <c r="BX451" s="91" t="str">
        <f>_xlfn.XLOOKUP(BW451,'Normative data'!$V$3:$V$6,'Normative data'!$W$3:$W$6,"Not Found",-1)</f>
        <v>Very low risk</v>
      </c>
      <c r="BY451" s="91" t="str">
        <f t="shared" si="142"/>
        <v>Incomplete</v>
      </c>
      <c r="BZ451" s="91" t="str">
        <f>_xlfn.XLOOKUP(BY451,'Normative data'!$V$3:$V$6,'Normative data'!$W$3:$W$6,"Not Found",-1)</f>
        <v>Very low risk</v>
      </c>
      <c r="CA451" s="20"/>
      <c r="CC451" s="20"/>
      <c r="CE451" s="17">
        <v>15</v>
      </c>
      <c r="CG451" s="20"/>
      <c r="CH451" s="20" t="str">
        <f>_xlfn.XLOOKUP(CG451, 'Normative data'!$S$9:$S$15,'Normative data'!$T$9:$T$15, "Not Found", -1)</f>
        <v>not completed</v>
      </c>
      <c r="CI451" s="20"/>
      <c r="CJ451" s="20" t="str">
        <f>_xlfn.XLOOKUP(CI451, 'Normative data'!$S$9:$S$15, 'Normative data'!$T$9:$T$15, "Not Found", -1)</f>
        <v>not completed</v>
      </c>
      <c r="CK451" s="17">
        <v>2.4500000000000002</v>
      </c>
      <c r="CL451" s="17">
        <v>4.08</v>
      </c>
      <c r="CN451" s="17">
        <v>7.29</v>
      </c>
      <c r="CO451" s="17">
        <v>6.86</v>
      </c>
      <c r="CQ451" s="17">
        <v>5.2</v>
      </c>
      <c r="CR451" s="20" t="str" cm="1">
        <f t="array" ref="CR451">IF(OR(ISBLANK(E451),ISBLANK(CQ451)),"Incomplete",_xlfn.XLOOKUP(CQ451,_xlfn.XLOOKUP(E451,'Normative data'!$Y$3:$Y$6,'Normative data'!$Z$3:$AG$6,,-1),'Normative data'!$Z$2:$AG$2,"Not Found",-1))</f>
        <v>Incomplete</v>
      </c>
      <c r="CS451" s="20">
        <v>5</v>
      </c>
      <c r="CT451" s="20">
        <v>2</v>
      </c>
      <c r="CU451" s="20" cm="1">
        <f t="array" ref="CU451">_xlfn.XLOOKUP(CS451&amp;CT451,(VLOOKUP!$A$3:$A$250)&amp;(VLOOKUP!$B$3:$B$250),VLOOKUP!$C$3:$C$250,"Incomplete",-1)</f>
        <v>680</v>
      </c>
      <c r="CV451" s="20" t="str" cm="1">
        <f t="array" ref="CV451">_xlfn.XLOOKUP(CU451, _xlfn.XLOOKUP(E451, 'Normative data'!$Y$11:$Y$14, 'Normative data'!$Z$11:$AG$14, ,-1), 'Normative data'!$Z$10:$AG$10, "Not Found", -1)</f>
        <v xml:space="preserve">Poor </v>
      </c>
      <c r="CW451" s="20" cm="1">
        <f t="array" ref="CW451">IF(OR(ISBLANK(CS451),ISBLANK(CT451)),"Incomplete",_xlfn.XLOOKUP(CS451&amp;CT451,VLOOKUP!$A$4:$A$250&amp;VLOOKUP!$B$4:$B$250,VLOOKUP!$D$4:$D$250,"0"))</f>
        <v>30</v>
      </c>
    </row>
    <row r="452" spans="1:101">
      <c r="A452" s="17" t="s">
        <v>1017</v>
      </c>
      <c r="B452" s="17" t="s">
        <v>877</v>
      </c>
      <c r="C452" s="17" t="s">
        <v>86</v>
      </c>
      <c r="D452" s="26">
        <v>40547</v>
      </c>
      <c r="F452" s="20" t="s">
        <v>154</v>
      </c>
      <c r="G452" s="17">
        <v>2026</v>
      </c>
      <c r="I452" s="20">
        <v>2</v>
      </c>
      <c r="J452" s="20" t="s">
        <v>100</v>
      </c>
      <c r="K452" s="20" t="s">
        <v>105</v>
      </c>
      <c r="L452" s="20"/>
      <c r="S452" s="20">
        <v>83.3</v>
      </c>
      <c r="T452" s="20">
        <v>164.5</v>
      </c>
      <c r="U452" s="17">
        <v>63.5</v>
      </c>
      <c r="V452" s="17">
        <v>31.5</v>
      </c>
      <c r="W452" s="17">
        <v>20.3</v>
      </c>
      <c r="X452" s="17">
        <v>43.2</v>
      </c>
      <c r="Y452" s="17">
        <v>23.6</v>
      </c>
      <c r="Z452" s="17">
        <v>23.5</v>
      </c>
      <c r="AA452" s="17">
        <v>32</v>
      </c>
      <c r="AB452" s="17">
        <v>6.26</v>
      </c>
      <c r="AC452" s="17">
        <v>90.6</v>
      </c>
      <c r="AD452" s="17">
        <v>6.26</v>
      </c>
      <c r="AE452" s="17">
        <v>90.6</v>
      </c>
      <c r="AF452" s="17">
        <v>2.9</v>
      </c>
      <c r="AG452" s="17">
        <v>114.6</v>
      </c>
      <c r="AH452" s="17">
        <v>2.8</v>
      </c>
      <c r="AI452" s="17">
        <v>113.6</v>
      </c>
      <c r="AJ452" s="17">
        <v>355</v>
      </c>
      <c r="AK452" s="17">
        <v>353.3</v>
      </c>
      <c r="AL452" s="17">
        <v>314.10000000000002</v>
      </c>
      <c r="AM452" s="17">
        <v>316.7</v>
      </c>
      <c r="AN452" s="17">
        <v>89</v>
      </c>
      <c r="AO452" s="17">
        <v>0.96</v>
      </c>
      <c r="AP452" s="17">
        <v>6.3</v>
      </c>
      <c r="AQ452" s="20"/>
      <c r="AR452" s="20"/>
      <c r="AS452" s="20"/>
      <c r="AT452" s="20"/>
      <c r="AU452" s="20"/>
      <c r="AV452" s="20"/>
      <c r="AW452" s="20"/>
      <c r="AX452" s="20"/>
      <c r="AY452" s="41" t="str">
        <f t="shared" si="137"/>
        <v>Incomplete</v>
      </c>
      <c r="BA452" s="20" t="str">
        <f t="shared" si="138"/>
        <v>Incomplete</v>
      </c>
      <c r="BC452" s="20" t="str">
        <f t="shared" si="139"/>
        <v>Incomplete</v>
      </c>
      <c r="BE452" s="20" t="str">
        <f t="shared" si="140"/>
        <v>Incomplete</v>
      </c>
      <c r="BG452" s="17">
        <v>11.5</v>
      </c>
      <c r="BH452" s="17">
        <v>27</v>
      </c>
      <c r="BI452" s="20">
        <f t="shared" si="136"/>
        <v>15.5</v>
      </c>
      <c r="BJ452" s="20"/>
      <c r="BK452" s="17">
        <v>1</v>
      </c>
      <c r="BL452" s="20"/>
      <c r="BM452" s="17">
        <v>2</v>
      </c>
      <c r="BN452" s="20"/>
      <c r="BO452" s="17">
        <v>49.5</v>
      </c>
      <c r="BP452" s="17">
        <v>50.8</v>
      </c>
      <c r="BQ452" s="17">
        <v>67</v>
      </c>
      <c r="BR452" s="17">
        <v>73</v>
      </c>
      <c r="BS452" s="17">
        <v>62</v>
      </c>
      <c r="BT452" s="17">
        <v>79</v>
      </c>
      <c r="BU452" s="17">
        <v>85</v>
      </c>
      <c r="BV452" s="17">
        <v>73</v>
      </c>
      <c r="BW452" s="91">
        <f t="shared" si="141"/>
        <v>82.922824302134629</v>
      </c>
      <c r="BX452" s="91" t="str">
        <f>_xlfn.XLOOKUP(BW452,'Normative data'!$V$3:$V$6,'Normative data'!$W$3:$W$6,"Not Found",-1)</f>
        <v>High risk</v>
      </c>
      <c r="BY452" s="91">
        <f t="shared" si="142"/>
        <v>97.290640394088655</v>
      </c>
      <c r="BZ452" s="91" t="str">
        <f>_xlfn.XLOOKUP(BY452,'Normative data'!$V$3:$V$6,'Normative data'!$W$3:$W$6,"Not Found",-1)</f>
        <v>Low risk</v>
      </c>
      <c r="CA452" s="17">
        <v>30</v>
      </c>
      <c r="CC452" s="20"/>
      <c r="CE452" s="17">
        <v>11</v>
      </c>
      <c r="CG452" s="17">
        <v>19.28</v>
      </c>
      <c r="CH452" s="20" t="str">
        <f>_xlfn.XLOOKUP(CG452, 'Normative data'!$S$9:$S$15,'Normative data'!$T$9:$T$15, "Not Found", -1)</f>
        <v>Average</v>
      </c>
      <c r="CI452" s="17">
        <v>19.34</v>
      </c>
      <c r="CJ452" s="20" t="str">
        <f>_xlfn.XLOOKUP(CI452, 'Normative data'!$S$9:$S$15, 'Normative data'!$T$9:$T$15, "Not Found", -1)</f>
        <v>Average</v>
      </c>
      <c r="CK452" s="17">
        <v>2.41</v>
      </c>
      <c r="CL452" s="17">
        <v>4.1500000000000004</v>
      </c>
      <c r="CN452" s="17">
        <v>7.26</v>
      </c>
      <c r="CO452" s="17">
        <v>6.89</v>
      </c>
      <c r="CQ452" s="17">
        <v>3.1</v>
      </c>
      <c r="CR452" s="20" t="str" cm="1">
        <f t="array" ref="CR452">IF(OR(ISBLANK(E452),ISBLANK(CQ452)),"Incomplete",_xlfn.XLOOKUP(CQ452,_xlfn.XLOOKUP(E452,'Normative data'!$Y$3:$Y$6,'Normative data'!$Z$3:$AG$6,,-1),'Normative data'!$Z$2:$AG$2,"Not Found",-1))</f>
        <v>Incomplete</v>
      </c>
      <c r="CS452" s="20">
        <v>3</v>
      </c>
      <c r="CT452" s="20">
        <v>1</v>
      </c>
      <c r="CU452" s="20" cm="1">
        <f t="array" ref="CU452">_xlfn.XLOOKUP(CS452&amp;CT452,(VLOOKUP!$A$3:$A$250)&amp;(VLOOKUP!$B$3:$B$250),VLOOKUP!$C$3:$C$250,"Incomplete",-1)</f>
        <v>320</v>
      </c>
      <c r="CV452" s="20" t="str" cm="1">
        <f t="array" ref="CV452">_xlfn.XLOOKUP(CU452, _xlfn.XLOOKUP(E452, 'Normative data'!$Y$11:$Y$14, 'Normative data'!$Z$11:$AG$14, ,-1), 'Normative data'!$Z$10:$AG$10, "Not Found", -1)</f>
        <v xml:space="preserve">Very poor </v>
      </c>
      <c r="CW452" s="20" cm="1">
        <f t="array" ref="CW452">IF(OR(ISBLANK(CS452),ISBLANK(CT452)),"Incomplete",_xlfn.XLOOKUP(CS452&amp;CT452,VLOOKUP!$A$4:$A$250&amp;VLOOKUP!$B$4:$B$250,VLOOKUP!$D$4:$D$250,"0"))</f>
        <v>23</v>
      </c>
    </row>
    <row r="453" spans="1:101" ht="13.9" customHeight="1">
      <c r="A453" s="17" t="s">
        <v>1018</v>
      </c>
      <c r="B453" s="17" t="s">
        <v>877</v>
      </c>
      <c r="C453" s="17" t="s">
        <v>86</v>
      </c>
      <c r="D453" s="26"/>
      <c r="F453" s="20" t="s">
        <v>151</v>
      </c>
      <c r="G453" s="17">
        <v>2026</v>
      </c>
      <c r="I453" s="20">
        <v>2</v>
      </c>
      <c r="J453" s="20"/>
      <c r="K453" s="20"/>
      <c r="L453" s="20"/>
      <c r="S453" s="20"/>
      <c r="T453" s="20"/>
      <c r="AY453" s="41" t="str">
        <f t="shared" si="137"/>
        <v>Incomplete</v>
      </c>
      <c r="BA453" s="20" t="str">
        <f t="shared" si="138"/>
        <v>Incomplete</v>
      </c>
      <c r="BC453" s="20" t="str">
        <f t="shared" si="139"/>
        <v>Incomplete</v>
      </c>
      <c r="BE453" s="20" t="str">
        <f t="shared" si="140"/>
        <v>Incomplete</v>
      </c>
      <c r="BH453" s="20"/>
      <c r="BI453" s="20" t="str">
        <f t="shared" si="136"/>
        <v>Incomplete</v>
      </c>
      <c r="BJ453" s="20"/>
      <c r="BL453" s="20"/>
      <c r="BM453" s="20"/>
      <c r="BN453" s="20"/>
      <c r="BQ453" s="17">
        <v>64</v>
      </c>
      <c r="BR453" s="17">
        <v>74</v>
      </c>
      <c r="BS453" s="17">
        <v>72</v>
      </c>
      <c r="BT453" s="17">
        <v>70</v>
      </c>
      <c r="BU453" s="17">
        <v>74</v>
      </c>
      <c r="BV453" s="17">
        <v>65</v>
      </c>
      <c r="BW453" s="91" t="str">
        <f t="shared" si="141"/>
        <v>Incomplete</v>
      </c>
      <c r="BX453" s="91" t="str">
        <f>_xlfn.XLOOKUP(BW453,'Normative data'!$V$3:$V$6,'Normative data'!$W$3:$W$6,"Not Found",-1)</f>
        <v>Very low risk</v>
      </c>
      <c r="BY453" s="91" t="str">
        <f t="shared" si="142"/>
        <v>Incomplete</v>
      </c>
      <c r="BZ453" s="91" t="str">
        <f>_xlfn.XLOOKUP(BY453,'Normative data'!$V$3:$V$6,'Normative data'!$W$3:$W$6,"Not Found",-1)</f>
        <v>Very low risk</v>
      </c>
      <c r="CG453" s="20"/>
      <c r="CH453" s="20" t="str">
        <f>_xlfn.XLOOKUP(CG453, 'Normative data'!$S$9:$S$15,'Normative data'!$T$9:$T$15, "Not Found", -1)</f>
        <v>not completed</v>
      </c>
      <c r="CI453" s="20"/>
      <c r="CJ453" s="20" t="str">
        <f>_xlfn.XLOOKUP(CI453, 'Normative data'!$S$9:$S$15, 'Normative data'!$T$9:$T$15, "Not Found", -1)</f>
        <v>not completed</v>
      </c>
      <c r="CK453" s="21"/>
      <c r="CL453" s="21"/>
      <c r="CM453" s="21"/>
      <c r="CN453" s="21"/>
      <c r="CO453" s="21"/>
      <c r="CR453" s="20" t="str" cm="1">
        <f t="array" ref="CR453">IF(OR(ISBLANK(E453),ISBLANK(CQ453)),"Incomplete",_xlfn.XLOOKUP(CQ453,_xlfn.XLOOKUP(E453,'Normative data'!$Y$3:$Y$6,'Normative data'!$Z$3:$AG$6,,-1),'Normative data'!$Z$2:$AG$2,"Not Found",-1))</f>
        <v>Incomplete</v>
      </c>
      <c r="CS453" s="20"/>
      <c r="CT453" s="20"/>
      <c r="CU453" s="20" t="str" cm="1">
        <f t="array" ref="CU453">_xlfn.XLOOKUP(CS453&amp;CT453,(VLOOKUP!$A$3:$A$250)&amp;(VLOOKUP!$B$3:$B$250),VLOOKUP!$C$3:$C$250,"Incomplete",-1)</f>
        <v>Incomplete</v>
      </c>
      <c r="CV453" s="20" t="str" cm="1">
        <f t="array" ref="CV453">_xlfn.XLOOKUP(CU453, _xlfn.XLOOKUP(E453, 'Normative data'!$Y$11:$Y$14, 'Normative data'!$Z$11:$AG$14, ,-1), 'Normative data'!$Z$10:$AG$10, "Not Found", -1)</f>
        <v>Excellent</v>
      </c>
      <c r="CW453" s="20" t="str" cm="1">
        <f t="array" ref="CW453">IF(OR(ISBLANK(CS453),ISBLANK(CT453)),"Incomplete",_xlfn.XLOOKUP(CS453&amp;CT453,VLOOKUP!$A$4:$A$250&amp;VLOOKUP!$B$4:$B$250,VLOOKUP!$D$4:$D$250,"0"))</f>
        <v>Incomplete</v>
      </c>
    </row>
    <row r="454" spans="1:101">
      <c r="A454" s="17" t="s">
        <v>495</v>
      </c>
      <c r="B454" s="17" t="s">
        <v>494</v>
      </c>
      <c r="C454" s="17" t="s">
        <v>86</v>
      </c>
      <c r="D454" s="26">
        <v>40869</v>
      </c>
      <c r="F454" s="20" t="s">
        <v>87</v>
      </c>
      <c r="G454" s="17">
        <v>2026</v>
      </c>
      <c r="I454" s="20">
        <v>2</v>
      </c>
      <c r="J454" s="20" t="s">
        <v>88</v>
      </c>
      <c r="K454" s="20" t="s">
        <v>89</v>
      </c>
      <c r="L454" s="20"/>
      <c r="S454" s="20">
        <v>83.2</v>
      </c>
      <c r="T454" s="20">
        <v>155.80000000000001</v>
      </c>
      <c r="U454" s="17">
        <v>53.7</v>
      </c>
      <c r="V454" s="17">
        <v>27.9</v>
      </c>
      <c r="W454" s="17">
        <v>15.5</v>
      </c>
      <c r="X454" s="17">
        <v>38.200000000000003</v>
      </c>
      <c r="Y454" s="17">
        <v>20.7</v>
      </c>
      <c r="AA454" s="17">
        <v>28.9</v>
      </c>
      <c r="AB454" s="17">
        <v>5.7</v>
      </c>
      <c r="AC454" s="17">
        <v>101.4</v>
      </c>
      <c r="AD454" s="17">
        <v>5.71</v>
      </c>
      <c r="AE454" s="17">
        <v>101.6</v>
      </c>
      <c r="AF454" s="17">
        <v>2.5</v>
      </c>
      <c r="AG454" s="17">
        <v>135.19999999999999</v>
      </c>
      <c r="AH454" s="17">
        <v>2.5</v>
      </c>
      <c r="AI454" s="17">
        <v>134.6</v>
      </c>
      <c r="AJ454" s="17">
        <v>295.5</v>
      </c>
      <c r="AK454" s="17">
        <v>292.7</v>
      </c>
      <c r="AL454" s="17">
        <v>260.5</v>
      </c>
      <c r="AM454" s="17">
        <v>259.7</v>
      </c>
      <c r="AN454" s="17">
        <v>85</v>
      </c>
      <c r="AQ454" s="17">
        <v>18.100000000000001</v>
      </c>
      <c r="AR454" s="17">
        <v>0.38400000000000001</v>
      </c>
      <c r="AS454" s="17">
        <v>19</v>
      </c>
      <c r="AT454" s="17">
        <v>0.39400000000000002</v>
      </c>
      <c r="AU454" s="17">
        <v>8.1</v>
      </c>
      <c r="AV454" s="17">
        <v>0.25700000000000001</v>
      </c>
      <c r="AW454" s="17">
        <v>8.1999999999999993</v>
      </c>
      <c r="AX454" s="17">
        <v>0.25800000000000001</v>
      </c>
      <c r="AY454" s="41">
        <f t="shared" si="137"/>
        <v>1476.2800000000002</v>
      </c>
      <c r="BA454" s="20">
        <f t="shared" si="138"/>
        <v>1530.9099999999999</v>
      </c>
      <c r="BC454" s="20">
        <f t="shared" si="139"/>
        <v>869.2800000000002</v>
      </c>
      <c r="BE454" s="20">
        <f t="shared" si="140"/>
        <v>875.34999999999991</v>
      </c>
      <c r="BG454" s="17">
        <v>16</v>
      </c>
      <c r="BH454" s="17">
        <v>54</v>
      </c>
      <c r="BI454" s="20">
        <f t="shared" si="136"/>
        <v>38</v>
      </c>
      <c r="BJ454" s="20"/>
      <c r="BK454" s="17">
        <v>5.5</v>
      </c>
      <c r="BL454" s="20"/>
      <c r="BM454" s="17">
        <v>7.5</v>
      </c>
      <c r="BN454" s="20"/>
      <c r="BO454" s="17">
        <v>50</v>
      </c>
      <c r="BP454" s="17">
        <v>48</v>
      </c>
      <c r="BQ454" s="17">
        <v>74</v>
      </c>
      <c r="BR454" s="17">
        <v>82</v>
      </c>
      <c r="BS454" s="17">
        <v>70</v>
      </c>
      <c r="BT454" s="17">
        <v>73</v>
      </c>
      <c r="BU454" s="17">
        <v>77</v>
      </c>
      <c r="BV454" s="17">
        <v>83</v>
      </c>
      <c r="BW454" s="91">
        <f t="shared" si="141"/>
        <v>103.76492194674012</v>
      </c>
      <c r="BX454" s="91" t="str">
        <f>_xlfn.XLOOKUP(BW454,'Normative data'!$V$3:$V$6,'Normative data'!$W$3:$W$6,"Not Found",-1)</f>
        <v>Low risk</v>
      </c>
      <c r="BY454" s="91">
        <f t="shared" si="142"/>
        <v>106.97887970615243</v>
      </c>
      <c r="BZ454" s="91" t="str">
        <f>_xlfn.XLOOKUP(BY454,'Normative data'!$V$3:$V$6,'Normative data'!$W$3:$W$6,"Not Found",-1)</f>
        <v>Low risk</v>
      </c>
      <c r="CA454" s="17">
        <v>32</v>
      </c>
      <c r="CC454" s="20"/>
      <c r="CE454" s="17">
        <v>20</v>
      </c>
      <c r="CG454" s="17">
        <v>18.73</v>
      </c>
      <c r="CH454" s="20" t="str">
        <f>_xlfn.XLOOKUP(CG454, 'Normative data'!$S$9:$S$15,'Normative data'!$T$9:$T$15, "Not Found", -1)</f>
        <v>Average</v>
      </c>
      <c r="CI454" s="17">
        <v>19.14</v>
      </c>
      <c r="CJ454" s="20" t="str">
        <f>_xlfn.XLOOKUP(CI454, 'Normative data'!$S$9:$S$15, 'Normative data'!$T$9:$T$15, "Not Found", -1)</f>
        <v>Average</v>
      </c>
      <c r="CK454" s="17">
        <v>2.2799999999999998</v>
      </c>
      <c r="CL454" s="17">
        <v>4.3899999999999997</v>
      </c>
      <c r="CN454" s="17">
        <v>7.06</v>
      </c>
      <c r="CO454" s="17">
        <v>7.08</v>
      </c>
      <c r="CR454" s="20" t="str" cm="1">
        <f t="array" ref="CR454">IF(OR(ISBLANK(E454),ISBLANK(CQ454)),"Incomplete",_xlfn.XLOOKUP(CQ454,_xlfn.XLOOKUP(E454,'Normative data'!$Y$3:$Y$6,'Normative data'!$Z$3:$AG$6,,-1),'Normative data'!$Z$2:$AG$2,"Not Found",-1))</f>
        <v>Incomplete</v>
      </c>
      <c r="CS454" s="20"/>
      <c r="CT454" s="20"/>
      <c r="CU454" s="20" t="str" cm="1">
        <f t="array" ref="CU454">_xlfn.XLOOKUP(CS454&amp;CT454,(VLOOKUP!$A$3:$A$250)&amp;(VLOOKUP!$B$3:$B$250),VLOOKUP!$C$3:$C$250,"Incomplete",-1)</f>
        <v>Incomplete</v>
      </c>
      <c r="CV454" s="20" t="str" cm="1">
        <f t="array" ref="CV454">_xlfn.XLOOKUP(CU454, _xlfn.XLOOKUP(E454, 'Normative data'!$Y$11:$Y$14, 'Normative data'!$Z$11:$AG$14, ,-1), 'Normative data'!$Z$10:$AG$10, "Not Found", -1)</f>
        <v>Excellent</v>
      </c>
      <c r="CW454" s="20" t="str" cm="1">
        <f t="array" ref="CW454">IF(OR(ISBLANK(CS454),ISBLANK(CT454)),"Incomplete",_xlfn.XLOOKUP(CS454&amp;CT454,VLOOKUP!$A$4:$A$250&amp;VLOOKUP!$B$4:$B$250,VLOOKUP!$D$4:$D$250,"0"))</f>
        <v>Incomplete</v>
      </c>
    </row>
    <row r="455" spans="1:101">
      <c r="A455" s="17" t="s">
        <v>984</v>
      </c>
      <c r="B455" s="17" t="s">
        <v>983</v>
      </c>
      <c r="C455" s="17" t="s">
        <v>86</v>
      </c>
      <c r="D455" s="26">
        <v>40735</v>
      </c>
      <c r="E455" s="17">
        <v>14.4</v>
      </c>
      <c r="F455" s="20" t="s">
        <v>217</v>
      </c>
      <c r="G455" s="17">
        <v>2026</v>
      </c>
      <c r="I455" s="20">
        <v>2</v>
      </c>
      <c r="J455" s="20" t="s">
        <v>100</v>
      </c>
      <c r="K455" s="20" t="s">
        <v>556</v>
      </c>
      <c r="L455" s="20"/>
      <c r="S455" s="20">
        <v>87.1</v>
      </c>
      <c r="T455" s="20">
        <v>170</v>
      </c>
      <c r="U455" s="17">
        <v>70.3</v>
      </c>
      <c r="V455" s="17">
        <v>37.299999999999997</v>
      </c>
      <c r="W455" s="17">
        <v>19.2</v>
      </c>
      <c r="X455" s="17">
        <v>51.1</v>
      </c>
      <c r="Y455" s="17">
        <v>28.2</v>
      </c>
      <c r="Z455" s="17">
        <v>24.6</v>
      </c>
      <c r="AA455" s="17">
        <v>27.4</v>
      </c>
      <c r="AB455" s="17">
        <v>7.4</v>
      </c>
      <c r="AC455" s="17">
        <v>99.9</v>
      </c>
      <c r="AD455" s="17">
        <v>7.35</v>
      </c>
      <c r="AE455" s="17">
        <v>99.2</v>
      </c>
      <c r="AF455" s="17">
        <v>2.7</v>
      </c>
      <c r="AG455" s="17">
        <v>104</v>
      </c>
      <c r="AH455" s="17">
        <v>2.7</v>
      </c>
      <c r="AI455" s="17">
        <v>104.1</v>
      </c>
      <c r="AJ455" s="17">
        <v>307.2</v>
      </c>
      <c r="AK455" s="17">
        <v>312.5</v>
      </c>
      <c r="AL455" s="17">
        <v>275.10000000000002</v>
      </c>
      <c r="AM455" s="17">
        <v>278.39999999999998</v>
      </c>
      <c r="AN455" s="17">
        <v>110</v>
      </c>
      <c r="AO455" s="17">
        <v>0.92</v>
      </c>
      <c r="AP455" s="17">
        <v>7</v>
      </c>
      <c r="AQ455" s="20"/>
      <c r="AR455" s="20"/>
      <c r="AS455" s="20"/>
      <c r="AT455" s="20"/>
      <c r="AU455" s="20"/>
      <c r="AV455" s="20"/>
      <c r="AW455" s="20"/>
      <c r="AX455" s="20"/>
      <c r="AY455" s="41" t="str">
        <f t="shared" si="137"/>
        <v>Incomplete</v>
      </c>
      <c r="BA455" s="20" t="str">
        <f t="shared" si="138"/>
        <v>Incomplete</v>
      </c>
      <c r="BC455" s="20" t="str">
        <f t="shared" si="139"/>
        <v>Incomplete</v>
      </c>
      <c r="BE455" s="20" t="str">
        <f t="shared" si="140"/>
        <v>Incomplete</v>
      </c>
      <c r="BG455" s="17">
        <v>12</v>
      </c>
      <c r="BH455" s="17">
        <v>46</v>
      </c>
      <c r="BI455" s="20">
        <f t="shared" si="136"/>
        <v>34</v>
      </c>
      <c r="BJ455" s="20"/>
      <c r="BK455" s="17">
        <v>14</v>
      </c>
      <c r="BL455" s="20"/>
      <c r="BM455" s="17">
        <v>14</v>
      </c>
      <c r="BN455" s="20"/>
      <c r="BO455" s="17">
        <v>56.5</v>
      </c>
      <c r="BP455" s="17">
        <v>57</v>
      </c>
      <c r="BQ455" s="17">
        <v>89</v>
      </c>
      <c r="BR455" s="17">
        <v>90</v>
      </c>
      <c r="BS455" s="17">
        <v>73</v>
      </c>
      <c r="BT455" s="17">
        <v>82</v>
      </c>
      <c r="BU455" s="17">
        <v>89</v>
      </c>
      <c r="BV455" s="17">
        <v>80</v>
      </c>
      <c r="BW455" s="91">
        <f t="shared" si="141"/>
        <v>101.32689987937273</v>
      </c>
      <c r="BX455" s="91" t="str">
        <f>_xlfn.XLOOKUP(BW455,'Normative data'!$V$3:$V$6,'Normative data'!$W$3:$W$6,"Not Found",-1)</f>
        <v>Low risk</v>
      </c>
      <c r="BY455" s="91">
        <f t="shared" si="142"/>
        <v>100.92480900683553</v>
      </c>
      <c r="BZ455" s="91" t="str">
        <f>_xlfn.XLOOKUP(BY455,'Normative data'!$V$3:$V$6,'Normative data'!$W$3:$W$6,"Not Found",-1)</f>
        <v>Low risk</v>
      </c>
      <c r="CA455" s="17">
        <v>38</v>
      </c>
      <c r="CC455" s="20"/>
      <c r="CE455" s="17">
        <v>30</v>
      </c>
      <c r="CG455" s="17">
        <v>18.82</v>
      </c>
      <c r="CH455" s="20" t="str">
        <f>_xlfn.XLOOKUP(CG455, 'Normative data'!$S$9:$S$15,'Normative data'!$T$9:$T$15, "Not Found", -1)</f>
        <v>Average</v>
      </c>
      <c r="CI455" s="17">
        <v>18.57</v>
      </c>
      <c r="CJ455" s="20" t="str">
        <f>_xlfn.XLOOKUP(CI455, 'Normative data'!$S$9:$S$15, 'Normative data'!$T$9:$T$15, "Not Found", -1)</f>
        <v>Average</v>
      </c>
      <c r="CK455" s="17">
        <v>2.36</v>
      </c>
      <c r="CL455" s="17">
        <v>4.24</v>
      </c>
      <c r="CN455" s="17">
        <v>7.33</v>
      </c>
      <c r="CO455" s="17">
        <v>6.82</v>
      </c>
      <c r="CQ455" s="17">
        <v>8.5</v>
      </c>
      <c r="CR455" s="20" t="str" cm="1">
        <f t="array" ref="CR455">IF(OR(ISBLANK(E455),ISBLANK(CQ455)),"Incomplete",_xlfn.XLOOKUP(CQ455,_xlfn.XLOOKUP(E455,'Normative data'!$Y$3:$Y$6,'Normative data'!$Z$3:$AG$6,,-1),'Normative data'!$Z$2:$AG$2,"Not Found",-1))</f>
        <v>Good</v>
      </c>
      <c r="CS455" s="20">
        <v>8</v>
      </c>
      <c r="CT455" s="20">
        <v>5</v>
      </c>
      <c r="CU455" s="20" cm="1">
        <f t="array" ref="CU455">_xlfn.XLOOKUP(CS455&amp;CT455,(VLOOKUP!$A$3:$A$250)&amp;(VLOOKUP!$B$3:$B$250),VLOOKUP!$C$3:$C$250,"Incomplete",-1)</f>
        <v>1320</v>
      </c>
      <c r="CV455" s="20" t="str" cm="1">
        <f t="array" ref="CV455">_xlfn.XLOOKUP(CU455, _xlfn.XLOOKUP(E455, 'Normative data'!$Y$11:$Y$14, 'Normative data'!$Z$11:$AG$14, ,-1), 'Normative data'!$Z$10:$AG$10, "Not Found", -1)</f>
        <v>Average</v>
      </c>
      <c r="CW455" s="20" cm="1">
        <f t="array" ref="CW455">IF(OR(ISBLANK(CS455),ISBLANK(CT455)),"Incomplete",_xlfn.XLOOKUP(CS455&amp;CT455,VLOOKUP!$A$4:$A$250&amp;VLOOKUP!$B$4:$B$250,VLOOKUP!$D$4:$D$250,"0"))</f>
        <v>42</v>
      </c>
    </row>
    <row r="456" spans="1:101">
      <c r="A456" s="17" t="s">
        <v>1019</v>
      </c>
      <c r="B456" s="17" t="s">
        <v>1020</v>
      </c>
      <c r="C456" s="17" t="s">
        <v>86</v>
      </c>
      <c r="D456" s="20"/>
      <c r="F456" s="20" t="s">
        <v>107</v>
      </c>
      <c r="G456" s="17">
        <v>2026</v>
      </c>
      <c r="I456" s="20">
        <v>2</v>
      </c>
      <c r="J456" s="20"/>
      <c r="K456" s="20"/>
      <c r="L456" s="20"/>
      <c r="S456" s="20">
        <v>86</v>
      </c>
      <c r="T456" s="20">
        <v>165.8</v>
      </c>
      <c r="AY456" s="41" t="str">
        <f t="shared" si="137"/>
        <v>Incomplete</v>
      </c>
      <c r="BA456" s="20" t="str">
        <f t="shared" si="138"/>
        <v>Incomplete</v>
      </c>
      <c r="BC456" s="20" t="str">
        <f t="shared" si="139"/>
        <v>Incomplete</v>
      </c>
      <c r="BE456" s="20" t="str">
        <f t="shared" si="140"/>
        <v>Incomplete</v>
      </c>
      <c r="BH456" s="17">
        <v>20</v>
      </c>
      <c r="BI456" s="20" t="str">
        <f t="shared" si="136"/>
        <v>Incomplete</v>
      </c>
      <c r="BJ456" s="20"/>
      <c r="BK456" s="17">
        <v>3.4</v>
      </c>
      <c r="BL456" s="20"/>
      <c r="BM456" s="17">
        <v>4</v>
      </c>
      <c r="BN456" s="20"/>
      <c r="BW456" s="91">
        <f t="shared" si="141"/>
        <v>0</v>
      </c>
      <c r="BX456" s="91" t="str">
        <f>_xlfn.XLOOKUP(BW456,'Normative data'!$V$3:$V$6,'Normative data'!$W$3:$W$6,"Not Found",-1)</f>
        <v>Not completed</v>
      </c>
      <c r="BY456" s="91">
        <f t="shared" si="142"/>
        <v>0</v>
      </c>
      <c r="BZ456" s="91" t="str">
        <f>_xlfn.XLOOKUP(BY456,'Normative data'!$V$3:$V$6,'Normative data'!$W$3:$W$6,"Not Found",-1)</f>
        <v>Not completed</v>
      </c>
      <c r="CA456" s="20"/>
      <c r="CC456" s="20"/>
      <c r="CE456" s="17">
        <v>10</v>
      </c>
      <c r="CG456" s="17">
        <v>20.420000000000002</v>
      </c>
      <c r="CH456" s="20" t="str">
        <f>_xlfn.XLOOKUP(CG456, 'Normative data'!$S$9:$S$15,'Normative data'!$T$9:$T$15, "Not Found", -1)</f>
        <v>Average</v>
      </c>
      <c r="CI456" s="17">
        <v>20.85</v>
      </c>
      <c r="CJ456" s="20" t="str">
        <f>_xlfn.XLOOKUP(CI456, 'Normative data'!$S$9:$S$15, 'Normative data'!$T$9:$T$15, "Not Found", -1)</f>
        <v>Average</v>
      </c>
      <c r="CK456" s="17">
        <v>2.4300000000000002</v>
      </c>
      <c r="CL456" s="17">
        <v>4.12</v>
      </c>
      <c r="CN456" s="17">
        <v>7.79</v>
      </c>
      <c r="CO456" s="17">
        <v>6.42</v>
      </c>
      <c r="CQ456" s="17">
        <v>4.0999999999999996</v>
      </c>
      <c r="CR456" s="20" t="str" cm="1">
        <f t="array" ref="CR456">IF(OR(ISBLANK(E456),ISBLANK(CQ456)),"Incomplete",_xlfn.XLOOKUP(CQ456,_xlfn.XLOOKUP(E456,'Normative data'!$Y$3:$Y$6,'Normative data'!$Z$3:$AG$6,,-1),'Normative data'!$Z$2:$AG$2,"Not Found",-1))</f>
        <v>Incomplete</v>
      </c>
      <c r="CS456" s="20">
        <v>4</v>
      </c>
      <c r="CT456" s="20">
        <v>1</v>
      </c>
      <c r="CU456" s="20" cm="1">
        <f t="array" ref="CU456">_xlfn.XLOOKUP(CS456&amp;CT456,(VLOOKUP!$A$3:$A$250)&amp;(VLOOKUP!$B$3:$B$250),VLOOKUP!$C$3:$C$250,"Incomplete",-1)</f>
        <v>480</v>
      </c>
      <c r="CV456" s="20" t="str" cm="1">
        <f t="array" ref="CV456">_xlfn.XLOOKUP(CU456, _xlfn.XLOOKUP(E456, 'Normative data'!$Y$11:$Y$14, 'Normative data'!$Z$11:$AG$14, ,-1), 'Normative data'!$Z$10:$AG$10, "Not Found", -1)</f>
        <v xml:space="preserve">Very poor </v>
      </c>
      <c r="CW456" s="20" cm="1">
        <f t="array" ref="CW456">IF(OR(ISBLANK(CS456),ISBLANK(CT456)),"Incomplete",_xlfn.XLOOKUP(CS456&amp;CT456,VLOOKUP!$A$4:$A$250&amp;VLOOKUP!$B$4:$B$250,VLOOKUP!$D$4:$D$250,"0"))</f>
        <v>26</v>
      </c>
    </row>
    <row r="457" spans="1:101">
      <c r="A457" s="17" t="s">
        <v>1021</v>
      </c>
      <c r="B457" s="17" t="s">
        <v>1022</v>
      </c>
      <c r="C457" s="17" t="s">
        <v>86</v>
      </c>
      <c r="D457" s="26"/>
      <c r="F457" s="20" t="s">
        <v>235</v>
      </c>
      <c r="G457" s="17">
        <v>2026</v>
      </c>
      <c r="I457" s="20">
        <v>2</v>
      </c>
      <c r="J457" s="20"/>
      <c r="K457" s="20"/>
      <c r="L457" s="20"/>
      <c r="S457" s="20">
        <v>82.5</v>
      </c>
      <c r="T457" s="20">
        <v>158.80000000000001</v>
      </c>
      <c r="AQ457" s="20"/>
      <c r="AR457" s="20"/>
      <c r="AS457" s="20"/>
      <c r="AT457" s="20"/>
      <c r="AU457" s="20"/>
      <c r="AV457" s="20"/>
      <c r="AW457" s="20"/>
      <c r="AX457" s="20"/>
      <c r="AY457" s="41" t="str">
        <f t="shared" si="137"/>
        <v>Incomplete</v>
      </c>
      <c r="BA457" s="20" t="str">
        <f t="shared" si="138"/>
        <v>Incomplete</v>
      </c>
      <c r="BC457" s="20" t="str">
        <f t="shared" si="139"/>
        <v>Incomplete</v>
      </c>
      <c r="BE457" s="20" t="str">
        <f t="shared" si="140"/>
        <v>Incomplete</v>
      </c>
      <c r="BH457" s="17">
        <v>28.5</v>
      </c>
      <c r="BI457" s="20" t="str">
        <f t="shared" si="136"/>
        <v>Incomplete</v>
      </c>
      <c r="BJ457" s="20"/>
      <c r="BK457" s="17">
        <v>11</v>
      </c>
      <c r="BL457" s="20"/>
      <c r="BM457" s="17">
        <v>11</v>
      </c>
      <c r="BN457" s="20"/>
      <c r="BW457" s="91">
        <f t="shared" si="141"/>
        <v>0</v>
      </c>
      <c r="BX457" s="91" t="str">
        <f>_xlfn.XLOOKUP(BW457,'Normative data'!$V$3:$V$6,'Normative data'!$W$3:$W$6,"Not Found",-1)</f>
        <v>Not completed</v>
      </c>
      <c r="BY457" s="91">
        <f t="shared" si="142"/>
        <v>0</v>
      </c>
      <c r="BZ457" s="91" t="str">
        <f>_xlfn.XLOOKUP(BY457,'Normative data'!$V$3:$V$6,'Normative data'!$W$3:$W$6,"Not Found",-1)</f>
        <v>Not completed</v>
      </c>
      <c r="CG457" s="20"/>
      <c r="CH457" s="20" t="str">
        <f>_xlfn.XLOOKUP(CG457, 'Normative data'!$S$9:$S$15,'Normative data'!$T$9:$T$15, "Not Found", -1)</f>
        <v>not completed</v>
      </c>
      <c r="CI457" s="20"/>
      <c r="CJ457" s="20" t="str">
        <f>_xlfn.XLOOKUP(CI457, 'Normative data'!$S$9:$S$15, 'Normative data'!$T$9:$T$15, "Not Found", -1)</f>
        <v>not completed</v>
      </c>
      <c r="CK457" s="21"/>
      <c r="CL457" s="21"/>
      <c r="CM457" s="21"/>
      <c r="CN457" s="21"/>
      <c r="CO457" s="21"/>
      <c r="CR457" s="20" t="str" cm="1">
        <f t="array" ref="CR457">IF(OR(ISBLANK(E457),ISBLANK(CQ457)),"Incomplete",_xlfn.XLOOKUP(CQ457,_xlfn.XLOOKUP(E457,'Normative data'!$Y$3:$Y$6,'Normative data'!$Z$3:$AG$6,,-1),'Normative data'!$Z$2:$AG$2,"Not Found",-1))</f>
        <v>Incomplete</v>
      </c>
      <c r="CS457" s="20"/>
      <c r="CT457" s="20"/>
      <c r="CU457" s="20" t="str" cm="1">
        <f t="array" ref="CU457">_xlfn.XLOOKUP(CS457&amp;CT457,(VLOOKUP!$A$3:$A$250)&amp;(VLOOKUP!$B$3:$B$250),VLOOKUP!$C$3:$C$250,"Incomplete",-1)</f>
        <v>Incomplete</v>
      </c>
      <c r="CV457" s="20" t="str" cm="1">
        <f t="array" ref="CV457">_xlfn.XLOOKUP(CU457, _xlfn.XLOOKUP(E457, 'Normative data'!$Y$11:$Y$14, 'Normative data'!$Z$11:$AG$14, ,-1), 'Normative data'!$Z$10:$AG$10, "Not Found", -1)</f>
        <v>Excellent</v>
      </c>
      <c r="CW457" s="20" t="str" cm="1">
        <f t="array" ref="CW457">IF(OR(ISBLANK(CS457),ISBLANK(CT457)),"Incomplete",_xlfn.XLOOKUP(CS457&amp;CT457,VLOOKUP!$A$4:$A$250&amp;VLOOKUP!$B$4:$B$250,VLOOKUP!$D$4:$D$250,"0"))</f>
        <v>Incomplete</v>
      </c>
    </row>
    <row r="458" spans="1:101">
      <c r="A458" s="17" t="s">
        <v>1023</v>
      </c>
      <c r="B458" s="17" t="s">
        <v>1024</v>
      </c>
      <c r="C458" s="17" t="s">
        <v>86</v>
      </c>
      <c r="D458" s="26"/>
      <c r="F458" s="20" t="s">
        <v>110</v>
      </c>
      <c r="G458" s="17">
        <v>2026</v>
      </c>
      <c r="I458" s="20">
        <v>2</v>
      </c>
      <c r="J458" s="20"/>
      <c r="K458" s="20"/>
      <c r="L458" s="20"/>
      <c r="S458" s="20"/>
      <c r="T458" s="20"/>
      <c r="AY458" s="41" t="str">
        <f t="shared" si="137"/>
        <v>Incomplete</v>
      </c>
      <c r="BA458" s="20" t="str">
        <f t="shared" si="138"/>
        <v>Incomplete</v>
      </c>
      <c r="BC458" s="20" t="str">
        <f t="shared" si="139"/>
        <v>Incomplete</v>
      </c>
      <c r="BE458" s="20" t="str">
        <f t="shared" si="140"/>
        <v>Incomplete</v>
      </c>
      <c r="BH458" s="20"/>
      <c r="BI458" s="20" t="str">
        <f t="shared" si="136"/>
        <v>Incomplete</v>
      </c>
      <c r="BJ458" s="20"/>
      <c r="BL458" s="20"/>
      <c r="BN458" s="20"/>
      <c r="BQ458" s="17">
        <v>82</v>
      </c>
      <c r="BR458" s="17">
        <v>64</v>
      </c>
      <c r="BS458" s="17">
        <v>71</v>
      </c>
      <c r="BT458" s="17">
        <v>81</v>
      </c>
      <c r="BU458" s="17">
        <v>78</v>
      </c>
      <c r="BV458" s="17">
        <v>74</v>
      </c>
      <c r="BW458" s="91" t="str">
        <f t="shared" si="141"/>
        <v>Incomplete</v>
      </c>
      <c r="BX458" s="91" t="str">
        <f>_xlfn.XLOOKUP(BW458,'Normative data'!$V$3:$V$6,'Normative data'!$W$3:$W$6,"Not Found",-1)</f>
        <v>Very low risk</v>
      </c>
      <c r="BY458" s="91" t="str">
        <f t="shared" si="142"/>
        <v>Incomplete</v>
      </c>
      <c r="BZ458" s="91" t="str">
        <f>_xlfn.XLOOKUP(BY458,'Normative data'!$V$3:$V$6,'Normative data'!$W$3:$W$6,"Not Found",-1)</f>
        <v>Very low risk</v>
      </c>
      <c r="CG458" s="17">
        <v>20.7</v>
      </c>
      <c r="CH458" s="20" t="str">
        <f>_xlfn.XLOOKUP(CG458, 'Normative data'!$S$9:$S$15,'Normative data'!$T$9:$T$15, "Not Found", -1)</f>
        <v>Average</v>
      </c>
      <c r="CI458" s="17">
        <v>21.23</v>
      </c>
      <c r="CJ458" s="20" t="str">
        <f>_xlfn.XLOOKUP(CI458, 'Normative data'!$S$9:$S$15, 'Normative data'!$T$9:$T$15, "Not Found", -1)</f>
        <v>Average</v>
      </c>
      <c r="CK458" s="21"/>
      <c r="CL458" s="21"/>
      <c r="CM458" s="21"/>
      <c r="CN458" s="21"/>
      <c r="CO458" s="21"/>
      <c r="CR458" s="20" t="str" cm="1">
        <f t="array" ref="CR458">IF(OR(ISBLANK(E458),ISBLANK(CQ458)),"Incomplete",_xlfn.XLOOKUP(CQ458,_xlfn.XLOOKUP(E458,'Normative data'!$Y$3:$Y$6,'Normative data'!$Z$3:$AG$6,,-1),'Normative data'!$Z$2:$AG$2,"Not Found",-1))</f>
        <v>Incomplete</v>
      </c>
      <c r="CS458" s="20"/>
      <c r="CT458" s="20"/>
      <c r="CU458" s="20" t="str" cm="1">
        <f t="array" ref="CU458">_xlfn.XLOOKUP(CS458&amp;CT458,(VLOOKUP!$A$3:$A$250)&amp;(VLOOKUP!$B$3:$B$250),VLOOKUP!$C$3:$C$250,"Incomplete",-1)</f>
        <v>Incomplete</v>
      </c>
      <c r="CV458" s="20" t="str" cm="1">
        <f t="array" ref="CV458">_xlfn.XLOOKUP(CU458, _xlfn.XLOOKUP(E458, 'Normative data'!$Y$11:$Y$14, 'Normative data'!$Z$11:$AG$14, ,-1), 'Normative data'!$Z$10:$AG$10, "Not Found", -1)</f>
        <v>Excellent</v>
      </c>
      <c r="CW458" s="20" t="str" cm="1">
        <f t="array" ref="CW458">IF(OR(ISBLANK(CS458),ISBLANK(CT458)),"Incomplete",_xlfn.XLOOKUP(CS458&amp;CT458,VLOOKUP!$A$4:$A$250&amp;VLOOKUP!$B$4:$B$250,VLOOKUP!$D$4:$D$250,"0"))</f>
        <v>Incomplete</v>
      </c>
    </row>
    <row r="459" spans="1:101">
      <c r="A459" s="17" t="s">
        <v>1025</v>
      </c>
      <c r="B459" s="17" t="s">
        <v>1026</v>
      </c>
      <c r="C459" s="17" t="s">
        <v>86</v>
      </c>
      <c r="D459" s="26"/>
      <c r="F459" s="20" t="s">
        <v>154</v>
      </c>
      <c r="G459" s="17">
        <v>2026</v>
      </c>
      <c r="I459" s="20">
        <v>2</v>
      </c>
      <c r="J459" s="20" t="s">
        <v>88</v>
      </c>
      <c r="K459" s="20" t="s">
        <v>194</v>
      </c>
      <c r="L459" s="20"/>
      <c r="S459" s="20">
        <v>88.9</v>
      </c>
      <c r="T459" s="20">
        <v>170.8</v>
      </c>
      <c r="AY459" s="41" t="str">
        <f t="shared" si="137"/>
        <v>Incomplete</v>
      </c>
      <c r="BA459" s="20" t="str">
        <f t="shared" si="138"/>
        <v>Incomplete</v>
      </c>
      <c r="BC459" s="20" t="str">
        <f t="shared" si="139"/>
        <v>Incomplete</v>
      </c>
      <c r="BE459" s="20" t="str">
        <f t="shared" si="140"/>
        <v>Incomplete</v>
      </c>
      <c r="BG459" s="17">
        <v>9.5</v>
      </c>
      <c r="BH459" s="17">
        <v>45</v>
      </c>
      <c r="BI459" s="20">
        <f t="shared" si="136"/>
        <v>35.5</v>
      </c>
      <c r="BJ459" s="20"/>
      <c r="BL459" s="20"/>
      <c r="BN459" s="20"/>
      <c r="BO459" s="17">
        <v>55.9</v>
      </c>
      <c r="BP459" s="17">
        <v>55.9</v>
      </c>
      <c r="BW459" s="91">
        <f t="shared" si="141"/>
        <v>0</v>
      </c>
      <c r="BX459" s="91" t="str">
        <f>_xlfn.XLOOKUP(BW459,'Normative data'!$V$3:$V$6,'Normative data'!$W$3:$W$6,"Not Found",-1)</f>
        <v>Not completed</v>
      </c>
      <c r="BY459" s="91">
        <f t="shared" si="142"/>
        <v>0</v>
      </c>
      <c r="BZ459" s="91" t="str">
        <f>_xlfn.XLOOKUP(BY459,'Normative data'!$V$3:$V$6,'Normative data'!$W$3:$W$6,"Not Found",-1)</f>
        <v>Not completed</v>
      </c>
      <c r="CA459" s="17">
        <v>18</v>
      </c>
      <c r="CC459" s="20"/>
      <c r="CE459" s="17">
        <v>12</v>
      </c>
      <c r="CG459" s="20"/>
      <c r="CH459" s="20" t="str">
        <f>_xlfn.XLOOKUP(CG459, 'Normative data'!$S$9:$S$15,'Normative data'!$T$9:$T$15, "Not Found", -1)</f>
        <v>not completed</v>
      </c>
      <c r="CI459" s="20"/>
      <c r="CJ459" s="20" t="str">
        <f>_xlfn.XLOOKUP(CI459, 'Normative data'!$S$9:$S$15, 'Normative data'!$T$9:$T$15, "Not Found", -1)</f>
        <v>not completed</v>
      </c>
      <c r="CK459" s="17">
        <v>2.2400000000000002</v>
      </c>
      <c r="CL459" s="17">
        <v>4.46</v>
      </c>
      <c r="CN459" s="17">
        <v>6.7</v>
      </c>
      <c r="CO459" s="17">
        <v>7.46</v>
      </c>
      <c r="CR459" s="20" t="str" cm="1">
        <f t="array" ref="CR459">IF(OR(ISBLANK(E459),ISBLANK(CQ459)),"Incomplete",_xlfn.XLOOKUP(CQ459,_xlfn.XLOOKUP(E459,'Normative data'!$Y$3:$Y$6,'Normative data'!$Z$3:$AG$6,,-1),'Normative data'!$Z$2:$AG$2,"Not Found",-1))</f>
        <v>Incomplete</v>
      </c>
      <c r="CS459" s="20"/>
      <c r="CT459" s="20"/>
      <c r="CU459" s="20" t="str" cm="1">
        <f t="array" ref="CU459">_xlfn.XLOOKUP(CS459&amp;CT459,(VLOOKUP!$A$3:$A$250)&amp;(VLOOKUP!$B$3:$B$250),VLOOKUP!$C$3:$C$250,"Incomplete",-1)</f>
        <v>Incomplete</v>
      </c>
      <c r="CV459" s="20" t="str" cm="1">
        <f t="array" ref="CV459">_xlfn.XLOOKUP(CU459, _xlfn.XLOOKUP(E459, 'Normative data'!$Y$11:$Y$14, 'Normative data'!$Z$11:$AG$14, ,-1), 'Normative data'!$Z$10:$AG$10, "Not Found", -1)</f>
        <v>Excellent</v>
      </c>
      <c r="CW459" s="20" t="str" cm="1">
        <f t="array" ref="CW459">IF(OR(ISBLANK(CS459),ISBLANK(CT459)),"Incomplete",_xlfn.XLOOKUP(CS459&amp;CT459,VLOOKUP!$A$4:$A$250&amp;VLOOKUP!$B$4:$B$250,VLOOKUP!$D$4:$D$250,"0"))</f>
        <v>Incomplete</v>
      </c>
    </row>
    <row r="460" spans="1:101">
      <c r="A460" s="17" t="s">
        <v>1027</v>
      </c>
      <c r="B460" s="17" t="s">
        <v>1028</v>
      </c>
      <c r="C460" s="17" t="s">
        <v>86</v>
      </c>
      <c r="D460" s="26"/>
      <c r="F460" s="20" t="s">
        <v>235</v>
      </c>
      <c r="G460" s="17">
        <v>2026</v>
      </c>
      <c r="I460" s="20">
        <v>2</v>
      </c>
      <c r="J460" s="20"/>
      <c r="K460" s="20"/>
      <c r="L460" s="20"/>
      <c r="S460" s="20">
        <v>80.900000000000006</v>
      </c>
      <c r="T460" s="20">
        <v>169.5</v>
      </c>
      <c r="AQ460" s="20"/>
      <c r="AR460" s="20"/>
      <c r="AS460" s="20"/>
      <c r="AT460" s="20"/>
      <c r="AU460" s="20"/>
      <c r="AV460" s="20"/>
      <c r="AW460" s="20"/>
      <c r="AX460" s="20"/>
      <c r="AY460" s="41" t="str">
        <f t="shared" si="137"/>
        <v>Incomplete</v>
      </c>
      <c r="BA460" s="20" t="str">
        <f t="shared" si="138"/>
        <v>Incomplete</v>
      </c>
      <c r="BC460" s="20" t="str">
        <f t="shared" si="139"/>
        <v>Incomplete</v>
      </c>
      <c r="BE460" s="20" t="str">
        <f t="shared" si="140"/>
        <v>Incomplete</v>
      </c>
      <c r="BH460" s="17">
        <v>18.2</v>
      </c>
      <c r="BI460" s="20" t="str">
        <f t="shared" si="136"/>
        <v>Incomplete</v>
      </c>
      <c r="BJ460" s="20"/>
      <c r="BK460" s="17">
        <v>13</v>
      </c>
      <c r="BL460" s="20"/>
      <c r="BM460" s="17">
        <v>14</v>
      </c>
      <c r="BN460" s="20"/>
      <c r="BW460" s="91">
        <f t="shared" si="141"/>
        <v>0</v>
      </c>
      <c r="BX460" s="91" t="str">
        <f>_xlfn.XLOOKUP(BW460,'Normative data'!$V$3:$V$6,'Normative data'!$W$3:$W$6,"Not Found",-1)</f>
        <v>Not completed</v>
      </c>
      <c r="BY460" s="91">
        <f t="shared" si="142"/>
        <v>0</v>
      </c>
      <c r="BZ460" s="91" t="str">
        <f>_xlfn.XLOOKUP(BY460,'Normative data'!$V$3:$V$6,'Normative data'!$W$3:$W$6,"Not Found",-1)</f>
        <v>Not completed</v>
      </c>
      <c r="CH460" s="20" t="str">
        <f>_xlfn.XLOOKUP(CG460, 'Normative data'!$S$9:$S$15,'Normative data'!$T$9:$T$15, "Not Found", -1)</f>
        <v>not completed</v>
      </c>
      <c r="CI460" s="17">
        <v>20.75</v>
      </c>
      <c r="CJ460" s="20" t="str">
        <f>_xlfn.XLOOKUP(CI460, 'Normative data'!$S$9:$S$15, 'Normative data'!$T$9:$T$15, "Not Found", -1)</f>
        <v>Average</v>
      </c>
      <c r="CK460" s="21"/>
      <c r="CL460" s="21"/>
      <c r="CM460" s="21"/>
      <c r="CN460" s="21"/>
      <c r="CO460" s="21"/>
      <c r="CQ460" s="17">
        <v>3.5</v>
      </c>
      <c r="CR460" s="20" t="str" cm="1">
        <f t="array" ref="CR460">IF(OR(ISBLANK(E460),ISBLANK(CQ460)),"Incomplete",_xlfn.XLOOKUP(CQ460,_xlfn.XLOOKUP(E460,'Normative data'!$Y$3:$Y$6,'Normative data'!$Z$3:$AG$6,,-1),'Normative data'!$Z$2:$AG$2,"Not Found",-1))</f>
        <v>Incomplete</v>
      </c>
      <c r="CS460" s="20">
        <v>3</v>
      </c>
      <c r="CT460" s="20">
        <v>5</v>
      </c>
      <c r="CU460" s="20" cm="1">
        <f t="array" ref="CU460">_xlfn.XLOOKUP(CS460&amp;CT460,(VLOOKUP!$A$3:$A$250)&amp;(VLOOKUP!$B$3:$B$250),VLOOKUP!$C$3:$C$250,"Incomplete",-1)</f>
        <v>400</v>
      </c>
      <c r="CV460" s="20" t="str" cm="1">
        <f t="array" ref="CV460">_xlfn.XLOOKUP(CU460, _xlfn.XLOOKUP(E460, 'Normative data'!$Y$11:$Y$14, 'Normative data'!$Z$11:$AG$14, ,-1), 'Normative data'!$Z$10:$AG$10, "Not Found", -1)</f>
        <v xml:space="preserve">Very poor </v>
      </c>
      <c r="CW460" s="20" cm="1">
        <f t="array" ref="CW460">IF(OR(ISBLANK(CS460),ISBLANK(CT460)),"Incomplete",_xlfn.XLOOKUP(CS460&amp;CT460,VLOOKUP!$A$4:$A$250&amp;VLOOKUP!$B$4:$B$250,VLOOKUP!$D$4:$D$250,"0"))</f>
        <v>25</v>
      </c>
    </row>
    <row r="461" spans="1:101">
      <c r="A461" s="18" t="s">
        <v>1029</v>
      </c>
      <c r="B461" s="18" t="s">
        <v>1030</v>
      </c>
      <c r="C461" s="17" t="s">
        <v>86</v>
      </c>
      <c r="D461" s="26">
        <v>40630</v>
      </c>
      <c r="F461" s="17">
        <v>8</v>
      </c>
      <c r="G461" s="17">
        <v>2025</v>
      </c>
      <c r="J461" s="17" t="s">
        <v>122</v>
      </c>
      <c r="S461" s="20"/>
      <c r="T461" s="20" t="s">
        <v>659</v>
      </c>
      <c r="U461" s="20">
        <v>63</v>
      </c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41" t="str">
        <f>IF(OR(ISBLANK(#REF!), ISBLANK(AQ461)), "Incomplete", (60.7*AQ461)+(45.3*#REF!)-2055)</f>
        <v>Incomplete</v>
      </c>
      <c r="AZ461" s="20"/>
      <c r="BA461" s="20" t="str">
        <f>IF(OR(ISBLANK(#REF!), ISBLANK(AS461)), "Incomplete", (60.7*AS461)+(45.3*#REF!)-2055)</f>
        <v>Incomplete</v>
      </c>
      <c r="BB461" s="20"/>
      <c r="BC461" s="20" t="str">
        <f>IF(OR(ISBLANK(#REF!), ISBLANK(AU461)), "Incomplete", (60.7*AU461)+(45.3*#REF!)-2055)</f>
        <v>Incomplete</v>
      </c>
      <c r="BD461" s="20"/>
      <c r="BE461" s="20" t="str">
        <f>IF(OR(ISBLANK(#REF!), ISBLANK(AW461)), "Incomplete", (60.7*AW461)+(45.3*#REF!)-2055)</f>
        <v>Incomplete</v>
      </c>
      <c r="BF461" s="20"/>
      <c r="BG461" s="20">
        <v>9</v>
      </c>
      <c r="BH461" s="20">
        <v>50.3</v>
      </c>
      <c r="BI461" s="20">
        <f t="shared" si="136"/>
        <v>41.3</v>
      </c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91" t="str">
        <f>IFERROR(SUM(BQ461+BR461+BS461)/(3*(#REF!-S461))*100, "Incomplete")</f>
        <v>Incomplete</v>
      </c>
      <c r="BX461" s="91" t="str">
        <f>_xlfn.XLOOKUP(BW461,'Normative data'!$V$3:$V$6,'Normative data'!$W$3:$W$6,"Not Found",-1)</f>
        <v>Very low risk</v>
      </c>
      <c r="BY461" s="91" t="str">
        <f>IFERROR(SUM(BT461+BU461+BV461)/(3*(#REF!-S461))*100, "Incomplete")</f>
        <v>Incomplete</v>
      </c>
      <c r="BZ461" s="91" t="str">
        <f>_xlfn.XLOOKUP(BY461,'Normative data'!$V$3:$V$6,'Normative data'!$W$3:$W$6,"Not Found",-1)</f>
        <v>Very low risk</v>
      </c>
      <c r="CA461" s="20"/>
      <c r="CC461" s="20"/>
      <c r="CE461" s="20">
        <v>3</v>
      </c>
      <c r="CG461" s="20">
        <v>17.63</v>
      </c>
      <c r="CH461" s="20" t="e">
        <f>_xlfn.XLOOKUP(#REF!, 'Normative data'!$S$9:$S$15,'Normative data'!$T$9:$T$15, "Not Found", -1)</f>
        <v>#REF!</v>
      </c>
      <c r="CI461" s="20">
        <v>17.440000000000001</v>
      </c>
      <c r="CJ461" s="20" t="e">
        <f>_xlfn.XLOOKUP(#REF!, 'Normative data'!$S$9:$S$15, 'Normative data'!$T$9:$T$15, "Not Found", -1)</f>
        <v>#REF!</v>
      </c>
      <c r="CK461" s="21"/>
      <c r="CL461" s="21"/>
      <c r="CM461" s="21"/>
      <c r="CN461" s="21"/>
      <c r="CO461" s="21"/>
      <c r="CP461" s="21"/>
      <c r="CQ461" s="20"/>
      <c r="CR461" s="20" t="str" cm="1">
        <f t="array" ref="CR461">IF(OR(ISBLANK(E461),ISBLANK(CQ461)),"Incomplete",_xlfn.XLOOKUP(CQ461,_xlfn.XLOOKUP(E461,'Normative data'!$Y$3:$Y$6,'Normative data'!$Z$3:$AG$6,,-1),'Normative data'!$Z$2:$AG$2,"Not Found",-1))</f>
        <v>Incomplete</v>
      </c>
      <c r="CS461" s="20"/>
      <c r="CT461" s="20"/>
      <c r="CU461" s="20" t="str" cm="1">
        <f t="array" ref="CU461">_xlfn.XLOOKUP(CS461&amp;CT461,(VLOOKUP!$A$3:$A$250)&amp;(VLOOKUP!$B$3:$B$250),VLOOKUP!$C$3:$C$250,"Incomplete",-1)</f>
        <v>Incomplete</v>
      </c>
      <c r="CV461" s="20" t="str" cm="1">
        <f t="array" ref="CV461">_xlfn.XLOOKUP(CU461, _xlfn.XLOOKUP(E461, 'Normative data'!$Y$11:$Y$14, 'Normative data'!$Z$11:$AG$14, ,-1), 'Normative data'!$Z$10:$AG$10, "Not Found", -1)</f>
        <v>Excellent</v>
      </c>
      <c r="CW461" s="20" t="str" cm="1">
        <f t="array" ref="CW461">IF(OR(ISBLANK(CS461),ISBLANK(CT461)),"Incomplete",_xlfn.XLOOKUP(CS461&amp;CT461,VLOOKUP!$A$4:$A$250&amp;VLOOKUP!$B$4:$B$250,VLOOKUP!$D$4:$D$250,"0"))</f>
        <v>Incomplete</v>
      </c>
    </row>
    <row r="462" spans="1:101">
      <c r="A462" s="22" t="s">
        <v>1031</v>
      </c>
      <c r="B462" s="22" t="s">
        <v>1030</v>
      </c>
      <c r="C462" s="17" t="s">
        <v>86</v>
      </c>
      <c r="D462" s="23">
        <v>40375</v>
      </c>
      <c r="F462" s="17">
        <v>9</v>
      </c>
      <c r="G462" s="17">
        <v>2025</v>
      </c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41" t="str">
        <f t="shared" ref="AY462:AY479" si="143">IF(OR(ISBLANK(U462), ISBLANK(AQ462)), "Incomplete", (60.7*AQ462)+(45.3*U462)-2055)</f>
        <v>Incomplete</v>
      </c>
      <c r="AZ462" s="20"/>
      <c r="BA462" s="20" t="str">
        <f t="shared" ref="BA462:BA479" si="144">IF(OR(ISBLANK(U462), ISBLANK(AS462)), "Incomplete", (60.7*AS462)+(45.3*U462)-2055)</f>
        <v>Incomplete</v>
      </c>
      <c r="BB462" s="20"/>
      <c r="BC462" s="20" t="str">
        <f t="shared" ref="BC462:BC479" si="145">IF(OR(ISBLANK(U462), ISBLANK(AU462)), "Incomplete", (60.7*AU462)+(45.3*U462)-2055)</f>
        <v>Incomplete</v>
      </c>
      <c r="BD462" s="20"/>
      <c r="BE462" s="20" t="str">
        <f t="shared" ref="BE462:BE479" si="146">IF(OR(ISBLANK(U462), ISBLANK(AW462)), "Incomplete", (60.7*AW462)+(45.3*U462)-2055)</f>
        <v>Incomplete</v>
      </c>
      <c r="BF462" s="20"/>
      <c r="BG462" s="20">
        <v>14</v>
      </c>
      <c r="BH462" s="20">
        <v>42.4</v>
      </c>
      <c r="BI462" s="20" t="e">
        <f>IF(OR(ISBLANK(#REF!), ISBLANK(#REF!)),"Incomplete",(SUM(#REF!-#REF!)))</f>
        <v>#REF!</v>
      </c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91" t="str">
        <f t="shared" ref="BW462:BW479" si="147">IFERROR(SUM(BQ462+BR462+BS462)/(3*(T462-S462))*100, "Incomplete")</f>
        <v>Incomplete</v>
      </c>
      <c r="BX462" s="91" t="str">
        <f>_xlfn.XLOOKUP(BW462,'Normative data'!$V$3:$V$6,'Normative data'!$W$3:$W$6,"Not Found",-1)</f>
        <v>Very low risk</v>
      </c>
      <c r="BY462" s="91" t="str">
        <f t="shared" ref="BY462:BY479" si="148">IFERROR(SUM(BT462+BU462+BV462)/(3*(T462-S462))*100, "Incomplete")</f>
        <v>Incomplete</v>
      </c>
      <c r="BZ462" s="91" t="str">
        <f>_xlfn.XLOOKUP(BY462,'Normative data'!$V$3:$V$6,'Normative data'!$W$3:$W$6,"Not Found",-1)</f>
        <v>Very low risk</v>
      </c>
      <c r="CA462" s="20"/>
      <c r="CC462" s="20"/>
      <c r="CE462" s="20">
        <v>5</v>
      </c>
      <c r="CG462" s="20"/>
      <c r="CH462" s="20" t="str">
        <f>_xlfn.XLOOKUP(CG462, 'Normative data'!$S$9:$S$15,'Normative data'!$T$9:$T$15, "Not Found", -1)</f>
        <v>not completed</v>
      </c>
      <c r="CI462" s="20"/>
      <c r="CJ462" s="20" t="str">
        <f>_xlfn.XLOOKUP(CI462, 'Normative data'!$S$9:$S$15, 'Normative data'!$T$9:$T$15, "Not Found", -1)</f>
        <v>not completed</v>
      </c>
      <c r="CK462" s="24">
        <v>4.4400000000000004</v>
      </c>
      <c r="CL462" s="24">
        <v>7.36</v>
      </c>
      <c r="CM462" s="24"/>
      <c r="CN462" s="24">
        <v>7.36</v>
      </c>
      <c r="CO462" s="24">
        <v>6.79</v>
      </c>
      <c r="CP462" s="24"/>
      <c r="CQ462" s="20"/>
      <c r="CR462" s="20" t="str" cm="1">
        <f t="array" ref="CR462">IF(OR(ISBLANK(E462),ISBLANK(CQ462)),"Incomplete",_xlfn.XLOOKUP(CQ462,_xlfn.XLOOKUP(E462,'Normative data'!$Y$3:$Y$6,'Normative data'!$Z$3:$AG$6,,-1),'Normative data'!$Z$2:$AG$2,"Not Found",-1))</f>
        <v>Incomplete</v>
      </c>
      <c r="CS462" s="20"/>
      <c r="CT462" s="20"/>
      <c r="CU462" s="20" t="str" cm="1">
        <f t="array" ref="CU462">_xlfn.XLOOKUP(CS462&amp;CT462,(VLOOKUP!$A$3:$A$250)&amp;(VLOOKUP!$B$3:$B$250),VLOOKUP!$C$3:$C$250,"Incomplete",-1)</f>
        <v>Incomplete</v>
      </c>
      <c r="CV462" s="20" t="str" cm="1">
        <f t="array" ref="CV462">_xlfn.XLOOKUP(CU462, _xlfn.XLOOKUP(E462, 'Normative data'!$Y$11:$Y$14, 'Normative data'!$Z$11:$AG$14, ,-1), 'Normative data'!$Z$10:$AG$10, "Not Found", -1)</f>
        <v>Excellent</v>
      </c>
      <c r="CW462" s="20" t="str" cm="1">
        <f t="array" ref="CW462">IF(OR(ISBLANK(CS462),ISBLANK(CT462)),"Incomplete",_xlfn.XLOOKUP(CS462&amp;CT462,VLOOKUP!$A$4:$A$250&amp;VLOOKUP!$B$4:$B$250,VLOOKUP!$D$4:$D$250,"0"))</f>
        <v>Incomplete</v>
      </c>
    </row>
    <row r="463" spans="1:101">
      <c r="A463" s="17" t="s">
        <v>1031</v>
      </c>
      <c r="B463" s="17" t="s">
        <v>1030</v>
      </c>
      <c r="C463" s="17" t="s">
        <v>86</v>
      </c>
      <c r="D463" s="23">
        <v>40375</v>
      </c>
      <c r="F463" s="17">
        <v>9</v>
      </c>
      <c r="G463" s="17">
        <v>2025</v>
      </c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41" t="str">
        <f t="shared" si="143"/>
        <v>Incomplete</v>
      </c>
      <c r="AZ463" s="20"/>
      <c r="BA463" s="20" t="str">
        <f t="shared" si="144"/>
        <v>Incomplete</v>
      </c>
      <c r="BB463" s="20"/>
      <c r="BC463" s="20" t="str">
        <f t="shared" si="145"/>
        <v>Incomplete</v>
      </c>
      <c r="BD463" s="20"/>
      <c r="BE463" s="20" t="str">
        <f t="shared" si="146"/>
        <v>Incomplete</v>
      </c>
      <c r="BF463" s="20"/>
      <c r="BG463" s="20"/>
      <c r="BH463" s="20"/>
      <c r="BI463" s="20" t="str">
        <f t="shared" ref="BI463:BI474" si="149">IF(OR(ISBLANK(BG463), ISBLANK(BH463)),"Incomplete",(SUM(BH463-BG463)))</f>
        <v>Incomplete</v>
      </c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91" t="str">
        <f t="shared" si="147"/>
        <v>Incomplete</v>
      </c>
      <c r="BX463" s="91" t="str">
        <f>_xlfn.XLOOKUP(BW463,'Normative data'!$V$3:$V$6,'Normative data'!$W$3:$W$6,"Not Found",-1)</f>
        <v>Very low risk</v>
      </c>
      <c r="BY463" s="91" t="str">
        <f t="shared" si="148"/>
        <v>Incomplete</v>
      </c>
      <c r="BZ463" s="91" t="str">
        <f>_xlfn.XLOOKUP(BY463,'Normative data'!$V$3:$V$6,'Normative data'!$W$3:$W$6,"Not Found",-1)</f>
        <v>Very low risk</v>
      </c>
      <c r="CA463" s="20"/>
      <c r="CC463" s="20"/>
      <c r="CE463" s="20"/>
      <c r="CG463" s="20"/>
      <c r="CH463" s="20" t="str">
        <f>_xlfn.XLOOKUP(CG463, 'Normative data'!$S$9:$S$15,'Normative data'!$T$9:$T$15, "Not Found", -1)</f>
        <v>not completed</v>
      </c>
      <c r="CI463" s="20"/>
      <c r="CJ463" s="20" t="str">
        <f>_xlfn.XLOOKUP(CI463, 'Normative data'!$S$9:$S$15, 'Normative data'!$T$9:$T$15, "Not Found", -1)</f>
        <v>not completed</v>
      </c>
      <c r="CK463" s="20" t="s">
        <v>335</v>
      </c>
      <c r="CL463" s="20" t="s">
        <v>336</v>
      </c>
      <c r="CN463" s="20" t="s">
        <v>906</v>
      </c>
      <c r="CO463" s="20" t="s">
        <v>907</v>
      </c>
      <c r="CQ463" s="20"/>
      <c r="CR463" s="20" t="str" cm="1">
        <f t="array" ref="CR463">IF(OR(ISBLANK(E463),ISBLANK(CQ463)),"Incomplete",_xlfn.XLOOKUP(CQ463,_xlfn.XLOOKUP(E463,'Normative data'!$Y$3:$Y$6,'Normative data'!$Z$3:$AG$6,,-1),'Normative data'!$Z$2:$AG$2,"Not Found",-1))</f>
        <v>Incomplete</v>
      </c>
      <c r="CS463" s="20"/>
      <c r="CT463" s="20"/>
      <c r="CU463" s="20" t="str" cm="1">
        <f t="array" ref="CU463">_xlfn.XLOOKUP(CS463&amp;CT463,(VLOOKUP!$A$3:$A$250)&amp;(VLOOKUP!$B$3:$B$250),VLOOKUP!$C$3:$C$250,"Incomplete",-1)</f>
        <v>Incomplete</v>
      </c>
      <c r="CV463" s="20" t="str" cm="1">
        <f t="array" ref="CV463">_xlfn.XLOOKUP(CU463, _xlfn.XLOOKUP(E463, 'Normative data'!$Y$11:$Y$14, 'Normative data'!$Z$11:$AG$14, ,-1), 'Normative data'!$Z$10:$AG$10, "Not Found", -1)</f>
        <v>Excellent</v>
      </c>
      <c r="CW463" s="20" t="str" cm="1">
        <f t="array" ref="CW463">IF(OR(ISBLANK(CS463),ISBLANK(CT463)),"Incomplete",_xlfn.XLOOKUP(CS463&amp;CT463,VLOOKUP!$A$4:$A$250&amp;VLOOKUP!$B$4:$B$250,VLOOKUP!$D$4:$D$250,"0"))</f>
        <v>Incomplete</v>
      </c>
    </row>
    <row r="464" spans="1:101">
      <c r="A464" s="17" t="s">
        <v>1032</v>
      </c>
      <c r="B464" s="17" t="s">
        <v>1030</v>
      </c>
      <c r="C464" s="17" t="s">
        <v>86</v>
      </c>
      <c r="D464" s="26"/>
      <c r="F464" s="17">
        <v>10</v>
      </c>
      <c r="G464" s="17">
        <v>2025</v>
      </c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41" t="str">
        <f t="shared" si="143"/>
        <v>Incomplete</v>
      </c>
      <c r="AZ464" s="20"/>
      <c r="BA464" s="20" t="str">
        <f t="shared" si="144"/>
        <v>Incomplete</v>
      </c>
      <c r="BB464" s="20"/>
      <c r="BC464" s="20" t="str">
        <f t="shared" si="145"/>
        <v>Incomplete</v>
      </c>
      <c r="BD464" s="20"/>
      <c r="BE464" s="20" t="str">
        <f t="shared" si="146"/>
        <v>Incomplete</v>
      </c>
      <c r="BF464" s="20"/>
      <c r="BG464" s="20"/>
      <c r="BH464" s="20"/>
      <c r="BI464" s="20" t="str">
        <f t="shared" si="149"/>
        <v>Incomplete</v>
      </c>
      <c r="BJ464" s="20"/>
      <c r="BK464" s="20">
        <v>7</v>
      </c>
      <c r="BL464" s="20"/>
      <c r="BM464" s="20">
        <v>5</v>
      </c>
      <c r="BN464" s="20"/>
      <c r="BO464" s="20"/>
      <c r="BP464" s="20"/>
      <c r="BQ464" s="20"/>
      <c r="BR464" s="20"/>
      <c r="BS464" s="20"/>
      <c r="BT464" s="20"/>
      <c r="BU464" s="20"/>
      <c r="BV464" s="20"/>
      <c r="BW464" s="91" t="str">
        <f t="shared" si="147"/>
        <v>Incomplete</v>
      </c>
      <c r="BX464" s="91" t="str">
        <f>_xlfn.XLOOKUP(BW464,'Normative data'!$V$3:$V$6,'Normative data'!$W$3:$W$6,"Not Found",-1)</f>
        <v>Very low risk</v>
      </c>
      <c r="BY464" s="91" t="str">
        <f t="shared" si="148"/>
        <v>Incomplete</v>
      </c>
      <c r="BZ464" s="91" t="str">
        <f>_xlfn.XLOOKUP(BY464,'Normative data'!$V$3:$V$6,'Normative data'!$W$3:$W$6,"Not Found",-1)</f>
        <v>Very low risk</v>
      </c>
      <c r="CA464" s="20"/>
      <c r="CC464" s="20"/>
      <c r="CE464" s="20">
        <v>5</v>
      </c>
      <c r="CG464" s="20"/>
      <c r="CH464" s="20" t="str">
        <f>_xlfn.XLOOKUP(CG464, 'Normative data'!$S$9:$S$15,'Normative data'!$T$9:$T$15, "Not Found", -1)</f>
        <v>not completed</v>
      </c>
      <c r="CI464" s="20"/>
      <c r="CJ464" s="20" t="str">
        <f>_xlfn.XLOOKUP(CI464, 'Normative data'!$S$9:$S$15, 'Normative data'!$T$9:$T$15, "Not Found", -1)</f>
        <v>not completed</v>
      </c>
      <c r="CK464" s="20" t="s">
        <v>428</v>
      </c>
      <c r="CL464" s="20" t="s">
        <v>905</v>
      </c>
      <c r="CN464" s="20" t="s">
        <v>306</v>
      </c>
      <c r="CO464" s="20" t="s">
        <v>305</v>
      </c>
      <c r="CQ464" s="20"/>
      <c r="CR464" s="20" t="str" cm="1">
        <f t="array" ref="CR464">IF(OR(ISBLANK(E464),ISBLANK(CQ464)),"Incomplete",_xlfn.XLOOKUP(CQ464,_xlfn.XLOOKUP(E464,'Normative data'!$Y$3:$Y$6,'Normative data'!$Z$3:$AG$6,,-1),'Normative data'!$Z$2:$AG$2,"Not Found",-1))</f>
        <v>Incomplete</v>
      </c>
      <c r="CS464" s="20"/>
      <c r="CT464" s="20"/>
      <c r="CU464" s="20" t="str" cm="1">
        <f t="array" ref="CU464">_xlfn.XLOOKUP(CS464&amp;CT464,(VLOOKUP!$A$3:$A$250)&amp;(VLOOKUP!$B$3:$B$250),VLOOKUP!$C$3:$C$250,"Incomplete",-1)</f>
        <v>Incomplete</v>
      </c>
      <c r="CV464" s="20" t="str" cm="1">
        <f t="array" ref="CV464">_xlfn.XLOOKUP(CU464, _xlfn.XLOOKUP(E464, 'Normative data'!$Y$11:$Y$14, 'Normative data'!$Z$11:$AG$14, ,-1), 'Normative data'!$Z$10:$AG$10, "Not Found", -1)</f>
        <v>Excellent</v>
      </c>
      <c r="CW464" s="20" t="str" cm="1">
        <f t="array" ref="CW464">IF(OR(ISBLANK(CS464),ISBLANK(CT464)),"Incomplete",_xlfn.XLOOKUP(CS464&amp;CT464,VLOOKUP!$A$4:$A$250&amp;VLOOKUP!$B$4:$B$250,VLOOKUP!$D$4:$D$250,"0"))</f>
        <v>Incomplete</v>
      </c>
    </row>
    <row r="465" spans="1:101">
      <c r="A465" s="17" t="s">
        <v>880</v>
      </c>
      <c r="B465" s="17" t="s">
        <v>913</v>
      </c>
      <c r="C465" s="17" t="s">
        <v>86</v>
      </c>
      <c r="D465" s="26"/>
      <c r="F465" s="20" t="s">
        <v>99</v>
      </c>
      <c r="G465" s="17">
        <v>2026</v>
      </c>
      <c r="I465" s="20">
        <v>2</v>
      </c>
      <c r="J465" s="20"/>
      <c r="K465" s="20"/>
      <c r="L465" s="20"/>
      <c r="S465" s="20">
        <v>88.7</v>
      </c>
      <c r="T465" s="20">
        <v>170.3</v>
      </c>
      <c r="AQ465" s="20"/>
      <c r="AR465" s="20"/>
      <c r="AS465" s="20"/>
      <c r="AT465" s="20"/>
      <c r="AU465" s="20"/>
      <c r="AV465" s="20"/>
      <c r="AW465" s="20"/>
      <c r="AX465" s="20"/>
      <c r="AY465" s="41" t="str">
        <f t="shared" si="143"/>
        <v>Incomplete</v>
      </c>
      <c r="BA465" s="20" t="str">
        <f t="shared" si="144"/>
        <v>Incomplete</v>
      </c>
      <c r="BC465" s="20" t="str">
        <f t="shared" si="145"/>
        <v>Incomplete</v>
      </c>
      <c r="BE465" s="20" t="str">
        <f t="shared" si="146"/>
        <v>Incomplete</v>
      </c>
      <c r="BG465" s="17">
        <v>9.3000000000000007</v>
      </c>
      <c r="BH465" s="17">
        <v>45.1</v>
      </c>
      <c r="BI465" s="20">
        <f t="shared" si="149"/>
        <v>35.799999999999997</v>
      </c>
      <c r="BJ465" s="20"/>
      <c r="BL465" s="20"/>
      <c r="BM465" s="20"/>
      <c r="BN465" s="20"/>
      <c r="BQ465" s="17">
        <v>74</v>
      </c>
      <c r="BR465" s="17">
        <v>78</v>
      </c>
      <c r="BS465" s="17">
        <v>84</v>
      </c>
      <c r="BT465" s="17">
        <v>76</v>
      </c>
      <c r="BU465" s="17">
        <v>88</v>
      </c>
      <c r="BV465" s="17">
        <v>77</v>
      </c>
      <c r="BW465" s="91">
        <f t="shared" si="147"/>
        <v>96.405228758169926</v>
      </c>
      <c r="BX465" s="91" t="str">
        <f>_xlfn.XLOOKUP(BW465,'Normative data'!$V$3:$V$6,'Normative data'!$W$3:$W$6,"Not Found",-1)</f>
        <v>Low risk</v>
      </c>
      <c r="BY465" s="91">
        <f t="shared" si="148"/>
        <v>98.447712418300654</v>
      </c>
      <c r="BZ465" s="91" t="str">
        <f>_xlfn.XLOOKUP(BY465,'Normative data'!$V$3:$V$6,'Normative data'!$W$3:$W$6,"Not Found",-1)</f>
        <v>Low risk</v>
      </c>
      <c r="CA465" s="17">
        <v>26</v>
      </c>
      <c r="CC465" s="20"/>
      <c r="CE465" s="17">
        <v>20</v>
      </c>
      <c r="CG465" s="17">
        <v>17.48</v>
      </c>
      <c r="CH465" s="20" t="str">
        <f>_xlfn.XLOOKUP(CG465, 'Normative data'!$S$9:$S$15,'Normative data'!$T$9:$T$15, "Not Found", -1)</f>
        <v>Above Average</v>
      </c>
      <c r="CI465" s="17">
        <v>17.670000000000002</v>
      </c>
      <c r="CJ465" s="20" t="str">
        <f>_xlfn.XLOOKUP(CI465, 'Normative data'!$S$9:$S$15, 'Normative data'!$T$9:$T$15, "Not Found", -1)</f>
        <v>Above Average</v>
      </c>
      <c r="CK465" s="17">
        <v>2.13</v>
      </c>
      <c r="CL465" s="17">
        <v>4.6900000000000004</v>
      </c>
      <c r="CN465" s="17">
        <v>6.64</v>
      </c>
      <c r="CO465" s="17">
        <v>7.53</v>
      </c>
      <c r="CR465" s="20" t="str" cm="1">
        <f t="array" ref="CR465">IF(OR(ISBLANK(E465),ISBLANK(CQ465)),"Incomplete",_xlfn.XLOOKUP(CQ465,_xlfn.XLOOKUP(E465,'Normative data'!$Y$3:$Y$6,'Normative data'!$Z$3:$AG$6,,-1),'Normative data'!$Z$2:$AG$2,"Not Found",-1))</f>
        <v>Incomplete</v>
      </c>
      <c r="CS465" s="20"/>
      <c r="CT465" s="20"/>
      <c r="CU465" s="20" t="str" cm="1">
        <f t="array" ref="CU465">_xlfn.XLOOKUP(CS465&amp;CT465,(VLOOKUP!$A$3:$A$250)&amp;(VLOOKUP!$B$3:$B$250),VLOOKUP!$C$3:$C$250,"Incomplete",-1)</f>
        <v>Incomplete</v>
      </c>
      <c r="CV465" s="20" t="str" cm="1">
        <f t="array" ref="CV465">_xlfn.XLOOKUP(CU465, _xlfn.XLOOKUP(E465, 'Normative data'!$Y$11:$Y$14, 'Normative data'!$Z$11:$AG$14, ,-1), 'Normative data'!$Z$10:$AG$10, "Not Found", -1)</f>
        <v>Excellent</v>
      </c>
      <c r="CW465" s="20" t="str" cm="1">
        <f t="array" ref="CW465">IF(OR(ISBLANK(CS465),ISBLANK(CT465)),"Incomplete",_xlfn.XLOOKUP(CS465&amp;CT465,VLOOKUP!$A$4:$A$250&amp;VLOOKUP!$B$4:$B$250,VLOOKUP!$D$4:$D$250,"0"))</f>
        <v>Incomplete</v>
      </c>
    </row>
    <row r="466" spans="1:101">
      <c r="A466" s="17" t="s">
        <v>1033</v>
      </c>
      <c r="B466" s="17" t="s">
        <v>913</v>
      </c>
      <c r="C466" s="17" t="s">
        <v>86</v>
      </c>
      <c r="D466" s="26"/>
      <c r="F466" s="20" t="s">
        <v>151</v>
      </c>
      <c r="G466" s="17">
        <v>2026</v>
      </c>
      <c r="I466" s="20">
        <v>2</v>
      </c>
      <c r="J466" s="20"/>
      <c r="K466" s="20"/>
      <c r="L466" s="20"/>
      <c r="S466" s="20"/>
      <c r="T466" s="20"/>
      <c r="AQ466" s="20"/>
      <c r="AR466" s="20"/>
      <c r="AS466" s="20"/>
      <c r="AT466" s="20"/>
      <c r="AU466" s="20"/>
      <c r="AV466" s="20"/>
      <c r="AW466" s="20"/>
      <c r="AX466" s="20"/>
      <c r="AY466" s="41" t="str">
        <f t="shared" si="143"/>
        <v>Incomplete</v>
      </c>
      <c r="BA466" s="20" t="str">
        <f t="shared" si="144"/>
        <v>Incomplete</v>
      </c>
      <c r="BC466" s="20" t="str">
        <f t="shared" si="145"/>
        <v>Incomplete</v>
      </c>
      <c r="BE466" s="20" t="str">
        <f t="shared" si="146"/>
        <v>Incomplete</v>
      </c>
      <c r="BH466" s="20"/>
      <c r="BI466" s="20" t="str">
        <f t="shared" si="149"/>
        <v>Incomplete</v>
      </c>
      <c r="BJ466" s="20"/>
      <c r="BL466" s="20"/>
      <c r="BM466" s="20"/>
      <c r="BN466" s="20"/>
      <c r="BQ466" s="17">
        <v>73</v>
      </c>
      <c r="BR466" s="17">
        <v>69</v>
      </c>
      <c r="BS466" s="17">
        <v>70</v>
      </c>
      <c r="BT466" s="17">
        <v>62</v>
      </c>
      <c r="BU466" s="17">
        <v>68</v>
      </c>
      <c r="BV466" s="17">
        <v>68</v>
      </c>
      <c r="BW466" s="91" t="str">
        <f t="shared" si="147"/>
        <v>Incomplete</v>
      </c>
      <c r="BX466" s="91" t="str">
        <f>_xlfn.XLOOKUP(BW466,'Normative data'!$V$3:$V$6,'Normative data'!$W$3:$W$6,"Not Found",-1)</f>
        <v>Very low risk</v>
      </c>
      <c r="BY466" s="91" t="str">
        <f t="shared" si="148"/>
        <v>Incomplete</v>
      </c>
      <c r="BZ466" s="91" t="str">
        <f>_xlfn.XLOOKUP(BY466,'Normative data'!$V$3:$V$6,'Normative data'!$W$3:$W$6,"Not Found",-1)</f>
        <v>Very low risk</v>
      </c>
      <c r="CA466" s="17">
        <v>24</v>
      </c>
      <c r="CC466" s="20"/>
      <c r="CE466" s="17">
        <v>9</v>
      </c>
      <c r="CG466" s="17">
        <v>23.14</v>
      </c>
      <c r="CH466" s="20" t="str">
        <f>_xlfn.XLOOKUP(CG466, 'Normative data'!$S$9:$S$15,'Normative data'!$T$9:$T$15, "Not Found", -1)</f>
        <v>Poor</v>
      </c>
      <c r="CI466" s="17">
        <v>22.02</v>
      </c>
      <c r="CJ466" s="20" t="str">
        <f>_xlfn.XLOOKUP(CI466, 'Normative data'!$S$9:$S$15, 'Normative data'!$T$9:$T$15, "Not Found", -1)</f>
        <v>Below Average</v>
      </c>
      <c r="CK466" s="17">
        <v>2.56</v>
      </c>
      <c r="CL466" s="17">
        <v>4</v>
      </c>
      <c r="CN466" s="17">
        <v>8.3800000000000008</v>
      </c>
      <c r="CO466" s="17">
        <v>5.97</v>
      </c>
      <c r="CR466" s="20" t="str" cm="1">
        <f t="array" ref="CR466">IF(OR(ISBLANK(E466),ISBLANK(CQ466)),"Incomplete",_xlfn.XLOOKUP(CQ466,_xlfn.XLOOKUP(E466,'Normative data'!$Y$3:$Y$6,'Normative data'!$Z$3:$AG$6,,-1),'Normative data'!$Z$2:$AG$2,"Not Found",-1))</f>
        <v>Incomplete</v>
      </c>
      <c r="CS466" s="20"/>
      <c r="CT466" s="20"/>
      <c r="CU466" s="20" t="str" cm="1">
        <f t="array" ref="CU466">_xlfn.XLOOKUP(CS466&amp;CT466,(VLOOKUP!$A$3:$A$250)&amp;(VLOOKUP!$B$3:$B$250),VLOOKUP!$C$3:$C$250,"Incomplete",-1)</f>
        <v>Incomplete</v>
      </c>
      <c r="CV466" s="20" t="str" cm="1">
        <f t="array" ref="CV466">_xlfn.XLOOKUP(CU466, _xlfn.XLOOKUP(E466, 'Normative data'!$Y$11:$Y$14, 'Normative data'!$Z$11:$AG$14, ,-1), 'Normative data'!$Z$10:$AG$10, "Not Found", -1)</f>
        <v>Excellent</v>
      </c>
      <c r="CW466" s="20" t="str" cm="1">
        <f t="array" ref="CW466">IF(OR(ISBLANK(CS466),ISBLANK(CT466)),"Incomplete",_xlfn.XLOOKUP(CS466&amp;CT466,VLOOKUP!$A$4:$A$250&amp;VLOOKUP!$B$4:$B$250,VLOOKUP!$D$4:$D$250,"0"))</f>
        <v>Incomplete</v>
      </c>
    </row>
    <row r="467" spans="1:101">
      <c r="A467" s="17" t="s">
        <v>1034</v>
      </c>
      <c r="B467" s="17" t="s">
        <v>913</v>
      </c>
      <c r="C467" s="17" t="s">
        <v>86</v>
      </c>
      <c r="D467" s="26"/>
      <c r="F467" s="20" t="s">
        <v>186</v>
      </c>
      <c r="G467" s="17">
        <v>2026</v>
      </c>
      <c r="I467" s="20">
        <v>2</v>
      </c>
      <c r="J467" s="20"/>
      <c r="K467" s="20"/>
      <c r="L467" s="20"/>
      <c r="S467" s="20">
        <v>83</v>
      </c>
      <c r="T467" s="20">
        <v>163.19999999999999</v>
      </c>
      <c r="AY467" s="41" t="str">
        <f t="shared" si="143"/>
        <v>Incomplete</v>
      </c>
      <c r="BA467" s="20" t="str">
        <f t="shared" si="144"/>
        <v>Incomplete</v>
      </c>
      <c r="BC467" s="20" t="str">
        <f t="shared" si="145"/>
        <v>Incomplete</v>
      </c>
      <c r="BE467" s="20" t="str">
        <f t="shared" si="146"/>
        <v>Incomplete</v>
      </c>
      <c r="BG467" s="17">
        <v>12</v>
      </c>
      <c r="BH467" s="17">
        <v>31</v>
      </c>
      <c r="BI467" s="20">
        <f t="shared" si="149"/>
        <v>19</v>
      </c>
      <c r="BJ467" s="20"/>
      <c r="BL467" s="20"/>
      <c r="BN467" s="20"/>
      <c r="BW467" s="91">
        <f t="shared" si="147"/>
        <v>0</v>
      </c>
      <c r="BX467" s="91" t="str">
        <f>_xlfn.XLOOKUP(BW467,'Normative data'!$V$3:$V$6,'Normative data'!$W$3:$W$6,"Not Found",-1)</f>
        <v>Not completed</v>
      </c>
      <c r="BY467" s="91">
        <f t="shared" si="148"/>
        <v>0</v>
      </c>
      <c r="BZ467" s="91" t="str">
        <f>_xlfn.XLOOKUP(BY467,'Normative data'!$V$3:$V$6,'Normative data'!$W$3:$W$6,"Not Found",-1)</f>
        <v>Not completed</v>
      </c>
      <c r="CA467" s="20"/>
      <c r="CC467" s="20"/>
      <c r="CE467" s="17">
        <v>4</v>
      </c>
      <c r="CG467" s="17">
        <v>19.309999999999999</v>
      </c>
      <c r="CH467" s="20" t="str">
        <f>_xlfn.XLOOKUP(CG467, 'Normative data'!$S$9:$S$15,'Normative data'!$T$9:$T$15, "Not Found", -1)</f>
        <v>Average</v>
      </c>
      <c r="CI467" s="17">
        <v>19.34</v>
      </c>
      <c r="CJ467" s="20" t="str">
        <f>_xlfn.XLOOKUP(CI467, 'Normative data'!$S$9:$S$15, 'Normative data'!$T$9:$T$15, "Not Found", -1)</f>
        <v>Average</v>
      </c>
      <c r="CK467" s="17">
        <v>2.3199999999999998</v>
      </c>
      <c r="CL467" s="17">
        <v>6.31</v>
      </c>
      <c r="CN467" s="17">
        <v>7.44</v>
      </c>
      <c r="CO467" s="17">
        <v>6.72</v>
      </c>
      <c r="CQ467" s="17">
        <v>3.4</v>
      </c>
      <c r="CR467" s="20" t="str" cm="1">
        <f t="array" ref="CR467">IF(OR(ISBLANK(E467),ISBLANK(CQ467)),"Incomplete",_xlfn.XLOOKUP(CQ467,_xlfn.XLOOKUP(E467,'Normative data'!$Y$3:$Y$6,'Normative data'!$Z$3:$AG$6,,-1),'Normative data'!$Z$2:$AG$2,"Not Found",-1))</f>
        <v>Incomplete</v>
      </c>
      <c r="CS467" s="20">
        <v>3</v>
      </c>
      <c r="CT467" s="20">
        <v>4</v>
      </c>
      <c r="CU467" s="20" cm="1">
        <f t="array" ref="CU467">_xlfn.XLOOKUP(CS467&amp;CT467,(VLOOKUP!$A$3:$A$250)&amp;(VLOOKUP!$B$3:$B$250),VLOOKUP!$C$3:$C$250,"Incomplete",-1)</f>
        <v>380</v>
      </c>
      <c r="CV467" s="20" t="str" cm="1">
        <f t="array" ref="CV467">_xlfn.XLOOKUP(CU467, _xlfn.XLOOKUP(E467, 'Normative data'!$Y$11:$Y$14, 'Normative data'!$Z$11:$AG$14, ,-1), 'Normative data'!$Z$10:$AG$10, "Not Found", -1)</f>
        <v xml:space="preserve">Very poor </v>
      </c>
      <c r="CW467" s="20" cm="1">
        <f t="array" ref="CW467">IF(OR(ISBLANK(CS467),ISBLANK(CT467)),"Incomplete",_xlfn.XLOOKUP(CS467&amp;CT467,VLOOKUP!$A$4:$A$250&amp;VLOOKUP!$B$4:$B$250,VLOOKUP!$D$4:$D$250,"0"))</f>
        <v>24</v>
      </c>
    </row>
    <row r="468" spans="1:101">
      <c r="A468" s="17" t="s">
        <v>1035</v>
      </c>
      <c r="B468" s="17" t="s">
        <v>913</v>
      </c>
      <c r="C468" s="17" t="s">
        <v>86</v>
      </c>
      <c r="D468" s="26">
        <v>40960</v>
      </c>
      <c r="E468" s="17">
        <v>14.3</v>
      </c>
      <c r="F468" s="20" t="s">
        <v>107</v>
      </c>
      <c r="G468" s="17">
        <v>2026</v>
      </c>
      <c r="I468" s="20">
        <v>2</v>
      </c>
      <c r="J468" s="20" t="s">
        <v>88</v>
      </c>
      <c r="K468" s="20" t="s">
        <v>236</v>
      </c>
      <c r="L468" s="20"/>
      <c r="S468" s="20">
        <v>80</v>
      </c>
      <c r="T468" s="20">
        <v>159.4</v>
      </c>
      <c r="U468" s="17">
        <v>49.5</v>
      </c>
      <c r="V468" s="17">
        <v>27.6</v>
      </c>
      <c r="W468" s="17">
        <v>11.8</v>
      </c>
      <c r="X468" s="17">
        <v>37.700000000000003</v>
      </c>
      <c r="Y468" s="17">
        <v>20.399999999999999</v>
      </c>
      <c r="Z468" s="17">
        <v>19.5</v>
      </c>
      <c r="AA468" s="17">
        <v>23.8</v>
      </c>
      <c r="AB468" s="17">
        <v>5.61</v>
      </c>
      <c r="AC468" s="17">
        <v>98</v>
      </c>
      <c r="AD468" s="17">
        <v>5.7</v>
      </c>
      <c r="AE468" s="17">
        <v>99.6</v>
      </c>
      <c r="AF468" s="17">
        <v>2</v>
      </c>
      <c r="AG468" s="17">
        <v>91.9</v>
      </c>
      <c r="AH468" s="17">
        <v>2</v>
      </c>
      <c r="AI468" s="17">
        <v>92.4</v>
      </c>
      <c r="AJ468" s="17">
        <v>342.9</v>
      </c>
      <c r="AK468" s="17">
        <v>331.2</v>
      </c>
      <c r="AL468" s="17">
        <v>304.3</v>
      </c>
      <c r="AM468" s="17">
        <v>293.8</v>
      </c>
      <c r="AN468" s="17">
        <v>100</v>
      </c>
      <c r="AO468" s="17">
        <v>0.82</v>
      </c>
      <c r="AP468" s="17">
        <v>5.8</v>
      </c>
      <c r="AQ468" s="17">
        <v>20.2</v>
      </c>
      <c r="AR468" s="17">
        <v>0.40600000000000003</v>
      </c>
      <c r="AS468" s="17">
        <v>22.5</v>
      </c>
      <c r="AT468" s="17">
        <v>0.42799999999999999</v>
      </c>
      <c r="AU468" s="17">
        <v>10</v>
      </c>
      <c r="AV468" s="17">
        <v>0.28499999999999998</v>
      </c>
      <c r="AW468" s="17">
        <v>9.4</v>
      </c>
      <c r="AX468" s="17">
        <v>0.27700000000000002</v>
      </c>
      <c r="AY468" s="41">
        <f t="shared" si="143"/>
        <v>1413.4899999999998</v>
      </c>
      <c r="BA468" s="20">
        <f t="shared" si="144"/>
        <v>1553.1</v>
      </c>
      <c r="BC468" s="20">
        <f t="shared" si="145"/>
        <v>794.34999999999991</v>
      </c>
      <c r="BE468" s="20">
        <f t="shared" si="146"/>
        <v>757.92999999999984</v>
      </c>
      <c r="BG468" s="17">
        <v>15.5</v>
      </c>
      <c r="BH468" s="17">
        <v>40.5</v>
      </c>
      <c r="BI468" s="20">
        <f t="shared" si="149"/>
        <v>25</v>
      </c>
      <c r="BJ468" s="20"/>
      <c r="BK468" s="17">
        <v>6.5</v>
      </c>
      <c r="BL468" s="20"/>
      <c r="BM468" s="17">
        <v>6.3</v>
      </c>
      <c r="BN468" s="20"/>
      <c r="BO468" s="17">
        <v>43.5</v>
      </c>
      <c r="BP468" s="17">
        <v>43.5</v>
      </c>
      <c r="BQ468" s="17">
        <v>82</v>
      </c>
      <c r="BR468" s="17">
        <v>82</v>
      </c>
      <c r="BS468" s="17">
        <v>78</v>
      </c>
      <c r="BT468" s="17">
        <v>80</v>
      </c>
      <c r="BU468" s="17">
        <v>74</v>
      </c>
      <c r="BV468" s="17">
        <v>73</v>
      </c>
      <c r="BW468" s="91">
        <f t="shared" si="147"/>
        <v>101.5952980688497</v>
      </c>
      <c r="BX468" s="91" t="str">
        <f>_xlfn.XLOOKUP(BW468,'Normative data'!$V$3:$V$6,'Normative data'!$W$3:$W$6,"Not Found",-1)</f>
        <v>Low risk</v>
      </c>
      <c r="BY468" s="91">
        <f t="shared" si="148"/>
        <v>95.298068849706112</v>
      </c>
      <c r="BZ468" s="91" t="str">
        <f>_xlfn.XLOOKUP(BY468,'Normative data'!$V$3:$V$6,'Normative data'!$W$3:$W$6,"Not Found",-1)</f>
        <v>High risk</v>
      </c>
      <c r="CA468" s="17">
        <v>40</v>
      </c>
      <c r="CC468" s="20"/>
      <c r="CE468" s="17">
        <v>19</v>
      </c>
      <c r="CG468" s="17">
        <v>19.670000000000002</v>
      </c>
      <c r="CH468" s="20" t="str">
        <f>_xlfn.XLOOKUP(CG468, 'Normative data'!$S$9:$S$15,'Normative data'!$T$9:$T$15, "Not Found", -1)</f>
        <v>Average</v>
      </c>
      <c r="CI468" s="17">
        <v>19.899999999999999</v>
      </c>
      <c r="CJ468" s="20" t="str">
        <f>_xlfn.XLOOKUP(CI468, 'Normative data'!$S$9:$S$15, 'Normative data'!$T$9:$T$15, "Not Found", -1)</f>
        <v>Average</v>
      </c>
      <c r="CK468" s="17">
        <v>2.33</v>
      </c>
      <c r="CL468" s="17">
        <v>4.29</v>
      </c>
      <c r="CN468" s="17">
        <v>7.14</v>
      </c>
      <c r="CO468" s="17">
        <v>7</v>
      </c>
      <c r="CQ468" s="17">
        <v>5.7</v>
      </c>
      <c r="CR468" s="20" t="str" cm="1">
        <f t="array" ref="CR468">IF(OR(ISBLANK(E468),ISBLANK(CQ468)),"Incomplete",_xlfn.XLOOKUP(CQ468,_xlfn.XLOOKUP(E468,'Normative data'!$Y$3:$Y$6,'Normative data'!$Z$3:$AG$6,,-1),'Normative data'!$Z$2:$AG$2,"Not Found",-1))</f>
        <v>Fair</v>
      </c>
      <c r="CS468" s="20">
        <v>5</v>
      </c>
      <c r="CT468" s="20">
        <v>7</v>
      </c>
      <c r="CU468" s="20" cm="1">
        <f t="array" ref="CU468">_xlfn.XLOOKUP(CS468&amp;CT468,(VLOOKUP!$A$3:$A$250)&amp;(VLOOKUP!$B$3:$B$250),VLOOKUP!$C$3:$C$250,"Incomplete",-1)</f>
        <v>780</v>
      </c>
      <c r="CV468" s="20" t="str" cm="1">
        <f t="array" ref="CV468">_xlfn.XLOOKUP(CU468, _xlfn.XLOOKUP(E468, 'Normative data'!$Y$11:$Y$14, 'Normative data'!$Z$11:$AG$14, ,-1), 'Normative data'!$Z$10:$AG$10, "Not Found", -1)</f>
        <v xml:space="preserve">Fair </v>
      </c>
      <c r="CW468" s="20" cm="1">
        <f t="array" ref="CW468">IF(OR(ISBLANK(CS468),ISBLANK(CT468)),"Incomplete",_xlfn.XLOOKUP(CS468&amp;CT468,VLOOKUP!$A$4:$A$250&amp;VLOOKUP!$B$4:$B$250,VLOOKUP!$D$4:$D$250,"0"))</f>
        <v>32</v>
      </c>
    </row>
    <row r="469" spans="1:101">
      <c r="A469" s="17" t="s">
        <v>548</v>
      </c>
      <c r="B469" s="17" t="s">
        <v>547</v>
      </c>
      <c r="C469" s="17" t="s">
        <v>86</v>
      </c>
      <c r="D469" s="26">
        <v>40193</v>
      </c>
      <c r="E469" s="17">
        <v>16.3</v>
      </c>
      <c r="F469" s="20" t="s">
        <v>178</v>
      </c>
      <c r="G469" s="17">
        <v>2026</v>
      </c>
      <c r="I469" s="20">
        <v>2</v>
      </c>
      <c r="J469" s="20"/>
      <c r="K469" s="20"/>
      <c r="L469" s="20"/>
      <c r="S469" s="20">
        <v>91.4</v>
      </c>
      <c r="T469" s="20">
        <v>178.1</v>
      </c>
      <c r="U469" s="17">
        <v>61.5</v>
      </c>
      <c r="V469" s="17">
        <v>34.5</v>
      </c>
      <c r="W469" s="17">
        <v>14.4</v>
      </c>
      <c r="X469" s="17">
        <v>47.1</v>
      </c>
      <c r="Y469" s="17">
        <v>25.6</v>
      </c>
      <c r="Z469" s="17">
        <v>19.399999999999999</v>
      </c>
      <c r="AA469" s="17">
        <v>23.4</v>
      </c>
      <c r="AB469" s="17">
        <v>7.86</v>
      </c>
      <c r="AC469" s="17">
        <v>110.6</v>
      </c>
      <c r="AD469" s="17">
        <v>7.93</v>
      </c>
      <c r="AE469" s="17">
        <v>111.6</v>
      </c>
      <c r="AF469" s="17">
        <v>2.4</v>
      </c>
      <c r="AG469" s="17">
        <v>80.7</v>
      </c>
      <c r="AH469" s="17">
        <v>2.4</v>
      </c>
      <c r="AI469" s="17">
        <v>80.7</v>
      </c>
      <c r="AJ469" s="17">
        <v>311.7</v>
      </c>
      <c r="AK469" s="17">
        <v>304.2</v>
      </c>
      <c r="AL469" s="17">
        <v>285.2</v>
      </c>
      <c r="AM469" s="17">
        <v>279.89999999999998</v>
      </c>
      <c r="AN469" s="17">
        <v>110</v>
      </c>
      <c r="AO469" s="17">
        <v>0.85</v>
      </c>
      <c r="AP469" s="17">
        <v>6.4</v>
      </c>
      <c r="AQ469" s="20"/>
      <c r="AR469" s="20"/>
      <c r="AS469" s="20"/>
      <c r="AT469" s="20"/>
      <c r="AU469" s="20"/>
      <c r="AV469" s="20"/>
      <c r="AW469" s="20"/>
      <c r="AX469" s="20"/>
      <c r="AY469" s="41" t="str">
        <f t="shared" si="143"/>
        <v>Incomplete</v>
      </c>
      <c r="BA469" s="20" t="str">
        <f t="shared" si="144"/>
        <v>Incomplete</v>
      </c>
      <c r="BC469" s="20" t="str">
        <f t="shared" si="145"/>
        <v>Incomplete</v>
      </c>
      <c r="BE469" s="20" t="str">
        <f t="shared" si="146"/>
        <v>Incomplete</v>
      </c>
      <c r="BH469" s="20"/>
      <c r="BI469" s="20" t="str">
        <f t="shared" si="149"/>
        <v>Incomplete</v>
      </c>
      <c r="BJ469" s="20"/>
      <c r="BL469" s="20"/>
      <c r="BM469" s="20"/>
      <c r="BN469" s="20"/>
      <c r="BW469" s="91">
        <f t="shared" si="147"/>
        <v>0</v>
      </c>
      <c r="BX469" s="91" t="str">
        <f>_xlfn.XLOOKUP(BW469,'Normative data'!$V$3:$V$6,'Normative data'!$W$3:$W$6,"Not Found",-1)</f>
        <v>Not completed</v>
      </c>
      <c r="BY469" s="91">
        <f t="shared" si="148"/>
        <v>0</v>
      </c>
      <c r="BZ469" s="91" t="str">
        <f>_xlfn.XLOOKUP(BY469,'Normative data'!$V$3:$V$6,'Normative data'!$W$3:$W$6,"Not Found",-1)</f>
        <v>Not completed</v>
      </c>
      <c r="CA469" s="17">
        <v>19</v>
      </c>
      <c r="CC469" s="20"/>
      <c r="CE469" s="17">
        <v>4</v>
      </c>
      <c r="CG469" s="20"/>
      <c r="CH469" s="20" t="str">
        <f>_xlfn.XLOOKUP(CG469, 'Normative data'!$S$9:$S$15,'Normative data'!$T$9:$T$15, "Not Found", -1)</f>
        <v>not completed</v>
      </c>
      <c r="CI469" s="20"/>
      <c r="CJ469" s="20" t="str">
        <f>_xlfn.XLOOKUP(CI469, 'Normative data'!$S$9:$S$15, 'Normative data'!$T$9:$T$15, "Not Found", -1)</f>
        <v>not completed</v>
      </c>
      <c r="CK469" s="17">
        <v>2.36</v>
      </c>
      <c r="CL469" s="17">
        <v>4.24</v>
      </c>
      <c r="CN469" s="17">
        <v>7.06</v>
      </c>
      <c r="CO469" s="17">
        <v>7.08</v>
      </c>
      <c r="CR469" s="20" t="str" cm="1">
        <f t="array" ref="CR469">IF(OR(ISBLANK(E469),ISBLANK(CQ469)),"Incomplete",_xlfn.XLOOKUP(CQ469,_xlfn.XLOOKUP(E469,'Normative data'!$Y$3:$Y$6,'Normative data'!$Z$3:$AG$6,,-1),'Normative data'!$Z$2:$AG$2,"Not Found",-1))</f>
        <v>Incomplete</v>
      </c>
      <c r="CS469" s="20">
        <v>4</v>
      </c>
      <c r="CT469" s="20">
        <v>1</v>
      </c>
      <c r="CU469" s="20" cm="1">
        <f t="array" ref="CU469">_xlfn.XLOOKUP(CS469&amp;CT469,(VLOOKUP!$A$3:$A$250)&amp;(VLOOKUP!$B$3:$B$250),VLOOKUP!$C$3:$C$250,"Incomplete",-1)</f>
        <v>480</v>
      </c>
      <c r="CV469" s="20" t="str" cm="1">
        <f t="array" ref="CV469">_xlfn.XLOOKUP(CU469, _xlfn.XLOOKUP(E469, 'Normative data'!$Y$11:$Y$14, 'Normative data'!$Z$11:$AG$14, ,-1), 'Normative data'!$Z$10:$AG$10, "Not Found", -1)</f>
        <v xml:space="preserve">Very poor </v>
      </c>
      <c r="CW469" s="20" cm="1">
        <f t="array" ref="CW469">IF(OR(ISBLANK(CS469),ISBLANK(CT469)),"Incomplete",_xlfn.XLOOKUP(CS469&amp;CT469,VLOOKUP!$A$4:$A$250&amp;VLOOKUP!$B$4:$B$250,VLOOKUP!$D$4:$D$250,"0"))</f>
        <v>26</v>
      </c>
    </row>
    <row r="470" spans="1:101">
      <c r="A470" s="17" t="s">
        <v>1036</v>
      </c>
      <c r="B470" s="17" t="s">
        <v>547</v>
      </c>
      <c r="C470" s="17" t="s">
        <v>86</v>
      </c>
      <c r="D470" s="26"/>
      <c r="F470" s="20" t="s">
        <v>181</v>
      </c>
      <c r="G470" s="17">
        <v>2026</v>
      </c>
      <c r="I470" s="20">
        <v>2</v>
      </c>
      <c r="J470" s="20" t="s">
        <v>100</v>
      </c>
      <c r="K470" s="20" t="s">
        <v>95</v>
      </c>
      <c r="L470" s="20"/>
      <c r="S470" s="20"/>
      <c r="T470" s="20"/>
      <c r="AQ470" s="20"/>
      <c r="AR470" s="20"/>
      <c r="AS470" s="20"/>
      <c r="AT470" s="20"/>
      <c r="AU470" s="20"/>
      <c r="AV470" s="20"/>
      <c r="AW470" s="20"/>
      <c r="AX470" s="20"/>
      <c r="AY470" s="41" t="str">
        <f t="shared" si="143"/>
        <v>Incomplete</v>
      </c>
      <c r="BA470" s="20" t="str">
        <f t="shared" si="144"/>
        <v>Incomplete</v>
      </c>
      <c r="BC470" s="20" t="str">
        <f t="shared" si="145"/>
        <v>Incomplete</v>
      </c>
      <c r="BE470" s="20" t="str">
        <f t="shared" si="146"/>
        <v>Incomplete</v>
      </c>
      <c r="BH470" s="20"/>
      <c r="BI470" s="20" t="str">
        <f t="shared" si="149"/>
        <v>Incomplete</v>
      </c>
      <c r="BJ470" s="20"/>
      <c r="BL470" s="20"/>
      <c r="BM470" s="20"/>
      <c r="BN470" s="20"/>
      <c r="BW470" s="91" t="str">
        <f t="shared" si="147"/>
        <v>Incomplete</v>
      </c>
      <c r="BX470" s="91" t="str">
        <f>_xlfn.XLOOKUP(BW470,'Normative data'!$V$3:$V$6,'Normative data'!$W$3:$W$6,"Not Found",-1)</f>
        <v>Very low risk</v>
      </c>
      <c r="BY470" s="91" t="str">
        <f t="shared" si="148"/>
        <v>Incomplete</v>
      </c>
      <c r="BZ470" s="91" t="str">
        <f>_xlfn.XLOOKUP(BY470,'Normative data'!$V$3:$V$6,'Normative data'!$W$3:$W$6,"Not Found",-1)</f>
        <v>Very low risk</v>
      </c>
      <c r="CA470" s="17">
        <v>42</v>
      </c>
      <c r="CC470" s="20"/>
      <c r="CE470" s="17">
        <v>15</v>
      </c>
      <c r="CG470" s="20"/>
      <c r="CH470" s="20" t="str">
        <f>_xlfn.XLOOKUP(CG470, 'Normative data'!$S$9:$S$15,'Normative data'!$T$9:$T$15, "Not Found", -1)</f>
        <v>not completed</v>
      </c>
      <c r="CI470" s="20"/>
      <c r="CJ470" s="20" t="str">
        <f>_xlfn.XLOOKUP(CI470, 'Normative data'!$S$9:$S$15, 'Normative data'!$T$9:$T$15, "Not Found", -1)</f>
        <v>not completed</v>
      </c>
      <c r="CK470" s="17">
        <v>2.2000000000000002</v>
      </c>
      <c r="CL470" s="17">
        <v>4.55</v>
      </c>
      <c r="CN470" s="17">
        <v>6.68</v>
      </c>
      <c r="CO470" s="17">
        <v>7.49</v>
      </c>
      <c r="CR470" s="20" t="str" cm="1">
        <f t="array" ref="CR470">IF(OR(ISBLANK(E470),ISBLANK(CQ470)),"Incomplete",_xlfn.XLOOKUP(CQ470,_xlfn.XLOOKUP(E470,'Normative data'!$Y$3:$Y$6,'Normative data'!$Z$3:$AG$6,,-1),'Normative data'!$Z$2:$AG$2,"Not Found",-1))</f>
        <v>Incomplete</v>
      </c>
      <c r="CS470" s="20"/>
      <c r="CT470" s="20"/>
      <c r="CU470" s="20" t="str" cm="1">
        <f t="array" ref="CU470">_xlfn.XLOOKUP(CS470&amp;CT470,(VLOOKUP!$A$3:$A$250)&amp;(VLOOKUP!$B$3:$B$250),VLOOKUP!$C$3:$C$250,"Incomplete",-1)</f>
        <v>Incomplete</v>
      </c>
      <c r="CV470" s="20" t="str" cm="1">
        <f t="array" ref="CV470">_xlfn.XLOOKUP(CU470, _xlfn.XLOOKUP(E470, 'Normative data'!$Y$11:$Y$14, 'Normative data'!$Z$11:$AG$14, ,-1), 'Normative data'!$Z$10:$AG$10, "Not Found", -1)</f>
        <v>Excellent</v>
      </c>
      <c r="CW470" s="20" t="str" cm="1">
        <f t="array" ref="CW470">IF(OR(ISBLANK(CS470),ISBLANK(CT470)),"Incomplete",_xlfn.XLOOKUP(CS470&amp;CT470,VLOOKUP!$A$4:$A$250&amp;VLOOKUP!$B$4:$B$250,VLOOKUP!$D$4:$D$250,"0"))</f>
        <v>Incomplete</v>
      </c>
    </row>
    <row r="471" spans="1:101">
      <c r="A471" s="17" t="s">
        <v>1037</v>
      </c>
      <c r="B471" s="17" t="s">
        <v>1038</v>
      </c>
      <c r="C471" s="17" t="s">
        <v>86</v>
      </c>
      <c r="D471" s="26"/>
      <c r="F471" s="20" t="s">
        <v>162</v>
      </c>
      <c r="G471" s="17">
        <v>2026</v>
      </c>
      <c r="I471" s="20">
        <v>2</v>
      </c>
      <c r="J471" s="20" t="s">
        <v>100</v>
      </c>
      <c r="K471" s="20" t="s">
        <v>173</v>
      </c>
      <c r="L471" s="20"/>
      <c r="S471" s="20">
        <v>83.4</v>
      </c>
      <c r="T471" s="20">
        <v>169.7</v>
      </c>
      <c r="AQ471" s="20"/>
      <c r="AR471" s="20"/>
      <c r="AS471" s="20"/>
      <c r="AT471" s="20"/>
      <c r="AU471" s="20"/>
      <c r="AV471" s="20"/>
      <c r="AW471" s="20"/>
      <c r="AX471" s="20"/>
      <c r="AY471" s="41" t="str">
        <f t="shared" si="143"/>
        <v>Incomplete</v>
      </c>
      <c r="BA471" s="20" t="str">
        <f t="shared" si="144"/>
        <v>Incomplete</v>
      </c>
      <c r="BC471" s="20" t="str">
        <f t="shared" si="145"/>
        <v>Incomplete</v>
      </c>
      <c r="BE471" s="20" t="str">
        <f t="shared" si="146"/>
        <v>Incomplete</v>
      </c>
      <c r="BG471" s="17">
        <v>17</v>
      </c>
      <c r="BH471" s="17">
        <v>57</v>
      </c>
      <c r="BI471" s="20">
        <f t="shared" si="149"/>
        <v>40</v>
      </c>
      <c r="BJ471" s="20"/>
      <c r="BL471" s="20"/>
      <c r="BM471" s="20"/>
      <c r="BN471" s="20"/>
      <c r="BW471" s="91">
        <f t="shared" si="147"/>
        <v>0</v>
      </c>
      <c r="BX471" s="91" t="str">
        <f>_xlfn.XLOOKUP(BW471,'Normative data'!$V$3:$V$6,'Normative data'!$W$3:$W$6,"Not Found",-1)</f>
        <v>Not completed</v>
      </c>
      <c r="BY471" s="91">
        <f t="shared" si="148"/>
        <v>0</v>
      </c>
      <c r="BZ471" s="91" t="str">
        <f>_xlfn.XLOOKUP(BY471,'Normative data'!$V$3:$V$6,'Normative data'!$W$3:$W$6,"Not Found",-1)</f>
        <v>Not completed</v>
      </c>
      <c r="CA471" s="20"/>
      <c r="CC471" s="20"/>
      <c r="CE471" s="17">
        <v>16</v>
      </c>
      <c r="CG471" s="20"/>
      <c r="CH471" s="20" t="str">
        <f>_xlfn.XLOOKUP(CG471, 'Normative data'!$S$9:$S$15,'Normative data'!$T$9:$T$15, "Not Found", -1)</f>
        <v>not completed</v>
      </c>
      <c r="CI471" s="20"/>
      <c r="CJ471" s="20" t="str">
        <f>_xlfn.XLOOKUP(CI471, 'Normative data'!$S$9:$S$15, 'Normative data'!$T$9:$T$15, "Not Found", -1)</f>
        <v>not completed</v>
      </c>
      <c r="CK471" s="17">
        <v>2.21</v>
      </c>
      <c r="CL471" s="17">
        <v>4.5199999999999996</v>
      </c>
      <c r="CN471" s="17">
        <v>7.08</v>
      </c>
      <c r="CO471" s="17">
        <v>7.06</v>
      </c>
      <c r="CR471" s="20" t="str" cm="1">
        <f t="array" ref="CR471">IF(OR(ISBLANK(E471),ISBLANK(CQ471)),"Incomplete",_xlfn.XLOOKUP(CQ471,_xlfn.XLOOKUP(E471,'Normative data'!$Y$3:$Y$6,'Normative data'!$Z$3:$AG$6,,-1),'Normative data'!$Z$2:$AG$2,"Not Found",-1))</f>
        <v>Incomplete</v>
      </c>
      <c r="CS471" s="20"/>
      <c r="CT471" s="20"/>
      <c r="CU471" s="20" t="str" cm="1">
        <f t="array" ref="CU471">_xlfn.XLOOKUP(CS471&amp;CT471,(VLOOKUP!$A$3:$A$250)&amp;(VLOOKUP!$B$3:$B$250),VLOOKUP!$C$3:$C$250,"Incomplete",-1)</f>
        <v>Incomplete</v>
      </c>
      <c r="CV471" s="20" t="str" cm="1">
        <f t="array" ref="CV471">_xlfn.XLOOKUP(CU471, _xlfn.XLOOKUP(E471, 'Normative data'!$Y$11:$Y$14, 'Normative data'!$Z$11:$AG$14, ,-1), 'Normative data'!$Z$10:$AG$10, "Not Found", -1)</f>
        <v>Excellent</v>
      </c>
      <c r="CW471" s="20" t="str" cm="1">
        <f t="array" ref="CW471">IF(OR(ISBLANK(CS471),ISBLANK(CT471)),"Incomplete",_xlfn.XLOOKUP(CS471&amp;CT471,VLOOKUP!$A$4:$A$250&amp;VLOOKUP!$B$4:$B$250,VLOOKUP!$D$4:$D$250,"0"))</f>
        <v>Incomplete</v>
      </c>
    </row>
    <row r="472" spans="1:101" ht="13.9" customHeight="1">
      <c r="A472" s="17" t="s">
        <v>1039</v>
      </c>
      <c r="B472" s="17" t="s">
        <v>1038</v>
      </c>
      <c r="C472" s="17" t="s">
        <v>86</v>
      </c>
      <c r="D472" s="26">
        <v>40319</v>
      </c>
      <c r="F472" s="20" t="s">
        <v>186</v>
      </c>
      <c r="G472" s="17">
        <v>2026</v>
      </c>
      <c r="I472" s="20">
        <v>2</v>
      </c>
      <c r="J472" s="20" t="s">
        <v>88</v>
      </c>
      <c r="K472" s="20" t="s">
        <v>297</v>
      </c>
      <c r="L472" s="20"/>
      <c r="S472" s="20">
        <v>85.9</v>
      </c>
      <c r="T472" s="20">
        <v>163.5</v>
      </c>
      <c r="AY472" s="41" t="str">
        <f t="shared" si="143"/>
        <v>Incomplete</v>
      </c>
      <c r="BA472" s="20" t="str">
        <f t="shared" si="144"/>
        <v>Incomplete</v>
      </c>
      <c r="BC472" s="20" t="str">
        <f t="shared" si="145"/>
        <v>Incomplete</v>
      </c>
      <c r="BE472" s="20" t="str">
        <f t="shared" si="146"/>
        <v>Incomplete</v>
      </c>
      <c r="BH472" s="20"/>
      <c r="BI472" s="20" t="str">
        <f t="shared" si="149"/>
        <v>Incomplete</v>
      </c>
      <c r="BJ472" s="20"/>
      <c r="BK472" s="17">
        <v>6.8</v>
      </c>
      <c r="BL472" s="20"/>
      <c r="BM472" s="17">
        <v>6.3</v>
      </c>
      <c r="BN472" s="20"/>
      <c r="BQ472" s="17">
        <v>83</v>
      </c>
      <c r="BR472" s="17">
        <v>82</v>
      </c>
      <c r="BS472" s="17">
        <v>79</v>
      </c>
      <c r="BT472" s="17">
        <v>81</v>
      </c>
      <c r="BU472" s="17">
        <v>88</v>
      </c>
      <c r="BV472" s="17">
        <v>80</v>
      </c>
      <c r="BW472" s="91">
        <f t="shared" si="147"/>
        <v>104.81099656357389</v>
      </c>
      <c r="BX472" s="91" t="str">
        <f>_xlfn.XLOOKUP(BW472,'Normative data'!$V$3:$V$6,'Normative data'!$W$3:$W$6,"Not Found",-1)</f>
        <v>Low risk</v>
      </c>
      <c r="BY472" s="91">
        <f t="shared" si="148"/>
        <v>106.95876288659794</v>
      </c>
      <c r="BZ472" s="91" t="str">
        <f>_xlfn.XLOOKUP(BY472,'Normative data'!$V$3:$V$6,'Normative data'!$W$3:$W$6,"Not Found",-1)</f>
        <v>Low risk</v>
      </c>
      <c r="CA472" s="17">
        <v>26</v>
      </c>
      <c r="CC472" s="20"/>
      <c r="CE472" s="17">
        <v>17</v>
      </c>
      <c r="CG472" s="17">
        <v>18.809999999999999</v>
      </c>
      <c r="CH472" s="20" t="str">
        <f>_xlfn.XLOOKUP(CG472, 'Normative data'!$S$9:$S$15,'Normative data'!$T$9:$T$15, "Not Found", -1)</f>
        <v>Average</v>
      </c>
      <c r="CI472" s="17">
        <v>18.02</v>
      </c>
      <c r="CJ472" s="20" t="str">
        <f>_xlfn.XLOOKUP(CI472, 'Normative data'!$S$9:$S$15, 'Normative data'!$T$9:$T$15, "Not Found", -1)</f>
        <v>Average</v>
      </c>
      <c r="CK472" s="17">
        <v>2.12</v>
      </c>
      <c r="CL472" s="17">
        <v>4.72</v>
      </c>
      <c r="CN472" s="17">
        <v>6.86</v>
      </c>
      <c r="CO472" s="17">
        <v>7.29</v>
      </c>
      <c r="CR472" s="20" t="str" cm="1">
        <f t="array" ref="CR472">IF(OR(ISBLANK(E472),ISBLANK(CQ472)),"Incomplete",_xlfn.XLOOKUP(CQ472,_xlfn.XLOOKUP(E472,'Normative data'!$Y$3:$Y$6,'Normative data'!$Z$3:$AG$6,,-1),'Normative data'!$Z$2:$AG$2,"Not Found",-1))</f>
        <v>Incomplete</v>
      </c>
      <c r="CS472" s="20"/>
      <c r="CT472" s="20"/>
      <c r="CU472" s="20" t="str" cm="1">
        <f t="array" ref="CU472">_xlfn.XLOOKUP(CS472&amp;CT472,(VLOOKUP!$A$3:$A$250)&amp;(VLOOKUP!$B$3:$B$250),VLOOKUP!$C$3:$C$250,"Incomplete",-1)</f>
        <v>Incomplete</v>
      </c>
      <c r="CV472" s="20" t="str" cm="1">
        <f t="array" ref="CV472">_xlfn.XLOOKUP(CU472, _xlfn.XLOOKUP(E472, 'Normative data'!$Y$11:$Y$14, 'Normative data'!$Z$11:$AG$14, ,-1), 'Normative data'!$Z$10:$AG$10, "Not Found", -1)</f>
        <v>Excellent</v>
      </c>
      <c r="CW472" s="20" t="str" cm="1">
        <f t="array" ref="CW472">IF(OR(ISBLANK(CS472),ISBLANK(CT472)),"Incomplete",_xlfn.XLOOKUP(CS472&amp;CT472,VLOOKUP!$A$4:$A$250&amp;VLOOKUP!$B$4:$B$250,VLOOKUP!$D$4:$D$250,"0"))</f>
        <v>Incomplete</v>
      </c>
    </row>
    <row r="473" spans="1:101">
      <c r="A473" s="17" t="s">
        <v>1040</v>
      </c>
      <c r="B473" s="17" t="s">
        <v>1041</v>
      </c>
      <c r="C473" s="17" t="s">
        <v>86</v>
      </c>
      <c r="D473" s="26"/>
      <c r="F473" s="20" t="s">
        <v>235</v>
      </c>
      <c r="G473" s="17">
        <v>2026</v>
      </c>
      <c r="I473" s="20">
        <v>2</v>
      </c>
      <c r="J473" s="20"/>
      <c r="K473" s="20"/>
      <c r="L473" s="20"/>
      <c r="S473" s="20">
        <v>73.7</v>
      </c>
      <c r="T473" s="20">
        <v>146.19999999999999</v>
      </c>
      <c r="AQ473" s="20"/>
      <c r="AR473" s="20"/>
      <c r="AS473" s="20"/>
      <c r="AT473" s="20"/>
      <c r="AU473" s="20"/>
      <c r="AV473" s="20"/>
      <c r="AW473" s="20"/>
      <c r="AX473" s="20"/>
      <c r="AY473" s="41" t="str">
        <f t="shared" si="143"/>
        <v>Incomplete</v>
      </c>
      <c r="BA473" s="20" t="str">
        <f t="shared" si="144"/>
        <v>Incomplete</v>
      </c>
      <c r="BC473" s="20" t="str">
        <f t="shared" si="145"/>
        <v>Incomplete</v>
      </c>
      <c r="BE473" s="20" t="str">
        <f t="shared" si="146"/>
        <v>Incomplete</v>
      </c>
      <c r="BG473" s="17">
        <v>0</v>
      </c>
      <c r="BH473" s="17">
        <v>25.3</v>
      </c>
      <c r="BI473" s="20">
        <f t="shared" si="149"/>
        <v>25.3</v>
      </c>
      <c r="BJ473" s="20"/>
      <c r="BK473" s="17">
        <v>5.5</v>
      </c>
      <c r="BL473" s="20"/>
      <c r="BM473" s="17">
        <v>5.5</v>
      </c>
      <c r="BN473" s="20"/>
      <c r="BO473" s="20"/>
      <c r="BP473" s="20"/>
      <c r="BQ473" s="20"/>
      <c r="BR473" s="20"/>
      <c r="BS473" s="20"/>
      <c r="BT473" s="20"/>
      <c r="BU473" s="20"/>
      <c r="BV473" s="20"/>
      <c r="BW473" s="91">
        <f t="shared" si="147"/>
        <v>0</v>
      </c>
      <c r="BX473" s="91" t="str">
        <f>_xlfn.XLOOKUP(BW473,'Normative data'!$V$3:$V$6,'Normative data'!$W$3:$W$6,"Not Found",-1)</f>
        <v>Not completed</v>
      </c>
      <c r="BY473" s="91">
        <f t="shared" si="148"/>
        <v>0</v>
      </c>
      <c r="BZ473" s="91" t="str">
        <f>_xlfn.XLOOKUP(BY473,'Normative data'!$V$3:$V$6,'Normative data'!$W$3:$W$6,"Not Found",-1)</f>
        <v>Not completed</v>
      </c>
      <c r="CA473" s="20"/>
      <c r="CC473" s="20"/>
      <c r="CE473" s="17">
        <v>13</v>
      </c>
      <c r="CH473" s="20" t="str">
        <f>_xlfn.XLOOKUP(CG473, 'Normative data'!$S$9:$S$15,'Normative data'!$T$9:$T$15, "Not Found", -1)</f>
        <v>not completed</v>
      </c>
      <c r="CI473" s="17">
        <v>21.07</v>
      </c>
      <c r="CJ473" s="20" t="str">
        <f>_xlfn.XLOOKUP(CI473, 'Normative data'!$S$9:$S$15, 'Normative data'!$T$9:$T$15, "Not Found", -1)</f>
        <v>Average</v>
      </c>
      <c r="CK473" s="17">
        <v>2.35</v>
      </c>
      <c r="CL473" s="17">
        <v>4.26</v>
      </c>
      <c r="CN473" s="17">
        <v>7.47</v>
      </c>
      <c r="CO473" s="17">
        <v>6.69</v>
      </c>
      <c r="CR473" s="20" t="str" cm="1">
        <f t="array" ref="CR473">IF(OR(ISBLANK(E473),ISBLANK(CQ473)),"Incomplete",_xlfn.XLOOKUP(CQ473,_xlfn.XLOOKUP(E473,'Normative data'!$Y$3:$Y$6,'Normative data'!$Z$3:$AG$6,,-1),'Normative data'!$Z$2:$AG$2,"Not Found",-1))</f>
        <v>Incomplete</v>
      </c>
      <c r="CS473" s="20"/>
      <c r="CT473" s="20"/>
      <c r="CU473" s="20" t="str" cm="1">
        <f t="array" ref="CU473">_xlfn.XLOOKUP(CS473&amp;CT473,(VLOOKUP!$A$3:$A$250)&amp;(VLOOKUP!$B$3:$B$250),VLOOKUP!$C$3:$C$250,"Incomplete",-1)</f>
        <v>Incomplete</v>
      </c>
      <c r="CV473" s="20" t="str" cm="1">
        <f t="array" ref="CV473">_xlfn.XLOOKUP(CU473, _xlfn.XLOOKUP(E473, 'Normative data'!$Y$11:$Y$14, 'Normative data'!$Z$11:$AG$14, ,-1), 'Normative data'!$Z$10:$AG$10, "Not Found", -1)</f>
        <v>Excellent</v>
      </c>
      <c r="CW473" s="20" t="str" cm="1">
        <f t="array" ref="CW473">IF(OR(ISBLANK(CS473),ISBLANK(CT473)),"Incomplete",_xlfn.XLOOKUP(CS473&amp;CT473,VLOOKUP!$A$4:$A$250&amp;VLOOKUP!$B$4:$B$250,VLOOKUP!$D$4:$D$250,"0"))</f>
        <v>Incomplete</v>
      </c>
    </row>
    <row r="474" spans="1:101">
      <c r="A474" s="22" t="s">
        <v>1042</v>
      </c>
      <c r="B474" s="22" t="s">
        <v>1043</v>
      </c>
      <c r="C474" s="17" t="s">
        <v>86</v>
      </c>
      <c r="D474" s="23"/>
      <c r="F474" s="17">
        <v>10</v>
      </c>
      <c r="G474" s="17">
        <v>2025</v>
      </c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41" t="str">
        <f t="shared" si="143"/>
        <v>Incomplete</v>
      </c>
      <c r="AZ474" s="20"/>
      <c r="BA474" s="20" t="str">
        <f t="shared" si="144"/>
        <v>Incomplete</v>
      </c>
      <c r="BB474" s="20"/>
      <c r="BC474" s="20" t="str">
        <f t="shared" si="145"/>
        <v>Incomplete</v>
      </c>
      <c r="BD474" s="20"/>
      <c r="BE474" s="20" t="str">
        <f t="shared" si="146"/>
        <v>Incomplete</v>
      </c>
      <c r="BF474" s="20"/>
      <c r="BG474" s="20"/>
      <c r="BH474" s="20"/>
      <c r="BI474" s="20" t="str">
        <f t="shared" si="149"/>
        <v>Incomplete</v>
      </c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91" t="str">
        <f t="shared" si="147"/>
        <v>Incomplete</v>
      </c>
      <c r="BX474" s="91" t="str">
        <f>_xlfn.XLOOKUP(BW474,'Normative data'!$V$3:$V$6,'Normative data'!$W$3:$W$6,"Not Found",-1)</f>
        <v>Very low risk</v>
      </c>
      <c r="BY474" s="91" t="str">
        <f t="shared" si="148"/>
        <v>Incomplete</v>
      </c>
      <c r="BZ474" s="91" t="str">
        <f>_xlfn.XLOOKUP(BY474,'Normative data'!$V$3:$V$6,'Normative data'!$W$3:$W$6,"Not Found",-1)</f>
        <v>Very low risk</v>
      </c>
      <c r="CA474" s="20"/>
      <c r="CC474" s="20"/>
      <c r="CE474" s="20"/>
      <c r="CG474" s="20"/>
      <c r="CH474" s="20" t="str">
        <f>_xlfn.XLOOKUP(CG474, 'Normative data'!$S$9:$S$15,'Normative data'!$T$9:$T$15, "Not Found", -1)</f>
        <v>not completed</v>
      </c>
      <c r="CI474" s="20"/>
      <c r="CJ474" s="20" t="str">
        <f>_xlfn.XLOOKUP(CI474, 'Normative data'!$S$9:$S$15, 'Normative data'!$T$9:$T$15, "Not Found", -1)</f>
        <v>not completed</v>
      </c>
      <c r="CK474" s="24">
        <v>2.2799999999999998</v>
      </c>
      <c r="CL474" s="24">
        <v>4.3899999999999997</v>
      </c>
      <c r="CM474" s="24"/>
      <c r="CN474" s="24">
        <v>7.39</v>
      </c>
      <c r="CO474" s="24">
        <v>6.77</v>
      </c>
      <c r="CP474" s="24"/>
      <c r="CQ474" s="20"/>
      <c r="CR474" s="20" t="str" cm="1">
        <f t="array" ref="CR474">IF(OR(ISBLANK(E474),ISBLANK(CQ474)),"Incomplete",_xlfn.XLOOKUP(CQ474,_xlfn.XLOOKUP(E474,'Normative data'!$Y$3:$Y$6,'Normative data'!$Z$3:$AG$6,,-1),'Normative data'!$Z$2:$AG$2,"Not Found",-1))</f>
        <v>Incomplete</v>
      </c>
      <c r="CS474" s="20"/>
      <c r="CT474" s="20"/>
      <c r="CU474" s="20" t="str" cm="1">
        <f t="array" ref="CU474">_xlfn.XLOOKUP(CS474&amp;CT474,(VLOOKUP!$A$3:$A$250)&amp;(VLOOKUP!$B$3:$B$250),VLOOKUP!$C$3:$C$250,"Incomplete",-1)</f>
        <v>Incomplete</v>
      </c>
      <c r="CV474" s="20" t="str" cm="1">
        <f t="array" ref="CV474">_xlfn.XLOOKUP(CU474, _xlfn.XLOOKUP(E474, 'Normative data'!$Y$11:$Y$14, 'Normative data'!$Z$11:$AG$14, ,-1), 'Normative data'!$Z$10:$AG$10, "Not Found", -1)</f>
        <v>Excellent</v>
      </c>
      <c r="CW474" s="20" t="str" cm="1">
        <f t="array" ref="CW474">IF(OR(ISBLANK(CS474),ISBLANK(CT474)),"Incomplete",_xlfn.XLOOKUP(CS474&amp;CT474,VLOOKUP!$A$4:$A$250&amp;VLOOKUP!$B$4:$B$250,VLOOKUP!$D$4:$D$250,"0"))</f>
        <v>Incomplete</v>
      </c>
    </row>
    <row r="475" spans="1:101">
      <c r="A475" s="22" t="s">
        <v>578</v>
      </c>
      <c r="B475" s="22" t="s">
        <v>98</v>
      </c>
      <c r="C475" s="17" t="s">
        <v>86</v>
      </c>
      <c r="D475" s="23">
        <v>39622</v>
      </c>
      <c r="F475" s="17">
        <v>11</v>
      </c>
      <c r="G475" s="17">
        <v>2025</v>
      </c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41" t="str">
        <f t="shared" si="143"/>
        <v>Incomplete</v>
      </c>
      <c r="AZ475" s="20"/>
      <c r="BA475" s="20" t="str">
        <f t="shared" si="144"/>
        <v>Incomplete</v>
      </c>
      <c r="BB475" s="20"/>
      <c r="BC475" s="20" t="str">
        <f t="shared" si="145"/>
        <v>Incomplete</v>
      </c>
      <c r="BD475" s="20"/>
      <c r="BE475" s="20" t="str">
        <f t="shared" si="146"/>
        <v>Incomplete</v>
      </c>
      <c r="BF475" s="20"/>
      <c r="BG475" s="20">
        <v>13</v>
      </c>
      <c r="BH475" s="20">
        <v>32</v>
      </c>
      <c r="BI475" s="20" t="e">
        <f>IF(OR(ISBLANK(#REF!), ISBLANK(#REF!)),"Incomplete",(SUM(#REF!-#REF!)))</f>
        <v>#REF!</v>
      </c>
      <c r="BJ475" s="20"/>
      <c r="BK475" s="20">
        <v>8</v>
      </c>
      <c r="BL475" s="20"/>
      <c r="BM475" s="20">
        <v>7</v>
      </c>
      <c r="BN475" s="20"/>
      <c r="BO475" s="20"/>
      <c r="BP475" s="20"/>
      <c r="BQ475" s="20"/>
      <c r="BR475" s="20"/>
      <c r="BS475" s="20"/>
      <c r="BT475" s="20"/>
      <c r="BU475" s="20"/>
      <c r="BV475" s="20"/>
      <c r="BW475" s="91" t="str">
        <f t="shared" si="147"/>
        <v>Incomplete</v>
      </c>
      <c r="BX475" s="91" t="str">
        <f>_xlfn.XLOOKUP(BW475,'Normative data'!$V$3:$V$6,'Normative data'!$W$3:$W$6,"Not Found",-1)</f>
        <v>Very low risk</v>
      </c>
      <c r="BY475" s="91" t="str">
        <f t="shared" si="148"/>
        <v>Incomplete</v>
      </c>
      <c r="BZ475" s="91" t="str">
        <f>_xlfn.XLOOKUP(BY475,'Normative data'!$V$3:$V$6,'Normative data'!$W$3:$W$6,"Not Found",-1)</f>
        <v>Very low risk</v>
      </c>
      <c r="CA475" s="20"/>
      <c r="CC475" s="20"/>
      <c r="CE475" s="20"/>
      <c r="CG475" s="20">
        <v>19.72</v>
      </c>
      <c r="CH475" s="20" t="e">
        <f>_xlfn.XLOOKUP(#REF!, 'Normative data'!$S$9:$S$15,'Normative data'!$T$9:$T$15, "Not Found", -1)</f>
        <v>#REF!</v>
      </c>
      <c r="CI475" s="20">
        <v>18.22</v>
      </c>
      <c r="CJ475" s="20" t="e">
        <f>_xlfn.XLOOKUP(#REF!, 'Normative data'!$S$9:$S$15, 'Normative data'!$T$9:$T$15, "Not Found", -1)</f>
        <v>#REF!</v>
      </c>
      <c r="CK475" s="24">
        <v>2.29</v>
      </c>
      <c r="CL475" s="24">
        <v>4.37</v>
      </c>
      <c r="CM475" s="24"/>
      <c r="CN475" s="24">
        <v>6.97</v>
      </c>
      <c r="CO475" s="24">
        <v>7.17</v>
      </c>
      <c r="CP475" s="24"/>
      <c r="CQ475" s="20"/>
      <c r="CR475" s="20" t="str" cm="1">
        <f t="array" ref="CR475">IF(OR(ISBLANK(E475),ISBLANK(CQ475)),"Incomplete",_xlfn.XLOOKUP(CQ475,_xlfn.XLOOKUP(E475,'Normative data'!$Y$3:$Y$6,'Normative data'!$Z$3:$AG$6,,-1),'Normative data'!$Z$2:$AG$2,"Not Found",-1))</f>
        <v>Incomplete</v>
      </c>
      <c r="CS475" s="20"/>
      <c r="CT475" s="20"/>
      <c r="CU475" s="20" t="str" cm="1">
        <f t="array" ref="CU475">_xlfn.XLOOKUP(CS475&amp;CT475,(VLOOKUP!$A$3:$A$250)&amp;(VLOOKUP!$B$3:$B$250),VLOOKUP!$C$3:$C$250,"Incomplete",-1)</f>
        <v>Incomplete</v>
      </c>
      <c r="CV475" s="20" t="str" cm="1">
        <f t="array" ref="CV475">_xlfn.XLOOKUP(CU475, _xlfn.XLOOKUP(E475, 'Normative data'!$Y$11:$Y$14, 'Normative data'!$Z$11:$AG$14, ,-1), 'Normative data'!$Z$10:$AG$10, "Not Found", -1)</f>
        <v>Excellent</v>
      </c>
      <c r="CW475" s="20" t="str" cm="1">
        <f t="array" ref="CW475">IF(OR(ISBLANK(CS475),ISBLANK(CT475)),"Incomplete",_xlfn.XLOOKUP(CS475&amp;CT475,VLOOKUP!$A$4:$A$250&amp;VLOOKUP!$B$4:$B$250,VLOOKUP!$D$4:$D$250,"0"))</f>
        <v>Incomplete</v>
      </c>
    </row>
    <row r="476" spans="1:101">
      <c r="A476" s="17" t="s">
        <v>1044</v>
      </c>
      <c r="B476" s="17" t="s">
        <v>98</v>
      </c>
      <c r="C476" s="17" t="s">
        <v>86</v>
      </c>
      <c r="D476" s="23">
        <v>40213</v>
      </c>
      <c r="G476" s="17">
        <v>2026</v>
      </c>
      <c r="H476" s="20" t="s">
        <v>114</v>
      </c>
      <c r="I476" s="17">
        <v>1</v>
      </c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30" t="s">
        <v>1045</v>
      </c>
      <c r="AR476" s="30" t="s">
        <v>1046</v>
      </c>
      <c r="AS476" s="30" t="s">
        <v>1047</v>
      </c>
      <c r="AT476" s="30" t="s">
        <v>1048</v>
      </c>
      <c r="AU476" s="30" t="s">
        <v>1049</v>
      </c>
      <c r="AV476" s="30" t="s">
        <v>1050</v>
      </c>
      <c r="AW476" s="30" t="s">
        <v>844</v>
      </c>
      <c r="AX476" s="30" t="s">
        <v>845</v>
      </c>
      <c r="AY476" s="41" t="str">
        <f t="shared" si="143"/>
        <v>Incomplete</v>
      </c>
      <c r="AZ476" s="20"/>
      <c r="BA476" s="20" t="str">
        <f t="shared" si="144"/>
        <v>Incomplete</v>
      </c>
      <c r="BB476" s="20"/>
      <c r="BC476" s="20" t="str">
        <f t="shared" si="145"/>
        <v>Incomplete</v>
      </c>
      <c r="BD476" s="20"/>
      <c r="BE476" s="20" t="str">
        <f t="shared" si="146"/>
        <v>Incomplete</v>
      </c>
      <c r="BF476" s="20"/>
      <c r="BG476" s="30" t="s">
        <v>846</v>
      </c>
      <c r="BH476" s="30" t="s">
        <v>1051</v>
      </c>
      <c r="BI476" s="20" t="e">
        <f>IF(OR(ISBLANK(BG476), ISBLANK(BH476)),"Incomplete",(SUM(BH476-BG476)))</f>
        <v>#VALUE!</v>
      </c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91" t="str">
        <f t="shared" si="147"/>
        <v>Incomplete</v>
      </c>
      <c r="BX476" s="91" t="str">
        <f>_xlfn.XLOOKUP(BW476,'Normative data'!$V$3:$V$6,'Normative data'!$W$3:$W$6,"Not Found",-1)</f>
        <v>Very low risk</v>
      </c>
      <c r="BY476" s="91" t="str">
        <f t="shared" si="148"/>
        <v>Incomplete</v>
      </c>
      <c r="BZ476" s="91" t="str">
        <f>_xlfn.XLOOKUP(BY476,'Normative data'!$V$3:$V$6,'Normative data'!$W$3:$W$6,"Not Found",-1)</f>
        <v>Very low risk</v>
      </c>
      <c r="CA476" s="20"/>
      <c r="CC476" s="30">
        <v>64</v>
      </c>
      <c r="CD476" s="30"/>
      <c r="CE476" s="30">
        <v>36</v>
      </c>
      <c r="CF476" s="30"/>
      <c r="CG476" s="30" t="s">
        <v>1052</v>
      </c>
      <c r="CH476" s="20" t="str">
        <f>_xlfn.XLOOKUP(CG476, 'Normative data'!$S$9:$S$15,'Normative data'!$T$9:$T$15, "Not Found", -1)</f>
        <v>Poor</v>
      </c>
      <c r="CI476" s="30" t="s">
        <v>1053</v>
      </c>
      <c r="CJ476" s="20" t="str">
        <f>_xlfn.XLOOKUP(CI476, 'Normative data'!$S$9:$S$15, 'Normative data'!$T$9:$T$15, "Not Found", -1)</f>
        <v>Poor</v>
      </c>
      <c r="CK476" s="30" t="s">
        <v>397</v>
      </c>
      <c r="CL476" s="30" t="s">
        <v>398</v>
      </c>
      <c r="CM476" s="30"/>
      <c r="CN476" s="30" t="s">
        <v>1054</v>
      </c>
      <c r="CO476" s="30" t="s">
        <v>994</v>
      </c>
      <c r="CP476" s="30"/>
      <c r="CQ476" s="30" t="s">
        <v>1055</v>
      </c>
      <c r="CR476" s="20" t="str" cm="1">
        <f t="array" ref="CR476">IF(OR(ISBLANK(E476),ISBLANK(CQ476)),"Incomplete",_xlfn.XLOOKUP(CQ476,_xlfn.XLOOKUP(E476,'Normative data'!$Y$3:$Y$6,'Normative data'!$Z$3:$AG$6,,-1),'Normative data'!$Z$2:$AG$2,"Not Found",-1))</f>
        <v>Incomplete</v>
      </c>
      <c r="CS476" s="20">
        <v>12</v>
      </c>
      <c r="CT476" s="20">
        <v>12</v>
      </c>
      <c r="CU476" s="20" cm="1">
        <f t="array" ref="CU476">_xlfn.XLOOKUP(CS476&amp;CT476,(VLOOKUP!$A$3:$A$250)&amp;(VLOOKUP!$B$3:$B$250),VLOOKUP!$C$3:$C$250,"Incomplete",-1)</f>
        <v>2360</v>
      </c>
      <c r="CV476" s="20" t="str" cm="1">
        <f t="array" ref="CV476">_xlfn.XLOOKUP(CU476, _xlfn.XLOOKUP(E476, 'Normative data'!$Y$11:$Y$14, 'Normative data'!$Z$11:$AG$14, ,-1), 'Normative data'!$Z$10:$AG$10, "Not Found", -1)</f>
        <v>Excellent</v>
      </c>
      <c r="CW476" s="20" cm="1">
        <f t="array" ref="CW476">IF(OR(ISBLANK(CS476),ISBLANK(CT476)),"Incomplete",_xlfn.XLOOKUP(CS476&amp;CT476,VLOOKUP!$A$4:$A$250&amp;VLOOKUP!$B$4:$B$250,VLOOKUP!$D$4:$D$250,"0"))</f>
        <v>57</v>
      </c>
    </row>
    <row r="477" spans="1:101">
      <c r="A477" s="17" t="s">
        <v>1044</v>
      </c>
      <c r="B477" s="17" t="s">
        <v>98</v>
      </c>
      <c r="C477" s="17" t="s">
        <v>86</v>
      </c>
      <c r="D477" s="23">
        <v>40213</v>
      </c>
      <c r="G477" s="17">
        <v>2026</v>
      </c>
      <c r="H477" s="20" t="s">
        <v>114</v>
      </c>
      <c r="I477" s="17">
        <v>1</v>
      </c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30">
        <v>23.4</v>
      </c>
      <c r="AR477" s="30">
        <v>0.437</v>
      </c>
      <c r="AS477" s="30">
        <v>24.3</v>
      </c>
      <c r="AT477" s="30">
        <v>0.44500000000000001</v>
      </c>
      <c r="AU477" s="30">
        <v>12.9</v>
      </c>
      <c r="AV477" s="30">
        <v>0.32400000000000001</v>
      </c>
      <c r="AW477" s="30">
        <v>12.9</v>
      </c>
      <c r="AX477" s="30">
        <v>0.32400000000000001</v>
      </c>
      <c r="AY477" s="41" t="str">
        <f t="shared" si="143"/>
        <v>Incomplete</v>
      </c>
      <c r="AZ477" s="20"/>
      <c r="BA477" s="20" t="str">
        <f t="shared" si="144"/>
        <v>Incomplete</v>
      </c>
      <c r="BB477" s="20"/>
      <c r="BC477" s="20" t="str">
        <f t="shared" si="145"/>
        <v>Incomplete</v>
      </c>
      <c r="BD477" s="20"/>
      <c r="BE477" s="20" t="str">
        <f t="shared" si="146"/>
        <v>Incomplete</v>
      </c>
      <c r="BF477" s="20"/>
      <c r="BG477" s="30">
        <v>16</v>
      </c>
      <c r="BH477" s="30">
        <v>35</v>
      </c>
      <c r="BI477" s="20">
        <f>IF(OR(ISBLANK(BG477), ISBLANK(BH477)),"Incomplete",(SUM(BH477-BG477)))</f>
        <v>19</v>
      </c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91" t="str">
        <f t="shared" si="147"/>
        <v>Incomplete</v>
      </c>
      <c r="BX477" s="91" t="str">
        <f>_xlfn.XLOOKUP(BW477,'Normative data'!$V$3:$V$6,'Normative data'!$W$3:$W$6,"Not Found",-1)</f>
        <v>Very low risk</v>
      </c>
      <c r="BY477" s="91" t="str">
        <f t="shared" si="148"/>
        <v>Incomplete</v>
      </c>
      <c r="BZ477" s="91" t="str">
        <f>_xlfn.XLOOKUP(BY477,'Normative data'!$V$3:$V$6,'Normative data'!$W$3:$W$6,"Not Found",-1)</f>
        <v>Very low risk</v>
      </c>
      <c r="CA477" s="20"/>
      <c r="CC477" s="30">
        <v>70</v>
      </c>
      <c r="CD477" s="30"/>
      <c r="CE477" s="30">
        <v>18</v>
      </c>
      <c r="CF477" s="30"/>
      <c r="CG477" s="30">
        <v>17.53</v>
      </c>
      <c r="CH477" s="20" t="str">
        <f>_xlfn.XLOOKUP(CG477, 'Normative data'!$S$9:$S$15,'Normative data'!$T$9:$T$15, "Not Found", -1)</f>
        <v>Above Average</v>
      </c>
      <c r="CI477" s="30">
        <v>17.73</v>
      </c>
      <c r="CJ477" s="20" t="str">
        <f>_xlfn.XLOOKUP(CI477, 'Normative data'!$S$9:$S$15, 'Normative data'!$T$9:$T$15, "Not Found", -1)</f>
        <v>Above Average</v>
      </c>
      <c r="CK477" s="30">
        <v>2.2200000000000002</v>
      </c>
      <c r="CL477" s="30">
        <v>4.5</v>
      </c>
      <c r="CM477" s="30"/>
      <c r="CN477" s="30">
        <v>6.74</v>
      </c>
      <c r="CO477" s="30">
        <v>7.42</v>
      </c>
      <c r="CP477" s="30"/>
      <c r="CQ477" s="30"/>
      <c r="CR477" s="20" t="str" cm="1">
        <f t="array" ref="CR477">IF(OR(ISBLANK(E477),ISBLANK(CQ477)),"Incomplete",_xlfn.XLOOKUP(CQ477,_xlfn.XLOOKUP(E477,'Normative data'!$Y$3:$Y$6,'Normative data'!$Z$3:$AG$6,,-1),'Normative data'!$Z$2:$AG$2,"Not Found",-1))</f>
        <v>Incomplete</v>
      </c>
      <c r="CS477" s="20"/>
      <c r="CT477" s="20"/>
      <c r="CU477" s="20" t="str" cm="1">
        <f t="array" ref="CU477">_xlfn.XLOOKUP(CS477&amp;CT477,(VLOOKUP!$A$3:$A$250)&amp;(VLOOKUP!$B$3:$B$250),VLOOKUP!$C$3:$C$250,"Incomplete",-1)</f>
        <v>Incomplete</v>
      </c>
      <c r="CV477" s="20" t="str" cm="1">
        <f t="array" ref="CV477">_xlfn.XLOOKUP(CU477, _xlfn.XLOOKUP(E477, 'Normative data'!$Y$11:$Y$14, 'Normative data'!$Z$11:$AG$14, ,-1), 'Normative data'!$Z$10:$AG$10, "Not Found", -1)</f>
        <v>Excellent</v>
      </c>
      <c r="CW477" s="20" t="str" cm="1">
        <f t="array" ref="CW477">IF(OR(ISBLANK(CS477),ISBLANK(CT477)),"Incomplete",_xlfn.XLOOKUP(CS477&amp;CT477,VLOOKUP!$A$4:$A$250&amp;VLOOKUP!$B$4:$B$250,VLOOKUP!$D$4:$D$250,"0"))</f>
        <v>Incomplete</v>
      </c>
    </row>
    <row r="478" spans="1:101">
      <c r="A478" s="22" t="s">
        <v>431</v>
      </c>
      <c r="B478" s="22" t="s">
        <v>98</v>
      </c>
      <c r="C478" s="17" t="s">
        <v>86</v>
      </c>
      <c r="D478" s="26">
        <v>40213</v>
      </c>
      <c r="F478" s="17">
        <v>9</v>
      </c>
      <c r="G478" s="17">
        <v>2025</v>
      </c>
      <c r="J478" s="17" t="s">
        <v>122</v>
      </c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41" t="str">
        <f t="shared" si="143"/>
        <v>Incomplete</v>
      </c>
      <c r="AZ478" s="20"/>
      <c r="BA478" s="20" t="str">
        <f t="shared" si="144"/>
        <v>Incomplete</v>
      </c>
      <c r="BB478" s="20"/>
      <c r="BC478" s="20" t="str">
        <f t="shared" si="145"/>
        <v>Incomplete</v>
      </c>
      <c r="BD478" s="20"/>
      <c r="BE478" s="20" t="str">
        <f t="shared" si="146"/>
        <v>Incomplete</v>
      </c>
      <c r="BF478" s="20"/>
      <c r="BG478" s="20">
        <v>15</v>
      </c>
      <c r="BH478" s="20">
        <v>41</v>
      </c>
      <c r="BI478" s="20" t="e">
        <f>IF(OR(ISBLANK(#REF!), ISBLANK(#REF!)),"Incomplete",(SUM(#REF!-#REF!)))</f>
        <v>#REF!</v>
      </c>
      <c r="BJ478" s="20"/>
      <c r="BK478" s="20">
        <v>14</v>
      </c>
      <c r="BL478" s="20"/>
      <c r="BM478" s="20">
        <v>13</v>
      </c>
      <c r="BN478" s="20"/>
      <c r="BO478" s="20"/>
      <c r="BP478" s="20"/>
      <c r="BQ478" s="20"/>
      <c r="BR478" s="20"/>
      <c r="BS478" s="20"/>
      <c r="BT478" s="20"/>
      <c r="BU478" s="20"/>
      <c r="BV478" s="20"/>
      <c r="BW478" s="91" t="str">
        <f t="shared" si="147"/>
        <v>Incomplete</v>
      </c>
      <c r="BX478" s="91" t="str">
        <f>_xlfn.XLOOKUP(BW478,'Normative data'!$V$3:$V$6,'Normative data'!$W$3:$W$6,"Not Found",-1)</f>
        <v>Very low risk</v>
      </c>
      <c r="BY478" s="91" t="str">
        <f t="shared" si="148"/>
        <v>Incomplete</v>
      </c>
      <c r="BZ478" s="91" t="str">
        <f>_xlfn.XLOOKUP(BY478,'Normative data'!$V$3:$V$6,'Normative data'!$W$3:$W$6,"Not Found",-1)</f>
        <v>Very low risk</v>
      </c>
      <c r="CA478" s="20"/>
      <c r="CC478" s="20"/>
      <c r="CE478" s="20">
        <v>26</v>
      </c>
      <c r="CG478" s="20">
        <v>18.05</v>
      </c>
      <c r="CH478" s="20" t="str">
        <f>_xlfn.XLOOKUP(CG478, 'Normative data'!$S$9:$S$15,'Normative data'!$T$9:$T$15, "Not Found", -1)</f>
        <v>Average</v>
      </c>
      <c r="CI478" s="20">
        <v>17.93</v>
      </c>
      <c r="CJ478" s="20" t="str">
        <f>_xlfn.XLOOKUP(CI478, 'Normative data'!$S$9:$S$15, 'Normative data'!$T$9:$T$15, "Not Found", -1)</f>
        <v>Above Average</v>
      </c>
      <c r="CK478" s="20" t="s">
        <v>652</v>
      </c>
      <c r="CL478" s="20" t="s">
        <v>653</v>
      </c>
      <c r="CM478" s="21"/>
      <c r="CN478" s="20" t="s">
        <v>514</v>
      </c>
      <c r="CO478" s="20" t="s">
        <v>667</v>
      </c>
      <c r="CQ478" s="20"/>
      <c r="CR478" s="20" t="str" cm="1">
        <f t="array" ref="CR478">IF(OR(ISBLANK(E478),ISBLANK(CQ478)),"Incomplete",_xlfn.XLOOKUP(CQ478,_xlfn.XLOOKUP(E478,'Normative data'!$Y$3:$Y$6,'Normative data'!$Z$3:$AG$6,,-1),'Normative data'!$Z$2:$AG$2,"Not Found",-1))</f>
        <v>Incomplete</v>
      </c>
      <c r="CS478" s="20"/>
      <c r="CT478" s="20"/>
      <c r="CU478" s="20" t="str" cm="1">
        <f t="array" ref="CU478">_xlfn.XLOOKUP(CS478&amp;CT478,(VLOOKUP!$A$3:$A$250)&amp;(VLOOKUP!$B$3:$B$250),VLOOKUP!$C$3:$C$250,"Incomplete",-1)</f>
        <v>Incomplete</v>
      </c>
      <c r="CV478" s="20" t="str" cm="1">
        <f t="array" ref="CV478">_xlfn.XLOOKUP(CU478, _xlfn.XLOOKUP(E478, 'Normative data'!$Y$11:$Y$14, 'Normative data'!$Z$11:$AG$14, ,-1), 'Normative data'!$Z$10:$AG$10, "Not Found", -1)</f>
        <v>Excellent</v>
      </c>
      <c r="CW478" s="20" t="str" cm="1">
        <f t="array" ref="CW478">IF(OR(ISBLANK(CS478),ISBLANK(CT478)),"Incomplete",_xlfn.XLOOKUP(CS478&amp;CT478,VLOOKUP!$A$4:$A$250&amp;VLOOKUP!$B$4:$B$250,VLOOKUP!$D$4:$D$250,"0"))</f>
        <v>Incomplete</v>
      </c>
    </row>
    <row r="479" spans="1:101">
      <c r="A479" s="17" t="s">
        <v>1056</v>
      </c>
      <c r="B479" s="17" t="s">
        <v>98</v>
      </c>
      <c r="C479" s="17" t="s">
        <v>86</v>
      </c>
      <c r="D479" s="23">
        <v>40213</v>
      </c>
      <c r="G479" s="17">
        <v>2025</v>
      </c>
      <c r="J479" s="17" t="s">
        <v>122</v>
      </c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41" t="str">
        <f t="shared" si="143"/>
        <v>Incomplete</v>
      </c>
      <c r="AZ479" s="20"/>
      <c r="BA479" s="20" t="str">
        <f t="shared" si="144"/>
        <v>Incomplete</v>
      </c>
      <c r="BB479" s="20"/>
      <c r="BC479" s="20" t="str">
        <f t="shared" si="145"/>
        <v>Incomplete</v>
      </c>
      <c r="BD479" s="20"/>
      <c r="BE479" s="20" t="str">
        <f t="shared" si="146"/>
        <v>Incomplete</v>
      </c>
      <c r="BF479" s="20"/>
      <c r="BG479" s="20"/>
      <c r="BH479" s="20"/>
      <c r="BI479" s="20" t="str">
        <f t="shared" ref="BI479:BI489" si="150">IF(OR(ISBLANK(BG479), ISBLANK(BH479)),"Incomplete",(SUM(BH479-BG479)))</f>
        <v>Incomplete</v>
      </c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91" t="str">
        <f t="shared" si="147"/>
        <v>Incomplete</v>
      </c>
      <c r="BX479" s="91" t="str">
        <f>_xlfn.XLOOKUP(BW479,'Normative data'!$V$3:$V$6,'Normative data'!$W$3:$W$6,"Not Found",-1)</f>
        <v>Very low risk</v>
      </c>
      <c r="BY479" s="91" t="str">
        <f t="shared" si="148"/>
        <v>Incomplete</v>
      </c>
      <c r="BZ479" s="91" t="str">
        <f>_xlfn.XLOOKUP(BY479,'Normative data'!$V$3:$V$6,'Normative data'!$W$3:$W$6,"Not Found",-1)</f>
        <v>Very low risk</v>
      </c>
      <c r="CA479" s="20"/>
      <c r="CC479" s="20"/>
      <c r="CE479" s="20"/>
      <c r="CG479" s="20">
        <v>17.53</v>
      </c>
      <c r="CH479" s="20" t="str">
        <f>_xlfn.XLOOKUP(CG479, 'Normative data'!$S$9:$S$15,'Normative data'!$T$9:$T$15, "Not Found", -1)</f>
        <v>Above Average</v>
      </c>
      <c r="CI479" s="20">
        <v>17.73</v>
      </c>
      <c r="CJ479" s="20" t="str">
        <f>_xlfn.XLOOKUP(CI479, 'Normative data'!$S$9:$S$15, 'Normative data'!$T$9:$T$15, "Not Found", -1)</f>
        <v>Above Average</v>
      </c>
      <c r="CK479" s="24">
        <v>2.2999999999999998</v>
      </c>
      <c r="CL479" s="24">
        <v>4.3499999999999996</v>
      </c>
      <c r="CM479" s="21"/>
      <c r="CN479" s="24">
        <v>7.12</v>
      </c>
      <c r="CO479" s="24">
        <v>7.02</v>
      </c>
      <c r="CQ479" s="20"/>
      <c r="CR479" s="20" t="str" cm="1">
        <f t="array" ref="CR479">IF(OR(ISBLANK(E479),ISBLANK(CQ479)),"Incomplete",_xlfn.XLOOKUP(CQ479,_xlfn.XLOOKUP(E479,'Normative data'!$Y$3:$Y$6,'Normative data'!$Z$3:$AG$6,,-1),'Normative data'!$Z$2:$AG$2,"Not Found",-1))</f>
        <v>Incomplete</v>
      </c>
      <c r="CS479" s="20"/>
      <c r="CT479" s="20"/>
      <c r="CU479" s="20" t="str" cm="1">
        <f t="array" ref="CU479">_xlfn.XLOOKUP(CS479&amp;CT479,(VLOOKUP!$A$3:$A$250)&amp;(VLOOKUP!$B$3:$B$250),VLOOKUP!$C$3:$C$250,"Incomplete",-1)</f>
        <v>Incomplete</v>
      </c>
      <c r="CV479" s="20" t="str" cm="1">
        <f t="array" ref="CV479">_xlfn.XLOOKUP(CU479, _xlfn.XLOOKUP(E479, 'Normative data'!$Y$11:$Y$14, 'Normative data'!$Z$11:$AG$14, ,-1), 'Normative data'!$Z$10:$AG$10, "Not Found", -1)</f>
        <v>Excellent</v>
      </c>
      <c r="CW479" s="20" t="str" cm="1">
        <f t="array" ref="CW479">IF(OR(ISBLANK(CS479),ISBLANK(CT479)),"Incomplete",_xlfn.XLOOKUP(CS479&amp;CT479,VLOOKUP!$A$4:$A$250&amp;VLOOKUP!$B$4:$B$250,VLOOKUP!$D$4:$D$250,"0"))</f>
        <v>Incomplete</v>
      </c>
    </row>
    <row r="480" spans="1:101">
      <c r="A480" s="17" t="s">
        <v>431</v>
      </c>
      <c r="B480" s="17" t="s">
        <v>1057</v>
      </c>
      <c r="C480" s="17" t="s">
        <v>86</v>
      </c>
      <c r="D480" s="23">
        <v>40213</v>
      </c>
      <c r="G480" s="17">
        <v>2025</v>
      </c>
      <c r="J480" s="17" t="s">
        <v>122</v>
      </c>
      <c r="S480" s="20"/>
      <c r="T480" s="20" t="s">
        <v>1058</v>
      </c>
      <c r="U480" s="20" t="s">
        <v>1059</v>
      </c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41" t="str">
        <f>IF(OR(ISBLANK(#REF!), ISBLANK(AQ480)), "Incomplete", (60.7*AQ480)+(45.3*#REF!)-2055)</f>
        <v>Incomplete</v>
      </c>
      <c r="AZ480" s="20"/>
      <c r="BA480" s="20" t="str">
        <f>IF(OR(ISBLANK(#REF!), ISBLANK(AS480)), "Incomplete", (60.7*AS480)+(45.3*#REF!)-2055)</f>
        <v>Incomplete</v>
      </c>
      <c r="BB480" s="20"/>
      <c r="BC480" s="20" t="str">
        <f>IF(OR(ISBLANK(#REF!), ISBLANK(AU480)), "Incomplete", (60.7*AU480)+(45.3*#REF!)-2055)</f>
        <v>Incomplete</v>
      </c>
      <c r="BD480" s="20"/>
      <c r="BE480" s="20" t="str">
        <f>IF(OR(ISBLANK(#REF!), ISBLANK(AW480)), "Incomplete", (60.7*AW480)+(45.3*#REF!)-2055)</f>
        <v>Incomplete</v>
      </c>
      <c r="BF480" s="20"/>
      <c r="BG480" s="20"/>
      <c r="BH480" s="20"/>
      <c r="BI480" s="20" t="str">
        <f t="shared" si="150"/>
        <v>Incomplete</v>
      </c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91" t="str">
        <f>IFERROR(SUM(BQ480+BR480+BS480)/(3*(#REF!-S480))*100, "Incomplete")</f>
        <v>Incomplete</v>
      </c>
      <c r="BX480" s="91" t="str">
        <f>_xlfn.XLOOKUP(BW480,'Normative data'!$V$3:$V$6,'Normative data'!$W$3:$W$6,"Not Found",-1)</f>
        <v>Very low risk</v>
      </c>
      <c r="BY480" s="91" t="str">
        <f>IFERROR(SUM(BT480+BU480+BV480)/(3*(#REF!-S480))*100, "Incomplete")</f>
        <v>Incomplete</v>
      </c>
      <c r="BZ480" s="91" t="str">
        <f>_xlfn.XLOOKUP(BY480,'Normative data'!$V$3:$V$6,'Normative data'!$W$3:$W$6,"Not Found",-1)</f>
        <v>Very low risk</v>
      </c>
      <c r="CA480" s="20"/>
      <c r="CC480" s="20"/>
      <c r="CE480" s="20"/>
      <c r="CG480" s="20">
        <v>17.579999999999998</v>
      </c>
      <c r="CH480" s="20" t="str">
        <f>_xlfn.XLOOKUP(CG480, 'Normative data'!$S$9:$S$15,'Normative data'!$T$9:$T$15, "Not Found", -1)</f>
        <v>Above Average</v>
      </c>
      <c r="CI480" s="20">
        <v>17.53</v>
      </c>
      <c r="CJ480" s="20" t="str">
        <f>_xlfn.XLOOKUP(CI480, 'Normative data'!$S$9:$S$15, 'Normative data'!$T$9:$T$15, "Not Found", -1)</f>
        <v>Above Average</v>
      </c>
      <c r="CK480" s="21"/>
      <c r="CL480" s="21"/>
      <c r="CM480" s="21"/>
      <c r="CN480" s="21"/>
      <c r="CO480" s="21"/>
      <c r="CQ480" s="20"/>
      <c r="CR480" s="20" t="str" cm="1">
        <f t="array" ref="CR480">IF(OR(ISBLANK(E480),ISBLANK(CQ480)),"Incomplete",_xlfn.XLOOKUP(CQ480,_xlfn.XLOOKUP(E480,'Normative data'!$Y$3:$Y$6,'Normative data'!$Z$3:$AG$6,,-1),'Normative data'!$Z$2:$AG$2,"Not Found",-1))</f>
        <v>Incomplete</v>
      </c>
      <c r="CS480" s="20"/>
      <c r="CT480" s="20"/>
      <c r="CU480" s="20" t="str" cm="1">
        <f t="array" ref="CU480">_xlfn.XLOOKUP(CS480&amp;CT480,(VLOOKUP!$A$3:$A$250)&amp;(VLOOKUP!$B$3:$B$250),VLOOKUP!$C$3:$C$250,"Incomplete",-1)</f>
        <v>Incomplete</v>
      </c>
      <c r="CV480" s="20" t="str" cm="1">
        <f t="array" ref="CV480">_xlfn.XLOOKUP(CU480, _xlfn.XLOOKUP(E480, 'Normative data'!$Y$11:$Y$14, 'Normative data'!$Z$11:$AG$14, ,-1), 'Normative data'!$Z$10:$AG$10, "Not Found", -1)</f>
        <v>Excellent</v>
      </c>
      <c r="CW480" s="20" t="str" cm="1">
        <f t="array" ref="CW480">IF(OR(ISBLANK(CS480),ISBLANK(CT480)),"Incomplete",_xlfn.XLOOKUP(CS480&amp;CT480,VLOOKUP!$A$4:$A$250&amp;VLOOKUP!$B$4:$B$250,VLOOKUP!$D$4:$D$250,"0"))</f>
        <v>Incomplete</v>
      </c>
    </row>
    <row r="481" spans="1:101">
      <c r="A481" s="17" t="s">
        <v>1060</v>
      </c>
      <c r="B481" s="17" t="s">
        <v>1061</v>
      </c>
      <c r="C481" s="17" t="s">
        <v>86</v>
      </c>
      <c r="D481" s="26">
        <v>39958</v>
      </c>
      <c r="F481" s="20" t="s">
        <v>181</v>
      </c>
      <c r="G481" s="17">
        <v>2026</v>
      </c>
      <c r="I481" s="20">
        <v>2</v>
      </c>
      <c r="J481" s="20" t="s">
        <v>1062</v>
      </c>
      <c r="K481" s="20" t="s">
        <v>111</v>
      </c>
      <c r="L481" s="20"/>
      <c r="S481" s="20">
        <v>85.4</v>
      </c>
      <c r="T481" s="20">
        <v>173</v>
      </c>
      <c r="U481" s="17">
        <v>71.099999999999994</v>
      </c>
      <c r="V481" s="17">
        <v>37.799999999999997</v>
      </c>
      <c r="W481" s="17">
        <v>19.3</v>
      </c>
      <c r="X481" s="17">
        <v>51.8</v>
      </c>
      <c r="Y481" s="17">
        <v>28.9</v>
      </c>
      <c r="Z481" s="17">
        <v>23.8</v>
      </c>
      <c r="AA481" s="17">
        <v>27.2</v>
      </c>
      <c r="AB481" s="17">
        <v>8.2100000000000009</v>
      </c>
      <c r="AC481" s="17">
        <v>106.9</v>
      </c>
      <c r="AD481" s="17">
        <v>8.2799999999999994</v>
      </c>
      <c r="AE481" s="17">
        <v>107.9</v>
      </c>
      <c r="AF481" s="17">
        <v>2.9</v>
      </c>
      <c r="AG481" s="17">
        <v>106.8</v>
      </c>
      <c r="AH481" s="17">
        <v>2.9</v>
      </c>
      <c r="AI481" s="17">
        <v>106.6</v>
      </c>
      <c r="AJ481" s="17">
        <v>300.39999999999998</v>
      </c>
      <c r="AK481" s="17">
        <v>292.39999999999998</v>
      </c>
      <c r="AL481" s="17">
        <v>264.10000000000002</v>
      </c>
      <c r="AM481" s="17">
        <v>258.60000000000002</v>
      </c>
      <c r="AN481" s="17">
        <v>112</v>
      </c>
      <c r="AO481" s="17">
        <v>0.89</v>
      </c>
      <c r="AP481" s="17">
        <v>7.3</v>
      </c>
      <c r="AQ481" s="17">
        <v>22.9</v>
      </c>
      <c r="AR481" s="17">
        <v>0.432</v>
      </c>
      <c r="AS481" s="17">
        <v>26.5</v>
      </c>
      <c r="AT481" s="17">
        <v>0.46500000000000002</v>
      </c>
      <c r="AU481" s="17">
        <v>14.6</v>
      </c>
      <c r="AV481" s="17">
        <v>0.34499999999999997</v>
      </c>
      <c r="AW481" s="17">
        <v>14.5</v>
      </c>
      <c r="AX481" s="17">
        <v>0.34399999999999997</v>
      </c>
      <c r="AY481" s="41">
        <f t="shared" ref="AY481:AY509" si="151">IF(OR(ISBLANK(U481), ISBLANK(AQ481)), "Incomplete", (60.7*AQ481)+(45.3*U481)-2055)</f>
        <v>2555.8599999999997</v>
      </c>
      <c r="BA481" s="20">
        <f t="shared" ref="BA481:BA509" si="152">IF(OR(ISBLANK(U481), ISBLANK(AS481)), "Incomplete", (60.7*AS481)+(45.3*U481)-2055)</f>
        <v>2774.3799999999992</v>
      </c>
      <c r="BC481" s="20">
        <f t="shared" ref="BC481:BC509" si="153">IF(OR(ISBLANK(U481), ISBLANK(AU481)), "Incomplete", (60.7*AU481)+(45.3*U481)-2055)</f>
        <v>2052.0499999999993</v>
      </c>
      <c r="BE481" s="20">
        <f t="shared" ref="BE481:BE509" si="154">IF(OR(ISBLANK(U481), ISBLANK(AW481)), "Incomplete", (60.7*AW481)+(45.3*U481)-2055)</f>
        <v>2045.9799999999996</v>
      </c>
      <c r="BG481" s="17">
        <v>18</v>
      </c>
      <c r="BH481" s="17">
        <v>52</v>
      </c>
      <c r="BI481" s="20">
        <f t="shared" si="150"/>
        <v>34</v>
      </c>
      <c r="BJ481" s="20"/>
      <c r="BK481" s="17">
        <v>11.5</v>
      </c>
      <c r="BL481" s="20"/>
      <c r="BM481" s="17">
        <v>11</v>
      </c>
      <c r="BN481" s="20"/>
      <c r="BQ481" s="17">
        <v>80</v>
      </c>
      <c r="BR481" s="17">
        <v>85</v>
      </c>
      <c r="BS481" s="17">
        <v>75</v>
      </c>
      <c r="BT481" s="17">
        <v>85</v>
      </c>
      <c r="BU481" s="17">
        <v>73</v>
      </c>
      <c r="BV481" s="17">
        <v>80</v>
      </c>
      <c r="BW481" s="91">
        <f t="shared" ref="BW481:BW509" si="155">IFERROR(SUM(BQ481+BR481+BS481)/(3*(T481-S481))*100, "Incomplete")</f>
        <v>91.324200913242024</v>
      </c>
      <c r="BX481" s="91" t="str">
        <f>_xlfn.XLOOKUP(BW481,'Normative data'!$V$3:$V$6,'Normative data'!$W$3:$W$6,"Not Found",-1)</f>
        <v>High risk</v>
      </c>
      <c r="BY481" s="91">
        <f t="shared" ref="BY481:BY509" si="156">IFERROR(SUM(BT481+BU481+BV481)/(3*(T481-S481))*100, "Incomplete")</f>
        <v>90.563165905631678</v>
      </c>
      <c r="BZ481" s="91" t="str">
        <f>_xlfn.XLOOKUP(BY481,'Normative data'!$V$3:$V$6,'Normative data'!$W$3:$W$6,"Not Found",-1)</f>
        <v>High risk</v>
      </c>
      <c r="CA481" s="17">
        <v>30</v>
      </c>
      <c r="CC481" s="20"/>
      <c r="CE481" s="17">
        <v>20</v>
      </c>
      <c r="CG481" s="20"/>
      <c r="CH481" s="20" t="str">
        <f>_xlfn.XLOOKUP(CG481, 'Normative data'!$S$9:$S$15,'Normative data'!$T$9:$T$15, "Not Found", -1)</f>
        <v>not completed</v>
      </c>
      <c r="CI481" s="20"/>
      <c r="CJ481" s="20" t="str">
        <f>_xlfn.XLOOKUP(CI481, 'Normative data'!$S$9:$S$15, 'Normative data'!$T$9:$T$15, "Not Found", -1)</f>
        <v>not completed</v>
      </c>
      <c r="CK481" s="17">
        <v>2.2999999999999998</v>
      </c>
      <c r="CL481" s="17">
        <v>6.35</v>
      </c>
      <c r="CN481" s="17">
        <v>7.05</v>
      </c>
      <c r="CO481" s="17">
        <v>7.09</v>
      </c>
      <c r="CQ481" s="17">
        <v>7.7</v>
      </c>
      <c r="CR481" s="20" t="str" cm="1">
        <f t="array" ref="CR481">IF(OR(ISBLANK(E481),ISBLANK(CQ481)),"Incomplete",_xlfn.XLOOKUP(CQ481,_xlfn.XLOOKUP(E481,'Normative data'!$Y$3:$Y$6,'Normative data'!$Z$3:$AG$6,,-1),'Normative data'!$Z$2:$AG$2,"Not Found",-1))</f>
        <v>Incomplete</v>
      </c>
      <c r="CS481" s="20">
        <v>7</v>
      </c>
      <c r="CT481" s="20">
        <v>7</v>
      </c>
      <c r="CU481" s="20" cm="1">
        <f t="array" ref="CU481">_xlfn.XLOOKUP(CS481&amp;CT481,(VLOOKUP!$A$3:$A$250)&amp;(VLOOKUP!$B$3:$B$250),VLOOKUP!$C$3:$C$250,"Incomplete",-1)</f>
        <v>1160</v>
      </c>
      <c r="CV481" s="20" t="str" cm="1">
        <f t="array" ref="CV481">_xlfn.XLOOKUP(CU481, _xlfn.XLOOKUP(E481, 'Normative data'!$Y$11:$Y$14, 'Normative data'!$Z$11:$AG$14, ,-1), 'Normative data'!$Z$10:$AG$10, "Not Found", -1)</f>
        <v>Average</v>
      </c>
      <c r="CW481" s="20" cm="1">
        <f t="array" ref="CW481">IF(OR(ISBLANK(CS481),ISBLANK(CT481)),"Incomplete",_xlfn.XLOOKUP(CS481&amp;CT481,VLOOKUP!$A$4:$A$250&amp;VLOOKUP!$B$4:$B$250,VLOOKUP!$D$4:$D$250,"0"))</f>
        <v>39</v>
      </c>
    </row>
    <row r="482" spans="1:101">
      <c r="A482" s="17" t="s">
        <v>1063</v>
      </c>
      <c r="B482" s="17" t="s">
        <v>1064</v>
      </c>
      <c r="C482" s="17" t="s">
        <v>86</v>
      </c>
      <c r="D482" s="26"/>
      <c r="F482" s="20" t="s">
        <v>162</v>
      </c>
      <c r="G482" s="17">
        <v>2026</v>
      </c>
      <c r="I482" s="20">
        <v>2</v>
      </c>
      <c r="J482" s="20"/>
      <c r="K482" s="20"/>
      <c r="L482" s="20"/>
      <c r="S482" s="20">
        <v>88.9</v>
      </c>
      <c r="T482" s="20">
        <v>174.1</v>
      </c>
      <c r="AQ482" s="20"/>
      <c r="AR482" s="20"/>
      <c r="AS482" s="20"/>
      <c r="AT482" s="20"/>
      <c r="AU482" s="20"/>
      <c r="AV482" s="20"/>
      <c r="AW482" s="20"/>
      <c r="AX482" s="20"/>
      <c r="AY482" s="41" t="str">
        <f t="shared" si="151"/>
        <v>Incomplete</v>
      </c>
      <c r="BA482" s="20" t="str">
        <f t="shared" si="152"/>
        <v>Incomplete</v>
      </c>
      <c r="BC482" s="20" t="str">
        <f t="shared" si="153"/>
        <v>Incomplete</v>
      </c>
      <c r="BE482" s="20" t="str">
        <f t="shared" si="154"/>
        <v>Incomplete</v>
      </c>
      <c r="BG482" s="17">
        <v>5</v>
      </c>
      <c r="BH482" s="17">
        <v>47</v>
      </c>
      <c r="BI482" s="20">
        <f t="shared" si="150"/>
        <v>42</v>
      </c>
      <c r="BJ482" s="20"/>
      <c r="BL482" s="20"/>
      <c r="BM482" s="20"/>
      <c r="BN482" s="20"/>
      <c r="BQ482" s="17">
        <v>83</v>
      </c>
      <c r="BR482" s="17">
        <v>77</v>
      </c>
      <c r="BS482" s="17">
        <v>81</v>
      </c>
      <c r="BT482" s="17">
        <v>85</v>
      </c>
      <c r="BU482" s="17">
        <v>88</v>
      </c>
      <c r="BV482" s="17">
        <v>80</v>
      </c>
      <c r="BW482" s="91">
        <f t="shared" si="155"/>
        <v>94.287949921752755</v>
      </c>
      <c r="BX482" s="91" t="str">
        <f>_xlfn.XLOOKUP(BW482,'Normative data'!$V$3:$V$6,'Normative data'!$W$3:$W$6,"Not Found",-1)</f>
        <v>High risk</v>
      </c>
      <c r="BY482" s="91">
        <f t="shared" si="156"/>
        <v>98.982785602503924</v>
      </c>
      <c r="BZ482" s="91" t="str">
        <f>_xlfn.XLOOKUP(BY482,'Normative data'!$V$3:$V$6,'Normative data'!$W$3:$W$6,"Not Found",-1)</f>
        <v>Low risk</v>
      </c>
      <c r="CA482" s="20"/>
      <c r="CC482" s="20"/>
      <c r="CE482" s="17">
        <v>8</v>
      </c>
      <c r="CG482" s="20"/>
      <c r="CH482" s="20" t="str">
        <f>_xlfn.XLOOKUP(CG482, 'Normative data'!$S$9:$S$15,'Normative data'!$T$9:$T$15, "Not Found", -1)</f>
        <v>not completed</v>
      </c>
      <c r="CI482" s="20"/>
      <c r="CJ482" s="20" t="str">
        <f>_xlfn.XLOOKUP(CI482, 'Normative data'!$S$9:$S$15, 'Normative data'!$T$9:$T$15, "Not Found", -1)</f>
        <v>not completed</v>
      </c>
      <c r="CK482" s="17">
        <v>2.64</v>
      </c>
      <c r="CL482" s="17">
        <v>4.79</v>
      </c>
      <c r="CN482" s="17">
        <v>7.6</v>
      </c>
      <c r="CO482" s="17">
        <v>6.58</v>
      </c>
      <c r="CR482" s="20" t="str" cm="1">
        <f t="array" ref="CR482">IF(OR(ISBLANK(E482),ISBLANK(CQ482)),"Incomplete",_xlfn.XLOOKUP(CQ482,_xlfn.XLOOKUP(E482,'Normative data'!$Y$3:$Y$6,'Normative data'!$Z$3:$AG$6,,-1),'Normative data'!$Z$2:$AG$2,"Not Found",-1))</f>
        <v>Incomplete</v>
      </c>
      <c r="CS482" s="20">
        <v>9</v>
      </c>
      <c r="CT482" s="20">
        <v>1</v>
      </c>
      <c r="CU482" s="20" cm="1">
        <f t="array" ref="CU482">_xlfn.XLOOKUP(CS482&amp;CT482,(VLOOKUP!$A$3:$A$250)&amp;(VLOOKUP!$B$3:$B$250),VLOOKUP!$C$3:$C$250,"Incomplete",-1)</f>
        <v>1460</v>
      </c>
      <c r="CV482" s="20" t="str" cm="1">
        <f t="array" ref="CV482">_xlfn.XLOOKUP(CU482, _xlfn.XLOOKUP(E482, 'Normative data'!$Y$11:$Y$14, 'Normative data'!$Z$11:$AG$14, ,-1), 'Normative data'!$Z$10:$AG$10, "Not Found", -1)</f>
        <v>Average</v>
      </c>
      <c r="CW482" s="20" cm="1">
        <f t="array" ref="CW482">IF(OR(ISBLANK(CS482),ISBLANK(CT482)),"Incomplete",_xlfn.XLOOKUP(CS482&amp;CT482,VLOOKUP!$A$4:$A$250&amp;VLOOKUP!$B$4:$B$250,VLOOKUP!$D$4:$D$250,"0"))</f>
        <v>44</v>
      </c>
    </row>
    <row r="483" spans="1:101">
      <c r="A483" s="17" t="s">
        <v>1065</v>
      </c>
      <c r="B483" s="17" t="s">
        <v>1064</v>
      </c>
      <c r="C483" s="17" t="s">
        <v>86</v>
      </c>
      <c r="D483" s="26">
        <v>40230</v>
      </c>
      <c r="E483" s="17">
        <v>16.2</v>
      </c>
      <c r="F483" s="20" t="s">
        <v>162</v>
      </c>
      <c r="G483" s="17">
        <v>2026</v>
      </c>
      <c r="I483" s="20">
        <v>2</v>
      </c>
      <c r="J483" s="20" t="s">
        <v>100</v>
      </c>
      <c r="K483" s="20" t="s">
        <v>101</v>
      </c>
      <c r="L483" s="20" t="s">
        <v>567</v>
      </c>
      <c r="S483" s="20">
        <v>88.6</v>
      </c>
      <c r="T483" s="20">
        <v>170.8</v>
      </c>
      <c r="U483" s="17">
        <v>62.2</v>
      </c>
      <c r="V483" s="17">
        <v>37.4</v>
      </c>
      <c r="W483" s="17">
        <v>11</v>
      </c>
      <c r="X483" s="17">
        <v>51.2</v>
      </c>
      <c r="Y483" s="17">
        <v>28.2</v>
      </c>
      <c r="Z483" s="17">
        <v>21.3</v>
      </c>
      <c r="AA483" s="17">
        <v>17.7</v>
      </c>
      <c r="AB483" s="17">
        <v>7.6</v>
      </c>
      <c r="AC483" s="17">
        <v>105.8</v>
      </c>
      <c r="AD483" s="17">
        <v>7.57</v>
      </c>
      <c r="AE483" s="17">
        <v>105.3</v>
      </c>
      <c r="AF483" s="17">
        <v>1.7</v>
      </c>
      <c r="AG483" s="17">
        <v>64</v>
      </c>
      <c r="AH483" s="17">
        <v>1.7</v>
      </c>
      <c r="AI483" s="17">
        <v>64</v>
      </c>
      <c r="AJ483" s="17">
        <v>283.5</v>
      </c>
      <c r="AK483" s="17">
        <v>286.2</v>
      </c>
      <c r="AL483" s="17">
        <v>255.3</v>
      </c>
      <c r="AM483" s="17">
        <v>256.10000000000002</v>
      </c>
      <c r="AN483" s="17">
        <v>111</v>
      </c>
      <c r="AO483" s="17">
        <v>0.83</v>
      </c>
      <c r="AP483" s="17">
        <v>7</v>
      </c>
      <c r="AQ483" s="17">
        <v>27.2</v>
      </c>
      <c r="AR483" s="17">
        <v>0.47099999999999997</v>
      </c>
      <c r="AS483" s="17">
        <v>28.7</v>
      </c>
      <c r="AT483" s="17">
        <v>0.48399999999999999</v>
      </c>
      <c r="AU483" s="17">
        <v>15.6</v>
      </c>
      <c r="AV483" s="17">
        <v>0.35699999999999998</v>
      </c>
      <c r="AW483" s="17">
        <v>19</v>
      </c>
      <c r="AX483" s="17">
        <v>0.39400000000000002</v>
      </c>
      <c r="AY483" s="41">
        <f t="shared" si="151"/>
        <v>2413.6999999999998</v>
      </c>
      <c r="BA483" s="20">
        <f t="shared" si="152"/>
        <v>2504.75</v>
      </c>
      <c r="BC483" s="20">
        <f t="shared" si="153"/>
        <v>1709.58</v>
      </c>
      <c r="BE483" s="20">
        <f t="shared" si="154"/>
        <v>1915.96</v>
      </c>
      <c r="BG483" s="17">
        <v>14</v>
      </c>
      <c r="BH483" s="17">
        <v>50</v>
      </c>
      <c r="BI483" s="20">
        <f t="shared" si="150"/>
        <v>36</v>
      </c>
      <c r="BJ483" s="20"/>
      <c r="BL483" s="20"/>
      <c r="BM483" s="20"/>
      <c r="BN483" s="20"/>
      <c r="BO483" s="17">
        <v>48.5</v>
      </c>
      <c r="BP483" s="17">
        <v>46.5</v>
      </c>
      <c r="BQ483" s="17">
        <v>98</v>
      </c>
      <c r="BR483" s="17">
        <v>90</v>
      </c>
      <c r="BS483" s="17">
        <v>81</v>
      </c>
      <c r="BT483" s="17">
        <v>97</v>
      </c>
      <c r="BU483" s="17">
        <v>93</v>
      </c>
      <c r="BV483" s="17">
        <v>78</v>
      </c>
      <c r="BW483" s="91">
        <f t="shared" si="155"/>
        <v>109.08353609083534</v>
      </c>
      <c r="BX483" s="91" t="str">
        <f>_xlfn.XLOOKUP(BW483,'Normative data'!$V$3:$V$6,'Normative data'!$W$3:$W$6,"Not Found",-1)</f>
        <v>Low risk</v>
      </c>
      <c r="BY483" s="91">
        <f t="shared" si="156"/>
        <v>108.67802108678019</v>
      </c>
      <c r="BZ483" s="91" t="str">
        <f>_xlfn.XLOOKUP(BY483,'Normative data'!$V$3:$V$6,'Normative data'!$W$3:$W$6,"Not Found",-1)</f>
        <v>Low risk</v>
      </c>
      <c r="CA483" s="17">
        <v>42</v>
      </c>
      <c r="CC483" s="20"/>
      <c r="CE483" s="17">
        <v>16</v>
      </c>
      <c r="CG483" s="17">
        <v>17.28</v>
      </c>
      <c r="CH483" s="20" t="str">
        <f>_xlfn.XLOOKUP(CG483, 'Normative data'!$S$9:$S$15,'Normative data'!$T$9:$T$15, "Not Found", -1)</f>
        <v>Above Average</v>
      </c>
      <c r="CI483" s="17">
        <v>17.55</v>
      </c>
      <c r="CJ483" s="20" t="str">
        <f>_xlfn.XLOOKUP(CI483, 'Normative data'!$S$9:$S$15, 'Normative data'!$T$9:$T$15, "Not Found", -1)</f>
        <v>Above Average</v>
      </c>
      <c r="CK483" s="21"/>
      <c r="CL483" s="21"/>
      <c r="CM483" s="21"/>
      <c r="CN483" s="21"/>
      <c r="CO483" s="21"/>
      <c r="CQ483" s="17">
        <v>10.1</v>
      </c>
      <c r="CR483" s="20" t="str" cm="1">
        <f t="array" ref="CR483">IF(OR(ISBLANK(E483),ISBLANK(CQ483)),"Incomplete",_xlfn.XLOOKUP(CQ483,_xlfn.XLOOKUP(E483,'Normative data'!$Y$3:$Y$6,'Normative data'!$Z$3:$AG$6,,-1),'Normative data'!$Z$2:$AG$2,"Not Found",-1))</f>
        <v>Very good</v>
      </c>
      <c r="CS483" s="20">
        <v>10</v>
      </c>
      <c r="CT483" s="20">
        <v>1</v>
      </c>
      <c r="CU483" s="20" cm="1">
        <f t="array" ref="CU483">_xlfn.XLOOKUP(CS483&amp;CT483,(VLOOKUP!$A$3:$A$250)&amp;(VLOOKUP!$B$3:$B$250),VLOOKUP!$C$3:$C$250,"Incomplete",-1)</f>
        <v>1680</v>
      </c>
      <c r="CV483" s="20" t="str" cm="1">
        <f t="array" ref="CV483">_xlfn.XLOOKUP(CU483, _xlfn.XLOOKUP(E483, 'Normative data'!$Y$11:$Y$14, 'Normative data'!$Z$11:$AG$14, ,-1), 'Normative data'!$Z$10:$AG$10, "Not Found", -1)</f>
        <v xml:space="preserve">Good </v>
      </c>
      <c r="CW483" s="20" cm="1">
        <f t="array" ref="CW483">IF(OR(ISBLANK(CS483),ISBLANK(CT483)),"Incomplete",_xlfn.XLOOKUP(CS483&amp;CT483,VLOOKUP!$A$4:$A$250&amp;VLOOKUP!$B$4:$B$250,VLOOKUP!$D$4:$D$250,"0"))</f>
        <v>47</v>
      </c>
    </row>
    <row r="484" spans="1:101">
      <c r="A484" s="17" t="s">
        <v>1066</v>
      </c>
      <c r="B484" s="17" t="s">
        <v>1067</v>
      </c>
      <c r="C484" s="17" t="s">
        <v>86</v>
      </c>
      <c r="D484" s="26">
        <v>40114</v>
      </c>
      <c r="E484" s="17">
        <v>16.7</v>
      </c>
      <c r="F484" s="20" t="s">
        <v>181</v>
      </c>
      <c r="G484" s="17">
        <v>2026</v>
      </c>
      <c r="I484" s="20">
        <v>2</v>
      </c>
      <c r="J484" s="20" t="s">
        <v>122</v>
      </c>
      <c r="K484" s="20" t="s">
        <v>101</v>
      </c>
      <c r="L484" s="20" t="s">
        <v>224</v>
      </c>
      <c r="S484" s="20">
        <v>80.400000000000006</v>
      </c>
      <c r="T484" s="20">
        <v>153.9</v>
      </c>
      <c r="U484" s="17">
        <v>42.2</v>
      </c>
      <c r="V484" s="17">
        <v>25</v>
      </c>
      <c r="W484" s="17">
        <v>8.1</v>
      </c>
      <c r="X484" s="17">
        <v>34.1</v>
      </c>
      <c r="Y484" s="17">
        <v>18.399999999999999</v>
      </c>
      <c r="Z484" s="17">
        <v>17.7</v>
      </c>
      <c r="AA484" s="17">
        <v>19.100000000000001</v>
      </c>
      <c r="AB484" s="17">
        <v>5.16</v>
      </c>
      <c r="AC484" s="17">
        <v>103</v>
      </c>
      <c r="AD484" s="17">
        <v>5.14</v>
      </c>
      <c r="AE484" s="17">
        <v>102.8</v>
      </c>
      <c r="AF484" s="17">
        <v>1.5</v>
      </c>
      <c r="AG484" s="17">
        <v>87.4</v>
      </c>
      <c r="AH484" s="17">
        <v>1.5</v>
      </c>
      <c r="AI484" s="17">
        <v>87</v>
      </c>
      <c r="AJ484" s="17">
        <v>361.9</v>
      </c>
      <c r="AK484" s="17">
        <v>363.1</v>
      </c>
      <c r="AL484" s="17">
        <v>316.60000000000002</v>
      </c>
      <c r="AM484" s="17">
        <v>320.3</v>
      </c>
      <c r="AN484" s="17">
        <v>83</v>
      </c>
      <c r="AQ484" s="17">
        <v>26.2</v>
      </c>
      <c r="AR484" s="17">
        <v>0.46200000000000002</v>
      </c>
      <c r="AS484" s="17">
        <v>31.5</v>
      </c>
      <c r="AT484" s="17">
        <v>0.50700000000000001</v>
      </c>
      <c r="AU484" s="17">
        <v>15.4</v>
      </c>
      <c r="AV484" s="17">
        <v>0.35499999999999998</v>
      </c>
      <c r="AW484" s="17">
        <v>18.100000000000001</v>
      </c>
      <c r="AX484" s="17">
        <v>0.38400000000000001</v>
      </c>
      <c r="AY484" s="41">
        <f t="shared" si="151"/>
        <v>1447</v>
      </c>
      <c r="BA484" s="20">
        <f t="shared" si="152"/>
        <v>1768.71</v>
      </c>
      <c r="BC484" s="20">
        <f t="shared" si="153"/>
        <v>791.44</v>
      </c>
      <c r="BE484" s="20">
        <f t="shared" si="154"/>
        <v>955.32999999999993</v>
      </c>
      <c r="BG484" s="17">
        <v>19</v>
      </c>
      <c r="BH484" s="17">
        <v>40</v>
      </c>
      <c r="BI484" s="20">
        <f t="shared" si="150"/>
        <v>21</v>
      </c>
      <c r="BJ484" s="20"/>
      <c r="BK484" s="17">
        <v>5.5</v>
      </c>
      <c r="BL484" s="20"/>
      <c r="BM484" s="17">
        <v>5</v>
      </c>
      <c r="BN484" s="20"/>
      <c r="BO484" s="17">
        <v>45.5</v>
      </c>
      <c r="BP484" s="17">
        <v>46.5</v>
      </c>
      <c r="BQ484" s="17">
        <v>72</v>
      </c>
      <c r="BR484" s="17">
        <v>79</v>
      </c>
      <c r="BS484" s="17">
        <v>72</v>
      </c>
      <c r="BT484" s="17">
        <v>75</v>
      </c>
      <c r="BU484" s="17">
        <v>72</v>
      </c>
      <c r="BV484" s="17">
        <v>73</v>
      </c>
      <c r="BW484" s="91">
        <f t="shared" si="155"/>
        <v>101.13378684807257</v>
      </c>
      <c r="BX484" s="91" t="str">
        <f>_xlfn.XLOOKUP(BW484,'Normative data'!$V$3:$V$6,'Normative data'!$W$3:$W$6,"Not Found",-1)</f>
        <v>Low risk</v>
      </c>
      <c r="BY484" s="91">
        <f t="shared" si="156"/>
        <v>99.773242630385482</v>
      </c>
      <c r="BZ484" s="91" t="str">
        <f>_xlfn.XLOOKUP(BY484,'Normative data'!$V$3:$V$6,'Normative data'!$W$3:$W$6,"Not Found",-1)</f>
        <v>Low risk</v>
      </c>
      <c r="CA484" s="17">
        <v>37</v>
      </c>
      <c r="CC484" s="20"/>
      <c r="CE484" s="17">
        <v>21</v>
      </c>
      <c r="CG484" s="17">
        <v>18.100000000000001</v>
      </c>
      <c r="CH484" s="20" t="str">
        <f>_xlfn.XLOOKUP(CG484, 'Normative data'!$S$9:$S$15,'Normative data'!$T$9:$T$15, "Not Found", -1)</f>
        <v>Average</v>
      </c>
      <c r="CI484" s="17">
        <v>18.850000000000001</v>
      </c>
      <c r="CJ484" s="20" t="str">
        <f>_xlfn.XLOOKUP(CI484, 'Normative data'!$S$9:$S$15, 'Normative data'!$T$9:$T$15, "Not Found", -1)</f>
        <v>Average</v>
      </c>
      <c r="CK484" s="17">
        <v>2.19</v>
      </c>
      <c r="CL484" s="17">
        <v>4.57</v>
      </c>
      <c r="CN484" s="17">
        <v>6.78</v>
      </c>
      <c r="CO484" s="17">
        <v>7.37</v>
      </c>
      <c r="CQ484" s="17">
        <v>8.11</v>
      </c>
      <c r="CR484" s="20" t="str" cm="1">
        <f t="array" ref="CR484">IF(OR(ISBLANK(E484),ISBLANK(CQ484)),"Incomplete",_xlfn.XLOOKUP(CQ484,_xlfn.XLOOKUP(E484,'Normative data'!$Y$3:$Y$6,'Normative data'!$Z$3:$AG$6,,-1),'Normative data'!$Z$2:$AG$2,"Not Found",-1))</f>
        <v>Average</v>
      </c>
      <c r="CS484" s="20">
        <v>8</v>
      </c>
      <c r="CT484" s="20">
        <v>11</v>
      </c>
      <c r="CU484" s="20" cm="1">
        <f t="array" ref="CU484">_xlfn.XLOOKUP(CS484&amp;CT484,(VLOOKUP!$A$3:$A$250)&amp;(VLOOKUP!$B$3:$B$250),VLOOKUP!$C$3:$C$250,"Incomplete",-1)</f>
        <v>1440</v>
      </c>
      <c r="CV484" s="20" t="str" cm="1">
        <f t="array" ref="CV484">_xlfn.XLOOKUP(CU484, _xlfn.XLOOKUP(E484, 'Normative data'!$Y$11:$Y$14, 'Normative data'!$Z$11:$AG$14, ,-1), 'Normative data'!$Z$10:$AG$10, "Not Found", -1)</f>
        <v>Average</v>
      </c>
      <c r="CW484" s="20" cm="1">
        <f t="array" ref="CW484">IF(OR(ISBLANK(CS484),ISBLANK(CT484)),"Incomplete",_xlfn.XLOOKUP(CS484&amp;CT484,VLOOKUP!$A$4:$A$250&amp;VLOOKUP!$B$4:$B$250,VLOOKUP!$D$4:$D$250,"0"))</f>
        <v>44</v>
      </c>
    </row>
    <row r="485" spans="1:101">
      <c r="A485" s="17" t="s">
        <v>1068</v>
      </c>
      <c r="B485" s="17" t="s">
        <v>1067</v>
      </c>
      <c r="C485" s="17" t="s">
        <v>86</v>
      </c>
      <c r="D485" s="26">
        <v>40683</v>
      </c>
      <c r="E485" s="17">
        <v>14.9</v>
      </c>
      <c r="F485" s="20" t="s">
        <v>87</v>
      </c>
      <c r="G485" s="17">
        <v>2026</v>
      </c>
      <c r="I485" s="20">
        <v>2</v>
      </c>
      <c r="J485" s="20" t="s">
        <v>88</v>
      </c>
      <c r="K485" s="20" t="s">
        <v>194</v>
      </c>
      <c r="L485" s="20"/>
      <c r="S485" s="20">
        <v>91.9</v>
      </c>
      <c r="T485" s="20">
        <v>176.7</v>
      </c>
      <c r="U485" s="17">
        <v>64</v>
      </c>
      <c r="V485" s="17">
        <v>38.9</v>
      </c>
      <c r="W485" s="17">
        <v>11</v>
      </c>
      <c r="X485" s="17">
        <v>53</v>
      </c>
      <c r="Y485" s="17">
        <v>29.3</v>
      </c>
      <c r="Z485" s="17">
        <v>20.5</v>
      </c>
      <c r="AA485" s="17">
        <v>17.2</v>
      </c>
      <c r="AB485" s="17">
        <v>8.3000000000000007</v>
      </c>
      <c r="AC485" s="17">
        <v>112.2</v>
      </c>
      <c r="AD485" s="17">
        <v>8.33</v>
      </c>
      <c r="AE485" s="17">
        <v>112.6</v>
      </c>
      <c r="AF485" s="17">
        <v>1.7</v>
      </c>
      <c r="AG485" s="17">
        <v>60.6</v>
      </c>
      <c r="AH485" s="17">
        <v>1.7</v>
      </c>
      <c r="AI485" s="17">
        <v>60.5</v>
      </c>
      <c r="AJ485" s="17">
        <v>285.7</v>
      </c>
      <c r="AK485" s="17">
        <v>282.10000000000002</v>
      </c>
      <c r="AL485" s="17">
        <v>258.39999999999998</v>
      </c>
      <c r="AM485" s="17">
        <v>256</v>
      </c>
      <c r="AN485" s="17">
        <v>123</v>
      </c>
      <c r="AO485" s="17">
        <v>0.84</v>
      </c>
      <c r="AP485" s="17">
        <v>7.1</v>
      </c>
      <c r="AQ485" s="17">
        <v>25.8</v>
      </c>
      <c r="AR485" s="17">
        <v>0.45900000000000002</v>
      </c>
      <c r="AS485" s="17">
        <v>29.7</v>
      </c>
      <c r="AT485" s="17">
        <v>0.49199999999999999</v>
      </c>
      <c r="AU485" s="17">
        <v>13.5</v>
      </c>
      <c r="AV485" s="17">
        <v>0.33200000000000002</v>
      </c>
      <c r="AW485" s="17">
        <v>13.4</v>
      </c>
      <c r="AX485" s="17">
        <v>0.33100000000000002</v>
      </c>
      <c r="AY485" s="41">
        <f t="shared" si="151"/>
        <v>2410.2600000000002</v>
      </c>
      <c r="BA485" s="20">
        <f t="shared" si="152"/>
        <v>2646.99</v>
      </c>
      <c r="BC485" s="20">
        <f t="shared" si="153"/>
        <v>1663.6499999999996</v>
      </c>
      <c r="BE485" s="20">
        <f t="shared" si="154"/>
        <v>1657.58</v>
      </c>
      <c r="BG485" s="17">
        <v>14</v>
      </c>
      <c r="BH485" s="17">
        <v>57.5</v>
      </c>
      <c r="BI485" s="20">
        <f t="shared" si="150"/>
        <v>43.5</v>
      </c>
      <c r="BJ485" s="20"/>
      <c r="BK485" s="17">
        <v>17</v>
      </c>
      <c r="BL485" s="20"/>
      <c r="BM485" s="17">
        <v>13</v>
      </c>
      <c r="BN485" s="20"/>
      <c r="BO485" s="17">
        <v>46</v>
      </c>
      <c r="BP485" s="17">
        <v>47</v>
      </c>
      <c r="BQ485" s="17">
        <v>88</v>
      </c>
      <c r="BR485" s="17">
        <v>90</v>
      </c>
      <c r="BS485" s="17">
        <v>88</v>
      </c>
      <c r="BT485" s="17">
        <v>88</v>
      </c>
      <c r="BU485" s="17">
        <v>89</v>
      </c>
      <c r="BV485" s="17">
        <v>99</v>
      </c>
      <c r="BW485" s="91">
        <f t="shared" si="155"/>
        <v>104.55974842767297</v>
      </c>
      <c r="BX485" s="91" t="str">
        <f>_xlfn.XLOOKUP(BW485,'Normative data'!$V$3:$V$6,'Normative data'!$W$3:$W$6,"Not Found",-1)</f>
        <v>Low risk</v>
      </c>
      <c r="BY485" s="91">
        <f t="shared" si="156"/>
        <v>108.49056603773587</v>
      </c>
      <c r="BZ485" s="91" t="str">
        <f>_xlfn.XLOOKUP(BY485,'Normative data'!$V$3:$V$6,'Normative data'!$W$3:$W$6,"Not Found",-1)</f>
        <v>Low risk</v>
      </c>
      <c r="CA485" s="17">
        <v>45</v>
      </c>
      <c r="CC485" s="20"/>
      <c r="CE485" s="17">
        <v>31</v>
      </c>
      <c r="CG485" s="17">
        <v>17.97</v>
      </c>
      <c r="CH485" s="20" t="str">
        <f>_xlfn.XLOOKUP(CG485, 'Normative data'!$S$9:$S$15,'Normative data'!$T$9:$T$15, "Not Found", -1)</f>
        <v>Above Average</v>
      </c>
      <c r="CI485" s="17">
        <v>18.079999999999998</v>
      </c>
      <c r="CJ485" s="20" t="str">
        <f>_xlfn.XLOOKUP(CI485, 'Normative data'!$S$9:$S$15, 'Normative data'!$T$9:$T$15, "Not Found", -1)</f>
        <v>Average</v>
      </c>
      <c r="CK485" s="17">
        <v>2.12</v>
      </c>
      <c r="CL485" s="17">
        <v>4.72</v>
      </c>
      <c r="CN485" s="17">
        <v>6.67</v>
      </c>
      <c r="CO485" s="17">
        <v>7.5</v>
      </c>
      <c r="CQ485" s="17">
        <v>10.199999999999999</v>
      </c>
      <c r="CR485" s="20" t="str" cm="1">
        <f t="array" ref="CR485">IF(OR(ISBLANK(E485),ISBLANK(CQ485)),"Incomplete",_xlfn.XLOOKUP(CQ485,_xlfn.XLOOKUP(E485,'Normative data'!$Y$3:$Y$6,'Normative data'!$Z$3:$AG$6,,-1),'Normative data'!$Z$2:$AG$2,"Not Found",-1))</f>
        <v>Very good</v>
      </c>
      <c r="CS485" s="20">
        <v>10</v>
      </c>
      <c r="CT485" s="20">
        <v>2</v>
      </c>
      <c r="CU485" s="20" cm="1">
        <f t="array" ref="CU485">_xlfn.XLOOKUP(CS485&amp;CT485,(VLOOKUP!$A$3:$A$250)&amp;(VLOOKUP!$B$3:$B$250),VLOOKUP!$C$3:$C$250,"Incomplete",-1)</f>
        <v>1700</v>
      </c>
      <c r="CV485" s="20" t="str" cm="1">
        <f t="array" ref="CV485">_xlfn.XLOOKUP(CU485, _xlfn.XLOOKUP(E485, 'Normative data'!$Y$11:$Y$14, 'Normative data'!$Z$11:$AG$14, ,-1), 'Normative data'!$Z$10:$AG$10, "Not Found", -1)</f>
        <v xml:space="preserve">Good </v>
      </c>
      <c r="CW485" s="20" cm="1">
        <f t="array" ref="CW485">IF(OR(ISBLANK(CS485),ISBLANK(CT485)),"Incomplete",_xlfn.XLOOKUP(CS485&amp;CT485,VLOOKUP!$A$4:$A$250&amp;VLOOKUP!$B$4:$B$250,VLOOKUP!$D$4:$D$250,"0"))</f>
        <v>47</v>
      </c>
    </row>
    <row r="486" spans="1:101">
      <c r="A486" s="17" t="s">
        <v>1069</v>
      </c>
      <c r="B486" s="17" t="s">
        <v>1067</v>
      </c>
      <c r="C486" s="17" t="s">
        <v>86</v>
      </c>
      <c r="D486" s="26">
        <v>39556</v>
      </c>
      <c r="E486" s="17">
        <v>18.2</v>
      </c>
      <c r="F486" s="20">
        <v>12</v>
      </c>
      <c r="G486" s="17">
        <v>2026</v>
      </c>
      <c r="I486" s="20">
        <v>2</v>
      </c>
      <c r="J486" s="20" t="s">
        <v>122</v>
      </c>
      <c r="K486" s="20" t="s">
        <v>95</v>
      </c>
      <c r="L486" s="20"/>
      <c r="S486" s="20">
        <v>87.8</v>
      </c>
      <c r="T486" s="20">
        <v>163.9</v>
      </c>
      <c r="U486" s="17">
        <v>65</v>
      </c>
      <c r="V486" s="17">
        <v>34.5</v>
      </c>
      <c r="W486" s="17">
        <v>17.8</v>
      </c>
      <c r="X486" s="17">
        <v>47.2</v>
      </c>
      <c r="Y486" s="17">
        <v>26</v>
      </c>
      <c r="Z486" s="17">
        <v>24.2</v>
      </c>
      <c r="AA486" s="17">
        <v>27.4</v>
      </c>
      <c r="AB486" s="17">
        <v>7.39</v>
      </c>
      <c r="AC486" s="17">
        <v>108.4</v>
      </c>
      <c r="AD486" s="17">
        <v>7.33</v>
      </c>
      <c r="AE486" s="17">
        <v>107.4</v>
      </c>
      <c r="AF486" s="17">
        <v>2.9</v>
      </c>
      <c r="AG486" s="17">
        <v>122.2</v>
      </c>
      <c r="AH486" s="17">
        <v>2.9</v>
      </c>
      <c r="AI486" s="17">
        <v>121.1</v>
      </c>
      <c r="AJ486" s="17">
        <v>255.7</v>
      </c>
      <c r="AK486" s="17">
        <v>258.10000000000002</v>
      </c>
      <c r="AL486" s="17">
        <v>225.3</v>
      </c>
      <c r="AM486" s="17">
        <v>228.6</v>
      </c>
      <c r="AN486" s="17">
        <v>80</v>
      </c>
      <c r="AQ486" s="17">
        <v>19.100000000000001</v>
      </c>
      <c r="AR486" s="17">
        <v>0.39500000000000002</v>
      </c>
      <c r="AS486" s="17">
        <v>23.2</v>
      </c>
      <c r="AT486" s="17">
        <v>0.435</v>
      </c>
      <c r="AU486" s="17">
        <v>8.5</v>
      </c>
      <c r="AV486" s="17">
        <v>0.26400000000000001</v>
      </c>
      <c r="AW486" s="17">
        <v>10.7</v>
      </c>
      <c r="AX486" s="17">
        <v>0.29599999999999999</v>
      </c>
      <c r="AY486" s="41">
        <f t="shared" si="151"/>
        <v>2048.87</v>
      </c>
      <c r="BA486" s="20">
        <f t="shared" si="152"/>
        <v>2297.7399999999998</v>
      </c>
      <c r="BC486" s="20">
        <f t="shared" si="153"/>
        <v>1405.4499999999998</v>
      </c>
      <c r="BE486" s="20">
        <f t="shared" si="154"/>
        <v>1538.9899999999998</v>
      </c>
      <c r="BG486" s="17">
        <v>17</v>
      </c>
      <c r="BH486" s="17">
        <v>63</v>
      </c>
      <c r="BI486" s="20">
        <f t="shared" si="150"/>
        <v>46</v>
      </c>
      <c r="BJ486" s="20"/>
      <c r="BK486" s="17">
        <v>9</v>
      </c>
      <c r="BL486" s="20"/>
      <c r="BM486" s="17">
        <v>9.5</v>
      </c>
      <c r="BN486" s="20"/>
      <c r="BO486" s="17">
        <v>54.5</v>
      </c>
      <c r="BP486" s="17">
        <v>52</v>
      </c>
      <c r="BQ486" s="17">
        <v>76</v>
      </c>
      <c r="BR486" s="17">
        <v>81</v>
      </c>
      <c r="BS486" s="17">
        <v>82</v>
      </c>
      <c r="BT486" s="17">
        <v>86</v>
      </c>
      <c r="BU486" s="17">
        <v>84</v>
      </c>
      <c r="BV486" s="17">
        <v>76</v>
      </c>
      <c r="BW486" s="91">
        <f t="shared" si="155"/>
        <v>104.6868155935173</v>
      </c>
      <c r="BX486" s="91" t="str">
        <f>_xlfn.XLOOKUP(BW486,'Normative data'!$V$3:$V$6,'Normative data'!$W$3:$W$6,"Not Found",-1)</f>
        <v>Low risk</v>
      </c>
      <c r="BY486" s="91">
        <f t="shared" si="156"/>
        <v>107.75295663600527</v>
      </c>
      <c r="BZ486" s="91" t="str">
        <f>_xlfn.XLOOKUP(BY486,'Normative data'!$V$3:$V$6,'Normative data'!$W$3:$W$6,"Not Found",-1)</f>
        <v>Low risk</v>
      </c>
      <c r="CA486" s="17">
        <v>29</v>
      </c>
      <c r="CC486" s="20"/>
      <c r="CE486" s="17">
        <v>21</v>
      </c>
      <c r="CG486" s="17">
        <v>18.61</v>
      </c>
      <c r="CH486" s="20" t="str">
        <f>_xlfn.XLOOKUP(CG486, 'Normative data'!$S$9:$S$15,'Normative data'!$T$9:$T$15, "Not Found", -1)</f>
        <v>Average</v>
      </c>
      <c r="CI486" s="17">
        <v>18.350000000000001</v>
      </c>
      <c r="CJ486" s="20" t="str">
        <f>_xlfn.XLOOKUP(CI486, 'Normative data'!$S$9:$S$15, 'Normative data'!$T$9:$T$15, "Not Found", -1)</f>
        <v>Average</v>
      </c>
      <c r="CK486" s="21"/>
      <c r="CL486" s="21"/>
      <c r="CM486" s="21"/>
      <c r="CN486" s="21"/>
      <c r="CO486" s="21"/>
      <c r="CR486" s="20" t="str" cm="1">
        <f t="array" ref="CR486">IF(OR(ISBLANK(E486),ISBLANK(CQ486)),"Incomplete",_xlfn.XLOOKUP(CQ486,_xlfn.XLOOKUP(E486,'Normative data'!$Y$3:$Y$6,'Normative data'!$Z$3:$AG$6,,-1),'Normative data'!$Z$2:$AG$2,"Not Found",-1))</f>
        <v>Incomplete</v>
      </c>
      <c r="CS486" s="20"/>
      <c r="CT486" s="20"/>
      <c r="CU486" s="20" t="str" cm="1">
        <f t="array" ref="CU486">_xlfn.XLOOKUP(CS486&amp;CT486,(VLOOKUP!$A$3:$A$250)&amp;(VLOOKUP!$B$3:$B$250),VLOOKUP!$C$3:$C$250,"Incomplete",-1)</f>
        <v>Incomplete</v>
      </c>
      <c r="CV486" s="20" t="str" cm="1">
        <f t="array" ref="CV486">_xlfn.XLOOKUP(CU486, _xlfn.XLOOKUP(E486, 'Normative data'!$Y$11:$Y$14, 'Normative data'!$Z$11:$AG$14, ,-1), 'Normative data'!$Z$10:$AG$10, "Not Found", -1)</f>
        <v>Excellent</v>
      </c>
      <c r="CW486" s="20" t="str" cm="1">
        <f t="array" ref="CW486">IF(OR(ISBLANK(CS486),ISBLANK(CT486)),"Incomplete",_xlfn.XLOOKUP(CS486&amp;CT486,VLOOKUP!$A$4:$A$250&amp;VLOOKUP!$B$4:$B$250,VLOOKUP!$D$4:$D$250,"0"))</f>
        <v>Incomplete</v>
      </c>
    </row>
    <row r="487" spans="1:101">
      <c r="A487" s="17" t="s">
        <v>949</v>
      </c>
      <c r="B487" s="17" t="s">
        <v>1070</v>
      </c>
      <c r="C487" s="17" t="s">
        <v>86</v>
      </c>
      <c r="D487" s="26">
        <v>40044</v>
      </c>
      <c r="E487" s="17">
        <v>16.7</v>
      </c>
      <c r="F487" s="20" t="s">
        <v>181</v>
      </c>
      <c r="G487" s="17">
        <v>2026</v>
      </c>
      <c r="I487" s="20">
        <v>2</v>
      </c>
      <c r="J487" s="20" t="s">
        <v>122</v>
      </c>
      <c r="K487" s="20" t="s">
        <v>228</v>
      </c>
      <c r="L487" s="20"/>
      <c r="S487" s="20">
        <v>86.8</v>
      </c>
      <c r="T487" s="20">
        <v>167.9</v>
      </c>
      <c r="U487" s="17">
        <v>56.8</v>
      </c>
      <c r="V487" s="17">
        <v>28.7</v>
      </c>
      <c r="W487" s="17">
        <v>17.5</v>
      </c>
      <c r="X487" s="17">
        <v>39.299999999999997</v>
      </c>
      <c r="Y487" s="17">
        <v>21.2</v>
      </c>
      <c r="Z487" s="17">
        <v>20.100000000000001</v>
      </c>
      <c r="AA487" s="17">
        <v>30.8</v>
      </c>
      <c r="AB487" s="17">
        <v>6.44</v>
      </c>
      <c r="AC487" s="17">
        <v>98.1</v>
      </c>
      <c r="AD487" s="17">
        <v>6.42</v>
      </c>
      <c r="AE487" s="17">
        <v>97.7</v>
      </c>
      <c r="AF487" s="17">
        <v>2.9</v>
      </c>
      <c r="AG487" s="17">
        <v>110.4</v>
      </c>
      <c r="AH487" s="17">
        <v>2.9</v>
      </c>
      <c r="AI487" s="17">
        <v>110.6</v>
      </c>
      <c r="AJ487" s="17">
        <v>356.1</v>
      </c>
      <c r="AK487" s="17">
        <v>360.1</v>
      </c>
      <c r="AL487" s="17">
        <v>322.39999999999998</v>
      </c>
      <c r="AM487" s="17">
        <v>325.5</v>
      </c>
      <c r="AN487" s="17">
        <v>92</v>
      </c>
      <c r="AO487" s="17">
        <v>0.87</v>
      </c>
      <c r="AP487" s="17">
        <v>5.8</v>
      </c>
      <c r="AQ487" s="20"/>
      <c r="AR487" s="20"/>
      <c r="AS487" s="20"/>
      <c r="AT487" s="20"/>
      <c r="AU487" s="20"/>
      <c r="AV487" s="20"/>
      <c r="AW487" s="20"/>
      <c r="AX487" s="20"/>
      <c r="AY487" s="41" t="str">
        <f t="shared" si="151"/>
        <v>Incomplete</v>
      </c>
      <c r="BA487" s="20" t="str">
        <f t="shared" si="152"/>
        <v>Incomplete</v>
      </c>
      <c r="BC487" s="20" t="str">
        <f t="shared" si="153"/>
        <v>Incomplete</v>
      </c>
      <c r="BE487" s="20" t="str">
        <f t="shared" si="154"/>
        <v>Incomplete</v>
      </c>
      <c r="BG487" s="17">
        <v>11.2</v>
      </c>
      <c r="BH487" s="17">
        <v>40</v>
      </c>
      <c r="BI487" s="20">
        <f t="shared" si="150"/>
        <v>28.8</v>
      </c>
      <c r="BJ487" s="20"/>
      <c r="BL487" s="20"/>
      <c r="BM487" s="20"/>
      <c r="BN487" s="20"/>
      <c r="BW487" s="91">
        <f t="shared" si="155"/>
        <v>0</v>
      </c>
      <c r="BX487" s="91" t="str">
        <f>_xlfn.XLOOKUP(BW487,'Normative data'!$V$3:$V$6,'Normative data'!$W$3:$W$6,"Not Found",-1)</f>
        <v>Not completed</v>
      </c>
      <c r="BY487" s="91">
        <f t="shared" si="156"/>
        <v>0</v>
      </c>
      <c r="BZ487" s="91" t="str">
        <f>_xlfn.XLOOKUP(BY487,'Normative data'!$V$3:$V$6,'Normative data'!$W$3:$W$6,"Not Found",-1)</f>
        <v>Not completed</v>
      </c>
      <c r="CG487" s="20"/>
      <c r="CH487" s="20" t="str">
        <f>_xlfn.XLOOKUP(CG487, 'Normative data'!$S$9:$S$15,'Normative data'!$T$9:$T$15, "Not Found", -1)</f>
        <v>not completed</v>
      </c>
      <c r="CI487" s="20"/>
      <c r="CJ487" s="20" t="str">
        <f>_xlfn.XLOOKUP(CI487, 'Normative data'!$S$9:$S$15, 'Normative data'!$T$9:$T$15, "Not Found", -1)</f>
        <v>not completed</v>
      </c>
      <c r="CK487" s="21"/>
      <c r="CL487" s="21"/>
      <c r="CM487" s="21"/>
      <c r="CN487" s="21"/>
      <c r="CO487" s="21"/>
      <c r="CR487" s="20" t="str" cm="1">
        <f t="array" ref="CR487">IF(OR(ISBLANK(E487),ISBLANK(CQ487)),"Incomplete",_xlfn.XLOOKUP(CQ487,_xlfn.XLOOKUP(E487,'Normative data'!$Y$3:$Y$6,'Normative data'!$Z$3:$AG$6,,-1),'Normative data'!$Z$2:$AG$2,"Not Found",-1))</f>
        <v>Incomplete</v>
      </c>
      <c r="CS487" s="20"/>
      <c r="CT487" s="20"/>
      <c r="CU487" s="20" t="str" cm="1">
        <f t="array" ref="CU487">_xlfn.XLOOKUP(CS487&amp;CT487,(VLOOKUP!$A$3:$A$250)&amp;(VLOOKUP!$B$3:$B$250),VLOOKUP!$C$3:$C$250,"Incomplete",-1)</f>
        <v>Incomplete</v>
      </c>
      <c r="CV487" s="20" t="str" cm="1">
        <f t="array" ref="CV487">_xlfn.XLOOKUP(CU487, _xlfn.XLOOKUP(E487, 'Normative data'!$Y$11:$Y$14, 'Normative data'!$Z$11:$AG$14, ,-1), 'Normative data'!$Z$10:$AG$10, "Not Found", -1)</f>
        <v>Excellent</v>
      </c>
      <c r="CW487" s="20" t="str" cm="1">
        <f t="array" ref="CW487">IF(OR(ISBLANK(CS487),ISBLANK(CT487)),"Incomplete",_xlfn.XLOOKUP(CS487&amp;CT487,VLOOKUP!$A$4:$A$250&amp;VLOOKUP!$B$4:$B$250,VLOOKUP!$D$4:$D$250,"0"))</f>
        <v>Incomplete</v>
      </c>
    </row>
    <row r="488" spans="1:101">
      <c r="A488" s="17" t="s">
        <v>997</v>
      </c>
      <c r="B488" s="17" t="s">
        <v>996</v>
      </c>
      <c r="C488" s="17" t="s">
        <v>86</v>
      </c>
      <c r="D488" s="26">
        <v>40851</v>
      </c>
      <c r="E488" s="17">
        <v>15</v>
      </c>
      <c r="F488" s="20" t="s">
        <v>104</v>
      </c>
      <c r="G488" s="17">
        <v>2026</v>
      </c>
      <c r="I488" s="20">
        <v>2</v>
      </c>
      <c r="J488" s="20" t="s">
        <v>100</v>
      </c>
      <c r="K488" s="20" t="s">
        <v>556</v>
      </c>
      <c r="L488" s="20"/>
      <c r="S488" s="20">
        <v>80.599999999999994</v>
      </c>
      <c r="T488" s="20">
        <v>157.4</v>
      </c>
      <c r="U488" s="17">
        <v>50.9</v>
      </c>
      <c r="V488" s="17">
        <v>29.5</v>
      </c>
      <c r="W488" s="17">
        <v>10.7</v>
      </c>
      <c r="X488" s="17">
        <v>40.200000000000003</v>
      </c>
      <c r="Y488" s="17">
        <v>21.8</v>
      </c>
      <c r="Z488" s="17">
        <v>20.5</v>
      </c>
      <c r="AA488" s="17">
        <v>21</v>
      </c>
      <c r="AB488" s="17">
        <v>5.47</v>
      </c>
      <c r="AC488" s="17">
        <v>96.2</v>
      </c>
      <c r="AD488" s="17">
        <v>5.84</v>
      </c>
      <c r="AE488" s="17">
        <v>102.7</v>
      </c>
      <c r="AF488" s="17">
        <v>1.7</v>
      </c>
      <c r="AG488" s="17">
        <v>86.2</v>
      </c>
      <c r="AH488" s="17">
        <v>1.7</v>
      </c>
      <c r="AI488" s="17">
        <v>88.3</v>
      </c>
      <c r="AJ488" s="17">
        <v>319.10000000000002</v>
      </c>
      <c r="AK488" s="17">
        <v>278.5</v>
      </c>
      <c r="AL488" s="17">
        <v>287.10000000000002</v>
      </c>
      <c r="AM488" s="17">
        <v>251.4</v>
      </c>
      <c r="AN488" s="17">
        <v>95</v>
      </c>
      <c r="AO488" s="17">
        <v>0.84</v>
      </c>
      <c r="AP488" s="17">
        <v>6.2</v>
      </c>
      <c r="AQ488" s="17">
        <v>28.7</v>
      </c>
      <c r="AR488" s="17">
        <v>0.48399999999999999</v>
      </c>
      <c r="AS488" s="17">
        <v>29.9</v>
      </c>
      <c r="AT488" s="17">
        <v>0.49399999999999999</v>
      </c>
      <c r="AU488" s="17">
        <v>12.2</v>
      </c>
      <c r="AV488" s="17">
        <v>0.316</v>
      </c>
      <c r="AW488" s="17">
        <v>12</v>
      </c>
      <c r="AX488" s="17">
        <v>0.313</v>
      </c>
      <c r="AY488" s="41">
        <f t="shared" si="151"/>
        <v>1992.8600000000001</v>
      </c>
      <c r="BA488" s="20">
        <f t="shared" si="152"/>
        <v>2065.6999999999998</v>
      </c>
      <c r="BC488" s="20">
        <f t="shared" si="153"/>
        <v>991.31</v>
      </c>
      <c r="BE488" s="20">
        <f t="shared" si="154"/>
        <v>979.17000000000007</v>
      </c>
      <c r="BG488" s="17">
        <v>5.9</v>
      </c>
      <c r="BH488" s="17">
        <v>28.2</v>
      </c>
      <c r="BI488" s="20">
        <f t="shared" si="150"/>
        <v>22.299999999999997</v>
      </c>
      <c r="BJ488" s="20"/>
      <c r="BK488" s="17">
        <v>13</v>
      </c>
      <c r="BL488" s="20"/>
      <c r="BM488" s="17">
        <v>11.5</v>
      </c>
      <c r="BN488" s="20"/>
      <c r="BO488" s="17">
        <v>49.5</v>
      </c>
      <c r="BP488" s="17">
        <v>48</v>
      </c>
      <c r="BQ488" s="17">
        <v>77</v>
      </c>
      <c r="BR488" s="17">
        <v>87</v>
      </c>
      <c r="BS488" s="17">
        <v>82</v>
      </c>
      <c r="BT488" s="17">
        <v>65</v>
      </c>
      <c r="BU488" s="17">
        <v>76</v>
      </c>
      <c r="BV488" s="17">
        <v>79</v>
      </c>
      <c r="BW488" s="91">
        <f t="shared" si="155"/>
        <v>106.77083333333333</v>
      </c>
      <c r="BX488" s="91" t="str">
        <f>_xlfn.XLOOKUP(BW488,'Normative data'!$V$3:$V$6,'Normative data'!$W$3:$W$6,"Not Found",-1)</f>
        <v>Low risk</v>
      </c>
      <c r="BY488" s="91">
        <f t="shared" si="156"/>
        <v>95.4861111111111</v>
      </c>
      <c r="BZ488" s="91" t="str">
        <f>_xlfn.XLOOKUP(BY488,'Normative data'!$V$3:$V$6,'Normative data'!$W$3:$W$6,"Not Found",-1)</f>
        <v>High risk</v>
      </c>
      <c r="CA488" s="17">
        <v>30</v>
      </c>
      <c r="CC488" s="20"/>
      <c r="CE488" s="17">
        <v>30</v>
      </c>
      <c r="CG488" s="17">
        <v>18.36</v>
      </c>
      <c r="CH488" s="20" t="str">
        <f>_xlfn.XLOOKUP(CG488, 'Normative data'!$S$9:$S$15,'Normative data'!$T$9:$T$15, "Not Found", -1)</f>
        <v>Average</v>
      </c>
      <c r="CI488" s="17">
        <v>17.87</v>
      </c>
      <c r="CJ488" s="20" t="str">
        <f>_xlfn.XLOOKUP(CI488, 'Normative data'!$S$9:$S$15, 'Normative data'!$T$9:$T$15, "Not Found", -1)</f>
        <v>Above Average</v>
      </c>
      <c r="CK488" s="17">
        <v>2.2799999999999998</v>
      </c>
      <c r="CL488" s="17">
        <v>4.3899999999999997</v>
      </c>
      <c r="CN488" s="17">
        <v>6.9</v>
      </c>
      <c r="CO488" s="17">
        <v>7.25</v>
      </c>
      <c r="CR488" s="20" t="str" cm="1">
        <f t="array" ref="CR488">IF(OR(ISBLANK(E488),ISBLANK(CQ488)),"Incomplete",_xlfn.XLOOKUP(CQ488,_xlfn.XLOOKUP(E488,'Normative data'!$Y$3:$Y$6,'Normative data'!$Z$3:$AG$6,,-1),'Normative data'!$Z$2:$AG$2,"Not Found",-1))</f>
        <v>Incomplete</v>
      </c>
      <c r="CS488" s="20"/>
      <c r="CT488" s="20"/>
      <c r="CU488" s="20" t="str" cm="1">
        <f t="array" ref="CU488">_xlfn.XLOOKUP(CS488&amp;CT488,(VLOOKUP!$A$3:$A$250)&amp;(VLOOKUP!$B$3:$B$250),VLOOKUP!$C$3:$C$250,"Incomplete",-1)</f>
        <v>Incomplete</v>
      </c>
      <c r="CV488" s="20" t="str" cm="1">
        <f t="array" ref="CV488">_xlfn.XLOOKUP(CU488, _xlfn.XLOOKUP(E488, 'Normative data'!$Y$11:$Y$14, 'Normative data'!$Z$11:$AG$14, ,-1), 'Normative data'!$Z$10:$AG$10, "Not Found", -1)</f>
        <v>Excellent</v>
      </c>
      <c r="CW488" s="20" t="str" cm="1">
        <f t="array" ref="CW488">IF(OR(ISBLANK(CS488),ISBLANK(CT488)),"Incomplete",_xlfn.XLOOKUP(CS488&amp;CT488,VLOOKUP!$A$4:$A$250&amp;VLOOKUP!$B$4:$B$250,VLOOKUP!$D$4:$D$250,"0"))</f>
        <v>Incomplete</v>
      </c>
    </row>
    <row r="489" spans="1:101">
      <c r="A489" s="17" t="s">
        <v>1071</v>
      </c>
      <c r="B489" s="17" t="s">
        <v>809</v>
      </c>
      <c r="C489" s="17" t="s">
        <v>86</v>
      </c>
      <c r="D489" s="26"/>
      <c r="F489" s="17">
        <v>11</v>
      </c>
      <c r="G489" s="17">
        <v>2025</v>
      </c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41" t="str">
        <f t="shared" si="151"/>
        <v>Incomplete</v>
      </c>
      <c r="AZ489" s="20"/>
      <c r="BA489" s="20" t="str">
        <f t="shared" si="152"/>
        <v>Incomplete</v>
      </c>
      <c r="BB489" s="20"/>
      <c r="BC489" s="20" t="str">
        <f t="shared" si="153"/>
        <v>Incomplete</v>
      </c>
      <c r="BD489" s="20"/>
      <c r="BE489" s="20" t="str">
        <f t="shared" si="154"/>
        <v>Incomplete</v>
      </c>
      <c r="BF489" s="20"/>
      <c r="BG489" s="20">
        <v>8</v>
      </c>
      <c r="BH489" s="20">
        <v>18</v>
      </c>
      <c r="BI489" s="20">
        <f t="shared" si="150"/>
        <v>10</v>
      </c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91" t="str">
        <f t="shared" si="155"/>
        <v>Incomplete</v>
      </c>
      <c r="BX489" s="91" t="str">
        <f>_xlfn.XLOOKUP(BW489,'Normative data'!$V$3:$V$6,'Normative data'!$W$3:$W$6,"Not Found",-1)</f>
        <v>Very low risk</v>
      </c>
      <c r="BY489" s="91" t="str">
        <f t="shared" si="156"/>
        <v>Incomplete</v>
      </c>
      <c r="BZ489" s="91" t="str">
        <f>_xlfn.XLOOKUP(BY489,'Normative data'!$V$3:$V$6,'Normative data'!$W$3:$W$6,"Not Found",-1)</f>
        <v>Very low risk</v>
      </c>
      <c r="CA489" s="20"/>
      <c r="CC489" s="20"/>
      <c r="CE489" s="20">
        <v>3</v>
      </c>
      <c r="CG489" s="20"/>
      <c r="CH489" s="20" t="str">
        <f>_xlfn.XLOOKUP(CG489, 'Normative data'!$S$9:$S$15,'Normative data'!$T$9:$T$15, "Not Found", -1)</f>
        <v>not completed</v>
      </c>
      <c r="CI489" s="20"/>
      <c r="CJ489" s="20" t="str">
        <f>_xlfn.XLOOKUP(CI489, 'Normative data'!$S$9:$S$15, 'Normative data'!$T$9:$T$15, "Not Found", -1)</f>
        <v>not completed</v>
      </c>
      <c r="CK489" s="21"/>
      <c r="CL489" s="21"/>
      <c r="CM489" s="21"/>
      <c r="CN489" s="21"/>
      <c r="CO489" s="21"/>
      <c r="CQ489" s="20"/>
      <c r="CR489" s="20" t="str" cm="1">
        <f t="array" ref="CR489">IF(OR(ISBLANK(E489),ISBLANK(CQ489)),"Incomplete",_xlfn.XLOOKUP(CQ489,_xlfn.XLOOKUP(E489,'Normative data'!$Y$3:$Y$6,'Normative data'!$Z$3:$AG$6,,-1),'Normative data'!$Z$2:$AG$2,"Not Found",-1))</f>
        <v>Incomplete</v>
      </c>
      <c r="CS489" s="20"/>
      <c r="CT489" s="20"/>
      <c r="CU489" s="20" t="str" cm="1">
        <f t="array" ref="CU489">_xlfn.XLOOKUP(CS489&amp;CT489,(VLOOKUP!$A$3:$A$250)&amp;(VLOOKUP!$B$3:$B$250),VLOOKUP!$C$3:$C$250,"Incomplete",-1)</f>
        <v>Incomplete</v>
      </c>
      <c r="CV489" s="20" t="str" cm="1">
        <f t="array" ref="CV489">_xlfn.XLOOKUP(CU489, _xlfn.XLOOKUP(E489, 'Normative data'!$Y$11:$Y$14, 'Normative data'!$Z$11:$AG$14, ,-1), 'Normative data'!$Z$10:$AG$10, "Not Found", -1)</f>
        <v>Excellent</v>
      </c>
      <c r="CW489" s="20" t="str" cm="1">
        <f t="array" ref="CW489">IF(OR(ISBLANK(CS489),ISBLANK(CT489)),"Incomplete",_xlfn.XLOOKUP(CS489&amp;CT489,VLOOKUP!$A$4:$A$250&amp;VLOOKUP!$B$4:$B$250,VLOOKUP!$D$4:$D$250,"0"))</f>
        <v>Incomplete</v>
      </c>
    </row>
    <row r="490" spans="1:101">
      <c r="A490" s="18" t="s">
        <v>810</v>
      </c>
      <c r="B490" s="18" t="s">
        <v>809</v>
      </c>
      <c r="C490" s="17" t="s">
        <v>86</v>
      </c>
      <c r="D490" s="19">
        <v>40504</v>
      </c>
      <c r="F490" s="17">
        <v>9</v>
      </c>
      <c r="G490" s="17">
        <v>2025</v>
      </c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41" t="str">
        <f t="shared" si="151"/>
        <v>Incomplete</v>
      </c>
      <c r="AZ490" s="20"/>
      <c r="BA490" s="20" t="str">
        <f t="shared" si="152"/>
        <v>Incomplete</v>
      </c>
      <c r="BB490" s="20"/>
      <c r="BC490" s="20" t="str">
        <f t="shared" si="153"/>
        <v>Incomplete</v>
      </c>
      <c r="BD490" s="20"/>
      <c r="BE490" s="20" t="str">
        <f t="shared" si="154"/>
        <v>Incomplete</v>
      </c>
      <c r="BF490" s="20"/>
      <c r="BG490" s="20">
        <v>14.5</v>
      </c>
      <c r="BH490" s="20">
        <v>22</v>
      </c>
      <c r="BI490" s="20" t="e">
        <f>IF(OR(ISBLANK(#REF!), ISBLANK(#REF!)),"Incomplete",(SUM(#REF!-#REF!)))</f>
        <v>#REF!</v>
      </c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91" t="str">
        <f t="shared" si="155"/>
        <v>Incomplete</v>
      </c>
      <c r="BX490" s="91" t="str">
        <f>_xlfn.XLOOKUP(BW490,'Normative data'!$V$3:$V$6,'Normative data'!$W$3:$W$6,"Not Found",-1)</f>
        <v>Very low risk</v>
      </c>
      <c r="BY490" s="91" t="str">
        <f t="shared" si="156"/>
        <v>Incomplete</v>
      </c>
      <c r="BZ490" s="91" t="str">
        <f>_xlfn.XLOOKUP(BY490,'Normative data'!$V$3:$V$6,'Normative data'!$W$3:$W$6,"Not Found",-1)</f>
        <v>Very low risk</v>
      </c>
      <c r="CA490" s="20"/>
      <c r="CC490" s="20"/>
      <c r="CE490" s="20">
        <v>10</v>
      </c>
      <c r="CG490" s="20"/>
      <c r="CH490" s="20" t="str">
        <f>_xlfn.XLOOKUP(CG490, 'Normative data'!$S$9:$S$15,'Normative data'!$T$9:$T$15, "Not Found", -1)</f>
        <v>not completed</v>
      </c>
      <c r="CI490" s="20"/>
      <c r="CJ490" s="20" t="str">
        <f>_xlfn.XLOOKUP(CI490, 'Normative data'!$S$9:$S$15, 'Normative data'!$T$9:$T$15, "Not Found", -1)</f>
        <v>not completed</v>
      </c>
      <c r="CK490" s="21">
        <v>2.2799999999999998</v>
      </c>
      <c r="CL490" s="21">
        <v>4.3899999999999997</v>
      </c>
      <c r="CM490" s="21"/>
      <c r="CN490" s="21">
        <v>7.32</v>
      </c>
      <c r="CO490" s="21">
        <v>6.83</v>
      </c>
      <c r="CP490" s="21"/>
      <c r="CQ490" s="20"/>
      <c r="CR490" s="20" t="str" cm="1">
        <f t="array" ref="CR490">IF(OR(ISBLANK(E490),ISBLANK(CQ490)),"Incomplete",_xlfn.XLOOKUP(CQ490,_xlfn.XLOOKUP(E490,'Normative data'!$Y$3:$Y$6,'Normative data'!$Z$3:$AG$6,,-1),'Normative data'!$Z$2:$AG$2,"Not Found",-1))</f>
        <v>Incomplete</v>
      </c>
      <c r="CS490" s="20"/>
      <c r="CT490" s="20"/>
      <c r="CU490" s="20" t="str" cm="1">
        <f t="array" ref="CU490">_xlfn.XLOOKUP(CS490&amp;CT490,(VLOOKUP!$A$3:$A$250)&amp;(VLOOKUP!$B$3:$B$250),VLOOKUP!$C$3:$C$250,"Incomplete",-1)</f>
        <v>Incomplete</v>
      </c>
      <c r="CV490" s="20" t="str" cm="1">
        <f t="array" ref="CV490">_xlfn.XLOOKUP(CU490, _xlfn.XLOOKUP(E490, 'Normative data'!$Y$11:$Y$14, 'Normative data'!$Z$11:$AG$14, ,-1), 'Normative data'!$Z$10:$AG$10, "Not Found", -1)</f>
        <v>Excellent</v>
      </c>
      <c r="CW490" s="20" t="str" cm="1">
        <f t="array" ref="CW490">IF(OR(ISBLANK(CS490),ISBLANK(CT490)),"Incomplete",_xlfn.XLOOKUP(CS490&amp;CT490,VLOOKUP!$A$4:$A$250&amp;VLOOKUP!$B$4:$B$250,VLOOKUP!$D$4:$D$250,"0"))</f>
        <v>Incomplete</v>
      </c>
    </row>
    <row r="491" spans="1:101">
      <c r="A491" s="17" t="s">
        <v>1072</v>
      </c>
      <c r="B491" s="17" t="s">
        <v>809</v>
      </c>
      <c r="C491" s="17" t="s">
        <v>86</v>
      </c>
      <c r="D491" s="19">
        <v>40504</v>
      </c>
      <c r="F491" s="17">
        <v>9</v>
      </c>
      <c r="G491" s="17">
        <v>2025</v>
      </c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41" t="str">
        <f t="shared" si="151"/>
        <v>Incomplete</v>
      </c>
      <c r="AZ491" s="20"/>
      <c r="BA491" s="20" t="str">
        <f t="shared" si="152"/>
        <v>Incomplete</v>
      </c>
      <c r="BB491" s="20"/>
      <c r="BC491" s="20" t="str">
        <f t="shared" si="153"/>
        <v>Incomplete</v>
      </c>
      <c r="BD491" s="20"/>
      <c r="BE491" s="20" t="str">
        <f t="shared" si="154"/>
        <v>Incomplete</v>
      </c>
      <c r="BF491" s="20"/>
      <c r="BG491" s="20"/>
      <c r="BH491" s="20"/>
      <c r="BI491" s="20" t="str">
        <f t="shared" ref="BI491:BI505" si="157">IF(OR(ISBLANK(BG491), ISBLANK(BH491)),"Incomplete",(SUM(BH491-BG491)))</f>
        <v>Incomplete</v>
      </c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91" t="str">
        <f t="shared" si="155"/>
        <v>Incomplete</v>
      </c>
      <c r="BX491" s="91" t="str">
        <f>_xlfn.XLOOKUP(BW491,'Normative data'!$V$3:$V$6,'Normative data'!$W$3:$W$6,"Not Found",-1)</f>
        <v>Very low risk</v>
      </c>
      <c r="BY491" s="91" t="str">
        <f t="shared" si="156"/>
        <v>Incomplete</v>
      </c>
      <c r="BZ491" s="91" t="str">
        <f>_xlfn.XLOOKUP(BY491,'Normative data'!$V$3:$V$6,'Normative data'!$W$3:$W$6,"Not Found",-1)</f>
        <v>Very low risk</v>
      </c>
      <c r="CA491" s="20"/>
      <c r="CC491" s="20"/>
      <c r="CG491" s="20"/>
      <c r="CH491" s="20" t="str">
        <f>_xlfn.XLOOKUP(CG491, 'Normative data'!$S$9:$S$15,'Normative data'!$T$9:$T$15, "Not Found", -1)</f>
        <v>not completed</v>
      </c>
      <c r="CI491" s="20"/>
      <c r="CJ491" s="20" t="str">
        <f>_xlfn.XLOOKUP(CI491, 'Normative data'!$S$9:$S$15, 'Normative data'!$T$9:$T$15, "Not Found", -1)</f>
        <v>not completed</v>
      </c>
      <c r="CK491" s="20" t="s">
        <v>1073</v>
      </c>
      <c r="CL491" s="20" t="s">
        <v>1074</v>
      </c>
      <c r="CN491" s="20" t="s">
        <v>1075</v>
      </c>
      <c r="CO491" s="20" t="s">
        <v>1076</v>
      </c>
      <c r="CQ491" s="20"/>
      <c r="CR491" s="20" t="str" cm="1">
        <f t="array" ref="CR491">IF(OR(ISBLANK(E491),ISBLANK(CQ491)),"Incomplete",_xlfn.XLOOKUP(CQ491,_xlfn.XLOOKUP(E491,'Normative data'!$Y$3:$Y$6,'Normative data'!$Z$3:$AG$6,,-1),'Normative data'!$Z$2:$AG$2,"Not Found",-1))</f>
        <v>Incomplete</v>
      </c>
      <c r="CS491" s="20"/>
      <c r="CT491" s="20"/>
      <c r="CU491" s="20" t="str" cm="1">
        <f t="array" ref="CU491">_xlfn.XLOOKUP(CS491&amp;CT491,(VLOOKUP!$A$3:$A$250)&amp;(VLOOKUP!$B$3:$B$250),VLOOKUP!$C$3:$C$250,"Incomplete",-1)</f>
        <v>Incomplete</v>
      </c>
      <c r="CV491" s="20" t="str" cm="1">
        <f t="array" ref="CV491">_xlfn.XLOOKUP(CU491, _xlfn.XLOOKUP(E491, 'Normative data'!$Y$11:$Y$14, 'Normative data'!$Z$11:$AG$14, ,-1), 'Normative data'!$Z$10:$AG$10, "Not Found", -1)</f>
        <v>Excellent</v>
      </c>
      <c r="CW491" s="20" t="str" cm="1">
        <f t="array" ref="CW491">IF(OR(ISBLANK(CS491),ISBLANK(CT491)),"Incomplete",_xlfn.XLOOKUP(CS491&amp;CT491,VLOOKUP!$A$4:$A$250&amp;VLOOKUP!$B$4:$B$250,VLOOKUP!$D$4:$D$250,"0"))</f>
        <v>Incomplete</v>
      </c>
    </row>
    <row r="492" spans="1:101">
      <c r="A492" s="17" t="s">
        <v>1077</v>
      </c>
      <c r="B492" s="17" t="s">
        <v>1078</v>
      </c>
      <c r="C492" s="17" t="s">
        <v>86</v>
      </c>
      <c r="D492" s="26">
        <v>39809</v>
      </c>
      <c r="E492" s="17">
        <v>16.5</v>
      </c>
      <c r="F492" s="20" t="s">
        <v>181</v>
      </c>
      <c r="G492" s="17">
        <v>2026</v>
      </c>
      <c r="I492" s="20">
        <v>2</v>
      </c>
      <c r="J492" s="20" t="s">
        <v>88</v>
      </c>
      <c r="K492" s="20" t="s">
        <v>111</v>
      </c>
      <c r="L492" s="20"/>
      <c r="S492" s="20">
        <v>90.2</v>
      </c>
      <c r="T492" s="20">
        <v>165.5</v>
      </c>
      <c r="U492" s="17">
        <v>56.1</v>
      </c>
      <c r="V492" s="17">
        <v>32</v>
      </c>
      <c r="W492" s="17">
        <v>12.4</v>
      </c>
      <c r="X492" s="17">
        <v>43.7</v>
      </c>
      <c r="Y492" s="17">
        <v>23.9</v>
      </c>
      <c r="Z492" s="17">
        <v>20.5</v>
      </c>
      <c r="AA492" s="17">
        <v>22</v>
      </c>
      <c r="AB492" s="17">
        <v>6.88</v>
      </c>
      <c r="AC492" s="17">
        <v>106</v>
      </c>
      <c r="AD492" s="17">
        <v>6.91</v>
      </c>
      <c r="AE492" s="17">
        <v>106.5</v>
      </c>
      <c r="AF492" s="17">
        <v>2.1</v>
      </c>
      <c r="AG492" s="17">
        <v>83.4</v>
      </c>
      <c r="AH492" s="17">
        <v>2.1</v>
      </c>
      <c r="AI492" s="17">
        <v>83.3</v>
      </c>
      <c r="AJ492" s="17">
        <v>281.39999999999998</v>
      </c>
      <c r="AK492" s="17">
        <v>277.3</v>
      </c>
      <c r="AL492" s="17">
        <v>251.1</v>
      </c>
      <c r="AM492" s="17">
        <v>248.1</v>
      </c>
      <c r="AN492" s="17">
        <v>101</v>
      </c>
      <c r="AQ492" s="17">
        <v>27.7</v>
      </c>
      <c r="AR492" s="17">
        <v>0.47499999999999998</v>
      </c>
      <c r="AS492" s="17">
        <v>33.1</v>
      </c>
      <c r="AT492" s="17">
        <v>0.52</v>
      </c>
      <c r="AU492" s="17">
        <v>14</v>
      </c>
      <c r="AV492" s="17">
        <v>0.33800000000000002</v>
      </c>
      <c r="AW492" s="17">
        <v>16</v>
      </c>
      <c r="AX492" s="17">
        <v>0.36099999999999999</v>
      </c>
      <c r="AY492" s="41">
        <f t="shared" si="151"/>
        <v>2167.7200000000003</v>
      </c>
      <c r="BA492" s="20">
        <f t="shared" si="152"/>
        <v>2495.5</v>
      </c>
      <c r="BC492" s="20">
        <f t="shared" si="153"/>
        <v>1336.13</v>
      </c>
      <c r="BE492" s="20">
        <f t="shared" si="154"/>
        <v>1457.5299999999997</v>
      </c>
      <c r="BG492" s="17">
        <v>15</v>
      </c>
      <c r="BH492" s="17">
        <v>60</v>
      </c>
      <c r="BI492" s="20">
        <f t="shared" si="157"/>
        <v>45</v>
      </c>
      <c r="BJ492" s="20"/>
      <c r="BK492" s="17">
        <v>9</v>
      </c>
      <c r="BL492" s="20"/>
      <c r="BM492" s="17">
        <v>10</v>
      </c>
      <c r="BN492" s="20"/>
      <c r="BO492" s="17">
        <v>43</v>
      </c>
      <c r="BP492" s="17">
        <v>43.5</v>
      </c>
      <c r="BQ492" s="17">
        <v>88</v>
      </c>
      <c r="BR492" s="17">
        <v>84</v>
      </c>
      <c r="BS492" s="17">
        <v>67</v>
      </c>
      <c r="BT492" s="17">
        <v>80</v>
      </c>
      <c r="BU492" s="17">
        <v>75</v>
      </c>
      <c r="BV492" s="17">
        <v>79</v>
      </c>
      <c r="BW492" s="91">
        <f t="shared" si="155"/>
        <v>105.79902611775123</v>
      </c>
      <c r="BX492" s="91" t="str">
        <f>_xlfn.XLOOKUP(BW492,'Normative data'!$V$3:$V$6,'Normative data'!$W$3:$W$6,"Not Found",-1)</f>
        <v>Low risk</v>
      </c>
      <c r="BY492" s="91">
        <f t="shared" si="156"/>
        <v>103.58565737051795</v>
      </c>
      <c r="BZ492" s="91" t="str">
        <f>_xlfn.XLOOKUP(BY492,'Normative data'!$V$3:$V$6,'Normative data'!$W$3:$W$6,"Not Found",-1)</f>
        <v>Low risk</v>
      </c>
      <c r="CA492" s="17">
        <v>28</v>
      </c>
      <c r="CC492" s="20"/>
      <c r="CE492" s="17">
        <v>15</v>
      </c>
      <c r="CG492" s="17">
        <v>18.14</v>
      </c>
      <c r="CH492" s="20" t="str">
        <f>_xlfn.XLOOKUP(CG492, 'Normative data'!$S$9:$S$15,'Normative data'!$T$9:$T$15, "Not Found", -1)</f>
        <v>Average</v>
      </c>
      <c r="CI492" s="17">
        <v>18.57</v>
      </c>
      <c r="CJ492" s="20" t="str">
        <f>_xlfn.XLOOKUP(CI492, 'Normative data'!$S$9:$S$15, 'Normative data'!$T$9:$T$15, "Not Found", -1)</f>
        <v>Average</v>
      </c>
      <c r="CK492" s="17">
        <v>2.12</v>
      </c>
      <c r="CL492" s="17">
        <v>4.72</v>
      </c>
      <c r="CN492" s="17">
        <v>6.56</v>
      </c>
      <c r="CO492" s="17">
        <v>7.62</v>
      </c>
      <c r="CQ492" s="17">
        <v>5</v>
      </c>
      <c r="CR492" s="20" t="str" cm="1">
        <f t="array" ref="CR492">IF(OR(ISBLANK(E492),ISBLANK(CQ492)),"Incomplete",_xlfn.XLOOKUP(CQ492,_xlfn.XLOOKUP(E492,'Normative data'!$Y$3:$Y$6,'Normative data'!$Z$3:$AG$6,,-1),'Normative data'!$Z$2:$AG$2,"Not Found",-1))</f>
        <v>Poor</v>
      </c>
      <c r="CS492" s="20">
        <v>5</v>
      </c>
      <c r="CT492" s="20">
        <v>1</v>
      </c>
      <c r="CU492" s="20" cm="1">
        <f t="array" ref="CU492">_xlfn.XLOOKUP(CS492&amp;CT492,(VLOOKUP!$A$3:$A$250)&amp;(VLOOKUP!$B$3:$B$250),VLOOKUP!$C$3:$C$250,"Incomplete",-1)</f>
        <v>660</v>
      </c>
      <c r="CV492" s="20" t="str" cm="1">
        <f t="array" ref="CV492">_xlfn.XLOOKUP(CU492, _xlfn.XLOOKUP(E492, 'Normative data'!$Y$11:$Y$14, 'Normative data'!$Z$11:$AG$14, ,-1), 'Normative data'!$Z$10:$AG$10, "Not Found", -1)</f>
        <v xml:space="preserve">Poor </v>
      </c>
      <c r="CW492" s="20" cm="1">
        <f t="array" ref="CW492">IF(OR(ISBLANK(CS492),ISBLANK(CT492)),"Incomplete",_xlfn.XLOOKUP(CS492&amp;CT492,VLOOKUP!$A$4:$A$250&amp;VLOOKUP!$B$4:$B$250,VLOOKUP!$D$4:$D$250,"0"))</f>
        <v>30</v>
      </c>
    </row>
    <row r="493" spans="1:101">
      <c r="A493" s="17" t="s">
        <v>1079</v>
      </c>
      <c r="B493" s="17" t="s">
        <v>1078</v>
      </c>
      <c r="C493" s="17" t="s">
        <v>86</v>
      </c>
      <c r="D493" s="26">
        <v>41151</v>
      </c>
      <c r="E493" s="17">
        <v>13.7</v>
      </c>
      <c r="F493" s="20" t="s">
        <v>251</v>
      </c>
      <c r="G493" s="17">
        <v>2026</v>
      </c>
      <c r="I493" s="20">
        <v>2</v>
      </c>
      <c r="J493" s="20" t="s">
        <v>88</v>
      </c>
      <c r="K493" s="20" t="s">
        <v>108</v>
      </c>
      <c r="L493" s="20"/>
      <c r="S493" s="20"/>
      <c r="T493" s="20">
        <v>174.3</v>
      </c>
      <c r="U493" s="17">
        <v>57.2</v>
      </c>
      <c r="V493" s="17">
        <v>32.1</v>
      </c>
      <c r="W493" s="17">
        <v>13.2</v>
      </c>
      <c r="X493" s="17">
        <v>44</v>
      </c>
      <c r="Y493" s="17">
        <v>23.9</v>
      </c>
      <c r="Z493" s="17">
        <v>18.8</v>
      </c>
      <c r="AA493" s="17">
        <v>23.2</v>
      </c>
      <c r="AB493" s="17">
        <v>7.18</v>
      </c>
      <c r="AC493" s="17">
        <v>108.6</v>
      </c>
      <c r="AD493" s="17">
        <v>2.2000000000000002</v>
      </c>
      <c r="AE493" s="17">
        <v>77.599999999999994</v>
      </c>
      <c r="AF493" s="17">
        <v>2.2000000000000002</v>
      </c>
      <c r="AG493" s="17">
        <v>77.3</v>
      </c>
      <c r="AH493" s="17">
        <v>0.86</v>
      </c>
      <c r="AI493" s="17">
        <v>6</v>
      </c>
      <c r="AJ493" s="17">
        <v>357.6</v>
      </c>
      <c r="AK493" s="17">
        <v>361.2</v>
      </c>
      <c r="AL493" s="17">
        <v>322.5</v>
      </c>
      <c r="AM493" s="17">
        <v>327.5</v>
      </c>
      <c r="AN493" s="17">
        <v>109</v>
      </c>
      <c r="AQ493" s="17">
        <v>21.8</v>
      </c>
      <c r="AR493" s="17">
        <v>0.42199999999999999</v>
      </c>
      <c r="AS493" s="17">
        <v>27.8</v>
      </c>
      <c r="AT493" s="17">
        <v>0.47599999999999998</v>
      </c>
      <c r="AU493" s="17">
        <v>10.7</v>
      </c>
      <c r="AV493" s="17">
        <v>0.29499999999999998</v>
      </c>
      <c r="AW493" s="17">
        <v>13.8</v>
      </c>
      <c r="AX493" s="17">
        <v>0.33600000000000002</v>
      </c>
      <c r="AY493" s="41">
        <f t="shared" si="151"/>
        <v>1859.42</v>
      </c>
      <c r="BA493" s="20">
        <f t="shared" si="152"/>
        <v>2223.62</v>
      </c>
      <c r="BC493" s="20">
        <f t="shared" si="153"/>
        <v>1185.6499999999996</v>
      </c>
      <c r="BE493" s="20">
        <f t="shared" si="154"/>
        <v>1373.8199999999997</v>
      </c>
      <c r="BH493" s="17">
        <v>45.5</v>
      </c>
      <c r="BI493" s="20" t="str">
        <f t="shared" si="157"/>
        <v>Incomplete</v>
      </c>
      <c r="BJ493" s="20"/>
      <c r="BK493" s="17">
        <v>11.9</v>
      </c>
      <c r="BL493" s="20"/>
      <c r="BM493" s="17">
        <v>12.6</v>
      </c>
      <c r="BN493" s="20"/>
      <c r="BO493" s="17">
        <v>46.4</v>
      </c>
      <c r="BP493" s="17">
        <v>47</v>
      </c>
      <c r="BQ493" s="17">
        <v>82.5</v>
      </c>
      <c r="BR493" s="17">
        <v>77</v>
      </c>
      <c r="BS493" s="17">
        <v>81</v>
      </c>
      <c r="BT493" s="17">
        <v>86</v>
      </c>
      <c r="BU493" s="17">
        <v>91</v>
      </c>
      <c r="BV493" s="17">
        <v>85</v>
      </c>
      <c r="BW493" s="91">
        <f t="shared" si="155"/>
        <v>45.993497800726708</v>
      </c>
      <c r="BX493" s="91" t="str">
        <f>_xlfn.XLOOKUP(BW493,'Normative data'!$V$3:$V$6,'Normative data'!$W$3:$W$6,"Not Found",-1)</f>
        <v>High risk</v>
      </c>
      <c r="BY493" s="91">
        <f t="shared" si="156"/>
        <v>50.105182635303116</v>
      </c>
      <c r="BZ493" s="91" t="str">
        <f>_xlfn.XLOOKUP(BY493,'Normative data'!$V$3:$V$6,'Normative data'!$W$3:$W$6,"Not Found",-1)</f>
        <v>High risk</v>
      </c>
      <c r="CG493" s="17">
        <v>19.55</v>
      </c>
      <c r="CH493" s="20" t="str">
        <f>_xlfn.XLOOKUP(CG493, 'Normative data'!$S$9:$S$15,'Normative data'!$T$9:$T$15, "Not Found", -1)</f>
        <v>Average</v>
      </c>
      <c r="CI493" s="17">
        <v>18.899999999999999</v>
      </c>
      <c r="CJ493" s="20" t="str">
        <f>_xlfn.XLOOKUP(CI493, 'Normative data'!$S$9:$S$15, 'Normative data'!$T$9:$T$15, "Not Found", -1)</f>
        <v>Average</v>
      </c>
      <c r="CK493" s="17">
        <v>2.19</v>
      </c>
      <c r="CL493" s="17">
        <v>4.57</v>
      </c>
      <c r="CN493" s="17">
        <v>6.69</v>
      </c>
      <c r="CO493" s="17">
        <v>7.47</v>
      </c>
      <c r="CQ493" s="17">
        <v>5.2</v>
      </c>
      <c r="CR493" s="20" t="str" cm="1">
        <f t="array" ref="CR493">IF(OR(ISBLANK(E493),ISBLANK(CQ493)),"Incomplete",_xlfn.XLOOKUP(CQ493,_xlfn.XLOOKUP(E493,'Normative data'!$Y$3:$Y$6,'Normative data'!$Z$3:$AG$6,,-1),'Normative data'!$Z$2:$AG$2,"Not Found",-1))</f>
        <v>Average</v>
      </c>
      <c r="CS493" s="20">
        <v>5</v>
      </c>
      <c r="CT493" s="20">
        <v>2</v>
      </c>
      <c r="CU493" s="20" cm="1">
        <f t="array" ref="CU493">_xlfn.XLOOKUP(CS493&amp;CT493,(VLOOKUP!$A$3:$A$250)&amp;(VLOOKUP!$B$3:$B$250),VLOOKUP!$C$3:$C$250,"Incomplete",-1)</f>
        <v>680</v>
      </c>
      <c r="CV493" s="20" t="str" cm="1">
        <f t="array" ref="CV493">_xlfn.XLOOKUP(CU493, _xlfn.XLOOKUP(E493, 'Normative data'!$Y$11:$Y$14, 'Normative data'!$Z$11:$AG$14, ,-1), 'Normative data'!$Z$10:$AG$10, "Not Found", -1)</f>
        <v>Average</v>
      </c>
      <c r="CW493" s="20" cm="1">
        <f t="array" ref="CW493">IF(OR(ISBLANK(CS493),ISBLANK(CT493)),"Incomplete",_xlfn.XLOOKUP(CS493&amp;CT493,VLOOKUP!$A$4:$A$250&amp;VLOOKUP!$B$4:$B$250,VLOOKUP!$D$4:$D$250,"0"))</f>
        <v>30</v>
      </c>
    </row>
    <row r="494" spans="1:101">
      <c r="A494" s="17" t="s">
        <v>720</v>
      </c>
      <c r="B494" s="17" t="s">
        <v>1080</v>
      </c>
      <c r="C494" s="17" t="s">
        <v>86</v>
      </c>
      <c r="D494" s="26">
        <v>40357</v>
      </c>
      <c r="E494" s="17">
        <v>15.9</v>
      </c>
      <c r="F494" s="20" t="s">
        <v>162</v>
      </c>
      <c r="G494" s="17">
        <v>2026</v>
      </c>
      <c r="I494" s="20">
        <v>2</v>
      </c>
      <c r="J494" s="20" t="s">
        <v>269</v>
      </c>
      <c r="K494" s="20" t="s">
        <v>101</v>
      </c>
      <c r="L494" s="20"/>
      <c r="S494" s="20">
        <v>77.3</v>
      </c>
      <c r="T494" s="20">
        <v>158.6</v>
      </c>
      <c r="U494" s="17">
        <v>55.1</v>
      </c>
      <c r="V494" s="17">
        <v>30.4</v>
      </c>
      <c r="W494" s="17">
        <v>13.5</v>
      </c>
      <c r="X494" s="17">
        <v>41.6</v>
      </c>
      <c r="Y494" s="17">
        <v>22.9</v>
      </c>
      <c r="Z494" s="17">
        <v>21.9</v>
      </c>
      <c r="AA494" s="17">
        <v>24.5</v>
      </c>
      <c r="AB494" s="17">
        <v>5.99</v>
      </c>
      <c r="AC494" s="17">
        <v>102.3</v>
      </c>
      <c r="AD494" s="17">
        <v>6</v>
      </c>
      <c r="AE494" s="17">
        <v>102.5</v>
      </c>
      <c r="AF494" s="17">
        <v>2.1</v>
      </c>
      <c r="AG494" s="17">
        <v>98.4</v>
      </c>
      <c r="AH494" s="17">
        <v>2</v>
      </c>
      <c r="AI494" s="17">
        <v>98</v>
      </c>
      <c r="AJ494" s="17">
        <v>341.5</v>
      </c>
      <c r="AK494" s="17">
        <v>339.1</v>
      </c>
      <c r="AL494" s="17">
        <v>296.89999999999998</v>
      </c>
      <c r="AM494" s="17">
        <v>297.10000000000002</v>
      </c>
      <c r="AN494" s="17">
        <v>94</v>
      </c>
      <c r="AS494" s="17">
        <v>24.7</v>
      </c>
      <c r="AT494" s="17">
        <v>0.44900000000000001</v>
      </c>
      <c r="AW494" s="17">
        <v>13.7</v>
      </c>
      <c r="AX494" s="17">
        <v>0.33400000000000002</v>
      </c>
      <c r="AY494" s="41" t="str">
        <f t="shared" si="151"/>
        <v>Incomplete</v>
      </c>
      <c r="BA494" s="20">
        <f t="shared" si="152"/>
        <v>1940.3199999999997</v>
      </c>
      <c r="BC494" s="20" t="str">
        <f t="shared" si="153"/>
        <v>Incomplete</v>
      </c>
      <c r="BE494" s="20">
        <f t="shared" si="154"/>
        <v>1272.6199999999999</v>
      </c>
      <c r="BG494" s="17">
        <v>20</v>
      </c>
      <c r="BH494" s="17">
        <v>43</v>
      </c>
      <c r="BI494" s="20">
        <f t="shared" si="157"/>
        <v>23</v>
      </c>
      <c r="BJ494" s="20"/>
      <c r="BK494" s="17">
        <v>8</v>
      </c>
      <c r="BL494" s="20"/>
      <c r="BM494" s="17">
        <v>10.5</v>
      </c>
      <c r="BN494" s="20"/>
      <c r="BO494" s="17">
        <v>50.5</v>
      </c>
      <c r="BP494" s="17">
        <v>50</v>
      </c>
      <c r="BQ494" s="17">
        <v>90</v>
      </c>
      <c r="BR494" s="17">
        <v>66</v>
      </c>
      <c r="BS494" s="17">
        <v>60</v>
      </c>
      <c r="BT494" s="17">
        <v>82</v>
      </c>
      <c r="BU494" s="17">
        <v>75</v>
      </c>
      <c r="BV494" s="17">
        <v>80</v>
      </c>
      <c r="BW494" s="91">
        <f t="shared" si="155"/>
        <v>88.560885608856097</v>
      </c>
      <c r="BX494" s="91" t="str">
        <f>_xlfn.XLOOKUP(BW494,'Normative data'!$V$3:$V$6,'Normative data'!$W$3:$W$6,"Not Found",-1)</f>
        <v>High risk</v>
      </c>
      <c r="BY494" s="91">
        <f t="shared" si="156"/>
        <v>97.170971709717108</v>
      </c>
      <c r="BZ494" s="91" t="str">
        <f>_xlfn.XLOOKUP(BY494,'Normative data'!$V$3:$V$6,'Normative data'!$W$3:$W$6,"Not Found",-1)</f>
        <v>Low risk</v>
      </c>
      <c r="CA494" s="17">
        <v>50</v>
      </c>
      <c r="CC494" s="20"/>
      <c r="CE494" s="17">
        <v>17</v>
      </c>
      <c r="CG494" s="17">
        <v>18.48</v>
      </c>
      <c r="CH494" s="20" t="str">
        <f>_xlfn.XLOOKUP(CG494, 'Normative data'!$S$9:$S$15,'Normative data'!$T$9:$T$15, "Not Found", -1)</f>
        <v>Average</v>
      </c>
      <c r="CI494" s="17">
        <v>18.77</v>
      </c>
      <c r="CJ494" s="20" t="str">
        <f>_xlfn.XLOOKUP(CI494, 'Normative data'!$S$9:$S$15, 'Normative data'!$T$9:$T$15, "Not Found", -1)</f>
        <v>Average</v>
      </c>
      <c r="CK494" s="17">
        <v>2.2999999999999998</v>
      </c>
      <c r="CL494" s="17">
        <v>4.3499999999999996</v>
      </c>
      <c r="CN494" s="17">
        <v>7.15</v>
      </c>
      <c r="CO494" s="17">
        <v>6.99</v>
      </c>
      <c r="CQ494" s="17">
        <v>5.2</v>
      </c>
      <c r="CR494" s="20" t="str" cm="1">
        <f t="array" ref="CR494">IF(OR(ISBLANK(E494),ISBLANK(CQ494)),"Incomplete",_xlfn.XLOOKUP(CQ494,_xlfn.XLOOKUP(E494,'Normative data'!$Y$3:$Y$6,'Normative data'!$Z$3:$AG$6,,-1),'Normative data'!$Z$2:$AG$2,"Not Found",-1))</f>
        <v>Poor</v>
      </c>
      <c r="CS494" s="20">
        <v>5</v>
      </c>
      <c r="CT494" s="20">
        <v>2</v>
      </c>
      <c r="CU494" s="20" cm="1">
        <f t="array" ref="CU494">_xlfn.XLOOKUP(CS494&amp;CT494,(VLOOKUP!$A$3:$A$250)&amp;(VLOOKUP!$B$3:$B$250),VLOOKUP!$C$3:$C$250,"Incomplete",-1)</f>
        <v>680</v>
      </c>
      <c r="CV494" s="20" t="str" cm="1">
        <f t="array" ref="CV494">_xlfn.XLOOKUP(CU494, _xlfn.XLOOKUP(E494, 'Normative data'!$Y$11:$Y$14, 'Normative data'!$Z$11:$AG$14, ,-1), 'Normative data'!$Z$10:$AG$10, "Not Found", -1)</f>
        <v xml:space="preserve">Poor </v>
      </c>
      <c r="CW494" s="20" cm="1">
        <f t="array" ref="CW494">IF(OR(ISBLANK(CS494),ISBLANK(CT494)),"Incomplete",_xlfn.XLOOKUP(CS494&amp;CT494,VLOOKUP!$A$4:$A$250&amp;VLOOKUP!$B$4:$B$250,VLOOKUP!$D$4:$D$250,"0"))</f>
        <v>30</v>
      </c>
    </row>
    <row r="495" spans="1:101">
      <c r="A495" s="17" t="s">
        <v>1081</v>
      </c>
      <c r="B495" s="17" t="s">
        <v>1082</v>
      </c>
      <c r="C495" s="17" t="s">
        <v>86</v>
      </c>
      <c r="D495" s="26">
        <v>40336</v>
      </c>
      <c r="E495" s="17">
        <v>16</v>
      </c>
      <c r="F495" s="20" t="s">
        <v>99</v>
      </c>
      <c r="G495" s="17">
        <v>2026</v>
      </c>
      <c r="I495" s="20">
        <v>2</v>
      </c>
      <c r="J495" s="20" t="s">
        <v>88</v>
      </c>
      <c r="K495" s="20" t="s">
        <v>297</v>
      </c>
      <c r="L495" s="20"/>
      <c r="S495" s="20">
        <v>85.8</v>
      </c>
      <c r="T495" s="20">
        <v>174.7</v>
      </c>
      <c r="U495" s="17">
        <v>68.2</v>
      </c>
      <c r="V495" s="17">
        <v>39.9</v>
      </c>
      <c r="W495" s="17">
        <v>13.5</v>
      </c>
      <c r="X495" s="17">
        <v>54.7</v>
      </c>
      <c r="Y495" s="17">
        <v>30.5</v>
      </c>
      <c r="Z495" s="17">
        <v>21.9</v>
      </c>
      <c r="AA495" s="17">
        <v>19.8</v>
      </c>
      <c r="AB495" s="17">
        <v>8.51</v>
      </c>
      <c r="AC495" s="17">
        <v>109.5</v>
      </c>
      <c r="AD495" s="17">
        <v>8.4600000000000009</v>
      </c>
      <c r="AE495" s="17">
        <v>108.8</v>
      </c>
      <c r="AF495" s="17">
        <v>2.1</v>
      </c>
      <c r="AG495" s="17">
        <v>72</v>
      </c>
      <c r="AH495" s="17">
        <v>2.1</v>
      </c>
      <c r="AI495" s="17">
        <v>71.900000000000006</v>
      </c>
      <c r="AJ495" s="17">
        <v>313</v>
      </c>
      <c r="AK495" s="17">
        <v>317.60000000000002</v>
      </c>
      <c r="AL495" s="17">
        <v>275.2</v>
      </c>
      <c r="AM495" s="17">
        <v>278.5</v>
      </c>
      <c r="AN495" s="17">
        <v>124</v>
      </c>
      <c r="AQ495" s="17">
        <v>22.5</v>
      </c>
      <c r="AR495" s="17">
        <v>0.42799999999999999</v>
      </c>
      <c r="AS495" s="17">
        <v>26.5</v>
      </c>
      <c r="AT495" s="17">
        <v>0.46500000000000002</v>
      </c>
      <c r="AU495" s="17">
        <v>18.3</v>
      </c>
      <c r="AV495" s="17">
        <v>0.38600000000000001</v>
      </c>
      <c r="AW495" s="17">
        <v>18.3</v>
      </c>
      <c r="AX495" s="17">
        <v>0.38600000000000001</v>
      </c>
      <c r="AY495" s="41">
        <f t="shared" si="151"/>
        <v>2400.21</v>
      </c>
      <c r="BA495" s="20">
        <f t="shared" si="152"/>
        <v>2643.01</v>
      </c>
      <c r="BC495" s="20">
        <f t="shared" si="153"/>
        <v>2145.2700000000004</v>
      </c>
      <c r="BE495" s="20">
        <f t="shared" si="154"/>
        <v>2145.2700000000004</v>
      </c>
      <c r="BG495" s="17">
        <v>6</v>
      </c>
      <c r="BH495" s="17">
        <v>42</v>
      </c>
      <c r="BI495" s="20">
        <f t="shared" si="157"/>
        <v>36</v>
      </c>
      <c r="BJ495" s="20"/>
      <c r="BK495" s="17">
        <v>10</v>
      </c>
      <c r="BL495" s="20"/>
      <c r="BM495" s="17">
        <v>11</v>
      </c>
      <c r="BN495" s="20"/>
      <c r="BO495" s="17">
        <v>49.5</v>
      </c>
      <c r="BP495" s="17">
        <v>47.5</v>
      </c>
      <c r="BQ495" s="17">
        <v>96</v>
      </c>
      <c r="BR495" s="17">
        <v>94</v>
      </c>
      <c r="BS495" s="17">
        <v>85</v>
      </c>
      <c r="BT495" s="17">
        <v>94</v>
      </c>
      <c r="BU495" s="17">
        <v>93</v>
      </c>
      <c r="BV495" s="17">
        <v>85</v>
      </c>
      <c r="BW495" s="91">
        <f t="shared" si="155"/>
        <v>103.11211098612674</v>
      </c>
      <c r="BX495" s="91" t="str">
        <f>_xlfn.XLOOKUP(BW495,'Normative data'!$V$3:$V$6,'Normative data'!$W$3:$W$6,"Not Found",-1)</f>
        <v>Low risk</v>
      </c>
      <c r="BY495" s="91">
        <f t="shared" si="156"/>
        <v>101.98725159355082</v>
      </c>
      <c r="BZ495" s="91" t="str">
        <f>_xlfn.XLOOKUP(BY495,'Normative data'!$V$3:$V$6,'Normative data'!$W$3:$W$6,"Not Found",-1)</f>
        <v>Low risk</v>
      </c>
      <c r="CA495" s="17">
        <v>36</v>
      </c>
      <c r="CC495" s="20"/>
      <c r="CE495" s="17">
        <v>25</v>
      </c>
      <c r="CG495" s="17">
        <v>18.510000000000002</v>
      </c>
      <c r="CH495" s="20" t="str">
        <f>_xlfn.XLOOKUP(CG495, 'Normative data'!$S$9:$S$15,'Normative data'!$T$9:$T$15, "Not Found", -1)</f>
        <v>Average</v>
      </c>
      <c r="CI495" s="17">
        <v>18.93</v>
      </c>
      <c r="CJ495" s="20" t="str">
        <f>_xlfn.XLOOKUP(CI495, 'Normative data'!$S$9:$S$15, 'Normative data'!$T$9:$T$15, "Not Found", -1)</f>
        <v>Average</v>
      </c>
      <c r="CK495" s="17">
        <v>2.25</v>
      </c>
      <c r="CL495" s="17">
        <v>4.4400000000000004</v>
      </c>
      <c r="CN495" s="17">
        <v>6.88</v>
      </c>
      <c r="CO495" s="17">
        <v>7.27</v>
      </c>
      <c r="CR495" s="20" t="str" cm="1">
        <f t="array" ref="CR495">IF(OR(ISBLANK(E495),ISBLANK(CQ495)),"Incomplete",_xlfn.XLOOKUP(CQ495,_xlfn.XLOOKUP(E495,'Normative data'!$Y$3:$Y$6,'Normative data'!$Z$3:$AG$6,,-1),'Normative data'!$Z$2:$AG$2,"Not Found",-1))</f>
        <v>Incomplete</v>
      </c>
      <c r="CS495" s="20"/>
      <c r="CT495" s="20"/>
      <c r="CU495" s="20" t="str" cm="1">
        <f t="array" ref="CU495">_xlfn.XLOOKUP(CS495&amp;CT495,(VLOOKUP!$A$3:$A$250)&amp;(VLOOKUP!$B$3:$B$250),VLOOKUP!$C$3:$C$250,"Incomplete",-1)</f>
        <v>Incomplete</v>
      </c>
      <c r="CV495" s="20" t="str" cm="1">
        <f t="array" ref="CV495">_xlfn.XLOOKUP(CU495, _xlfn.XLOOKUP(E495, 'Normative data'!$Y$11:$Y$14, 'Normative data'!$Z$11:$AG$14, ,-1), 'Normative data'!$Z$10:$AG$10, "Not Found", -1)</f>
        <v>Excellent</v>
      </c>
      <c r="CW495" s="20" t="str" cm="1">
        <f t="array" ref="CW495">IF(OR(ISBLANK(CS495),ISBLANK(CT495)),"Incomplete",_xlfn.XLOOKUP(CS495&amp;CT495,VLOOKUP!$A$4:$A$250&amp;VLOOKUP!$B$4:$B$250,VLOOKUP!$D$4:$D$250,"0"))</f>
        <v>Incomplete</v>
      </c>
    </row>
    <row r="496" spans="1:101">
      <c r="A496" s="17" t="s">
        <v>1083</v>
      </c>
      <c r="B496" s="17" t="s">
        <v>1084</v>
      </c>
      <c r="C496" s="17" t="s">
        <v>86</v>
      </c>
      <c r="D496" s="26">
        <v>40513</v>
      </c>
      <c r="E496" s="17">
        <v>16.3</v>
      </c>
      <c r="F496" s="20" t="s">
        <v>186</v>
      </c>
      <c r="G496" s="17">
        <v>2026</v>
      </c>
      <c r="I496" s="20">
        <v>2</v>
      </c>
      <c r="J496" s="20" t="s">
        <v>88</v>
      </c>
      <c r="K496" s="20" t="s">
        <v>101</v>
      </c>
      <c r="L496" s="20"/>
      <c r="S496" s="20">
        <v>90.7</v>
      </c>
      <c r="T496" s="20">
        <v>175.3</v>
      </c>
      <c r="U496" s="17">
        <v>69.099999999999994</v>
      </c>
      <c r="V496" s="17">
        <v>38.1</v>
      </c>
      <c r="W496" s="17">
        <v>17</v>
      </c>
      <c r="X496" s="17">
        <v>52.1</v>
      </c>
      <c r="Y496" s="17">
        <v>29.1</v>
      </c>
      <c r="Z496" s="17">
        <v>22.5</v>
      </c>
      <c r="AA496" s="17">
        <v>24.5</v>
      </c>
      <c r="AB496" s="17">
        <v>8.39</v>
      </c>
      <c r="AC496" s="17">
        <v>108.3</v>
      </c>
      <c r="AD496" s="17">
        <v>8.3800000000000008</v>
      </c>
      <c r="AE496" s="17">
        <v>108.2</v>
      </c>
      <c r="AF496" s="17">
        <v>2.6</v>
      </c>
      <c r="AG496" s="17">
        <v>91.2</v>
      </c>
      <c r="AH496" s="17">
        <v>2.6</v>
      </c>
      <c r="AI496" s="17">
        <v>90.8</v>
      </c>
      <c r="AJ496" s="17">
        <v>312.60000000000002</v>
      </c>
      <c r="AK496" s="17">
        <v>312.10000000000002</v>
      </c>
      <c r="AL496" s="17">
        <v>273.89999999999998</v>
      </c>
      <c r="AM496" s="17">
        <v>275.10000000000002</v>
      </c>
      <c r="AN496" s="17">
        <v>121</v>
      </c>
      <c r="AO496" s="17">
        <v>0.89</v>
      </c>
      <c r="AP496" s="17">
        <v>7.2</v>
      </c>
      <c r="AQ496" s="17">
        <v>18.7</v>
      </c>
      <c r="AR496" s="17">
        <v>0.39100000000000001</v>
      </c>
      <c r="AS496" s="17">
        <v>20.6</v>
      </c>
      <c r="AT496" s="17">
        <v>0.41</v>
      </c>
      <c r="AU496" s="17">
        <v>13.3</v>
      </c>
      <c r="AV496" s="17">
        <v>0.33</v>
      </c>
      <c r="AW496" s="17">
        <v>13.1</v>
      </c>
      <c r="AX496" s="17">
        <v>0.32700000000000001</v>
      </c>
      <c r="AY496" s="41">
        <f t="shared" si="151"/>
        <v>2210.3199999999997</v>
      </c>
      <c r="BA496" s="20">
        <f t="shared" si="152"/>
        <v>2325.6499999999996</v>
      </c>
      <c r="BC496" s="20">
        <f t="shared" si="153"/>
        <v>1882.5399999999995</v>
      </c>
      <c r="BE496" s="20">
        <f t="shared" si="154"/>
        <v>1870.3999999999996</v>
      </c>
      <c r="BG496" s="17">
        <v>12</v>
      </c>
      <c r="BH496" s="17">
        <v>45</v>
      </c>
      <c r="BI496" s="20">
        <f t="shared" si="157"/>
        <v>33</v>
      </c>
      <c r="BJ496" s="20"/>
      <c r="BK496" s="17">
        <v>10.5</v>
      </c>
      <c r="BL496" s="20"/>
      <c r="BM496" s="17">
        <v>9.5</v>
      </c>
      <c r="BN496" s="20"/>
      <c r="BO496" s="17">
        <v>48</v>
      </c>
      <c r="BP496" s="17">
        <v>49</v>
      </c>
      <c r="BQ496" s="17">
        <v>77</v>
      </c>
      <c r="BR496" s="17">
        <v>74</v>
      </c>
      <c r="BS496" s="17">
        <v>67</v>
      </c>
      <c r="BT496" s="17">
        <v>84</v>
      </c>
      <c r="BU496" s="17">
        <v>65</v>
      </c>
      <c r="BV496" s="17">
        <v>63</v>
      </c>
      <c r="BW496" s="91">
        <f t="shared" si="155"/>
        <v>85.894405043341209</v>
      </c>
      <c r="BX496" s="91" t="str">
        <f>_xlfn.XLOOKUP(BW496,'Normative data'!$V$3:$V$6,'Normative data'!$W$3:$W$6,"Not Found",-1)</f>
        <v>High risk</v>
      </c>
      <c r="BY496" s="91">
        <f t="shared" si="156"/>
        <v>83.530338849487791</v>
      </c>
      <c r="BZ496" s="91" t="str">
        <f>_xlfn.XLOOKUP(BY496,'Normative data'!$V$3:$V$6,'Normative data'!$W$3:$W$6,"Not Found",-1)</f>
        <v>High risk</v>
      </c>
      <c r="CA496" s="17">
        <v>33</v>
      </c>
      <c r="CC496" s="20"/>
      <c r="CE496" s="17">
        <v>26</v>
      </c>
      <c r="CG496" s="17">
        <v>17.09</v>
      </c>
      <c r="CH496" s="20" t="str">
        <f>_xlfn.XLOOKUP(CG496, 'Normative data'!$S$9:$S$15,'Normative data'!$T$9:$T$15, "Not Found", -1)</f>
        <v>Above Average</v>
      </c>
      <c r="CI496" s="17">
        <v>16.899999999999999</v>
      </c>
      <c r="CJ496" s="20" t="str">
        <f>_xlfn.XLOOKUP(CI496, 'Normative data'!$S$9:$S$15, 'Normative data'!$T$9:$T$15, "Not Found", -1)</f>
        <v>Above Average</v>
      </c>
      <c r="CK496" s="17">
        <v>2</v>
      </c>
      <c r="CL496" s="17">
        <v>5</v>
      </c>
      <c r="CN496" s="17">
        <v>6.13</v>
      </c>
      <c r="CO496" s="17">
        <v>8.16</v>
      </c>
      <c r="CQ496" s="17">
        <v>7.5</v>
      </c>
      <c r="CR496" s="20" t="str" cm="1">
        <f t="array" ref="CR496">IF(OR(ISBLANK(E496),ISBLANK(CQ496)),"Incomplete",_xlfn.XLOOKUP(CQ496,_xlfn.XLOOKUP(E496,'Normative data'!$Y$3:$Y$6,'Normative data'!$Z$3:$AG$6,,-1),'Normative data'!$Z$2:$AG$2,"Not Found",-1))</f>
        <v>Average</v>
      </c>
      <c r="CS496" s="20">
        <v>7</v>
      </c>
      <c r="CT496" s="20">
        <v>5</v>
      </c>
      <c r="CU496" s="20" cm="1">
        <f t="array" ref="CU496">_xlfn.XLOOKUP(CS496&amp;CT496,(VLOOKUP!$A$3:$A$250)&amp;(VLOOKUP!$B$3:$B$250),VLOOKUP!$C$3:$C$250,"Incomplete",-1)</f>
        <v>1120</v>
      </c>
      <c r="CV496" s="20" t="str" cm="1">
        <f t="array" ref="CV496">_xlfn.XLOOKUP(CU496, _xlfn.XLOOKUP(E496, 'Normative data'!$Y$11:$Y$14, 'Normative data'!$Z$11:$AG$14, ,-1), 'Normative data'!$Z$10:$AG$10, "Not Found", -1)</f>
        <v>Average</v>
      </c>
      <c r="CW496" s="20" cm="1">
        <f t="array" ref="CW496">IF(OR(ISBLANK(CS496),ISBLANK(CT496)),"Incomplete",_xlfn.XLOOKUP(CS496&amp;CT496,VLOOKUP!$A$4:$A$250&amp;VLOOKUP!$B$4:$B$250,VLOOKUP!$D$4:$D$250,"0"))</f>
        <v>38</v>
      </c>
    </row>
    <row r="497" spans="1:101">
      <c r="A497" s="17" t="s">
        <v>1013</v>
      </c>
      <c r="B497" s="17" t="s">
        <v>1085</v>
      </c>
      <c r="C497" s="17" t="s">
        <v>86</v>
      </c>
      <c r="D497" s="26">
        <v>40953</v>
      </c>
      <c r="E497" s="17">
        <v>14.3</v>
      </c>
      <c r="F497" s="20" t="s">
        <v>107</v>
      </c>
      <c r="G497" s="17">
        <v>2026</v>
      </c>
      <c r="I497" s="20">
        <v>2</v>
      </c>
      <c r="J497" s="20" t="s">
        <v>100</v>
      </c>
      <c r="K497" s="20" t="s">
        <v>170</v>
      </c>
      <c r="L497" s="20"/>
      <c r="S497" s="20">
        <v>79.7</v>
      </c>
      <c r="T497" s="20">
        <v>152.9</v>
      </c>
      <c r="U497" s="17">
        <v>40.700000000000003</v>
      </c>
      <c r="V497" s="17">
        <v>22.8</v>
      </c>
      <c r="W497" s="17">
        <v>9.6</v>
      </c>
      <c r="X497" s="17">
        <v>31.1</v>
      </c>
      <c r="Y497" s="17">
        <v>16.399999999999999</v>
      </c>
      <c r="Z497" s="17">
        <v>17.399999999999999</v>
      </c>
      <c r="AA497" s="17">
        <v>23.6</v>
      </c>
      <c r="AB497" s="17">
        <v>4.3899999999999997</v>
      </c>
      <c r="AC497" s="17">
        <v>91</v>
      </c>
      <c r="AD497" s="17">
        <v>4.32</v>
      </c>
      <c r="AE497" s="17">
        <v>89.6</v>
      </c>
      <c r="AF497" s="17">
        <v>1.6</v>
      </c>
      <c r="AG497" s="17">
        <v>95.7</v>
      </c>
      <c r="AH497" s="17">
        <v>1.6</v>
      </c>
      <c r="AI497" s="17">
        <v>95.1</v>
      </c>
      <c r="AJ497" s="17">
        <v>381.5</v>
      </c>
      <c r="AK497" s="17">
        <v>395.8</v>
      </c>
      <c r="AL497" s="17">
        <v>341.7</v>
      </c>
      <c r="AM497" s="17">
        <v>356.2</v>
      </c>
      <c r="AN497" s="17">
        <v>83</v>
      </c>
      <c r="AO497" s="17">
        <v>0.84</v>
      </c>
      <c r="AP497" s="17">
        <v>4.8</v>
      </c>
      <c r="AQ497" s="17">
        <v>14.8</v>
      </c>
      <c r="AR497" s="17">
        <v>0.34799999999999998</v>
      </c>
      <c r="AS497" s="17">
        <v>19.2</v>
      </c>
      <c r="AT497" s="17">
        <v>0.39600000000000002</v>
      </c>
      <c r="AU497" s="17">
        <v>6.9</v>
      </c>
      <c r="AV497" s="17">
        <v>0.23799999999999999</v>
      </c>
      <c r="AW497" s="17">
        <v>9</v>
      </c>
      <c r="AX497" s="17">
        <v>0.27100000000000002</v>
      </c>
      <c r="AY497" s="41">
        <f t="shared" si="151"/>
        <v>687.07000000000016</v>
      </c>
      <c r="BA497" s="20">
        <f t="shared" si="152"/>
        <v>954.15000000000009</v>
      </c>
      <c r="BC497" s="20">
        <f t="shared" si="153"/>
        <v>207.53999999999996</v>
      </c>
      <c r="BE497" s="20">
        <f t="shared" si="154"/>
        <v>335.01000000000022</v>
      </c>
      <c r="BH497" s="17">
        <v>29.1</v>
      </c>
      <c r="BI497" s="20" t="str">
        <f t="shared" si="157"/>
        <v>Incomplete</v>
      </c>
      <c r="BJ497" s="20"/>
      <c r="BK497" s="17">
        <v>8</v>
      </c>
      <c r="BL497" s="20"/>
      <c r="BM497" s="17">
        <v>7.5</v>
      </c>
      <c r="BN497" s="20"/>
      <c r="BO497" s="17">
        <v>35</v>
      </c>
      <c r="BP497" s="17">
        <v>36.200000000000003</v>
      </c>
      <c r="BQ497" s="17">
        <v>76</v>
      </c>
      <c r="BR497" s="17">
        <v>92</v>
      </c>
      <c r="BT497" s="17">
        <v>86</v>
      </c>
      <c r="BU497" s="17">
        <v>76</v>
      </c>
      <c r="BW497" s="91">
        <f t="shared" si="155"/>
        <v>76.502732240437155</v>
      </c>
      <c r="BX497" s="91" t="str">
        <f>_xlfn.XLOOKUP(BW497,'Normative data'!$V$3:$V$6,'Normative data'!$W$3:$W$6,"Not Found",-1)</f>
        <v>High risk</v>
      </c>
      <c r="BY497" s="91">
        <f t="shared" si="156"/>
        <v>73.770491803278688</v>
      </c>
      <c r="BZ497" s="91" t="str">
        <f>_xlfn.XLOOKUP(BY497,'Normative data'!$V$3:$V$6,'Normative data'!$W$3:$W$6,"Not Found",-1)</f>
        <v>High risk</v>
      </c>
      <c r="CA497" s="17">
        <v>28</v>
      </c>
      <c r="CC497" s="20"/>
      <c r="CE497" s="17">
        <v>20</v>
      </c>
      <c r="CG497" s="17">
        <v>20.5</v>
      </c>
      <c r="CH497" s="20" t="str">
        <f>_xlfn.XLOOKUP(CG497, 'Normative data'!$S$9:$S$15,'Normative data'!$T$9:$T$15, "Not Found", -1)</f>
        <v>Average</v>
      </c>
      <c r="CI497" s="17">
        <v>19.97</v>
      </c>
      <c r="CJ497" s="20" t="str">
        <f>_xlfn.XLOOKUP(CI497, 'Normative data'!$S$9:$S$15, 'Normative data'!$T$9:$T$15, "Not Found", -1)</f>
        <v>Average</v>
      </c>
      <c r="CK497" s="17">
        <v>2.37</v>
      </c>
      <c r="CL497" s="17">
        <v>4.22</v>
      </c>
      <c r="CN497" s="17">
        <v>7.09</v>
      </c>
      <c r="CO497" s="17">
        <v>7.05</v>
      </c>
      <c r="CQ497" s="17">
        <v>6.4</v>
      </c>
      <c r="CR497" s="20" t="str" cm="1">
        <f t="array" ref="CR497">IF(OR(ISBLANK(E497),ISBLANK(CQ497)),"Incomplete",_xlfn.XLOOKUP(CQ497,_xlfn.XLOOKUP(E497,'Normative data'!$Y$3:$Y$6,'Normative data'!$Z$3:$AG$6,,-1),'Normative data'!$Z$2:$AG$2,"Not Found",-1))</f>
        <v>Fair</v>
      </c>
      <c r="CS497" s="20">
        <v>6</v>
      </c>
      <c r="CT497" s="20">
        <v>4</v>
      </c>
      <c r="CU497" s="20" cm="1">
        <f t="array" ref="CU497">_xlfn.XLOOKUP(CS497&amp;CT497,(VLOOKUP!$A$3:$A$250)&amp;(VLOOKUP!$B$3:$B$250),VLOOKUP!$C$3:$C$250,"Incomplete",-1)</f>
        <v>900</v>
      </c>
      <c r="CV497" s="20" t="str" cm="1">
        <f t="array" ref="CV497">_xlfn.XLOOKUP(CU497, _xlfn.XLOOKUP(E497, 'Normative data'!$Y$11:$Y$14, 'Normative data'!$Z$11:$AG$14, ,-1), 'Normative data'!$Z$10:$AG$10, "Not Found", -1)</f>
        <v xml:space="preserve">Fair </v>
      </c>
      <c r="CW497" s="20" cm="1">
        <f t="array" ref="CW497">IF(OR(ISBLANK(CS497),ISBLANK(CT497)),"Incomplete",_xlfn.XLOOKUP(CS497&amp;CT497,VLOOKUP!$A$4:$A$250&amp;VLOOKUP!$B$4:$B$250,VLOOKUP!$D$4:$D$250,"0"))</f>
        <v>34</v>
      </c>
    </row>
    <row r="498" spans="1:101">
      <c r="A498" s="17" t="s">
        <v>968</v>
      </c>
      <c r="B498" s="17" t="s">
        <v>967</v>
      </c>
      <c r="C498" s="17" t="s">
        <v>86</v>
      </c>
      <c r="D498" s="26">
        <v>40861</v>
      </c>
      <c r="F498" s="20" t="s">
        <v>154</v>
      </c>
      <c r="G498" s="17">
        <v>2026</v>
      </c>
      <c r="I498" s="20">
        <v>2</v>
      </c>
      <c r="J498" s="20"/>
      <c r="K498" s="20"/>
      <c r="L498" s="20"/>
      <c r="S498" s="20">
        <v>82.6</v>
      </c>
      <c r="T498" s="20">
        <v>162.6</v>
      </c>
      <c r="U498" s="17">
        <v>46.3</v>
      </c>
      <c r="V498" s="17">
        <v>27.7</v>
      </c>
      <c r="W498" s="17">
        <v>8.4</v>
      </c>
      <c r="X498" s="17">
        <v>37.9</v>
      </c>
      <c r="Y498" s="17">
        <v>20.3</v>
      </c>
      <c r="Z498" s="17">
        <v>17.5</v>
      </c>
      <c r="AA498" s="17">
        <v>18.2</v>
      </c>
      <c r="AB498" s="17">
        <v>5.5</v>
      </c>
      <c r="AC498" s="17">
        <v>102.8</v>
      </c>
      <c r="AD498" s="17">
        <v>5.52</v>
      </c>
      <c r="AE498" s="17">
        <v>103.2</v>
      </c>
      <c r="AF498" s="17">
        <v>1.4</v>
      </c>
      <c r="AG498" s="17">
        <v>60.4</v>
      </c>
      <c r="AH498" s="17">
        <v>1.4</v>
      </c>
      <c r="AI498" s="17">
        <v>60.4</v>
      </c>
      <c r="AJ498" s="17">
        <v>368.2</v>
      </c>
      <c r="AK498" s="17">
        <v>364.8</v>
      </c>
      <c r="AL498" s="17">
        <v>331.7</v>
      </c>
      <c r="AM498" s="17">
        <v>330.4</v>
      </c>
      <c r="AN498" s="17">
        <v>93</v>
      </c>
      <c r="AO498" s="17">
        <v>0.83</v>
      </c>
      <c r="AP498" s="17">
        <v>5.4</v>
      </c>
      <c r="AQ498" s="20"/>
      <c r="AR498" s="20"/>
      <c r="AS498" s="20"/>
      <c r="AT498" s="20"/>
      <c r="AU498" s="20"/>
      <c r="AV498" s="20"/>
      <c r="AW498" s="20"/>
      <c r="AX498" s="20"/>
      <c r="AY498" s="41" t="str">
        <f t="shared" si="151"/>
        <v>Incomplete</v>
      </c>
      <c r="BA498" s="20" t="str">
        <f t="shared" si="152"/>
        <v>Incomplete</v>
      </c>
      <c r="BC498" s="20" t="str">
        <f t="shared" si="153"/>
        <v>Incomplete</v>
      </c>
      <c r="BE498" s="20" t="str">
        <f t="shared" si="154"/>
        <v>Incomplete</v>
      </c>
      <c r="BG498" s="17">
        <v>15</v>
      </c>
      <c r="BH498" s="17">
        <v>39</v>
      </c>
      <c r="BI498" s="20">
        <f t="shared" si="157"/>
        <v>24</v>
      </c>
      <c r="BJ498" s="20"/>
      <c r="BK498" s="17">
        <v>4</v>
      </c>
      <c r="BL498" s="20"/>
      <c r="BM498" s="17">
        <v>6.5</v>
      </c>
      <c r="BN498" s="20"/>
      <c r="BO498" s="17">
        <v>38</v>
      </c>
      <c r="BP498" s="17">
        <v>38</v>
      </c>
      <c r="BQ498" s="17">
        <v>80</v>
      </c>
      <c r="BR498" s="17">
        <v>90</v>
      </c>
      <c r="BS498" s="17">
        <v>87</v>
      </c>
      <c r="BT498" s="17">
        <v>76</v>
      </c>
      <c r="BU498" s="17">
        <v>90</v>
      </c>
      <c r="BV498" s="17">
        <v>81</v>
      </c>
      <c r="BW498" s="91">
        <f t="shared" si="155"/>
        <v>107.08333333333333</v>
      </c>
      <c r="BX498" s="91" t="str">
        <f>_xlfn.XLOOKUP(BW498,'Normative data'!$V$3:$V$6,'Normative data'!$W$3:$W$6,"Not Found",-1)</f>
        <v>Low risk</v>
      </c>
      <c r="BY498" s="91">
        <f t="shared" si="156"/>
        <v>102.91666666666666</v>
      </c>
      <c r="BZ498" s="91" t="str">
        <f>_xlfn.XLOOKUP(BY498,'Normative data'!$V$3:$V$6,'Normative data'!$W$3:$W$6,"Not Found",-1)</f>
        <v>Low risk</v>
      </c>
      <c r="CA498" s="17">
        <v>28</v>
      </c>
      <c r="CC498" s="20"/>
      <c r="CE498" s="17">
        <v>3</v>
      </c>
      <c r="CG498" s="17">
        <v>20.23</v>
      </c>
      <c r="CH498" s="20" t="str">
        <f>_xlfn.XLOOKUP(CG498, 'Normative data'!$S$9:$S$15,'Normative data'!$T$9:$T$15, "Not Found", -1)</f>
        <v>Average</v>
      </c>
      <c r="CI498" s="17">
        <v>21.06</v>
      </c>
      <c r="CJ498" s="20" t="str">
        <f>_xlfn.XLOOKUP(CI498, 'Normative data'!$S$9:$S$15, 'Normative data'!$T$9:$T$15, "Not Found", -1)</f>
        <v>Average</v>
      </c>
      <c r="CK498" s="17">
        <v>2.38</v>
      </c>
      <c r="CL498" s="17">
        <v>4.2</v>
      </c>
      <c r="CN498" s="17">
        <v>7.34</v>
      </c>
      <c r="CO498" s="17">
        <v>6.81</v>
      </c>
      <c r="CQ498" s="17">
        <v>4.4000000000000004</v>
      </c>
      <c r="CR498" s="20" t="str" cm="1">
        <f t="array" ref="CR498">IF(OR(ISBLANK(E498),ISBLANK(CQ498)),"Incomplete",_xlfn.XLOOKUP(CQ498,_xlfn.XLOOKUP(E498,'Normative data'!$Y$3:$Y$6,'Normative data'!$Z$3:$AG$6,,-1),'Normative data'!$Z$2:$AG$2,"Not Found",-1))</f>
        <v>Incomplete</v>
      </c>
      <c r="CS498" s="20">
        <v>4</v>
      </c>
      <c r="CT498" s="20">
        <v>4</v>
      </c>
      <c r="CU498" s="20" cm="1">
        <f t="array" ref="CU498">_xlfn.XLOOKUP(CS498&amp;CT498,(VLOOKUP!$A$3:$A$250)&amp;(VLOOKUP!$B$3:$B$250),VLOOKUP!$C$3:$C$250,"Incomplete",-1)</f>
        <v>540</v>
      </c>
      <c r="CV498" s="20" t="str" cm="1">
        <f t="array" ref="CV498">_xlfn.XLOOKUP(CU498, _xlfn.XLOOKUP(E498, 'Normative data'!$Y$11:$Y$14, 'Normative data'!$Z$11:$AG$14, ,-1), 'Normative data'!$Z$10:$AG$10, "Not Found", -1)</f>
        <v xml:space="preserve">Very poor </v>
      </c>
      <c r="CW498" s="20" cm="1">
        <f t="array" ref="CW498">IF(OR(ISBLANK(CS498),ISBLANK(CT498)),"Incomplete",_xlfn.XLOOKUP(CS498&amp;CT498,VLOOKUP!$A$4:$A$250&amp;VLOOKUP!$B$4:$B$250,VLOOKUP!$D$4:$D$250,"0"))</f>
        <v>28</v>
      </c>
    </row>
    <row r="499" spans="1:101">
      <c r="A499" s="17" t="s">
        <v>1086</v>
      </c>
      <c r="B499" s="17" t="s">
        <v>1087</v>
      </c>
      <c r="C499" s="17" t="s">
        <v>86</v>
      </c>
      <c r="D499" s="26">
        <v>41055</v>
      </c>
      <c r="E499" s="17">
        <v>13.9</v>
      </c>
      <c r="F499" s="20" t="s">
        <v>97</v>
      </c>
      <c r="G499" s="17">
        <v>2026</v>
      </c>
      <c r="I499" s="20">
        <v>2</v>
      </c>
      <c r="J499" s="20" t="s">
        <v>88</v>
      </c>
      <c r="K499" s="20" t="s">
        <v>170</v>
      </c>
      <c r="L499" s="20"/>
      <c r="S499" s="20">
        <v>90.7</v>
      </c>
      <c r="T499" s="20">
        <v>164.4</v>
      </c>
      <c r="U499" s="17">
        <v>63.6</v>
      </c>
      <c r="V499" s="17">
        <v>32.9</v>
      </c>
      <c r="W499" s="17">
        <v>18.600000000000001</v>
      </c>
      <c r="X499" s="17">
        <v>45</v>
      </c>
      <c r="Y499" s="17">
        <v>24.9</v>
      </c>
      <c r="Z499" s="17">
        <v>23.6</v>
      </c>
      <c r="AA499" s="17">
        <v>29.3</v>
      </c>
      <c r="AB499" s="17">
        <v>6.91</v>
      </c>
      <c r="AC499" s="17">
        <v>100.3</v>
      </c>
      <c r="AD499" s="17">
        <v>6.92</v>
      </c>
      <c r="AE499" s="17">
        <v>100.5</v>
      </c>
      <c r="AF499" s="17">
        <v>2.9</v>
      </c>
      <c r="AG499" s="17">
        <v>116.9</v>
      </c>
      <c r="AH499" s="17">
        <v>2.9</v>
      </c>
      <c r="AI499" s="17">
        <v>116.9</v>
      </c>
      <c r="AJ499" s="17">
        <v>296.3</v>
      </c>
      <c r="AK499" s="17">
        <v>294.2</v>
      </c>
      <c r="AL499" s="17">
        <v>261</v>
      </c>
      <c r="AM499" s="17">
        <v>259.10000000000002</v>
      </c>
      <c r="AN499" s="17">
        <v>93</v>
      </c>
      <c r="AO499" s="17">
        <v>0.87</v>
      </c>
      <c r="AP499" s="17">
        <v>6.8</v>
      </c>
      <c r="AQ499" s="17">
        <v>17.3</v>
      </c>
      <c r="AR499" s="17">
        <v>0.376</v>
      </c>
      <c r="AS499" s="17">
        <v>17.7</v>
      </c>
      <c r="AT499" s="17">
        <v>0.38</v>
      </c>
      <c r="AU499" s="17">
        <v>7.9</v>
      </c>
      <c r="AV499" s="17">
        <v>0.254</v>
      </c>
      <c r="AW499" s="17">
        <v>9.6999999999999993</v>
      </c>
      <c r="AX499" s="17">
        <v>0.28199999999999997</v>
      </c>
      <c r="AY499" s="41">
        <f t="shared" si="151"/>
        <v>1876.19</v>
      </c>
      <c r="BA499" s="20">
        <f t="shared" si="152"/>
        <v>1900.4700000000003</v>
      </c>
      <c r="BC499" s="20">
        <f t="shared" si="153"/>
        <v>1305.6100000000001</v>
      </c>
      <c r="BE499" s="20">
        <f t="shared" si="154"/>
        <v>1414.87</v>
      </c>
      <c r="BG499" s="17">
        <v>14.3</v>
      </c>
      <c r="BH499" s="17">
        <v>39.1</v>
      </c>
      <c r="BI499" s="20">
        <f t="shared" si="157"/>
        <v>24.8</v>
      </c>
      <c r="BJ499" s="20"/>
      <c r="BK499" s="17">
        <v>7.5</v>
      </c>
      <c r="BL499" s="20"/>
      <c r="BM499" s="17">
        <v>7.5</v>
      </c>
      <c r="BN499" s="20"/>
      <c r="BO499" s="17">
        <v>49</v>
      </c>
      <c r="BP499" s="17">
        <v>49</v>
      </c>
      <c r="BQ499" s="17">
        <v>69.5</v>
      </c>
      <c r="BR499" s="17">
        <v>76.7</v>
      </c>
      <c r="BS499" s="17">
        <v>71.5</v>
      </c>
      <c r="BT499" s="17">
        <v>67.8</v>
      </c>
      <c r="BU499" s="17">
        <v>90.5</v>
      </c>
      <c r="BV499" s="17">
        <v>78.599999999999994</v>
      </c>
      <c r="BW499" s="91">
        <f t="shared" si="155"/>
        <v>98.462234283129789</v>
      </c>
      <c r="BX499" s="91" t="str">
        <f>_xlfn.XLOOKUP(BW499,'Normative data'!$V$3:$V$6,'Normative data'!$W$3:$W$6,"Not Found",-1)</f>
        <v>Low risk</v>
      </c>
      <c r="BY499" s="91">
        <f t="shared" si="156"/>
        <v>107.14608774310265</v>
      </c>
      <c r="BZ499" s="91" t="str">
        <f>_xlfn.XLOOKUP(BY499,'Normative data'!$V$3:$V$6,'Normative data'!$W$3:$W$6,"Not Found",-1)</f>
        <v>Low risk</v>
      </c>
      <c r="CA499" s="17">
        <v>22</v>
      </c>
      <c r="CC499" s="20"/>
      <c r="CE499" s="17">
        <v>23</v>
      </c>
      <c r="CG499" s="17">
        <v>19.57</v>
      </c>
      <c r="CH499" s="20" t="str">
        <f>_xlfn.XLOOKUP(CG499, 'Normative data'!$S$9:$S$15,'Normative data'!$T$9:$T$15, "Not Found", -1)</f>
        <v>Average</v>
      </c>
      <c r="CI499" s="17">
        <v>20</v>
      </c>
      <c r="CJ499" s="20" t="str">
        <f>_xlfn.XLOOKUP(CI499, 'Normative data'!$S$9:$S$15, 'Normative data'!$T$9:$T$15, "Not Found", -1)</f>
        <v>Average</v>
      </c>
      <c r="CK499" s="17">
        <v>2.4700000000000002</v>
      </c>
      <c r="CL499" s="17">
        <v>4.05</v>
      </c>
      <c r="CN499" s="17">
        <v>7.86</v>
      </c>
      <c r="CO499" s="17">
        <v>6.36</v>
      </c>
      <c r="CQ499" s="17">
        <v>5.2</v>
      </c>
      <c r="CR499" s="20" t="str" cm="1">
        <f t="array" ref="CR499">IF(OR(ISBLANK(E499),ISBLANK(CQ499)),"Incomplete",_xlfn.XLOOKUP(CQ499,_xlfn.XLOOKUP(E499,'Normative data'!$Y$3:$Y$6,'Normative data'!$Z$3:$AG$6,,-1),'Normative data'!$Z$2:$AG$2,"Not Found",-1))</f>
        <v>Average</v>
      </c>
      <c r="CS499" s="20">
        <v>5</v>
      </c>
      <c r="CT499" s="20">
        <v>2</v>
      </c>
      <c r="CU499" s="20" cm="1">
        <f t="array" ref="CU499">_xlfn.XLOOKUP(CS499&amp;CT499,(VLOOKUP!$A$3:$A$250)&amp;(VLOOKUP!$B$3:$B$250),VLOOKUP!$C$3:$C$250,"Incomplete",-1)</f>
        <v>680</v>
      </c>
      <c r="CV499" s="20" t="str" cm="1">
        <f t="array" ref="CV499">_xlfn.XLOOKUP(CU499, _xlfn.XLOOKUP(E499, 'Normative data'!$Y$11:$Y$14, 'Normative data'!$Z$11:$AG$14, ,-1), 'Normative data'!$Z$10:$AG$10, "Not Found", -1)</f>
        <v>Average</v>
      </c>
      <c r="CW499" s="20" cm="1">
        <f t="array" ref="CW499">IF(OR(ISBLANK(CS499),ISBLANK(CT499)),"Incomplete",_xlfn.XLOOKUP(CS499&amp;CT499,VLOOKUP!$A$4:$A$250&amp;VLOOKUP!$B$4:$B$250,VLOOKUP!$D$4:$D$250,"0"))</f>
        <v>30</v>
      </c>
    </row>
    <row r="500" spans="1:101">
      <c r="A500" s="17" t="s">
        <v>1088</v>
      </c>
      <c r="B500" s="17" t="s">
        <v>449</v>
      </c>
      <c r="C500" s="17" t="s">
        <v>86</v>
      </c>
      <c r="D500" s="26"/>
      <c r="F500" s="20" t="s">
        <v>251</v>
      </c>
      <c r="G500" s="17">
        <v>2026</v>
      </c>
      <c r="I500" s="20">
        <v>2</v>
      </c>
      <c r="J500" s="20"/>
      <c r="K500" s="20"/>
      <c r="L500" s="20"/>
      <c r="S500" s="20"/>
      <c r="T500" s="20"/>
      <c r="AQ500" s="20"/>
      <c r="AR500" s="20"/>
      <c r="AS500" s="20"/>
      <c r="AT500" s="20"/>
      <c r="AU500" s="20"/>
      <c r="AV500" s="20"/>
      <c r="AW500" s="20"/>
      <c r="AX500" s="20"/>
      <c r="AY500" s="41" t="str">
        <f t="shared" si="151"/>
        <v>Incomplete</v>
      </c>
      <c r="BA500" s="20" t="str">
        <f t="shared" si="152"/>
        <v>Incomplete</v>
      </c>
      <c r="BC500" s="20" t="str">
        <f t="shared" si="153"/>
        <v>Incomplete</v>
      </c>
      <c r="BE500" s="20" t="str">
        <f t="shared" si="154"/>
        <v>Incomplete</v>
      </c>
      <c r="BH500" s="20"/>
      <c r="BI500" s="20" t="str">
        <f t="shared" si="157"/>
        <v>Incomplete</v>
      </c>
      <c r="BJ500" s="20"/>
      <c r="BL500" s="20"/>
      <c r="BM500" s="20"/>
      <c r="BN500" s="20"/>
      <c r="BW500" s="91" t="str">
        <f t="shared" si="155"/>
        <v>Incomplete</v>
      </c>
      <c r="BX500" s="91" t="str">
        <f>_xlfn.XLOOKUP(BW500,'Normative data'!$V$3:$V$6,'Normative data'!$W$3:$W$6,"Not Found",-1)</f>
        <v>Very low risk</v>
      </c>
      <c r="BY500" s="91" t="str">
        <f t="shared" si="156"/>
        <v>Incomplete</v>
      </c>
      <c r="BZ500" s="91" t="str">
        <f>_xlfn.XLOOKUP(BY500,'Normative data'!$V$3:$V$6,'Normative data'!$W$3:$W$6,"Not Found",-1)</f>
        <v>Very low risk</v>
      </c>
      <c r="CG500" s="20"/>
      <c r="CH500" s="20" t="str">
        <f>_xlfn.XLOOKUP(CG500, 'Normative data'!$S$9:$S$15,'Normative data'!$T$9:$T$15, "Not Found", -1)</f>
        <v>not completed</v>
      </c>
      <c r="CI500" s="20"/>
      <c r="CJ500" s="20" t="str">
        <f>_xlfn.XLOOKUP(CI500, 'Normative data'!$S$9:$S$15, 'Normative data'!$T$9:$T$15, "Not Found", -1)</f>
        <v>not completed</v>
      </c>
      <c r="CK500" s="21"/>
      <c r="CL500" s="21"/>
      <c r="CM500" s="21"/>
      <c r="CN500" s="21"/>
      <c r="CO500" s="21"/>
      <c r="CR500" s="20" t="str" cm="1">
        <f t="array" ref="CR500">IF(OR(ISBLANK(E500),ISBLANK(CQ500)),"Incomplete",_xlfn.XLOOKUP(CQ500,_xlfn.XLOOKUP(E500,'Normative data'!$Y$3:$Y$6,'Normative data'!$Z$3:$AG$6,,-1),'Normative data'!$Z$2:$AG$2,"Not Found",-1))</f>
        <v>Incomplete</v>
      </c>
      <c r="CS500" s="20"/>
      <c r="CT500" s="20"/>
      <c r="CU500" s="20" t="str" cm="1">
        <f t="array" ref="CU500">_xlfn.XLOOKUP(CS500&amp;CT500,(VLOOKUP!$A$3:$A$250)&amp;(VLOOKUP!$B$3:$B$250),VLOOKUP!$C$3:$C$250,"Incomplete",-1)</f>
        <v>Incomplete</v>
      </c>
      <c r="CV500" s="20" t="str" cm="1">
        <f t="array" ref="CV500">_xlfn.XLOOKUP(CU500, _xlfn.XLOOKUP(E500, 'Normative data'!$Y$11:$Y$14, 'Normative data'!$Z$11:$AG$14, ,-1), 'Normative data'!$Z$10:$AG$10, "Not Found", -1)</f>
        <v>Excellent</v>
      </c>
      <c r="CW500" s="20" t="str" cm="1">
        <f t="array" ref="CW500">IF(OR(ISBLANK(CS500),ISBLANK(CT500)),"Incomplete",_xlfn.XLOOKUP(CS500&amp;CT500,VLOOKUP!$A$4:$A$250&amp;VLOOKUP!$B$4:$B$250,VLOOKUP!$D$4:$D$250,"0"))</f>
        <v>Incomplete</v>
      </c>
    </row>
    <row r="501" spans="1:101">
      <c r="A501" s="17" t="s">
        <v>440</v>
      </c>
      <c r="B501" s="17" t="s">
        <v>439</v>
      </c>
      <c r="C501" s="17" t="s">
        <v>86</v>
      </c>
      <c r="D501" s="26"/>
      <c r="F501" s="20" t="s">
        <v>192</v>
      </c>
      <c r="G501" s="17">
        <v>2026</v>
      </c>
      <c r="I501" s="20">
        <v>2</v>
      </c>
      <c r="J501" s="20"/>
      <c r="K501" s="20"/>
      <c r="L501" s="20"/>
      <c r="S501" s="20">
        <v>90.1</v>
      </c>
      <c r="T501" s="20">
        <v>177.6</v>
      </c>
      <c r="AQ501" s="20"/>
      <c r="AR501" s="20"/>
      <c r="AS501" s="20"/>
      <c r="AT501" s="20"/>
      <c r="AU501" s="20"/>
      <c r="AV501" s="20"/>
      <c r="AW501" s="20"/>
      <c r="AX501" s="20"/>
      <c r="AY501" s="41" t="str">
        <f t="shared" si="151"/>
        <v>Incomplete</v>
      </c>
      <c r="BA501" s="20" t="str">
        <f t="shared" si="152"/>
        <v>Incomplete</v>
      </c>
      <c r="BC501" s="20" t="str">
        <f t="shared" si="153"/>
        <v>Incomplete</v>
      </c>
      <c r="BE501" s="20" t="str">
        <f t="shared" si="154"/>
        <v>Incomplete</v>
      </c>
      <c r="BH501" s="20"/>
      <c r="BI501" s="20" t="str">
        <f t="shared" si="157"/>
        <v>Incomplete</v>
      </c>
      <c r="BJ501" s="20"/>
      <c r="BL501" s="20"/>
      <c r="BM501" s="20"/>
      <c r="BN501" s="20"/>
      <c r="BW501" s="91">
        <f t="shared" si="155"/>
        <v>0</v>
      </c>
      <c r="BX501" s="91" t="str">
        <f>_xlfn.XLOOKUP(BW501,'Normative data'!$V$3:$V$6,'Normative data'!$W$3:$W$6,"Not Found",-1)</f>
        <v>Not completed</v>
      </c>
      <c r="BY501" s="91">
        <f t="shared" si="156"/>
        <v>0</v>
      </c>
      <c r="BZ501" s="91" t="str">
        <f>_xlfn.XLOOKUP(BY501,'Normative data'!$V$3:$V$6,'Normative data'!$W$3:$W$6,"Not Found",-1)</f>
        <v>Not completed</v>
      </c>
      <c r="CA501" s="20"/>
      <c r="CC501" s="20"/>
      <c r="CE501" s="20"/>
      <c r="CG501" s="20"/>
      <c r="CH501" s="20" t="str">
        <f>_xlfn.XLOOKUP(CG501, 'Normative data'!$S$9:$S$15,'Normative data'!$T$9:$T$15, "Not Found", -1)</f>
        <v>not completed</v>
      </c>
      <c r="CI501" s="20"/>
      <c r="CJ501" s="20" t="str">
        <f>_xlfn.XLOOKUP(CI501, 'Normative data'!$S$9:$S$15, 'Normative data'!$T$9:$T$15, "Not Found", -1)</f>
        <v>not completed</v>
      </c>
      <c r="CK501" s="21"/>
      <c r="CL501" s="21"/>
      <c r="CM501" s="21"/>
      <c r="CN501" s="21"/>
      <c r="CO501" s="21"/>
      <c r="CQ501" s="17">
        <v>6.9</v>
      </c>
      <c r="CR501" s="20" t="str" cm="1">
        <f t="array" ref="CR501">IF(OR(ISBLANK(E501),ISBLANK(CQ501)),"Incomplete",_xlfn.XLOOKUP(CQ501,_xlfn.XLOOKUP(E501,'Normative data'!$Y$3:$Y$6,'Normative data'!$Z$3:$AG$6,,-1),'Normative data'!$Z$2:$AG$2,"Not Found",-1))</f>
        <v>Incomplete</v>
      </c>
      <c r="CS501" s="20">
        <v>6</v>
      </c>
      <c r="CT501" s="20">
        <v>9</v>
      </c>
      <c r="CU501" s="20" cm="1">
        <f t="array" ref="CU501">_xlfn.XLOOKUP(CS501&amp;CT501,(VLOOKUP!$A$3:$A$250)&amp;(VLOOKUP!$B$3:$B$250),VLOOKUP!$C$3:$C$250,"Incomplete",-1)</f>
        <v>1000</v>
      </c>
      <c r="CV501" s="20" t="str" cm="1">
        <f t="array" ref="CV501">_xlfn.XLOOKUP(CU501, _xlfn.XLOOKUP(E501, 'Normative data'!$Y$11:$Y$14, 'Normative data'!$Z$11:$AG$14, ,-1), 'Normative data'!$Z$10:$AG$10, "Not Found", -1)</f>
        <v xml:space="preserve">Fair </v>
      </c>
      <c r="CW501" s="20" cm="1">
        <f t="array" ref="CW501">IF(OR(ISBLANK(CS501),ISBLANK(CT501)),"Incomplete",_xlfn.XLOOKUP(CS501&amp;CT501,VLOOKUP!$A$4:$A$250&amp;VLOOKUP!$B$4:$B$250,VLOOKUP!$D$4:$D$250,"0"))</f>
        <v>36</v>
      </c>
    </row>
    <row r="502" spans="1:101">
      <c r="A502" s="17" t="s">
        <v>1089</v>
      </c>
      <c r="B502" s="17" t="s">
        <v>439</v>
      </c>
      <c r="C502" s="17" t="s">
        <v>86</v>
      </c>
      <c r="D502" s="26">
        <v>41166</v>
      </c>
      <c r="E502" s="17">
        <v>13.6</v>
      </c>
      <c r="F502" s="20" t="s">
        <v>157</v>
      </c>
      <c r="G502" s="17">
        <v>2026</v>
      </c>
      <c r="I502" s="20">
        <v>2</v>
      </c>
      <c r="J502" s="20" t="s">
        <v>100</v>
      </c>
      <c r="K502" s="20" t="s">
        <v>170</v>
      </c>
      <c r="L502" s="20"/>
      <c r="S502" s="20"/>
      <c r="T502" s="20">
        <v>155.69999999999999</v>
      </c>
      <c r="U502" s="17">
        <v>44.9</v>
      </c>
      <c r="V502" s="17">
        <v>28</v>
      </c>
      <c r="W502" s="17">
        <v>6.7</v>
      </c>
      <c r="X502" s="17">
        <v>38.200000000000003</v>
      </c>
      <c r="Y502" s="17">
        <v>20.7</v>
      </c>
      <c r="Z502" s="17">
        <v>18.5</v>
      </c>
      <c r="AA502" s="17">
        <v>14.9</v>
      </c>
      <c r="AB502" s="17">
        <v>5.32</v>
      </c>
      <c r="AC502" s="17">
        <v>101.2</v>
      </c>
      <c r="AD502" s="17">
        <v>5.32</v>
      </c>
      <c r="AE502" s="17">
        <v>101.2</v>
      </c>
      <c r="AF502" s="17">
        <v>1.2</v>
      </c>
      <c r="AG502" s="17">
        <v>64.2</v>
      </c>
      <c r="AH502" s="17">
        <v>1.2</v>
      </c>
      <c r="AI502" s="17">
        <v>64.2</v>
      </c>
      <c r="AJ502" s="17">
        <v>322.8</v>
      </c>
      <c r="AK502" s="17">
        <v>322.60000000000002</v>
      </c>
      <c r="AL502" s="17">
        <v>286.3</v>
      </c>
      <c r="AM502" s="17">
        <v>286.5</v>
      </c>
      <c r="AN502" s="17">
        <v>91</v>
      </c>
      <c r="AO502" s="17">
        <v>0.8</v>
      </c>
      <c r="AP502" s="17">
        <v>5.8</v>
      </c>
      <c r="AQ502" s="17">
        <v>18.2</v>
      </c>
      <c r="AR502" s="17">
        <v>0.38500000000000001</v>
      </c>
      <c r="AS502" s="17">
        <v>32</v>
      </c>
      <c r="AT502" s="17">
        <v>0.51100000000000001</v>
      </c>
      <c r="AU502" s="17">
        <v>15.5</v>
      </c>
      <c r="AV502" s="17">
        <v>0.35599999999999998</v>
      </c>
      <c r="AW502" s="17">
        <v>11.3</v>
      </c>
      <c r="AX502" s="17">
        <v>0.30399999999999999</v>
      </c>
      <c r="AY502" s="41">
        <f t="shared" si="151"/>
        <v>1083.71</v>
      </c>
      <c r="BA502" s="20">
        <f t="shared" si="152"/>
        <v>1921.37</v>
      </c>
      <c r="BC502" s="20">
        <f t="shared" si="153"/>
        <v>919.81999999999971</v>
      </c>
      <c r="BE502" s="20">
        <f t="shared" si="154"/>
        <v>664.88000000000011</v>
      </c>
      <c r="BG502" s="17">
        <v>26.5</v>
      </c>
      <c r="BH502" s="17">
        <v>52</v>
      </c>
      <c r="BI502" s="20">
        <f t="shared" si="157"/>
        <v>25.5</v>
      </c>
      <c r="BJ502" s="20"/>
      <c r="BK502" s="17">
        <v>9</v>
      </c>
      <c r="BL502" s="20"/>
      <c r="BM502" s="17">
        <v>9.5</v>
      </c>
      <c r="BN502" s="20"/>
      <c r="BQ502" s="17">
        <v>78</v>
      </c>
      <c r="BR502" s="17">
        <v>82</v>
      </c>
      <c r="BS502" s="17">
        <v>83</v>
      </c>
      <c r="BT502" s="17">
        <v>74</v>
      </c>
      <c r="BU502" s="17">
        <v>77</v>
      </c>
      <c r="BV502" s="17">
        <v>80</v>
      </c>
      <c r="BW502" s="91">
        <f t="shared" si="155"/>
        <v>52.023121387283247</v>
      </c>
      <c r="BX502" s="91" t="str">
        <f>_xlfn.XLOOKUP(BW502,'Normative data'!$V$3:$V$6,'Normative data'!$W$3:$W$6,"Not Found",-1)</f>
        <v>High risk</v>
      </c>
      <c r="BY502" s="91">
        <f t="shared" si="156"/>
        <v>49.454078355812463</v>
      </c>
      <c r="BZ502" s="91" t="str">
        <f>_xlfn.XLOOKUP(BY502,'Normative data'!$V$3:$V$6,'Normative data'!$W$3:$W$6,"Not Found",-1)</f>
        <v>High risk</v>
      </c>
      <c r="CA502" s="17">
        <v>32</v>
      </c>
      <c r="CC502" s="20"/>
      <c r="CE502" s="17">
        <v>25</v>
      </c>
      <c r="CG502" s="17">
        <v>18.079999999999998</v>
      </c>
      <c r="CH502" s="20" t="str">
        <f>_xlfn.XLOOKUP(CG502, 'Normative data'!$S$9:$S$15,'Normative data'!$T$9:$T$15, "Not Found", -1)</f>
        <v>Average</v>
      </c>
      <c r="CI502" s="17">
        <v>18.579999999999998</v>
      </c>
      <c r="CJ502" s="20" t="str">
        <f>_xlfn.XLOOKUP(CI502, 'Normative data'!$S$9:$S$15, 'Normative data'!$T$9:$T$15, "Not Found", -1)</f>
        <v>Average</v>
      </c>
      <c r="CK502" s="17">
        <v>2.04</v>
      </c>
      <c r="CL502" s="17">
        <v>4.9000000000000004</v>
      </c>
      <c r="CN502" s="17">
        <v>6.49</v>
      </c>
      <c r="CO502" s="17">
        <v>7.7</v>
      </c>
      <c r="CQ502" s="17">
        <v>10.1</v>
      </c>
      <c r="CR502" s="20" t="str" cm="1">
        <f t="array" ref="CR502">IF(OR(ISBLANK(E502),ISBLANK(CQ502)),"Incomplete",_xlfn.XLOOKUP(CQ502,_xlfn.XLOOKUP(E502,'Normative data'!$Y$3:$Y$6,'Normative data'!$Z$3:$AG$6,,-1),'Normative data'!$Z$2:$AG$2,"Not Found",-1))</f>
        <v>Excellent</v>
      </c>
      <c r="CS502" s="20">
        <v>10</v>
      </c>
      <c r="CT502" s="20">
        <v>1</v>
      </c>
      <c r="CU502" s="20" cm="1">
        <f t="array" ref="CU502">_xlfn.XLOOKUP(CS502&amp;CT502,(VLOOKUP!$A$3:$A$250)&amp;(VLOOKUP!$B$3:$B$250),VLOOKUP!$C$3:$C$250,"Incomplete",-1)</f>
        <v>1680</v>
      </c>
      <c r="CV502" s="20" t="str" cm="1">
        <f t="array" ref="CV502">_xlfn.XLOOKUP(CU502, _xlfn.XLOOKUP(E502, 'Normative data'!$Y$11:$Y$14, 'Normative data'!$Z$11:$AG$14, ,-1), 'Normative data'!$Z$10:$AG$10, "Not Found", -1)</f>
        <v>Excellent</v>
      </c>
      <c r="CW502" s="20" cm="1">
        <f t="array" ref="CW502">IF(OR(ISBLANK(CS502),ISBLANK(CT502)),"Incomplete",_xlfn.XLOOKUP(CS502&amp;CT502,VLOOKUP!$A$4:$A$250&amp;VLOOKUP!$B$4:$B$250,VLOOKUP!$D$4:$D$250,"0"))</f>
        <v>47</v>
      </c>
    </row>
    <row r="503" spans="1:101">
      <c r="A503" s="17" t="s">
        <v>742</v>
      </c>
      <c r="B503" s="17" t="s">
        <v>439</v>
      </c>
      <c r="C503" s="17" t="s">
        <v>86</v>
      </c>
      <c r="D503" s="26">
        <v>40847</v>
      </c>
      <c r="E503" s="17">
        <v>14.5</v>
      </c>
      <c r="F503" s="20" t="s">
        <v>104</v>
      </c>
      <c r="G503" s="17">
        <v>2026</v>
      </c>
      <c r="I503" s="20">
        <v>2</v>
      </c>
      <c r="J503" s="20" t="s">
        <v>88</v>
      </c>
      <c r="K503" s="20" t="s">
        <v>218</v>
      </c>
      <c r="L503" s="20"/>
      <c r="S503" s="20">
        <v>84.9</v>
      </c>
      <c r="T503" s="20">
        <v>169.9</v>
      </c>
      <c r="U503" s="17">
        <v>58.6</v>
      </c>
      <c r="V503" s="17">
        <v>33.700000000000003</v>
      </c>
      <c r="W503" s="17">
        <v>12.6</v>
      </c>
      <c r="X503" s="17">
        <v>46</v>
      </c>
      <c r="Y503" s="17">
        <v>25.3</v>
      </c>
      <c r="Z503" s="17">
        <v>20.3</v>
      </c>
      <c r="AA503" s="17">
        <v>21.5</v>
      </c>
      <c r="AB503" s="17">
        <v>7.35</v>
      </c>
      <c r="AC503" s="17">
        <v>108.5</v>
      </c>
      <c r="AD503" s="17">
        <v>7.34</v>
      </c>
      <c r="AE503" s="17">
        <v>108.4</v>
      </c>
      <c r="AF503" s="17">
        <v>2.1</v>
      </c>
      <c r="AG503" s="17">
        <v>78.900000000000006</v>
      </c>
      <c r="AH503" s="17">
        <v>2.1</v>
      </c>
      <c r="AI503" s="17">
        <v>78.5</v>
      </c>
      <c r="AJ503" s="17">
        <v>312.2</v>
      </c>
      <c r="AK503" s="17">
        <v>311.60000000000002</v>
      </c>
      <c r="AL503" s="17">
        <v>277</v>
      </c>
      <c r="AM503" s="17">
        <v>278.89999999999998</v>
      </c>
      <c r="AN503" s="17">
        <v>105</v>
      </c>
      <c r="AO503" s="17">
        <v>0.83</v>
      </c>
      <c r="AP503" s="17">
        <v>6.6</v>
      </c>
      <c r="AQ503" s="20"/>
      <c r="AR503" s="20"/>
      <c r="AS503" s="20"/>
      <c r="AT503" s="20"/>
      <c r="AU503" s="20"/>
      <c r="AV503" s="20"/>
      <c r="AW503" s="20"/>
      <c r="AX503" s="20"/>
      <c r="AY503" s="41" t="str">
        <f t="shared" si="151"/>
        <v>Incomplete</v>
      </c>
      <c r="BA503" s="20" t="str">
        <f t="shared" si="152"/>
        <v>Incomplete</v>
      </c>
      <c r="BC503" s="20" t="str">
        <f t="shared" si="153"/>
        <v>Incomplete</v>
      </c>
      <c r="BE503" s="20" t="str">
        <f t="shared" si="154"/>
        <v>Incomplete</v>
      </c>
      <c r="BG503" s="17">
        <v>4.5999999999999996</v>
      </c>
      <c r="BH503" s="17">
        <v>37.4</v>
      </c>
      <c r="BI503" s="20">
        <f t="shared" si="157"/>
        <v>32.799999999999997</v>
      </c>
      <c r="BJ503" s="20"/>
      <c r="BK503" s="17">
        <v>7</v>
      </c>
      <c r="BL503" s="20"/>
      <c r="BM503" s="17">
        <v>9</v>
      </c>
      <c r="BN503" s="20"/>
      <c r="BO503" s="17">
        <v>50</v>
      </c>
      <c r="BP503" s="17">
        <v>49</v>
      </c>
      <c r="BQ503" s="17">
        <v>70</v>
      </c>
      <c r="BR503" s="17">
        <v>76</v>
      </c>
      <c r="BS503" s="17">
        <v>70</v>
      </c>
      <c r="BT503" s="17">
        <v>77</v>
      </c>
      <c r="BU503" s="17">
        <v>81</v>
      </c>
      <c r="BV503" s="17">
        <v>78</v>
      </c>
      <c r="BW503" s="91">
        <f t="shared" si="155"/>
        <v>84.705882352941174</v>
      </c>
      <c r="BX503" s="91" t="str">
        <f>_xlfn.XLOOKUP(BW503,'Normative data'!$V$3:$V$6,'Normative data'!$W$3:$W$6,"Not Found",-1)</f>
        <v>High risk</v>
      </c>
      <c r="BY503" s="91">
        <f t="shared" si="156"/>
        <v>92.549019607843135</v>
      </c>
      <c r="BZ503" s="91" t="str">
        <f>_xlfn.XLOOKUP(BY503,'Normative data'!$V$3:$V$6,'Normative data'!$W$3:$W$6,"Not Found",-1)</f>
        <v>High risk</v>
      </c>
      <c r="CA503" s="17">
        <v>34</v>
      </c>
      <c r="CC503" s="20"/>
      <c r="CE503" s="17">
        <v>30</v>
      </c>
      <c r="CG503" s="20"/>
      <c r="CH503" s="20" t="str">
        <f>_xlfn.XLOOKUP(CG503, 'Normative data'!$S$9:$S$15,'Normative data'!$T$9:$T$15, "Not Found", -1)</f>
        <v>not completed</v>
      </c>
      <c r="CI503" s="20"/>
      <c r="CJ503" s="20" t="str">
        <f>_xlfn.XLOOKUP(CI503, 'Normative data'!$S$9:$S$15, 'Normative data'!$T$9:$T$15, "Not Found", -1)</f>
        <v>not completed</v>
      </c>
      <c r="CK503" s="17">
        <v>2.1</v>
      </c>
      <c r="CL503" s="17">
        <v>4.76</v>
      </c>
      <c r="CN503" s="17">
        <v>6.37</v>
      </c>
      <c r="CO503" s="17">
        <v>7.85</v>
      </c>
      <c r="CR503" s="20" t="str" cm="1">
        <f t="array" ref="CR503">IF(OR(ISBLANK(E503),ISBLANK(CQ503)),"Incomplete",_xlfn.XLOOKUP(CQ503,_xlfn.XLOOKUP(E503,'Normative data'!$Y$3:$Y$6,'Normative data'!$Z$3:$AG$6,,-1),'Normative data'!$Z$2:$AG$2,"Not Found",-1))</f>
        <v>Incomplete</v>
      </c>
      <c r="CS503" s="20"/>
      <c r="CT503" s="20"/>
      <c r="CU503" s="20" t="str" cm="1">
        <f t="array" ref="CU503">_xlfn.XLOOKUP(CS503&amp;CT503,(VLOOKUP!$A$3:$A$250)&amp;(VLOOKUP!$B$3:$B$250),VLOOKUP!$C$3:$C$250,"Incomplete",-1)</f>
        <v>Incomplete</v>
      </c>
      <c r="CV503" s="20" t="str" cm="1">
        <f t="array" ref="CV503">_xlfn.XLOOKUP(CU503, _xlfn.XLOOKUP(E503, 'Normative data'!$Y$11:$Y$14, 'Normative data'!$Z$11:$AG$14, ,-1), 'Normative data'!$Z$10:$AG$10, "Not Found", -1)</f>
        <v>Excellent</v>
      </c>
      <c r="CW503" s="20" t="str" cm="1">
        <f t="array" ref="CW503">IF(OR(ISBLANK(CS503),ISBLANK(CT503)),"Incomplete",_xlfn.XLOOKUP(CS503&amp;CT503,VLOOKUP!$A$4:$A$250&amp;VLOOKUP!$B$4:$B$250,VLOOKUP!$D$4:$D$250,"0"))</f>
        <v>Incomplete</v>
      </c>
    </row>
    <row r="504" spans="1:101">
      <c r="A504" s="17" t="s">
        <v>1060</v>
      </c>
      <c r="B504" s="17" t="s">
        <v>439</v>
      </c>
      <c r="C504" s="17" t="s">
        <v>86</v>
      </c>
      <c r="D504" s="26">
        <v>39927</v>
      </c>
      <c r="E504" s="17">
        <v>17.2</v>
      </c>
      <c r="F504" s="20" t="s">
        <v>181</v>
      </c>
      <c r="G504" s="17">
        <v>2026</v>
      </c>
      <c r="I504" s="20">
        <v>2</v>
      </c>
      <c r="J504" s="20" t="s">
        <v>122</v>
      </c>
      <c r="K504" s="20" t="s">
        <v>228</v>
      </c>
      <c r="L504" s="20"/>
      <c r="S504" s="20">
        <v>87.4</v>
      </c>
      <c r="T504" s="20">
        <v>169.2</v>
      </c>
      <c r="U504" s="17">
        <v>58.7</v>
      </c>
      <c r="V504" s="17">
        <v>33.4</v>
      </c>
      <c r="W504" s="17">
        <v>13</v>
      </c>
      <c r="X504" s="17">
        <v>45.7</v>
      </c>
      <c r="Y504" s="17">
        <v>25</v>
      </c>
      <c r="Z504" s="17">
        <v>20.5</v>
      </c>
      <c r="AA504" s="17">
        <v>22.1</v>
      </c>
      <c r="AB504" s="17">
        <v>7.04</v>
      </c>
      <c r="AC504" s="17">
        <v>103.8</v>
      </c>
      <c r="AD504" s="17">
        <v>7.06</v>
      </c>
      <c r="AE504" s="17">
        <v>104</v>
      </c>
      <c r="AF504" s="17">
        <v>2.1</v>
      </c>
      <c r="AG504" s="17">
        <v>78.8</v>
      </c>
      <c r="AH504" s="17">
        <v>2.1</v>
      </c>
      <c r="AI504" s="17">
        <v>78.599999999999994</v>
      </c>
      <c r="AJ504" s="17">
        <v>317.39999999999998</v>
      </c>
      <c r="AK504" s="17">
        <v>315</v>
      </c>
      <c r="AL504" s="17">
        <v>284.2</v>
      </c>
      <c r="AM504" s="17">
        <v>283.5</v>
      </c>
      <c r="AN504" s="17">
        <v>104</v>
      </c>
      <c r="AQ504" s="20"/>
      <c r="AR504" s="20"/>
      <c r="AS504" s="20"/>
      <c r="AT504" s="20"/>
      <c r="AU504" s="20"/>
      <c r="AV504" s="20"/>
      <c r="AW504" s="20"/>
      <c r="AX504" s="20"/>
      <c r="AY504" s="41" t="str">
        <f t="shared" si="151"/>
        <v>Incomplete</v>
      </c>
      <c r="BA504" s="20" t="str">
        <f t="shared" si="152"/>
        <v>Incomplete</v>
      </c>
      <c r="BC504" s="20" t="str">
        <f t="shared" si="153"/>
        <v>Incomplete</v>
      </c>
      <c r="BE504" s="20" t="str">
        <f t="shared" si="154"/>
        <v>Incomplete</v>
      </c>
      <c r="BH504" s="20"/>
      <c r="BI504" s="20" t="str">
        <f t="shared" si="157"/>
        <v>Incomplete</v>
      </c>
      <c r="BJ504" s="20"/>
      <c r="BL504" s="20"/>
      <c r="BM504" s="20"/>
      <c r="BN504" s="20"/>
      <c r="BO504" s="17">
        <v>50.5</v>
      </c>
      <c r="BP504" s="17">
        <v>49.5</v>
      </c>
      <c r="BW504" s="91">
        <f t="shared" si="155"/>
        <v>0</v>
      </c>
      <c r="BX504" s="91" t="str">
        <f>_xlfn.XLOOKUP(BW504,'Normative data'!$V$3:$V$6,'Normative data'!$W$3:$W$6,"Not Found",-1)</f>
        <v>Not completed</v>
      </c>
      <c r="BY504" s="91">
        <f t="shared" si="156"/>
        <v>0</v>
      </c>
      <c r="BZ504" s="91" t="str">
        <f>_xlfn.XLOOKUP(BY504,'Normative data'!$V$3:$V$6,'Normative data'!$W$3:$W$6,"Not Found",-1)</f>
        <v>Not completed</v>
      </c>
      <c r="CG504" s="20"/>
      <c r="CH504" s="20" t="str">
        <f>_xlfn.XLOOKUP(CG504, 'Normative data'!$S$9:$S$15,'Normative data'!$T$9:$T$15, "Not Found", -1)</f>
        <v>not completed</v>
      </c>
      <c r="CI504" s="20"/>
      <c r="CJ504" s="20" t="str">
        <f>_xlfn.XLOOKUP(CI504, 'Normative data'!$S$9:$S$15, 'Normative data'!$T$9:$T$15, "Not Found", -1)</f>
        <v>not completed</v>
      </c>
      <c r="CK504" s="21"/>
      <c r="CL504" s="21"/>
      <c r="CM504" s="21"/>
      <c r="CN504" s="21"/>
      <c r="CO504" s="21"/>
      <c r="CR504" s="20" t="str" cm="1">
        <f t="array" ref="CR504">IF(OR(ISBLANK(E504),ISBLANK(CQ504)),"Incomplete",_xlfn.XLOOKUP(CQ504,_xlfn.XLOOKUP(E504,'Normative data'!$Y$3:$Y$6,'Normative data'!$Z$3:$AG$6,,-1),'Normative data'!$Z$2:$AG$2,"Not Found",-1))</f>
        <v>Incomplete</v>
      </c>
      <c r="CS504" s="20"/>
      <c r="CT504" s="20"/>
      <c r="CU504" s="20" t="str" cm="1">
        <f t="array" ref="CU504">_xlfn.XLOOKUP(CS504&amp;CT504,(VLOOKUP!$A$3:$A$250)&amp;(VLOOKUP!$B$3:$B$250),VLOOKUP!$C$3:$C$250,"Incomplete",-1)</f>
        <v>Incomplete</v>
      </c>
      <c r="CV504" s="20" t="str" cm="1">
        <f t="array" ref="CV504">_xlfn.XLOOKUP(CU504, _xlfn.XLOOKUP(E504, 'Normative data'!$Y$11:$Y$14, 'Normative data'!$Z$11:$AG$14, ,-1), 'Normative data'!$Z$10:$AG$10, "Not Found", -1)</f>
        <v>Excellent</v>
      </c>
      <c r="CW504" s="20" t="str" cm="1">
        <f t="array" ref="CW504">IF(OR(ISBLANK(CS504),ISBLANK(CT504)),"Incomplete",_xlfn.XLOOKUP(CS504&amp;CT504,VLOOKUP!$A$4:$A$250&amp;VLOOKUP!$B$4:$B$250,VLOOKUP!$D$4:$D$250,"0"))</f>
        <v>Incomplete</v>
      </c>
    </row>
    <row r="505" spans="1:101">
      <c r="A505" s="17" t="s">
        <v>1090</v>
      </c>
      <c r="B505" s="17" t="s">
        <v>439</v>
      </c>
      <c r="C505" s="17" t="s">
        <v>86</v>
      </c>
      <c r="D505" s="26">
        <v>40436</v>
      </c>
      <c r="E505" s="17">
        <v>15.6</v>
      </c>
      <c r="F505" s="20" t="s">
        <v>186</v>
      </c>
      <c r="G505" s="17">
        <v>2026</v>
      </c>
      <c r="I505" s="20">
        <v>2</v>
      </c>
      <c r="J505" s="20" t="s">
        <v>100</v>
      </c>
      <c r="K505" s="20" t="s">
        <v>105</v>
      </c>
      <c r="L505" s="20"/>
      <c r="S505" s="20">
        <v>86.9</v>
      </c>
      <c r="T505" s="20">
        <v>166.6</v>
      </c>
      <c r="U505" s="17">
        <v>70.400000000000006</v>
      </c>
      <c r="V505" s="17">
        <v>37</v>
      </c>
      <c r="W505" s="17">
        <v>19.899999999999999</v>
      </c>
      <c r="X505" s="17">
        <v>50.5</v>
      </c>
      <c r="Y505" s="17">
        <v>28</v>
      </c>
      <c r="Z505" s="17">
        <v>25.4</v>
      </c>
      <c r="AA505" s="17">
        <v>28.2</v>
      </c>
      <c r="AB505" s="17">
        <v>7.25</v>
      </c>
      <c r="AC505" s="17">
        <v>99.7</v>
      </c>
      <c r="AD505" s="17">
        <v>7.23</v>
      </c>
      <c r="AE505" s="17">
        <v>99.5</v>
      </c>
      <c r="AF505" s="17">
        <v>2.8</v>
      </c>
      <c r="AG505" s="17">
        <v>107.9</v>
      </c>
      <c r="AH505" s="17">
        <v>2.8</v>
      </c>
      <c r="AI505" s="17">
        <v>108.1</v>
      </c>
      <c r="AJ505" s="17">
        <v>296.60000000000002</v>
      </c>
      <c r="AK505" s="17">
        <v>297.89999999999998</v>
      </c>
      <c r="AL505" s="17">
        <v>264.7</v>
      </c>
      <c r="AM505" s="17">
        <v>264.5</v>
      </c>
      <c r="AN505" s="17">
        <v>92</v>
      </c>
      <c r="AO505" s="17">
        <v>0.93</v>
      </c>
      <c r="AP505" s="17">
        <v>7.2</v>
      </c>
      <c r="AY505" s="41" t="str">
        <f t="shared" si="151"/>
        <v>Incomplete</v>
      </c>
      <c r="BA505" s="20" t="str">
        <f t="shared" si="152"/>
        <v>Incomplete</v>
      </c>
      <c r="BC505" s="20" t="str">
        <f t="shared" si="153"/>
        <v>Incomplete</v>
      </c>
      <c r="BE505" s="20" t="str">
        <f t="shared" si="154"/>
        <v>Incomplete</v>
      </c>
      <c r="BH505" s="20"/>
      <c r="BI505" s="20" t="str">
        <f t="shared" si="157"/>
        <v>Incomplete</v>
      </c>
      <c r="BJ505" s="20"/>
      <c r="BK505" s="17">
        <v>7.4</v>
      </c>
      <c r="BL505" s="20"/>
      <c r="BM505" s="17">
        <v>4</v>
      </c>
      <c r="BN505" s="20"/>
      <c r="BW505" s="91">
        <f t="shared" si="155"/>
        <v>0</v>
      </c>
      <c r="BX505" s="91" t="str">
        <f>_xlfn.XLOOKUP(BW505,'Normative data'!$V$3:$V$6,'Normative data'!$W$3:$W$6,"Not Found",-1)</f>
        <v>Not completed</v>
      </c>
      <c r="BY505" s="91">
        <f t="shared" si="156"/>
        <v>0</v>
      </c>
      <c r="BZ505" s="91" t="str">
        <f>_xlfn.XLOOKUP(BY505,'Normative data'!$V$3:$V$6,'Normative data'!$W$3:$W$6,"Not Found",-1)</f>
        <v>Not completed</v>
      </c>
      <c r="CA505" s="20"/>
      <c r="CC505" s="20"/>
      <c r="CE505" s="17">
        <v>20</v>
      </c>
      <c r="CG505" s="17">
        <v>19.690000000000001</v>
      </c>
      <c r="CH505" s="20" t="str">
        <f>_xlfn.XLOOKUP(CG505, 'Normative data'!$S$9:$S$15,'Normative data'!$T$9:$T$15, "Not Found", -1)</f>
        <v>Average</v>
      </c>
      <c r="CI505" s="17">
        <v>19.39</v>
      </c>
      <c r="CJ505" s="20" t="str">
        <f>_xlfn.XLOOKUP(CI505, 'Normative data'!$S$9:$S$15, 'Normative data'!$T$9:$T$15, "Not Found", -1)</f>
        <v>Average</v>
      </c>
      <c r="CK505" s="17">
        <v>2.2200000000000002</v>
      </c>
      <c r="CL505" s="17">
        <v>4.5</v>
      </c>
      <c r="CN505" s="17">
        <v>6.89</v>
      </c>
      <c r="CO505" s="17">
        <v>7.26</v>
      </c>
      <c r="CR505" s="20" t="str" cm="1">
        <f t="array" ref="CR505">IF(OR(ISBLANK(E505),ISBLANK(CQ505)),"Incomplete",_xlfn.XLOOKUP(CQ505,_xlfn.XLOOKUP(E505,'Normative data'!$Y$3:$Y$6,'Normative data'!$Z$3:$AG$6,,-1),'Normative data'!$Z$2:$AG$2,"Not Found",-1))</f>
        <v>Incomplete</v>
      </c>
      <c r="CS505" s="20"/>
      <c r="CT505" s="20"/>
      <c r="CU505" s="20" t="str" cm="1">
        <f t="array" ref="CU505">_xlfn.XLOOKUP(CS505&amp;CT505,(VLOOKUP!$A$3:$A$250)&amp;(VLOOKUP!$B$3:$B$250),VLOOKUP!$C$3:$C$250,"Incomplete",-1)</f>
        <v>Incomplete</v>
      </c>
      <c r="CV505" s="20" t="str" cm="1">
        <f t="array" ref="CV505">_xlfn.XLOOKUP(CU505, _xlfn.XLOOKUP(E505, 'Normative data'!$Y$11:$Y$14, 'Normative data'!$Z$11:$AG$14, ,-1), 'Normative data'!$Z$10:$AG$10, "Not Found", -1)</f>
        <v>Excellent</v>
      </c>
      <c r="CW505" s="20" t="str" cm="1">
        <f t="array" ref="CW505">IF(OR(ISBLANK(CS505),ISBLANK(CT505)),"Incomplete",_xlfn.XLOOKUP(CS505&amp;CT505,VLOOKUP!$A$4:$A$250&amp;VLOOKUP!$B$4:$B$250,VLOOKUP!$D$4:$D$250,"0"))</f>
        <v>Incomplete</v>
      </c>
    </row>
    <row r="506" spans="1:101">
      <c r="A506" s="22" t="s">
        <v>1091</v>
      </c>
      <c r="B506" s="22" t="s">
        <v>1092</v>
      </c>
      <c r="C506" s="17" t="s">
        <v>86</v>
      </c>
      <c r="D506" s="23">
        <v>40725</v>
      </c>
      <c r="F506" s="17">
        <v>8</v>
      </c>
      <c r="G506" s="17">
        <v>2025</v>
      </c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41" t="str">
        <f t="shared" si="151"/>
        <v>Incomplete</v>
      </c>
      <c r="AZ506" s="20"/>
      <c r="BA506" s="20" t="str">
        <f t="shared" si="152"/>
        <v>Incomplete</v>
      </c>
      <c r="BB506" s="20"/>
      <c r="BC506" s="20" t="str">
        <f t="shared" si="153"/>
        <v>Incomplete</v>
      </c>
      <c r="BD506" s="20"/>
      <c r="BE506" s="20" t="str">
        <f t="shared" si="154"/>
        <v>Incomplete</v>
      </c>
      <c r="BF506" s="20"/>
      <c r="BG506" s="20">
        <v>14</v>
      </c>
      <c r="BH506" s="20">
        <v>45</v>
      </c>
      <c r="BI506" s="20" t="e">
        <f>IF(OR(ISBLANK(#REF!), ISBLANK(#REF!)),"Incomplete",(SUM(#REF!-#REF!)))</f>
        <v>#REF!</v>
      </c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91" t="str">
        <f t="shared" si="155"/>
        <v>Incomplete</v>
      </c>
      <c r="BX506" s="91" t="str">
        <f>_xlfn.XLOOKUP(BW506,'Normative data'!$V$3:$V$6,'Normative data'!$W$3:$W$6,"Not Found",-1)</f>
        <v>Very low risk</v>
      </c>
      <c r="BY506" s="91" t="str">
        <f t="shared" si="156"/>
        <v>Incomplete</v>
      </c>
      <c r="BZ506" s="91" t="str">
        <f>_xlfn.XLOOKUP(BY506,'Normative data'!$V$3:$V$6,'Normative data'!$W$3:$W$6,"Not Found",-1)</f>
        <v>Very low risk</v>
      </c>
      <c r="CA506" s="20"/>
      <c r="CC506" s="20"/>
      <c r="CE506" s="20">
        <v>5</v>
      </c>
      <c r="CG506" s="20"/>
      <c r="CH506" s="20" t="str">
        <f>_xlfn.XLOOKUP(CG506, 'Normative data'!$S$9:$S$15,'Normative data'!$T$9:$T$15, "Not Found", -1)</f>
        <v>not completed</v>
      </c>
      <c r="CI506" s="20"/>
      <c r="CJ506" s="20" t="str">
        <f>_xlfn.XLOOKUP(CI506, 'Normative data'!$S$9:$S$15, 'Normative data'!$T$9:$T$15, "Not Found", -1)</f>
        <v>not completed</v>
      </c>
      <c r="CK506" s="24">
        <v>2.14</v>
      </c>
      <c r="CL506" s="24">
        <v>4.67</v>
      </c>
      <c r="CM506" s="24"/>
      <c r="CN506" s="24">
        <v>6.53</v>
      </c>
      <c r="CO506" s="24">
        <v>7.66</v>
      </c>
      <c r="CP506" s="24"/>
      <c r="CQ506" s="20"/>
      <c r="CR506" s="20" t="str" cm="1">
        <f t="array" ref="CR506">IF(OR(ISBLANK(E506),ISBLANK(CQ506)),"Incomplete",_xlfn.XLOOKUP(CQ506,_xlfn.XLOOKUP(E506,'Normative data'!$Y$3:$Y$6,'Normative data'!$Z$3:$AG$6,,-1),'Normative data'!$Z$2:$AG$2,"Not Found",-1))</f>
        <v>Incomplete</v>
      </c>
      <c r="CS506" s="20"/>
      <c r="CT506" s="20"/>
      <c r="CU506" s="20" t="str" cm="1">
        <f t="array" ref="CU506">_xlfn.XLOOKUP(CS506&amp;CT506,(VLOOKUP!$A$3:$A$250)&amp;(VLOOKUP!$B$3:$B$250),VLOOKUP!$C$3:$C$250,"Incomplete",-1)</f>
        <v>Incomplete</v>
      </c>
      <c r="CV506" s="20" t="str" cm="1">
        <f t="array" ref="CV506">_xlfn.XLOOKUP(CU506, _xlfn.XLOOKUP(E506, 'Normative data'!$Y$11:$Y$14, 'Normative data'!$Z$11:$AG$14, ,-1), 'Normative data'!$Z$10:$AG$10, "Not Found", -1)</f>
        <v>Excellent</v>
      </c>
      <c r="CW506" s="20" t="str" cm="1">
        <f t="array" ref="CW506">IF(OR(ISBLANK(CS506),ISBLANK(CT506)),"Incomplete",_xlfn.XLOOKUP(CS506&amp;CT506,VLOOKUP!$A$4:$A$250&amp;VLOOKUP!$B$4:$B$250,VLOOKUP!$D$4:$D$250,"0"))</f>
        <v>Incomplete</v>
      </c>
    </row>
    <row r="507" spans="1:101">
      <c r="A507" s="17" t="s">
        <v>1077</v>
      </c>
      <c r="B507" s="17" t="s">
        <v>1093</v>
      </c>
      <c r="C507" s="17" t="s">
        <v>86</v>
      </c>
      <c r="D507" s="26">
        <v>41089</v>
      </c>
      <c r="E507" s="17">
        <v>13.9</v>
      </c>
      <c r="F507" s="20" t="s">
        <v>251</v>
      </c>
      <c r="G507" s="17">
        <v>2026</v>
      </c>
      <c r="I507" s="20">
        <v>2</v>
      </c>
      <c r="J507" s="20" t="s">
        <v>88</v>
      </c>
      <c r="K507" s="20" t="s">
        <v>170</v>
      </c>
      <c r="L507" s="20"/>
      <c r="S507" s="20">
        <v>87.6</v>
      </c>
      <c r="T507" s="20">
        <v>165.2</v>
      </c>
      <c r="U507" s="17">
        <v>52.2</v>
      </c>
      <c r="V507" s="17">
        <v>30.8</v>
      </c>
      <c r="W507" s="17">
        <v>10.1</v>
      </c>
      <c r="X507" s="17">
        <v>42.1</v>
      </c>
      <c r="Y507" s="17">
        <v>23.1</v>
      </c>
      <c r="Z507" s="17">
        <v>19.100000000000001</v>
      </c>
      <c r="AA507" s="17">
        <v>19.3</v>
      </c>
      <c r="AB507" s="17">
        <v>6.8</v>
      </c>
      <c r="AC507" s="17">
        <v>112.6</v>
      </c>
      <c r="AD507" s="17">
        <v>6.8</v>
      </c>
      <c r="AE507" s="17">
        <v>112.7</v>
      </c>
      <c r="AF507" s="17">
        <v>1.8</v>
      </c>
      <c r="AG507" s="17">
        <v>71.099999999999994</v>
      </c>
      <c r="AH507" s="17">
        <v>1.8</v>
      </c>
      <c r="AI507" s="17">
        <v>70.900000000000006</v>
      </c>
      <c r="AJ507" s="17">
        <v>300</v>
      </c>
      <c r="AK507" s="17">
        <v>298.2</v>
      </c>
      <c r="AL507" s="17">
        <v>264.39999999999998</v>
      </c>
      <c r="AM507" s="17">
        <v>264.10000000000002</v>
      </c>
      <c r="AN507" s="17">
        <v>100</v>
      </c>
      <c r="AO507" s="17">
        <v>0.79</v>
      </c>
      <c r="AP507" s="17">
        <v>6.4</v>
      </c>
      <c r="AQ507" s="17">
        <v>33.700000000000003</v>
      </c>
      <c r="AR507" s="17">
        <v>0.52400000000000002</v>
      </c>
      <c r="AS507" s="17">
        <v>37.6</v>
      </c>
      <c r="AT507" s="17">
        <v>0.55400000000000005</v>
      </c>
      <c r="AU507" s="17">
        <v>17.100000000000001</v>
      </c>
      <c r="AV507" s="17">
        <v>0.373</v>
      </c>
      <c r="AW507" s="17">
        <v>21.2</v>
      </c>
      <c r="AX507" s="17">
        <v>0.41599999999999998</v>
      </c>
      <c r="AY507" s="41">
        <f t="shared" si="151"/>
        <v>2355.25</v>
      </c>
      <c r="BA507" s="20">
        <f t="shared" si="152"/>
        <v>2591.9799999999996</v>
      </c>
      <c r="BC507" s="20">
        <f t="shared" si="153"/>
        <v>1347.63</v>
      </c>
      <c r="BE507" s="20">
        <f t="shared" si="154"/>
        <v>1596.5</v>
      </c>
      <c r="BG507" s="17">
        <v>19</v>
      </c>
      <c r="BH507" s="17">
        <v>51.5</v>
      </c>
      <c r="BI507" s="20">
        <f>IF(OR(ISBLANK(BG507), ISBLANK(BH507)),"Incomplete",(SUM(BH507-BG507)))</f>
        <v>32.5</v>
      </c>
      <c r="BJ507" s="20"/>
      <c r="BK507" s="17">
        <v>12</v>
      </c>
      <c r="BL507" s="20"/>
      <c r="BM507" s="17">
        <v>13.2</v>
      </c>
      <c r="BN507" s="20"/>
      <c r="BO507" s="17">
        <v>47.5</v>
      </c>
      <c r="BP507" s="17">
        <v>47</v>
      </c>
      <c r="BQ507" s="17">
        <v>82</v>
      </c>
      <c r="BR507" s="17">
        <v>69</v>
      </c>
      <c r="BS507" s="17">
        <v>69</v>
      </c>
      <c r="BT507" s="17">
        <v>79</v>
      </c>
      <c r="BU507" s="17">
        <v>70</v>
      </c>
      <c r="BV507" s="17">
        <v>71</v>
      </c>
      <c r="BW507" s="91">
        <f t="shared" si="155"/>
        <v>94.501718213058425</v>
      </c>
      <c r="BX507" s="91" t="str">
        <f>_xlfn.XLOOKUP(BW507,'Normative data'!$V$3:$V$6,'Normative data'!$W$3:$W$6,"Not Found",-1)</f>
        <v>High risk</v>
      </c>
      <c r="BY507" s="91">
        <f t="shared" si="156"/>
        <v>94.501718213058425</v>
      </c>
      <c r="BZ507" s="91" t="str">
        <f>_xlfn.XLOOKUP(BY507,'Normative data'!$V$3:$V$6,'Normative data'!$W$3:$W$6,"Not Found",-1)</f>
        <v>High risk</v>
      </c>
      <c r="CA507" s="17">
        <v>30</v>
      </c>
      <c r="CC507" s="20"/>
      <c r="CE507" s="17">
        <v>3</v>
      </c>
      <c r="CG507" s="17">
        <v>16.68</v>
      </c>
      <c r="CH507" s="20" t="str">
        <f>_xlfn.XLOOKUP(CG507, 'Normative data'!$S$9:$S$15,'Normative data'!$T$9:$T$15, "Not Found", -1)</f>
        <v>Excellent</v>
      </c>
      <c r="CI507" s="17">
        <v>16.05</v>
      </c>
      <c r="CJ507" s="20" t="str">
        <f>_xlfn.XLOOKUP(CI507, 'Normative data'!$S$9:$S$15, 'Normative data'!$T$9:$T$15, "Not Found", -1)</f>
        <v>Excellent</v>
      </c>
      <c r="CK507" s="17">
        <v>2.0699999999999998</v>
      </c>
      <c r="CL507" s="17">
        <v>4.83</v>
      </c>
      <c r="CN507" s="17">
        <v>6.43</v>
      </c>
      <c r="CO507" s="17">
        <v>7.81</v>
      </c>
      <c r="CQ507" s="17">
        <v>6.1</v>
      </c>
      <c r="CR507" s="20" t="str" cm="1">
        <f t="array" ref="CR507">IF(OR(ISBLANK(E507),ISBLANK(CQ507)),"Incomplete",_xlfn.XLOOKUP(CQ507,_xlfn.XLOOKUP(E507,'Normative data'!$Y$3:$Y$6,'Normative data'!$Z$3:$AG$6,,-1),'Normative data'!$Z$2:$AG$2,"Not Found",-1))</f>
        <v>Average</v>
      </c>
      <c r="CS507" s="20">
        <v>6</v>
      </c>
      <c r="CT507" s="20">
        <v>1</v>
      </c>
      <c r="CU507" s="20" cm="1">
        <f t="array" ref="CU507">_xlfn.XLOOKUP(CS507&amp;CT507,(VLOOKUP!$A$3:$A$250)&amp;(VLOOKUP!$B$3:$B$250),VLOOKUP!$C$3:$C$250,"Incomplete",-1)</f>
        <v>840</v>
      </c>
      <c r="CV507" s="20" t="str" cm="1">
        <f t="array" ref="CV507">_xlfn.XLOOKUP(CU507, _xlfn.XLOOKUP(E507, 'Normative data'!$Y$11:$Y$14, 'Normative data'!$Z$11:$AG$14, ,-1), 'Normative data'!$Z$10:$AG$10, "Not Found", -1)</f>
        <v>Average</v>
      </c>
      <c r="CW507" s="20" cm="1">
        <f t="array" ref="CW507">IF(OR(ISBLANK(CS507),ISBLANK(CT507)),"Incomplete",_xlfn.XLOOKUP(CS507&amp;CT507,VLOOKUP!$A$4:$A$250&amp;VLOOKUP!$B$4:$B$250,VLOOKUP!$D$4:$D$250,"0"))</f>
        <v>33</v>
      </c>
    </row>
    <row r="508" spans="1:101">
      <c r="A508" s="22" t="s">
        <v>1094</v>
      </c>
      <c r="B508" s="22" t="s">
        <v>1095</v>
      </c>
      <c r="C508" s="17" t="s">
        <v>86</v>
      </c>
      <c r="D508" s="23">
        <v>40461</v>
      </c>
      <c r="F508" s="17">
        <v>9</v>
      </c>
      <c r="G508" s="17">
        <v>2025</v>
      </c>
      <c r="J508" s="17" t="s">
        <v>122</v>
      </c>
      <c r="S508" s="20"/>
      <c r="T508" s="20">
        <v>162</v>
      </c>
      <c r="U508" s="20">
        <v>59.6</v>
      </c>
      <c r="V508" s="20"/>
      <c r="W508" s="20">
        <v>12.2</v>
      </c>
      <c r="X508" s="20">
        <f>SUM(T508-W508)</f>
        <v>149.80000000000001</v>
      </c>
      <c r="Y508" s="20">
        <v>26.2</v>
      </c>
      <c r="Z508" s="20">
        <v>22.7</v>
      </c>
      <c r="AA508" s="20">
        <v>20.5</v>
      </c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41" t="str">
        <f t="shared" si="151"/>
        <v>Incomplete</v>
      </c>
      <c r="AZ508" s="20"/>
      <c r="BA508" s="20" t="str">
        <f t="shared" si="152"/>
        <v>Incomplete</v>
      </c>
      <c r="BB508" s="20"/>
      <c r="BC508" s="20" t="str">
        <f t="shared" si="153"/>
        <v>Incomplete</v>
      </c>
      <c r="BD508" s="20"/>
      <c r="BE508" s="20" t="str">
        <f t="shared" si="154"/>
        <v>Incomplete</v>
      </c>
      <c r="BF508" s="20"/>
      <c r="BG508" s="20">
        <v>18.100000000000001</v>
      </c>
      <c r="BH508" s="20">
        <v>46</v>
      </c>
      <c r="BI508" s="20" t="e">
        <f>IF(OR(ISBLANK(#REF!), ISBLANK(#REF!)),"Incomplete",(SUM(#REF!-#REF!)))</f>
        <v>#REF!</v>
      </c>
      <c r="BJ508" s="20"/>
      <c r="BK508" s="20">
        <v>6</v>
      </c>
      <c r="BL508" s="20"/>
      <c r="BM508" s="20">
        <v>6</v>
      </c>
      <c r="BN508" s="20"/>
      <c r="BO508" s="20"/>
      <c r="BP508" s="20"/>
      <c r="BQ508" s="20"/>
      <c r="BR508" s="20"/>
      <c r="BS508" s="20"/>
      <c r="BT508" s="20"/>
      <c r="BU508" s="20"/>
      <c r="BV508" s="20"/>
      <c r="BW508" s="91">
        <f t="shared" si="155"/>
        <v>0</v>
      </c>
      <c r="BX508" s="91" t="str">
        <f>_xlfn.XLOOKUP(BW508,'Normative data'!$V$3:$V$6,'Normative data'!$W$3:$W$6,"Not Found",-1)</f>
        <v>Not completed</v>
      </c>
      <c r="BY508" s="91">
        <f t="shared" si="156"/>
        <v>0</v>
      </c>
      <c r="BZ508" s="91" t="str">
        <f>_xlfn.XLOOKUP(BY508,'Normative data'!$V$3:$V$6,'Normative data'!$W$3:$W$6,"Not Found",-1)</f>
        <v>Not completed</v>
      </c>
      <c r="CA508" s="20"/>
      <c r="CC508" s="20"/>
      <c r="CE508" s="20"/>
      <c r="CG508" s="20">
        <v>16.72</v>
      </c>
      <c r="CH508" s="20" t="e">
        <f>_xlfn.XLOOKUP(#REF!, 'Normative data'!$S$9:$S$15,'Normative data'!$T$9:$T$15, "Not Found", -1)</f>
        <v>#REF!</v>
      </c>
      <c r="CI508" s="20">
        <v>16.53</v>
      </c>
      <c r="CJ508" s="20" t="e">
        <f>_xlfn.XLOOKUP(#REF!, 'Normative data'!$S$9:$S$15, 'Normative data'!$T$9:$T$15, "Not Found", -1)</f>
        <v>#REF!</v>
      </c>
      <c r="CK508" s="24">
        <v>2.0699999999999998</v>
      </c>
      <c r="CL508" s="24">
        <v>4.83</v>
      </c>
      <c r="CM508" s="21"/>
      <c r="CN508" s="24">
        <v>6.13</v>
      </c>
      <c r="CO508" s="24">
        <v>8.16</v>
      </c>
      <c r="CP508" s="24"/>
      <c r="CQ508" s="20"/>
      <c r="CR508" s="20" t="str" cm="1">
        <f t="array" ref="CR508">IF(OR(ISBLANK(E508),ISBLANK(CQ508)),"Incomplete",_xlfn.XLOOKUP(CQ508,_xlfn.XLOOKUP(E508,'Normative data'!$Y$3:$Y$6,'Normative data'!$Z$3:$AG$6,,-1),'Normative data'!$Z$2:$AG$2,"Not Found",-1))</f>
        <v>Incomplete</v>
      </c>
      <c r="CS508" s="20"/>
      <c r="CT508" s="20"/>
      <c r="CU508" s="20" t="str" cm="1">
        <f t="array" ref="CU508">_xlfn.XLOOKUP(CS508&amp;CT508,(VLOOKUP!$A$3:$A$250)&amp;(VLOOKUP!$B$3:$B$250),VLOOKUP!$C$3:$C$250,"Incomplete",-1)</f>
        <v>Incomplete</v>
      </c>
      <c r="CV508" s="20" t="str" cm="1">
        <f t="array" ref="CV508">_xlfn.XLOOKUP(CU508, _xlfn.XLOOKUP(E508, 'Normative data'!$Y$11:$Y$14, 'Normative data'!$Z$11:$AG$14, ,-1), 'Normative data'!$Z$10:$AG$10, "Not Found", -1)</f>
        <v>Excellent</v>
      </c>
      <c r="CW508" s="20" t="str" cm="1">
        <f t="array" ref="CW508">IF(OR(ISBLANK(CS508),ISBLANK(CT508)),"Incomplete",_xlfn.XLOOKUP(CS508&amp;CT508,VLOOKUP!$A$4:$A$250&amp;VLOOKUP!$B$4:$B$250,VLOOKUP!$D$4:$D$250,"0"))</f>
        <v>Incomplete</v>
      </c>
    </row>
    <row r="509" spans="1:101">
      <c r="A509" s="22" t="s">
        <v>1094</v>
      </c>
      <c r="B509" s="22" t="s">
        <v>1095</v>
      </c>
      <c r="C509" s="17" t="s">
        <v>86</v>
      </c>
      <c r="D509" s="23">
        <v>40461</v>
      </c>
      <c r="F509" s="17">
        <v>9</v>
      </c>
      <c r="G509" s="17">
        <v>2025</v>
      </c>
      <c r="J509" s="17" t="s">
        <v>122</v>
      </c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41" t="str">
        <f t="shared" si="151"/>
        <v>Incomplete</v>
      </c>
      <c r="AZ509" s="20"/>
      <c r="BA509" s="20" t="str">
        <f t="shared" si="152"/>
        <v>Incomplete</v>
      </c>
      <c r="BB509" s="20"/>
      <c r="BC509" s="20" t="str">
        <f t="shared" si="153"/>
        <v>Incomplete</v>
      </c>
      <c r="BD509" s="20"/>
      <c r="BE509" s="20" t="str">
        <f t="shared" si="154"/>
        <v>Incomplete</v>
      </c>
      <c r="BF509" s="20"/>
      <c r="BI509" s="20">
        <f>IF(OR(ISBLANK(BG508), ISBLANK(BH508)),"Incomplete",(SUM(BH508-BG508)))</f>
        <v>27.9</v>
      </c>
      <c r="BJ509" s="20"/>
      <c r="BK509" s="20">
        <v>5</v>
      </c>
      <c r="BL509" s="20"/>
      <c r="BM509" s="20">
        <v>5</v>
      </c>
      <c r="BN509" s="20"/>
      <c r="BO509" s="20"/>
      <c r="BP509" s="20"/>
      <c r="BQ509" s="20"/>
      <c r="BR509" s="20"/>
      <c r="BS509" s="20"/>
      <c r="BT509" s="20"/>
      <c r="BU509" s="20"/>
      <c r="BV509" s="20"/>
      <c r="BW509" s="91" t="str">
        <f t="shared" si="155"/>
        <v>Incomplete</v>
      </c>
      <c r="BX509" s="91" t="str">
        <f>_xlfn.XLOOKUP(BW509,'Normative data'!$V$3:$V$6,'Normative data'!$W$3:$W$6,"Not Found",-1)</f>
        <v>Very low risk</v>
      </c>
      <c r="BY509" s="91" t="str">
        <f t="shared" si="156"/>
        <v>Incomplete</v>
      </c>
      <c r="BZ509" s="91" t="str">
        <f>_xlfn.XLOOKUP(BY509,'Normative data'!$V$3:$V$6,'Normative data'!$W$3:$W$6,"Not Found",-1)</f>
        <v>Very low risk</v>
      </c>
      <c r="CA509" s="20"/>
      <c r="CC509" s="20"/>
      <c r="CE509" s="20"/>
      <c r="CG509" s="20">
        <v>17.46</v>
      </c>
      <c r="CH509" s="20" t="e">
        <f>_xlfn.XLOOKUP(#REF!, 'Normative data'!$S$9:$S$15,'Normative data'!$T$9:$T$15, "Not Found", -1)</f>
        <v>#REF!</v>
      </c>
      <c r="CI509" s="20">
        <v>17.440000000000001</v>
      </c>
      <c r="CJ509" s="20" t="e">
        <f>_xlfn.XLOOKUP(#REF!, 'Normative data'!$S$9:$S$15, 'Normative data'!$T$9:$T$15, "Not Found", -1)</f>
        <v>#REF!</v>
      </c>
      <c r="CK509" s="21"/>
      <c r="CL509" s="21"/>
      <c r="CM509" s="21"/>
      <c r="CN509" s="21"/>
      <c r="CO509" s="21"/>
      <c r="CP509" s="24"/>
      <c r="CQ509" s="20"/>
      <c r="CR509" s="20" t="str" cm="1">
        <f t="array" ref="CR509">IF(OR(ISBLANK(E509),ISBLANK(CQ509)),"Incomplete",_xlfn.XLOOKUP(CQ509,_xlfn.XLOOKUP(E509,'Normative data'!$Y$3:$Y$6,'Normative data'!$Z$3:$AG$6,,-1),'Normative data'!$Z$2:$AG$2,"Not Found",-1))</f>
        <v>Incomplete</v>
      </c>
      <c r="CS509" s="20"/>
      <c r="CT509" s="20"/>
      <c r="CU509" s="20" t="str" cm="1">
        <f t="array" ref="CU509">_xlfn.XLOOKUP(CS509&amp;CT509,(VLOOKUP!$A$3:$A$250)&amp;(VLOOKUP!$B$3:$B$250),VLOOKUP!$C$3:$C$250,"Incomplete",-1)</f>
        <v>Incomplete</v>
      </c>
      <c r="CV509" s="20" t="str" cm="1">
        <f t="array" ref="CV509">_xlfn.XLOOKUP(CU509, _xlfn.XLOOKUP(E509, 'Normative data'!$Y$11:$Y$14, 'Normative data'!$Z$11:$AG$14, ,-1), 'Normative data'!$Z$10:$AG$10, "Not Found", -1)</f>
        <v>Excellent</v>
      </c>
      <c r="CW509" s="20" t="str" cm="1">
        <f t="array" ref="CW509">IF(OR(ISBLANK(CS509),ISBLANK(CT509)),"Incomplete",_xlfn.XLOOKUP(CS509&amp;CT509,VLOOKUP!$A$4:$A$250&amp;VLOOKUP!$B$4:$B$250,VLOOKUP!$D$4:$D$250,"0"))</f>
        <v>Incomplete</v>
      </c>
    </row>
    <row r="510" spans="1:101">
      <c r="A510" s="22" t="s">
        <v>1094</v>
      </c>
      <c r="B510" s="22" t="s">
        <v>1095</v>
      </c>
      <c r="C510" s="17" t="s">
        <v>86</v>
      </c>
      <c r="D510" s="23">
        <v>40461</v>
      </c>
      <c r="F510" s="17">
        <v>9</v>
      </c>
      <c r="G510" s="17">
        <v>2025</v>
      </c>
      <c r="J510" s="17" t="s">
        <v>122</v>
      </c>
      <c r="S510" s="20"/>
      <c r="T510" s="20">
        <v>162</v>
      </c>
      <c r="U510" s="20" t="s">
        <v>1096</v>
      </c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41" t="str">
        <f>IF(OR(ISBLANK(#REF!), ISBLANK(AQ510)), "Incomplete", (60.7*AQ510)+(45.3*#REF!)-2055)</f>
        <v>Incomplete</v>
      </c>
      <c r="AZ510" s="20"/>
      <c r="BA510" s="20" t="str">
        <f>IF(OR(ISBLANK(#REF!), ISBLANK(AS510)), "Incomplete", (60.7*AS510)+(45.3*#REF!)-2055)</f>
        <v>Incomplete</v>
      </c>
      <c r="BB510" s="20"/>
      <c r="BC510" s="20" t="str">
        <f>IF(OR(ISBLANK(#REF!), ISBLANK(AU510)), "Incomplete", (60.7*AU510)+(45.3*#REF!)-2055)</f>
        <v>Incomplete</v>
      </c>
      <c r="BD510" s="20"/>
      <c r="BE510" s="20" t="str">
        <f>IF(OR(ISBLANK(#REF!), ISBLANK(AW510)), "Incomplete", (60.7*AW510)+(45.3*#REF!)-2055)</f>
        <v>Incomplete</v>
      </c>
      <c r="BF510" s="20"/>
      <c r="BG510" s="20"/>
      <c r="BH510" s="20"/>
      <c r="BI510" s="20" t="str">
        <f t="shared" ref="BI510:BI526" si="158">IF(OR(ISBLANK(BG510), ISBLANK(BH510)),"Incomplete",(SUM(BH510-BG510)))</f>
        <v>Incomplete</v>
      </c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91" t="str">
        <f>IFERROR(SUM(BQ510+BR510+BS510)/(3*(#REF!-S510))*100, "Incomplete")</f>
        <v>Incomplete</v>
      </c>
      <c r="BX510" s="91" t="str">
        <f>_xlfn.XLOOKUP(BW510,'Normative data'!$V$3:$V$6,'Normative data'!$W$3:$W$6,"Not Found",-1)</f>
        <v>Very low risk</v>
      </c>
      <c r="BY510" s="91" t="str">
        <f>IFERROR(SUM(BT510+BU510+BV510)/(3*(#REF!-S510))*100, "Incomplete")</f>
        <v>Incomplete</v>
      </c>
      <c r="BZ510" s="91" t="str">
        <f>_xlfn.XLOOKUP(BY510,'Normative data'!$V$3:$V$6,'Normative data'!$W$3:$W$6,"Not Found",-1)</f>
        <v>Very low risk</v>
      </c>
      <c r="CA510" s="20"/>
      <c r="CC510" s="20"/>
      <c r="CE510" s="20">
        <v>27</v>
      </c>
      <c r="CG510" s="20">
        <v>16.78</v>
      </c>
      <c r="CH510" s="20" t="e">
        <f>_xlfn.XLOOKUP(#REF!, 'Normative data'!$S$9:$S$15,'Normative data'!$T$9:$T$15, "Not Found", -1)</f>
        <v>#REF!</v>
      </c>
      <c r="CI510" s="20">
        <v>16.600000000000001</v>
      </c>
      <c r="CJ510" s="20" t="e">
        <f>_xlfn.XLOOKUP(#REF!, 'Normative data'!$S$9:$S$15, 'Normative data'!$T$9:$T$15, "Not Found", -1)</f>
        <v>#REF!</v>
      </c>
      <c r="CK510" s="20" t="s">
        <v>327</v>
      </c>
      <c r="CL510" s="20" t="s">
        <v>624</v>
      </c>
      <c r="CM510" s="21"/>
      <c r="CN510" s="20" t="s">
        <v>1097</v>
      </c>
      <c r="CO510" s="20" t="s">
        <v>1098</v>
      </c>
      <c r="CP510" s="24"/>
      <c r="CQ510" s="20"/>
      <c r="CR510" s="20" t="str" cm="1">
        <f t="array" ref="CR510">IF(OR(ISBLANK(E510),ISBLANK(CQ510)),"Incomplete",_xlfn.XLOOKUP(CQ510,_xlfn.XLOOKUP(E510,'Normative data'!$Y$3:$Y$6,'Normative data'!$Z$3:$AG$6,,-1),'Normative data'!$Z$2:$AG$2,"Not Found",-1))</f>
        <v>Incomplete</v>
      </c>
      <c r="CS510" s="20"/>
      <c r="CT510" s="20"/>
      <c r="CU510" s="20" t="str" cm="1">
        <f t="array" ref="CU510">_xlfn.XLOOKUP(CS510&amp;CT510,(VLOOKUP!$A$3:$A$250)&amp;(VLOOKUP!$B$3:$B$250),VLOOKUP!$C$3:$C$250,"Incomplete",-1)</f>
        <v>Incomplete</v>
      </c>
      <c r="CV510" s="20" t="str" cm="1">
        <f t="array" ref="CV510">_xlfn.XLOOKUP(CU510, _xlfn.XLOOKUP(E510, 'Normative data'!$Y$11:$Y$14, 'Normative data'!$Z$11:$AG$14, ,-1), 'Normative data'!$Z$10:$AG$10, "Not Found", -1)</f>
        <v>Excellent</v>
      </c>
      <c r="CW510" s="20" t="str" cm="1">
        <f t="array" ref="CW510">IF(OR(ISBLANK(CS510),ISBLANK(CT510)),"Incomplete",_xlfn.XLOOKUP(CS510&amp;CT510,VLOOKUP!$A$4:$A$250&amp;VLOOKUP!$B$4:$B$250,VLOOKUP!$D$4:$D$250,"0"))</f>
        <v>Incomplete</v>
      </c>
    </row>
    <row r="511" spans="1:101">
      <c r="A511" s="17" t="s">
        <v>1099</v>
      </c>
      <c r="B511" s="17" t="s">
        <v>1095</v>
      </c>
      <c r="C511" s="17" t="s">
        <v>86</v>
      </c>
      <c r="D511" s="23">
        <v>40461</v>
      </c>
      <c r="G511" s="17">
        <v>2026</v>
      </c>
      <c r="H511" s="20" t="s">
        <v>114</v>
      </c>
      <c r="I511" s="17">
        <v>1</v>
      </c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 t="s">
        <v>1100</v>
      </c>
      <c r="AR511" s="20" t="s">
        <v>1101</v>
      </c>
      <c r="AS511" s="20">
        <v>31.8</v>
      </c>
      <c r="AT511" s="20" t="s">
        <v>1102</v>
      </c>
      <c r="AU511" s="20" t="s">
        <v>1103</v>
      </c>
      <c r="AV511" s="20" t="s">
        <v>1104</v>
      </c>
      <c r="AW511" s="20" t="s">
        <v>1105</v>
      </c>
      <c r="AX511" s="20" t="s">
        <v>1106</v>
      </c>
      <c r="AY511" s="41" t="str">
        <f t="shared" ref="AY511:AY527" si="159">IF(OR(ISBLANK(U511), ISBLANK(AQ511)), "Incomplete", (60.7*AQ511)+(45.3*U511)-2055)</f>
        <v>Incomplete</v>
      </c>
      <c r="AZ511" s="20"/>
      <c r="BA511" s="20" t="str">
        <f t="shared" ref="BA511:BA527" si="160">IF(OR(ISBLANK(U511), ISBLANK(AS511)), "Incomplete", (60.7*AS511)+(45.3*U511)-2055)</f>
        <v>Incomplete</v>
      </c>
      <c r="BB511" s="20"/>
      <c r="BC511" s="20" t="str">
        <f t="shared" ref="BC511:BC527" si="161">IF(OR(ISBLANK(U511), ISBLANK(AU511)), "Incomplete", (60.7*AU511)+(45.3*U511)-2055)</f>
        <v>Incomplete</v>
      </c>
      <c r="BD511" s="20"/>
      <c r="BE511" s="20" t="str">
        <f t="shared" ref="BE511:BE527" si="162">IF(OR(ISBLANK(U511), ISBLANK(AW511)), "Incomplete", (60.7*AW511)+(45.3*U511)-2055)</f>
        <v>Incomplete</v>
      </c>
      <c r="BF511" s="20"/>
      <c r="BG511" s="20">
        <v>17</v>
      </c>
      <c r="BH511" s="20">
        <v>56</v>
      </c>
      <c r="BI511" s="20">
        <f t="shared" si="158"/>
        <v>39</v>
      </c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91" t="str">
        <f t="shared" ref="BW511:BW527" si="163">IFERROR(SUM(BQ511+BR511+BS511)/(3*(T511-S511))*100, "Incomplete")</f>
        <v>Incomplete</v>
      </c>
      <c r="BX511" s="91" t="str">
        <f>_xlfn.XLOOKUP(BW511,'Normative data'!$V$3:$V$6,'Normative data'!$W$3:$W$6,"Not Found",-1)</f>
        <v>Very low risk</v>
      </c>
      <c r="BY511" s="91" t="str">
        <f t="shared" ref="BY511:BY527" si="164">IFERROR(SUM(BT511+BU511+BV511)/(3*(T511-S511))*100, "Incomplete")</f>
        <v>Incomplete</v>
      </c>
      <c r="BZ511" s="91" t="str">
        <f>_xlfn.XLOOKUP(BY511,'Normative data'!$V$3:$V$6,'Normative data'!$W$3:$W$6,"Not Found",-1)</f>
        <v>Very low risk</v>
      </c>
      <c r="CA511" s="20"/>
      <c r="CC511" s="20">
        <v>62</v>
      </c>
      <c r="CE511" s="20">
        <v>33</v>
      </c>
      <c r="CG511" s="20" t="s">
        <v>1107</v>
      </c>
      <c r="CH511" s="20" t="str">
        <f>_xlfn.XLOOKUP(CG511, 'Normative data'!$S$9:$S$15,'Normative data'!$T$9:$T$15, "Not Found", -1)</f>
        <v>Poor</v>
      </c>
      <c r="CI511" s="20" t="s">
        <v>1108</v>
      </c>
      <c r="CJ511" s="20" t="str">
        <f>_xlfn.XLOOKUP(CI511, 'Normative data'!$S$9:$S$15, 'Normative data'!$T$9:$T$15, "Not Found", -1)</f>
        <v>Poor</v>
      </c>
      <c r="CK511" s="20" t="s">
        <v>817</v>
      </c>
      <c r="CL511" s="20" t="s">
        <v>818</v>
      </c>
      <c r="CN511" s="20" t="s">
        <v>1109</v>
      </c>
      <c r="CO511" s="20" t="s">
        <v>1110</v>
      </c>
      <c r="CQ511" s="37" t="s">
        <v>631</v>
      </c>
      <c r="CR511" s="20" t="str" cm="1">
        <f t="array" ref="CR511">IF(OR(ISBLANK(E511),ISBLANK(CQ511)),"Incomplete",_xlfn.XLOOKUP(CQ511,_xlfn.XLOOKUP(E511,'Normative data'!$Y$3:$Y$6,'Normative data'!$Z$3:$AG$6,,-1),'Normative data'!$Z$2:$AG$2,"Not Found",-1))</f>
        <v>Incomplete</v>
      </c>
      <c r="CS511" s="20">
        <v>11</v>
      </c>
      <c r="CT511" s="20">
        <v>2</v>
      </c>
      <c r="CU511" s="20" cm="1">
        <f t="array" ref="CU511">_xlfn.XLOOKUP(CS511&amp;CT511,(VLOOKUP!$A$3:$A$250)&amp;(VLOOKUP!$B$3:$B$250),VLOOKUP!$C$3:$C$250,"Incomplete",-1)</f>
        <v>1920</v>
      </c>
      <c r="CV511" s="20" t="str" cm="1">
        <f t="array" ref="CV511">_xlfn.XLOOKUP(CU511, _xlfn.XLOOKUP(E511, 'Normative data'!$Y$11:$Y$14, 'Normative data'!$Z$11:$AG$14, ,-1), 'Normative data'!$Z$10:$AG$10, "Not Found", -1)</f>
        <v xml:space="preserve">Good </v>
      </c>
      <c r="CW511" s="20" cm="1">
        <f t="array" ref="CW511">IF(OR(ISBLANK(CS511),ISBLANK(CT511)),"Incomplete",_xlfn.XLOOKUP(CS511&amp;CT511,VLOOKUP!$A$4:$A$250&amp;VLOOKUP!$B$4:$B$250,VLOOKUP!$D$4:$D$250,"0"))</f>
        <v>51</v>
      </c>
    </row>
    <row r="512" spans="1:101">
      <c r="A512" s="22" t="s">
        <v>885</v>
      </c>
      <c r="B512" s="22" t="s">
        <v>1111</v>
      </c>
      <c r="C512" s="17" t="s">
        <v>86</v>
      </c>
      <c r="D512" s="23">
        <v>39493</v>
      </c>
      <c r="F512" s="17">
        <v>11</v>
      </c>
      <c r="G512" s="17">
        <v>2025</v>
      </c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41" t="str">
        <f t="shared" si="159"/>
        <v>Incomplete</v>
      </c>
      <c r="AZ512" s="20"/>
      <c r="BA512" s="20" t="str">
        <f t="shared" si="160"/>
        <v>Incomplete</v>
      </c>
      <c r="BB512" s="20"/>
      <c r="BC512" s="20" t="str">
        <f t="shared" si="161"/>
        <v>Incomplete</v>
      </c>
      <c r="BD512" s="20"/>
      <c r="BE512" s="20" t="str">
        <f t="shared" si="162"/>
        <v>Incomplete</v>
      </c>
      <c r="BF512" s="20"/>
      <c r="BG512" s="20">
        <v>15</v>
      </c>
      <c r="BH512" s="20">
        <v>52</v>
      </c>
      <c r="BI512" s="20">
        <f t="shared" si="158"/>
        <v>37</v>
      </c>
      <c r="BJ512" s="20"/>
      <c r="BK512" s="20">
        <v>8</v>
      </c>
      <c r="BL512" s="20"/>
      <c r="BM512" s="20">
        <v>8</v>
      </c>
      <c r="BN512" s="20"/>
      <c r="BO512" s="20"/>
      <c r="BP512" s="20"/>
      <c r="BQ512" s="20"/>
      <c r="BR512" s="20"/>
      <c r="BS512" s="20"/>
      <c r="BT512" s="20"/>
      <c r="BU512" s="20"/>
      <c r="BV512" s="20"/>
      <c r="BW512" s="91" t="str">
        <f t="shared" si="163"/>
        <v>Incomplete</v>
      </c>
      <c r="BX512" s="91" t="str">
        <f>_xlfn.XLOOKUP(BW512,'Normative data'!$V$3:$V$6,'Normative data'!$W$3:$W$6,"Not Found",-1)</f>
        <v>Very low risk</v>
      </c>
      <c r="BY512" s="91" t="str">
        <f t="shared" si="164"/>
        <v>Incomplete</v>
      </c>
      <c r="BZ512" s="91" t="str">
        <f>_xlfn.XLOOKUP(BY512,'Normative data'!$V$3:$V$6,'Normative data'!$W$3:$W$6,"Not Found",-1)</f>
        <v>Very low risk</v>
      </c>
      <c r="CA512" s="20"/>
      <c r="CC512" s="20"/>
      <c r="CE512" s="20"/>
      <c r="CG512" s="20"/>
      <c r="CH512" s="20" t="str">
        <f>_xlfn.XLOOKUP(CG512, 'Normative data'!$S$9:$S$15,'Normative data'!$T$9:$T$15, "Not Found", -1)</f>
        <v>not completed</v>
      </c>
      <c r="CI512" s="20"/>
      <c r="CJ512" s="20" t="str">
        <f>_xlfn.XLOOKUP(CI512, 'Normative data'!$S$9:$S$15, 'Normative data'!$T$9:$T$15, "Not Found", -1)</f>
        <v>not completed</v>
      </c>
      <c r="CK512" s="24">
        <v>2.2200000000000002</v>
      </c>
      <c r="CL512" s="24">
        <v>4.5</v>
      </c>
      <c r="CM512" s="21"/>
      <c r="CN512" s="24">
        <v>7.04</v>
      </c>
      <c r="CO512" s="24">
        <v>7.1</v>
      </c>
      <c r="CP512" s="24"/>
      <c r="CQ512" s="20"/>
      <c r="CR512" s="20" t="str" cm="1">
        <f t="array" ref="CR512">IF(OR(ISBLANK(E512),ISBLANK(CQ512)),"Incomplete",_xlfn.XLOOKUP(CQ512,_xlfn.XLOOKUP(E512,'Normative data'!$Y$3:$Y$6,'Normative data'!$Z$3:$AG$6,,-1),'Normative data'!$Z$2:$AG$2,"Not Found",-1))</f>
        <v>Incomplete</v>
      </c>
      <c r="CS512" s="20"/>
      <c r="CT512" s="20"/>
      <c r="CU512" s="20" t="str" cm="1">
        <f t="array" ref="CU512">_xlfn.XLOOKUP(CS512&amp;CT512,(VLOOKUP!$A$3:$A$250)&amp;(VLOOKUP!$B$3:$B$250),VLOOKUP!$C$3:$C$250,"Incomplete",-1)</f>
        <v>Incomplete</v>
      </c>
      <c r="CV512" s="20" t="str" cm="1">
        <f t="array" ref="CV512">_xlfn.XLOOKUP(CU512, _xlfn.XLOOKUP(E512, 'Normative data'!$Y$11:$Y$14, 'Normative data'!$Z$11:$AG$14, ,-1), 'Normative data'!$Z$10:$AG$10, "Not Found", -1)</f>
        <v>Excellent</v>
      </c>
      <c r="CW512" s="20" t="str" cm="1">
        <f t="array" ref="CW512">IF(OR(ISBLANK(CS512),ISBLANK(CT512)),"Incomplete",_xlfn.XLOOKUP(CS512&amp;CT512,VLOOKUP!$A$4:$A$250&amp;VLOOKUP!$B$4:$B$250,VLOOKUP!$D$4:$D$250,"0"))</f>
        <v>Incomplete</v>
      </c>
    </row>
    <row r="513" spans="1:101">
      <c r="A513" s="22" t="s">
        <v>885</v>
      </c>
      <c r="B513" s="22" t="s">
        <v>1111</v>
      </c>
      <c r="C513" s="17" t="s">
        <v>86</v>
      </c>
      <c r="D513" s="23">
        <v>39493</v>
      </c>
      <c r="F513" s="17">
        <v>11</v>
      </c>
      <c r="G513" s="17">
        <v>2025</v>
      </c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41" t="str">
        <f t="shared" si="159"/>
        <v>Incomplete</v>
      </c>
      <c r="AZ513" s="20"/>
      <c r="BA513" s="20" t="str">
        <f t="shared" si="160"/>
        <v>Incomplete</v>
      </c>
      <c r="BB513" s="20"/>
      <c r="BC513" s="20" t="str">
        <f t="shared" si="161"/>
        <v>Incomplete</v>
      </c>
      <c r="BD513" s="20"/>
      <c r="BE513" s="20" t="str">
        <f t="shared" si="162"/>
        <v>Incomplete</v>
      </c>
      <c r="BF513" s="20"/>
      <c r="BG513" s="20"/>
      <c r="BH513" s="20"/>
      <c r="BI513" s="20" t="str">
        <f t="shared" si="158"/>
        <v>Incomplete</v>
      </c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91" t="str">
        <f t="shared" si="163"/>
        <v>Incomplete</v>
      </c>
      <c r="BX513" s="91" t="str">
        <f>_xlfn.XLOOKUP(BW513,'Normative data'!$V$3:$V$6,'Normative data'!$W$3:$W$6,"Not Found",-1)</f>
        <v>Very low risk</v>
      </c>
      <c r="BY513" s="91" t="str">
        <f t="shared" si="164"/>
        <v>Incomplete</v>
      </c>
      <c r="BZ513" s="91" t="str">
        <f>_xlfn.XLOOKUP(BY513,'Normative data'!$V$3:$V$6,'Normative data'!$W$3:$W$6,"Not Found",-1)</f>
        <v>Very low risk</v>
      </c>
      <c r="CA513" s="20"/>
      <c r="CC513" s="20"/>
      <c r="CE513" s="20"/>
      <c r="CG513" s="20"/>
      <c r="CH513" s="20" t="str">
        <f>_xlfn.XLOOKUP(CG513, 'Normative data'!$S$9:$S$15,'Normative data'!$T$9:$T$15, "Not Found", -1)</f>
        <v>not completed</v>
      </c>
      <c r="CI513" s="20"/>
      <c r="CJ513" s="20" t="str">
        <f>_xlfn.XLOOKUP(CI513, 'Normative data'!$S$9:$S$15, 'Normative data'!$T$9:$T$15, "Not Found", -1)</f>
        <v>not completed</v>
      </c>
      <c r="CK513" s="20" t="s">
        <v>497</v>
      </c>
      <c r="CL513" s="20" t="s">
        <v>660</v>
      </c>
      <c r="CM513" s="21"/>
      <c r="CN513" s="20" t="s">
        <v>493</v>
      </c>
      <c r="CO513" s="20" t="s">
        <v>1112</v>
      </c>
      <c r="CP513" s="24"/>
      <c r="CQ513" s="20"/>
      <c r="CR513" s="20" t="str" cm="1">
        <f t="array" ref="CR513">IF(OR(ISBLANK(E513),ISBLANK(CQ513)),"Incomplete",_xlfn.XLOOKUP(CQ513,_xlfn.XLOOKUP(E513,'Normative data'!$Y$3:$Y$6,'Normative data'!$Z$3:$AG$6,,-1),'Normative data'!$Z$2:$AG$2,"Not Found",-1))</f>
        <v>Incomplete</v>
      </c>
      <c r="CS513" s="20"/>
      <c r="CT513" s="20"/>
      <c r="CU513" s="20" t="str" cm="1">
        <f t="array" ref="CU513">_xlfn.XLOOKUP(CS513&amp;CT513,(VLOOKUP!$A$3:$A$250)&amp;(VLOOKUP!$B$3:$B$250),VLOOKUP!$C$3:$C$250,"Incomplete",-1)</f>
        <v>Incomplete</v>
      </c>
      <c r="CV513" s="20" t="str" cm="1">
        <f t="array" ref="CV513">_xlfn.XLOOKUP(CU513, _xlfn.XLOOKUP(E513, 'Normative data'!$Y$11:$Y$14, 'Normative data'!$Z$11:$AG$14, ,-1), 'Normative data'!$Z$10:$AG$10, "Not Found", -1)</f>
        <v>Excellent</v>
      </c>
      <c r="CW513" s="20" t="str" cm="1">
        <f t="array" ref="CW513">IF(OR(ISBLANK(CS513),ISBLANK(CT513)),"Incomplete",_xlfn.XLOOKUP(CS513&amp;CT513,VLOOKUP!$A$4:$A$250&amp;VLOOKUP!$B$4:$B$250,VLOOKUP!$D$4:$D$250,"0"))</f>
        <v>Incomplete</v>
      </c>
    </row>
    <row r="514" spans="1:101">
      <c r="A514" s="22" t="s">
        <v>319</v>
      </c>
      <c r="B514" s="22" t="s">
        <v>318</v>
      </c>
      <c r="C514" s="17" t="s">
        <v>86</v>
      </c>
      <c r="D514" s="23">
        <v>40779</v>
      </c>
      <c r="F514" s="17">
        <v>8</v>
      </c>
      <c r="G514" s="17">
        <v>2025</v>
      </c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41" t="str">
        <f t="shared" si="159"/>
        <v>Incomplete</v>
      </c>
      <c r="AZ514" s="20"/>
      <c r="BA514" s="20" t="str">
        <f t="shared" si="160"/>
        <v>Incomplete</v>
      </c>
      <c r="BB514" s="20"/>
      <c r="BC514" s="20" t="str">
        <f t="shared" si="161"/>
        <v>Incomplete</v>
      </c>
      <c r="BD514" s="20"/>
      <c r="BE514" s="20" t="str">
        <f t="shared" si="162"/>
        <v>Incomplete</v>
      </c>
      <c r="BF514" s="20"/>
      <c r="BG514" s="20"/>
      <c r="BH514" s="20"/>
      <c r="BI514" s="20" t="str">
        <f t="shared" si="158"/>
        <v>Incomplete</v>
      </c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91" t="str">
        <f t="shared" si="163"/>
        <v>Incomplete</v>
      </c>
      <c r="BX514" s="91" t="str">
        <f>_xlfn.XLOOKUP(BW514,'Normative data'!$V$3:$V$6,'Normative data'!$W$3:$W$6,"Not Found",-1)</f>
        <v>Very low risk</v>
      </c>
      <c r="BY514" s="91" t="str">
        <f t="shared" si="164"/>
        <v>Incomplete</v>
      </c>
      <c r="BZ514" s="91" t="str">
        <f>_xlfn.XLOOKUP(BY514,'Normative data'!$V$3:$V$6,'Normative data'!$W$3:$W$6,"Not Found",-1)</f>
        <v>Very low risk</v>
      </c>
      <c r="CA514" s="20"/>
      <c r="CC514" s="20"/>
      <c r="CE514" s="20">
        <v>6</v>
      </c>
      <c r="CG514" s="20"/>
      <c r="CH514" s="20" t="str">
        <f>_xlfn.XLOOKUP(CG514, 'Normative data'!$S$9:$S$15,'Normative data'!$T$9:$T$15, "Not Found", -1)</f>
        <v>not completed</v>
      </c>
      <c r="CI514" s="20"/>
      <c r="CJ514" s="20" t="str">
        <f>_xlfn.XLOOKUP(CI514, 'Normative data'!$S$9:$S$15, 'Normative data'!$T$9:$T$15, "Not Found", -1)</f>
        <v>not completed</v>
      </c>
      <c r="CK514" s="24">
        <v>2.37</v>
      </c>
      <c r="CL514" s="24">
        <v>4.22</v>
      </c>
      <c r="CM514" s="24"/>
      <c r="CN514" s="24">
        <v>7.32</v>
      </c>
      <c r="CO514" s="24">
        <v>6.83</v>
      </c>
      <c r="CP514" s="24"/>
      <c r="CQ514" s="20"/>
      <c r="CR514" s="20" t="str" cm="1">
        <f t="array" ref="CR514">IF(OR(ISBLANK(E514),ISBLANK(CQ514)),"Incomplete",_xlfn.XLOOKUP(CQ514,_xlfn.XLOOKUP(E514,'Normative data'!$Y$3:$Y$6,'Normative data'!$Z$3:$AG$6,,-1),'Normative data'!$Z$2:$AG$2,"Not Found",-1))</f>
        <v>Incomplete</v>
      </c>
      <c r="CS514" s="20"/>
      <c r="CT514" s="20"/>
      <c r="CU514" s="20" t="str" cm="1">
        <f t="array" ref="CU514">_xlfn.XLOOKUP(CS514&amp;CT514,(VLOOKUP!$A$3:$A$250)&amp;(VLOOKUP!$B$3:$B$250),VLOOKUP!$C$3:$C$250,"Incomplete",-1)</f>
        <v>Incomplete</v>
      </c>
      <c r="CV514" s="20" t="str" cm="1">
        <f t="array" ref="CV514">_xlfn.XLOOKUP(CU514, _xlfn.XLOOKUP(E514, 'Normative data'!$Y$11:$Y$14, 'Normative data'!$Z$11:$AG$14, ,-1), 'Normative data'!$Z$10:$AG$10, "Not Found", -1)</f>
        <v>Excellent</v>
      </c>
      <c r="CW514" s="20" t="str" cm="1">
        <f t="array" ref="CW514">IF(OR(ISBLANK(CS514),ISBLANK(CT514)),"Incomplete",_xlfn.XLOOKUP(CS514&amp;CT514,VLOOKUP!$A$4:$A$250&amp;VLOOKUP!$B$4:$B$250,VLOOKUP!$D$4:$D$250,"0"))</f>
        <v>Incomplete</v>
      </c>
    </row>
    <row r="515" spans="1:101">
      <c r="A515" s="17" t="s">
        <v>799</v>
      </c>
      <c r="B515" s="17" t="s">
        <v>798</v>
      </c>
      <c r="C515" s="17" t="s">
        <v>86</v>
      </c>
      <c r="D515" s="26">
        <v>40106</v>
      </c>
      <c r="E515" s="17">
        <v>16.600000000000001</v>
      </c>
      <c r="F515" s="20" t="s">
        <v>192</v>
      </c>
      <c r="G515" s="17">
        <v>2026</v>
      </c>
      <c r="I515" s="20">
        <v>2</v>
      </c>
      <c r="J515" s="20" t="s">
        <v>88</v>
      </c>
      <c r="K515" s="20" t="s">
        <v>886</v>
      </c>
      <c r="L515" s="20"/>
      <c r="S515" s="20">
        <v>84.7</v>
      </c>
      <c r="T515" s="20">
        <v>166.2</v>
      </c>
      <c r="U515" s="17">
        <v>53</v>
      </c>
      <c r="V515" s="17">
        <v>31.6</v>
      </c>
      <c r="W515" s="17">
        <v>9.8000000000000007</v>
      </c>
      <c r="X515" s="17">
        <v>43.2</v>
      </c>
      <c r="Y515" s="17">
        <v>23.6</v>
      </c>
      <c r="Z515" s="17">
        <v>18.899999999999999</v>
      </c>
      <c r="AA515" s="17">
        <v>18.5</v>
      </c>
      <c r="AB515" s="17">
        <v>6.64</v>
      </c>
      <c r="AC515" s="17">
        <v>108.4</v>
      </c>
      <c r="AD515" s="17">
        <v>6.6</v>
      </c>
      <c r="AE515" s="17">
        <v>107.8</v>
      </c>
      <c r="AF515" s="17">
        <v>1.6</v>
      </c>
      <c r="AG515" s="17">
        <v>63.3</v>
      </c>
      <c r="AH515" s="17">
        <v>1.6</v>
      </c>
      <c r="AI515" s="17">
        <v>63.2</v>
      </c>
      <c r="AJ515" s="17">
        <v>329.7</v>
      </c>
      <c r="AK515" s="17">
        <v>335</v>
      </c>
      <c r="AL515" s="17">
        <v>294.3</v>
      </c>
      <c r="AM515" s="17">
        <v>298.3</v>
      </c>
      <c r="AN515" s="17">
        <v>97</v>
      </c>
      <c r="AO515" s="17">
        <v>0.83</v>
      </c>
      <c r="AP515" s="17">
        <v>6.2</v>
      </c>
      <c r="AQ515" s="17">
        <v>23.7</v>
      </c>
      <c r="AR515" s="17">
        <v>0.44</v>
      </c>
      <c r="AS515" s="17">
        <v>29.4</v>
      </c>
      <c r="AT515" s="17">
        <v>0.49</v>
      </c>
      <c r="AU515" s="17">
        <v>13.3</v>
      </c>
      <c r="AV515" s="17">
        <v>0.33</v>
      </c>
      <c r="AW515" s="17">
        <v>13.7</v>
      </c>
      <c r="AX515" s="17">
        <v>0.33400000000000002</v>
      </c>
      <c r="AY515" s="41">
        <f t="shared" si="159"/>
        <v>1784.4899999999998</v>
      </c>
      <c r="BA515" s="20">
        <f t="shared" si="160"/>
        <v>2130.4799999999996</v>
      </c>
      <c r="BC515" s="20">
        <f t="shared" si="161"/>
        <v>1153.2099999999996</v>
      </c>
      <c r="BE515" s="20">
        <f t="shared" si="162"/>
        <v>1177.4899999999998</v>
      </c>
      <c r="BG515" s="17">
        <v>17</v>
      </c>
      <c r="BH515" s="17">
        <v>48</v>
      </c>
      <c r="BI515" s="20">
        <f t="shared" si="158"/>
        <v>31</v>
      </c>
      <c r="BJ515" s="20"/>
      <c r="BK515" s="17">
        <v>11.5</v>
      </c>
      <c r="BL515" s="20"/>
      <c r="BM515" s="17">
        <v>11.5</v>
      </c>
      <c r="BN515" s="20"/>
      <c r="BO515" s="17">
        <v>47.5</v>
      </c>
      <c r="BP515" s="17">
        <v>45</v>
      </c>
      <c r="BQ515" s="17">
        <v>90</v>
      </c>
      <c r="BR515" s="17">
        <v>83</v>
      </c>
      <c r="BS515" s="17">
        <v>86</v>
      </c>
      <c r="BT515" s="17">
        <v>90</v>
      </c>
      <c r="BU515" s="17">
        <v>83</v>
      </c>
      <c r="BV515" s="17">
        <v>80</v>
      </c>
      <c r="BW515" s="91">
        <f t="shared" si="163"/>
        <v>105.93047034764828</v>
      </c>
      <c r="BX515" s="91" t="str">
        <f>_xlfn.XLOOKUP(BW515,'Normative data'!$V$3:$V$6,'Normative data'!$W$3:$W$6,"Not Found",-1)</f>
        <v>Low risk</v>
      </c>
      <c r="BY515" s="91">
        <f t="shared" si="164"/>
        <v>103.47648261758692</v>
      </c>
      <c r="BZ515" s="91" t="str">
        <f>_xlfn.XLOOKUP(BY515,'Normative data'!$V$3:$V$6,'Normative data'!$W$3:$W$6,"Not Found",-1)</f>
        <v>Low risk</v>
      </c>
      <c r="CA515" s="17">
        <v>23</v>
      </c>
      <c r="CC515" s="20"/>
      <c r="CE515" s="17">
        <v>14</v>
      </c>
      <c r="CG515" s="20"/>
      <c r="CH515" s="20" t="str">
        <f>_xlfn.XLOOKUP(CG515, 'Normative data'!$S$9:$S$15,'Normative data'!$T$9:$T$15, "Not Found", -1)</f>
        <v>not completed</v>
      </c>
      <c r="CI515" s="20"/>
      <c r="CJ515" s="20" t="str">
        <f>_xlfn.XLOOKUP(CI515, 'Normative data'!$S$9:$S$15, 'Normative data'!$T$9:$T$15, "Not Found", -1)</f>
        <v>not completed</v>
      </c>
      <c r="CK515" s="21"/>
      <c r="CL515" s="21"/>
      <c r="CM515" s="21"/>
      <c r="CN515" s="21"/>
      <c r="CO515" s="21"/>
      <c r="CQ515" s="17">
        <v>4.4000000000000004</v>
      </c>
      <c r="CR515" s="20" t="str" cm="1">
        <f t="array" ref="CR515">IF(OR(ISBLANK(E515),ISBLANK(CQ515)),"Incomplete",_xlfn.XLOOKUP(CQ515,_xlfn.XLOOKUP(E515,'Normative data'!$Y$3:$Y$6,'Normative data'!$Z$3:$AG$6,,-1),'Normative data'!$Z$2:$AG$2,"Not Found",-1))</f>
        <v>Poor</v>
      </c>
      <c r="CS515" s="20">
        <v>4</v>
      </c>
      <c r="CT515" s="20">
        <v>4</v>
      </c>
      <c r="CU515" s="20" cm="1">
        <f t="array" ref="CU515">_xlfn.XLOOKUP(CS515&amp;CT515,(VLOOKUP!$A$3:$A$250)&amp;(VLOOKUP!$B$3:$B$250),VLOOKUP!$C$3:$C$250,"Incomplete",-1)</f>
        <v>540</v>
      </c>
      <c r="CV515" s="20" t="str" cm="1">
        <f t="array" ref="CV515">_xlfn.XLOOKUP(CU515, _xlfn.XLOOKUP(E515, 'Normative data'!$Y$11:$Y$14, 'Normative data'!$Z$11:$AG$14, ,-1), 'Normative data'!$Z$10:$AG$10, "Not Found", -1)</f>
        <v xml:space="preserve">Poor </v>
      </c>
      <c r="CW515" s="20" cm="1">
        <f t="array" ref="CW515">IF(OR(ISBLANK(CS515),ISBLANK(CT515)),"Incomplete",_xlfn.XLOOKUP(CS515&amp;CT515,VLOOKUP!$A$4:$A$250&amp;VLOOKUP!$B$4:$B$250,VLOOKUP!$D$4:$D$250,"0"))</f>
        <v>28</v>
      </c>
    </row>
    <row r="516" spans="1:101">
      <c r="A516" s="17" t="s">
        <v>1113</v>
      </c>
      <c r="B516" s="17" t="s">
        <v>1114</v>
      </c>
      <c r="C516" s="17" t="s">
        <v>86</v>
      </c>
      <c r="D516" s="26"/>
      <c r="F516" s="20" t="s">
        <v>110</v>
      </c>
      <c r="G516" s="17">
        <v>2026</v>
      </c>
      <c r="I516" s="20">
        <v>2</v>
      </c>
      <c r="J516" s="20"/>
      <c r="K516" s="20"/>
      <c r="L516" s="20"/>
      <c r="S516" s="20"/>
      <c r="T516" s="20"/>
      <c r="AY516" s="41" t="str">
        <f t="shared" si="159"/>
        <v>Incomplete</v>
      </c>
      <c r="BA516" s="20" t="str">
        <f t="shared" si="160"/>
        <v>Incomplete</v>
      </c>
      <c r="BC516" s="20" t="str">
        <f t="shared" si="161"/>
        <v>Incomplete</v>
      </c>
      <c r="BE516" s="20" t="str">
        <f t="shared" si="162"/>
        <v>Incomplete</v>
      </c>
      <c r="BH516" s="20"/>
      <c r="BI516" s="20" t="str">
        <f t="shared" si="158"/>
        <v>Incomplete</v>
      </c>
      <c r="BJ516" s="20"/>
      <c r="BL516" s="20"/>
      <c r="BN516" s="20"/>
      <c r="BW516" s="91" t="str">
        <f t="shared" si="163"/>
        <v>Incomplete</v>
      </c>
      <c r="BX516" s="91" t="str">
        <f>_xlfn.XLOOKUP(BW516,'Normative data'!$V$3:$V$6,'Normative data'!$W$3:$W$6,"Not Found",-1)</f>
        <v>Very low risk</v>
      </c>
      <c r="BY516" s="91" t="str">
        <f t="shared" si="164"/>
        <v>Incomplete</v>
      </c>
      <c r="BZ516" s="91" t="str">
        <f>_xlfn.XLOOKUP(BY516,'Normative data'!$V$3:$V$6,'Normative data'!$W$3:$W$6,"Not Found",-1)</f>
        <v>Very low risk</v>
      </c>
      <c r="CG516" s="20"/>
      <c r="CH516" s="20" t="str">
        <f>_xlfn.XLOOKUP(CG516, 'Normative data'!$S$9:$S$15,'Normative data'!$T$9:$T$15, "Not Found", -1)</f>
        <v>not completed</v>
      </c>
      <c r="CI516" s="20"/>
      <c r="CJ516" s="20" t="str">
        <f>_xlfn.XLOOKUP(CI516, 'Normative data'!$S$9:$S$15, 'Normative data'!$T$9:$T$15, "Not Found", -1)</f>
        <v>not completed</v>
      </c>
      <c r="CK516" s="21"/>
      <c r="CL516" s="21"/>
      <c r="CM516" s="21"/>
      <c r="CN516" s="21"/>
      <c r="CO516" s="21"/>
      <c r="CR516" s="20" t="str" cm="1">
        <f t="array" ref="CR516">IF(OR(ISBLANK(E516),ISBLANK(CQ516)),"Incomplete",_xlfn.XLOOKUP(CQ516,_xlfn.XLOOKUP(E516,'Normative data'!$Y$3:$Y$6,'Normative data'!$Z$3:$AG$6,,-1),'Normative data'!$Z$2:$AG$2,"Not Found",-1))</f>
        <v>Incomplete</v>
      </c>
      <c r="CS516" s="20"/>
      <c r="CT516" s="20"/>
      <c r="CU516" s="20" t="str" cm="1">
        <f t="array" ref="CU516">_xlfn.XLOOKUP(CS516&amp;CT516,(VLOOKUP!$A$3:$A$250)&amp;(VLOOKUP!$B$3:$B$250),VLOOKUP!$C$3:$C$250,"Incomplete",-1)</f>
        <v>Incomplete</v>
      </c>
      <c r="CV516" s="20" t="str" cm="1">
        <f t="array" ref="CV516">_xlfn.XLOOKUP(CU516, _xlfn.XLOOKUP(E516, 'Normative data'!$Y$11:$Y$14, 'Normative data'!$Z$11:$AG$14, ,-1), 'Normative data'!$Z$10:$AG$10, "Not Found", -1)</f>
        <v>Excellent</v>
      </c>
      <c r="CW516" s="20" t="str" cm="1">
        <f t="array" ref="CW516">IF(OR(ISBLANK(CS516),ISBLANK(CT516)),"Incomplete",_xlfn.XLOOKUP(CS516&amp;CT516,VLOOKUP!$A$4:$A$250&amp;VLOOKUP!$B$4:$B$250,VLOOKUP!$D$4:$D$250,"0"))</f>
        <v>Incomplete</v>
      </c>
    </row>
    <row r="517" spans="1:101">
      <c r="A517" s="17" t="s">
        <v>419</v>
      </c>
      <c r="B517" s="17" t="s">
        <v>418</v>
      </c>
      <c r="C517" s="17" t="s">
        <v>86</v>
      </c>
      <c r="D517" s="26">
        <v>40805</v>
      </c>
      <c r="E517" s="17">
        <v>14.7</v>
      </c>
      <c r="F517" s="20" t="s">
        <v>104</v>
      </c>
      <c r="G517" s="17">
        <v>2026</v>
      </c>
      <c r="I517" s="20">
        <v>2</v>
      </c>
      <c r="J517" s="20" t="s">
        <v>88</v>
      </c>
      <c r="K517" s="20" t="s">
        <v>194</v>
      </c>
      <c r="L517" s="20"/>
      <c r="S517" s="20">
        <v>86.2</v>
      </c>
      <c r="T517" s="20">
        <v>170.6</v>
      </c>
      <c r="U517" s="17">
        <v>59.8</v>
      </c>
      <c r="V517" s="17">
        <v>32.299999999999997</v>
      </c>
      <c r="W517" s="17">
        <v>15.2</v>
      </c>
      <c r="X517" s="17">
        <v>44.2</v>
      </c>
      <c r="Y517" s="17">
        <v>24.2</v>
      </c>
      <c r="Z517" s="17">
        <v>20.399999999999999</v>
      </c>
      <c r="AA517" s="17">
        <v>25.6</v>
      </c>
      <c r="AB517" s="17">
        <v>7.22</v>
      </c>
      <c r="AC517" s="17">
        <v>105.2</v>
      </c>
      <c r="AD517" s="17">
        <v>7.23</v>
      </c>
      <c r="AE517" s="17">
        <v>105.3</v>
      </c>
      <c r="AF517" s="17">
        <v>2.5</v>
      </c>
      <c r="AG517" s="17">
        <v>93.7</v>
      </c>
      <c r="AH517" s="17">
        <v>2.5</v>
      </c>
      <c r="AI517" s="17">
        <v>93.7</v>
      </c>
      <c r="AJ517" s="17">
        <v>316</v>
      </c>
      <c r="AK517" s="17">
        <v>314.7</v>
      </c>
      <c r="AL517" s="17">
        <v>282.5</v>
      </c>
      <c r="AM517" s="17">
        <v>281.3</v>
      </c>
      <c r="AN517" s="17">
        <v>106</v>
      </c>
      <c r="AO517" s="17">
        <v>0.84</v>
      </c>
      <c r="AP517" s="17">
        <v>6.4</v>
      </c>
      <c r="AQ517" s="20"/>
      <c r="AR517" s="20"/>
      <c r="AS517" s="20"/>
      <c r="AT517" s="20"/>
      <c r="AU517" s="20"/>
      <c r="AV517" s="20"/>
      <c r="AW517" s="20"/>
      <c r="AX517" s="20"/>
      <c r="AY517" s="41" t="str">
        <f t="shared" si="159"/>
        <v>Incomplete</v>
      </c>
      <c r="BA517" s="20" t="str">
        <f t="shared" si="160"/>
        <v>Incomplete</v>
      </c>
      <c r="BC517" s="20" t="str">
        <f t="shared" si="161"/>
        <v>Incomplete</v>
      </c>
      <c r="BE517" s="20" t="str">
        <f t="shared" si="162"/>
        <v>Incomplete</v>
      </c>
      <c r="BG517" s="17">
        <v>12.1</v>
      </c>
      <c r="BH517" s="17">
        <v>29.4</v>
      </c>
      <c r="BI517" s="20">
        <f t="shared" si="158"/>
        <v>17.299999999999997</v>
      </c>
      <c r="BJ517" s="20"/>
      <c r="BK517" s="17">
        <v>13.5</v>
      </c>
      <c r="BL517" s="20"/>
      <c r="BM517" s="17">
        <v>11</v>
      </c>
      <c r="BN517" s="20"/>
      <c r="BO517" s="17">
        <v>46.5</v>
      </c>
      <c r="BP517" s="17">
        <v>45.5</v>
      </c>
      <c r="BQ517" s="17">
        <v>86</v>
      </c>
      <c r="BR517" s="17">
        <v>86</v>
      </c>
      <c r="BS517" s="17">
        <v>68</v>
      </c>
      <c r="BT517" s="17">
        <v>83</v>
      </c>
      <c r="BU517" s="17">
        <v>73</v>
      </c>
      <c r="BV517" s="17">
        <v>66</v>
      </c>
      <c r="BW517" s="91">
        <f t="shared" si="163"/>
        <v>94.786729857819907</v>
      </c>
      <c r="BX517" s="91" t="str">
        <f>_xlfn.XLOOKUP(BW517,'Normative data'!$V$3:$V$6,'Normative data'!$W$3:$W$6,"Not Found",-1)</f>
        <v>High risk</v>
      </c>
      <c r="BY517" s="91">
        <f t="shared" si="164"/>
        <v>87.677725118483423</v>
      </c>
      <c r="BZ517" s="91" t="str">
        <f>_xlfn.XLOOKUP(BY517,'Normative data'!$V$3:$V$6,'Normative data'!$W$3:$W$6,"Not Found",-1)</f>
        <v>High risk</v>
      </c>
      <c r="CA517" s="17">
        <v>30</v>
      </c>
      <c r="CC517" s="20"/>
      <c r="CE517" s="17">
        <v>5</v>
      </c>
      <c r="CG517" s="17">
        <v>19.11</v>
      </c>
      <c r="CH517" s="20" t="str">
        <f>_xlfn.XLOOKUP(CG517, 'Normative data'!$S$9:$S$15,'Normative data'!$T$9:$T$15, "Not Found", -1)</f>
        <v>Average</v>
      </c>
      <c r="CI517" s="17">
        <v>19.38</v>
      </c>
      <c r="CJ517" s="20" t="str">
        <f>_xlfn.XLOOKUP(CI517, 'Normative data'!$S$9:$S$15, 'Normative data'!$T$9:$T$15, "Not Found", -1)</f>
        <v>Average</v>
      </c>
      <c r="CK517" s="17">
        <v>2.19</v>
      </c>
      <c r="CL517" s="17">
        <v>4.57</v>
      </c>
      <c r="CN517" s="17">
        <v>6.79</v>
      </c>
      <c r="CO517" s="17">
        <v>7.36</v>
      </c>
      <c r="CQ517" s="17">
        <v>6.1</v>
      </c>
      <c r="CR517" s="20" t="str" cm="1">
        <f t="array" ref="CR517">IF(OR(ISBLANK(E517),ISBLANK(CQ517)),"Incomplete",_xlfn.XLOOKUP(CQ517,_xlfn.XLOOKUP(E517,'Normative data'!$Y$3:$Y$6,'Normative data'!$Z$3:$AG$6,,-1),'Normative data'!$Z$2:$AG$2,"Not Found",-1))</f>
        <v>Fair</v>
      </c>
      <c r="CS517" s="20">
        <v>5</v>
      </c>
      <c r="CT517" s="20">
        <v>2</v>
      </c>
      <c r="CU517" s="20" cm="1">
        <f t="array" ref="CU517">_xlfn.XLOOKUP(CS517&amp;CT517,(VLOOKUP!$A$3:$A$250)&amp;(VLOOKUP!$B$3:$B$250),VLOOKUP!$C$3:$C$250,"Incomplete",-1)</f>
        <v>680</v>
      </c>
      <c r="CV517" s="20" t="str" cm="1">
        <f t="array" ref="CV517">_xlfn.XLOOKUP(CU517, _xlfn.XLOOKUP(E517, 'Normative data'!$Y$11:$Y$14, 'Normative data'!$Z$11:$AG$14, ,-1), 'Normative data'!$Z$10:$AG$10, "Not Found", -1)</f>
        <v xml:space="preserve">Poor </v>
      </c>
      <c r="CW517" s="20" cm="1">
        <f t="array" ref="CW517">IF(OR(ISBLANK(CS517),ISBLANK(CT517)),"Incomplete",_xlfn.XLOOKUP(CS517&amp;CT517,VLOOKUP!$A$4:$A$250&amp;VLOOKUP!$B$4:$B$250,VLOOKUP!$D$4:$D$250,"0"))</f>
        <v>30</v>
      </c>
    </row>
    <row r="518" spans="1:101">
      <c r="A518" s="17" t="s">
        <v>1115</v>
      </c>
      <c r="B518" s="17" t="s">
        <v>1116</v>
      </c>
      <c r="C518" s="17" t="s">
        <v>86</v>
      </c>
      <c r="D518" s="26"/>
      <c r="F518" s="20" t="s">
        <v>181</v>
      </c>
      <c r="G518" s="17">
        <v>2026</v>
      </c>
      <c r="I518" s="20">
        <v>2</v>
      </c>
      <c r="J518" s="20" t="s">
        <v>122</v>
      </c>
      <c r="K518" s="20" t="s">
        <v>228</v>
      </c>
      <c r="L518" s="20"/>
      <c r="S518" s="20"/>
      <c r="T518" s="20"/>
      <c r="AQ518" s="20"/>
      <c r="AR518" s="20"/>
      <c r="AS518" s="20"/>
      <c r="AT518" s="20"/>
      <c r="AU518" s="20"/>
      <c r="AV518" s="20"/>
      <c r="AW518" s="20"/>
      <c r="AX518" s="20"/>
      <c r="AY518" s="41" t="str">
        <f t="shared" si="159"/>
        <v>Incomplete</v>
      </c>
      <c r="BA518" s="20" t="str">
        <f t="shared" si="160"/>
        <v>Incomplete</v>
      </c>
      <c r="BC518" s="20" t="str">
        <f t="shared" si="161"/>
        <v>Incomplete</v>
      </c>
      <c r="BE518" s="20" t="str">
        <f t="shared" si="162"/>
        <v>Incomplete</v>
      </c>
      <c r="BH518" s="20"/>
      <c r="BI518" s="20" t="str">
        <f t="shared" si="158"/>
        <v>Incomplete</v>
      </c>
      <c r="BJ518" s="20"/>
      <c r="BL518" s="20"/>
      <c r="BM518" s="20"/>
      <c r="BN518" s="20"/>
      <c r="BW518" s="91" t="str">
        <f t="shared" si="163"/>
        <v>Incomplete</v>
      </c>
      <c r="BX518" s="91" t="str">
        <f>_xlfn.XLOOKUP(BW518,'Normative data'!$V$3:$V$6,'Normative data'!$W$3:$W$6,"Not Found",-1)</f>
        <v>Very low risk</v>
      </c>
      <c r="BY518" s="91" t="str">
        <f t="shared" si="164"/>
        <v>Incomplete</v>
      </c>
      <c r="BZ518" s="91" t="str">
        <f>_xlfn.XLOOKUP(BY518,'Normative data'!$V$3:$V$6,'Normative data'!$W$3:$W$6,"Not Found",-1)</f>
        <v>Very low risk</v>
      </c>
      <c r="CG518" s="20"/>
      <c r="CH518" s="20" t="str">
        <f>_xlfn.XLOOKUP(CG518, 'Normative data'!$S$9:$S$15,'Normative data'!$T$9:$T$15, "Not Found", -1)</f>
        <v>not completed</v>
      </c>
      <c r="CI518" s="20"/>
      <c r="CJ518" s="20" t="str">
        <f>_xlfn.XLOOKUP(CI518, 'Normative data'!$S$9:$S$15, 'Normative data'!$T$9:$T$15, "Not Found", -1)</f>
        <v>not completed</v>
      </c>
      <c r="CK518" s="21"/>
      <c r="CL518" s="21"/>
      <c r="CM518" s="21"/>
      <c r="CN518" s="21"/>
      <c r="CO518" s="21"/>
      <c r="CR518" s="20" t="str" cm="1">
        <f t="array" ref="CR518">IF(OR(ISBLANK(E518),ISBLANK(CQ518)),"Incomplete",_xlfn.XLOOKUP(CQ518,_xlfn.XLOOKUP(E518,'Normative data'!$Y$3:$Y$6,'Normative data'!$Z$3:$AG$6,,-1),'Normative data'!$Z$2:$AG$2,"Not Found",-1))</f>
        <v>Incomplete</v>
      </c>
      <c r="CS518" s="20"/>
      <c r="CT518" s="20"/>
      <c r="CU518" s="20" t="str" cm="1">
        <f t="array" ref="CU518">_xlfn.XLOOKUP(CS518&amp;CT518,(VLOOKUP!$A$3:$A$250)&amp;(VLOOKUP!$B$3:$B$250),VLOOKUP!$C$3:$C$250,"Incomplete",-1)</f>
        <v>Incomplete</v>
      </c>
      <c r="CV518" s="20" t="str" cm="1">
        <f t="array" ref="CV518">_xlfn.XLOOKUP(CU518, _xlfn.XLOOKUP(E518, 'Normative data'!$Y$11:$Y$14, 'Normative data'!$Z$11:$AG$14, ,-1), 'Normative data'!$Z$10:$AG$10, "Not Found", -1)</f>
        <v>Excellent</v>
      </c>
      <c r="CW518" s="20" t="str" cm="1">
        <f t="array" ref="CW518">IF(OR(ISBLANK(CS518),ISBLANK(CT518)),"Incomplete",_xlfn.XLOOKUP(CS518&amp;CT518,VLOOKUP!$A$4:$A$250&amp;VLOOKUP!$B$4:$B$250,VLOOKUP!$D$4:$D$250,"0"))</f>
        <v>Incomplete</v>
      </c>
    </row>
    <row r="519" spans="1:101">
      <c r="A519" s="17" t="s">
        <v>376</v>
      </c>
      <c r="B519" s="17" t="s">
        <v>375</v>
      </c>
      <c r="C519" s="17" t="s">
        <v>86</v>
      </c>
      <c r="D519" s="26"/>
      <c r="F519" s="20">
        <v>12</v>
      </c>
      <c r="G519" s="17">
        <v>2026</v>
      </c>
      <c r="I519" s="20">
        <v>2</v>
      </c>
      <c r="J519" s="20" t="s">
        <v>122</v>
      </c>
      <c r="K519" s="20" t="s">
        <v>228</v>
      </c>
      <c r="L519" s="20"/>
      <c r="S519" s="20"/>
      <c r="T519" s="20"/>
      <c r="AQ519" s="20"/>
      <c r="AR519" s="20"/>
      <c r="AS519" s="20"/>
      <c r="AT519" s="20"/>
      <c r="AU519" s="20"/>
      <c r="AV519" s="20"/>
      <c r="AW519" s="20"/>
      <c r="AX519" s="20"/>
      <c r="AY519" s="41" t="str">
        <f t="shared" si="159"/>
        <v>Incomplete</v>
      </c>
      <c r="BA519" s="20" t="str">
        <f t="shared" si="160"/>
        <v>Incomplete</v>
      </c>
      <c r="BC519" s="20" t="str">
        <f t="shared" si="161"/>
        <v>Incomplete</v>
      </c>
      <c r="BE519" s="20" t="str">
        <f t="shared" si="162"/>
        <v>Incomplete</v>
      </c>
      <c r="BH519" s="20"/>
      <c r="BI519" s="20" t="str">
        <f t="shared" si="158"/>
        <v>Incomplete</v>
      </c>
      <c r="BJ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91" t="str">
        <f t="shared" si="163"/>
        <v>Incomplete</v>
      </c>
      <c r="BX519" s="91" t="str">
        <f>_xlfn.XLOOKUP(BW519,'Normative data'!$V$3:$V$6,'Normative data'!$W$3:$W$6,"Not Found",-1)</f>
        <v>Very low risk</v>
      </c>
      <c r="BY519" s="91" t="str">
        <f t="shared" si="164"/>
        <v>Incomplete</v>
      </c>
      <c r="BZ519" s="91" t="str">
        <f>_xlfn.XLOOKUP(BY519,'Normative data'!$V$3:$V$6,'Normative data'!$W$3:$W$6,"Not Found",-1)</f>
        <v>Very low risk</v>
      </c>
      <c r="CA519" s="20"/>
      <c r="CC519" s="20"/>
      <c r="CE519" s="20"/>
      <c r="CG519" s="20"/>
      <c r="CH519" s="20" t="str">
        <f>_xlfn.XLOOKUP(CG519, 'Normative data'!$S$9:$S$15,'Normative data'!$T$9:$T$15, "Not Found", -1)</f>
        <v>not completed</v>
      </c>
      <c r="CI519" s="20"/>
      <c r="CJ519" s="20" t="str">
        <f>_xlfn.XLOOKUP(CI519, 'Normative data'!$S$9:$S$15, 'Normative data'!$T$9:$T$15, "Not Found", -1)</f>
        <v>not completed</v>
      </c>
      <c r="CK519" s="21"/>
      <c r="CL519" s="21"/>
      <c r="CM519" s="21"/>
      <c r="CN519" s="21"/>
      <c r="CO519" s="21"/>
      <c r="CR519" s="20" t="str" cm="1">
        <f t="array" ref="CR519">IF(OR(ISBLANK(E519),ISBLANK(CQ519)),"Incomplete",_xlfn.XLOOKUP(CQ519,_xlfn.XLOOKUP(E519,'Normative data'!$Y$3:$Y$6,'Normative data'!$Z$3:$AG$6,,-1),'Normative data'!$Z$2:$AG$2,"Not Found",-1))</f>
        <v>Incomplete</v>
      </c>
      <c r="CS519" s="20"/>
      <c r="CT519" s="20"/>
      <c r="CU519" s="20" t="str" cm="1">
        <f t="array" ref="CU519">_xlfn.XLOOKUP(CS519&amp;CT519,(VLOOKUP!$A$3:$A$250)&amp;(VLOOKUP!$B$3:$B$250),VLOOKUP!$C$3:$C$250,"Incomplete",-1)</f>
        <v>Incomplete</v>
      </c>
      <c r="CV519" s="20" t="str" cm="1">
        <f t="array" ref="CV519">_xlfn.XLOOKUP(CU519, _xlfn.XLOOKUP(E519, 'Normative data'!$Y$11:$Y$14, 'Normative data'!$Z$11:$AG$14, ,-1), 'Normative data'!$Z$10:$AG$10, "Not Found", -1)</f>
        <v>Excellent</v>
      </c>
      <c r="CW519" s="20" t="str" cm="1">
        <f t="array" ref="CW519">IF(OR(ISBLANK(CS519),ISBLANK(CT519)),"Incomplete",_xlfn.XLOOKUP(CS519&amp;CT519,VLOOKUP!$A$4:$A$250&amp;VLOOKUP!$B$4:$B$250,VLOOKUP!$D$4:$D$250,"0"))</f>
        <v>Incomplete</v>
      </c>
    </row>
    <row r="520" spans="1:101">
      <c r="A520" s="17" t="s">
        <v>879</v>
      </c>
      <c r="B520" s="17" t="s">
        <v>1033</v>
      </c>
      <c r="C520" s="17" t="s">
        <v>86</v>
      </c>
      <c r="D520" s="23"/>
      <c r="F520" s="17">
        <v>10</v>
      </c>
      <c r="G520" s="17">
        <v>2025</v>
      </c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41" t="str">
        <f t="shared" si="159"/>
        <v>Incomplete</v>
      </c>
      <c r="AZ520" s="20"/>
      <c r="BA520" s="20" t="str">
        <f t="shared" si="160"/>
        <v>Incomplete</v>
      </c>
      <c r="BB520" s="20"/>
      <c r="BC520" s="20" t="str">
        <f t="shared" si="161"/>
        <v>Incomplete</v>
      </c>
      <c r="BD520" s="20"/>
      <c r="BE520" s="20" t="str">
        <f t="shared" si="162"/>
        <v>Incomplete</v>
      </c>
      <c r="BF520" s="20"/>
      <c r="BG520" s="20">
        <v>1.5</v>
      </c>
      <c r="BH520" s="20">
        <v>31</v>
      </c>
      <c r="BI520" s="20">
        <f t="shared" si="158"/>
        <v>29.5</v>
      </c>
      <c r="BJ520" s="20"/>
      <c r="BK520" s="20">
        <v>4</v>
      </c>
      <c r="BL520" s="20"/>
      <c r="BM520" s="20">
        <v>2</v>
      </c>
      <c r="BN520" s="20"/>
      <c r="BO520" s="20"/>
      <c r="BP520" s="20"/>
      <c r="BQ520" s="20"/>
      <c r="BR520" s="20"/>
      <c r="BS520" s="20"/>
      <c r="BT520" s="20"/>
      <c r="BU520" s="20"/>
      <c r="BV520" s="20"/>
      <c r="BW520" s="91" t="str">
        <f t="shared" si="163"/>
        <v>Incomplete</v>
      </c>
      <c r="BX520" s="91" t="str">
        <f>_xlfn.XLOOKUP(BW520,'Normative data'!$V$3:$V$6,'Normative data'!$W$3:$W$6,"Not Found",-1)</f>
        <v>Very low risk</v>
      </c>
      <c r="BY520" s="91" t="str">
        <f t="shared" si="164"/>
        <v>Incomplete</v>
      </c>
      <c r="BZ520" s="91" t="str">
        <f>_xlfn.XLOOKUP(BY520,'Normative data'!$V$3:$V$6,'Normative data'!$W$3:$W$6,"Not Found",-1)</f>
        <v>Very low risk</v>
      </c>
      <c r="CA520" s="20"/>
      <c r="CC520" s="20"/>
      <c r="CE520" s="20">
        <v>15</v>
      </c>
      <c r="CG520" s="20"/>
      <c r="CH520" s="20" t="str">
        <f>_xlfn.XLOOKUP(CG520, 'Normative data'!$S$9:$S$15,'Normative data'!$T$9:$T$15, "Not Found", -1)</f>
        <v>not completed</v>
      </c>
      <c r="CI520" s="20"/>
      <c r="CJ520" s="20" t="str">
        <f>_xlfn.XLOOKUP(CI520, 'Normative data'!$S$9:$S$15, 'Normative data'!$T$9:$T$15, "Not Found", -1)</f>
        <v>not completed</v>
      </c>
      <c r="CK520" s="24">
        <v>2.4300000000000002</v>
      </c>
      <c r="CL520" s="24">
        <v>4.12</v>
      </c>
      <c r="CM520" s="21"/>
      <c r="CN520" s="24">
        <v>7.55</v>
      </c>
      <c r="CO520" s="24">
        <v>6.62</v>
      </c>
      <c r="CP520" s="24"/>
      <c r="CQ520" s="20"/>
      <c r="CR520" s="20" t="str" cm="1">
        <f t="array" ref="CR520">IF(OR(ISBLANK(E520),ISBLANK(CQ520)),"Incomplete",_xlfn.XLOOKUP(CQ520,_xlfn.XLOOKUP(E520,'Normative data'!$Y$3:$Y$6,'Normative data'!$Z$3:$AG$6,,-1),'Normative data'!$Z$2:$AG$2,"Not Found",-1))</f>
        <v>Incomplete</v>
      </c>
      <c r="CS520" s="20"/>
      <c r="CT520" s="20"/>
      <c r="CU520" s="20" t="str" cm="1">
        <f t="array" ref="CU520">_xlfn.XLOOKUP(CS520&amp;CT520,(VLOOKUP!$A$3:$A$250)&amp;(VLOOKUP!$B$3:$B$250),VLOOKUP!$C$3:$C$250,"Incomplete",-1)</f>
        <v>Incomplete</v>
      </c>
      <c r="CV520" s="20" t="str" cm="1">
        <f t="array" ref="CV520">_xlfn.XLOOKUP(CU520, _xlfn.XLOOKUP(E520, 'Normative data'!$Y$11:$Y$14, 'Normative data'!$Z$11:$AG$14, ,-1), 'Normative data'!$Z$10:$AG$10, "Not Found", -1)</f>
        <v>Excellent</v>
      </c>
      <c r="CW520" s="20" t="str" cm="1">
        <f t="array" ref="CW520">IF(OR(ISBLANK(CS520),ISBLANK(CT520)),"Incomplete",_xlfn.XLOOKUP(CS520&amp;CT520,VLOOKUP!$A$4:$A$250&amp;VLOOKUP!$B$4:$B$250,VLOOKUP!$D$4:$D$250,"0"))</f>
        <v>Incomplete</v>
      </c>
    </row>
    <row r="521" spans="1:101">
      <c r="A521" s="17" t="s">
        <v>879</v>
      </c>
      <c r="B521" s="17" t="s">
        <v>1033</v>
      </c>
      <c r="C521" s="17" t="s">
        <v>86</v>
      </c>
      <c r="D521" s="23"/>
      <c r="F521" s="17">
        <v>10</v>
      </c>
      <c r="G521" s="17">
        <v>2025</v>
      </c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41" t="str">
        <f t="shared" si="159"/>
        <v>Incomplete</v>
      </c>
      <c r="AZ521" s="20"/>
      <c r="BA521" s="20" t="str">
        <f t="shared" si="160"/>
        <v>Incomplete</v>
      </c>
      <c r="BB521" s="20"/>
      <c r="BC521" s="20" t="str">
        <f t="shared" si="161"/>
        <v>Incomplete</v>
      </c>
      <c r="BD521" s="20"/>
      <c r="BE521" s="20" t="str">
        <f t="shared" si="162"/>
        <v>Incomplete</v>
      </c>
      <c r="BF521" s="20"/>
      <c r="BG521" s="20"/>
      <c r="BH521" s="20"/>
      <c r="BI521" s="20" t="str">
        <f t="shared" si="158"/>
        <v>Incomplete</v>
      </c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91" t="str">
        <f t="shared" si="163"/>
        <v>Incomplete</v>
      </c>
      <c r="BX521" s="91" t="str">
        <f>_xlfn.XLOOKUP(BW521,'Normative data'!$V$3:$V$6,'Normative data'!$W$3:$W$6,"Not Found",-1)</f>
        <v>Very low risk</v>
      </c>
      <c r="BY521" s="91" t="str">
        <f t="shared" si="164"/>
        <v>Incomplete</v>
      </c>
      <c r="BZ521" s="91" t="str">
        <f>_xlfn.XLOOKUP(BY521,'Normative data'!$V$3:$V$6,'Normative data'!$W$3:$W$6,"Not Found",-1)</f>
        <v>Very low risk</v>
      </c>
      <c r="CA521" s="20"/>
      <c r="CC521" s="20"/>
      <c r="CE521" s="20"/>
      <c r="CG521" s="20"/>
      <c r="CH521" s="20" t="str">
        <f>_xlfn.XLOOKUP(CG521, 'Normative data'!$S$9:$S$15,'Normative data'!$T$9:$T$15, "Not Found", -1)</f>
        <v>not completed</v>
      </c>
      <c r="CI521" s="20"/>
      <c r="CJ521" s="20" t="str">
        <f>_xlfn.XLOOKUP(CI521, 'Normative data'!$S$9:$S$15, 'Normative data'!$T$9:$T$15, "Not Found", -1)</f>
        <v>not completed</v>
      </c>
      <c r="CK521" s="20" t="s">
        <v>133</v>
      </c>
      <c r="CL521" s="20" t="s">
        <v>134</v>
      </c>
      <c r="CM521" s="21"/>
      <c r="CN521" s="20" t="s">
        <v>356</v>
      </c>
      <c r="CO521" s="20" t="s">
        <v>355</v>
      </c>
      <c r="CP521" s="24"/>
      <c r="CQ521" s="20"/>
      <c r="CR521" s="20" t="str" cm="1">
        <f t="array" ref="CR521">IF(OR(ISBLANK(E521),ISBLANK(CQ521)),"Incomplete",_xlfn.XLOOKUP(CQ521,_xlfn.XLOOKUP(E521,'Normative data'!$Y$3:$Y$6,'Normative data'!$Z$3:$AG$6,,-1),'Normative data'!$Z$2:$AG$2,"Not Found",-1))</f>
        <v>Incomplete</v>
      </c>
      <c r="CS521" s="20"/>
      <c r="CT521" s="20"/>
      <c r="CU521" s="20" t="str" cm="1">
        <f t="array" ref="CU521">_xlfn.XLOOKUP(CS521&amp;CT521,(VLOOKUP!$A$3:$A$250)&amp;(VLOOKUP!$B$3:$B$250),VLOOKUP!$C$3:$C$250,"Incomplete",-1)</f>
        <v>Incomplete</v>
      </c>
      <c r="CV521" s="20" t="str" cm="1">
        <f t="array" ref="CV521">_xlfn.XLOOKUP(CU521, _xlfn.XLOOKUP(E521, 'Normative data'!$Y$11:$Y$14, 'Normative data'!$Z$11:$AG$14, ,-1), 'Normative data'!$Z$10:$AG$10, "Not Found", -1)</f>
        <v>Excellent</v>
      </c>
      <c r="CW521" s="20" t="str" cm="1">
        <f t="array" ref="CW521">IF(OR(ISBLANK(CS521),ISBLANK(CT521)),"Incomplete",_xlfn.XLOOKUP(CS521&amp;CT521,VLOOKUP!$A$4:$A$250&amp;VLOOKUP!$B$4:$B$250,VLOOKUP!$D$4:$D$250,"0"))</f>
        <v>Incomplete</v>
      </c>
    </row>
    <row r="522" spans="1:101">
      <c r="A522" s="18" t="s">
        <v>1117</v>
      </c>
      <c r="B522" s="18" t="s">
        <v>1118</v>
      </c>
      <c r="C522" s="17" t="s">
        <v>86</v>
      </c>
      <c r="D522" s="19">
        <v>40700</v>
      </c>
      <c r="F522" s="17">
        <v>8</v>
      </c>
      <c r="G522" s="17">
        <v>2025</v>
      </c>
      <c r="S522" s="20"/>
      <c r="T522" s="20">
        <v>157</v>
      </c>
      <c r="U522" s="20">
        <v>43.6</v>
      </c>
      <c r="V522" s="20"/>
      <c r="W522" s="20">
        <v>9.1</v>
      </c>
      <c r="X522" s="20">
        <f>SUM(T522-W522)</f>
        <v>147.9</v>
      </c>
      <c r="Y522" s="20">
        <v>18.5</v>
      </c>
      <c r="Z522" s="20">
        <v>17.7</v>
      </c>
      <c r="AA522" s="20">
        <v>20.9</v>
      </c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41" t="str">
        <f t="shared" si="159"/>
        <v>Incomplete</v>
      </c>
      <c r="AZ522" s="20"/>
      <c r="BA522" s="20" t="str">
        <f t="shared" si="160"/>
        <v>Incomplete</v>
      </c>
      <c r="BB522" s="20"/>
      <c r="BC522" s="20" t="str">
        <f t="shared" si="161"/>
        <v>Incomplete</v>
      </c>
      <c r="BD522" s="20"/>
      <c r="BE522" s="20" t="str">
        <f t="shared" si="162"/>
        <v>Incomplete</v>
      </c>
      <c r="BF522" s="20"/>
      <c r="BG522" s="20"/>
      <c r="BH522" s="20"/>
      <c r="BI522" s="20" t="str">
        <f t="shared" si="158"/>
        <v>Incomplete</v>
      </c>
      <c r="BJ522" s="20"/>
      <c r="BK522" s="20">
        <v>8</v>
      </c>
      <c r="BL522" s="20"/>
      <c r="BM522" s="20">
        <v>6</v>
      </c>
      <c r="BN522" s="20"/>
      <c r="BO522" s="20"/>
      <c r="BP522" s="20"/>
      <c r="BQ522" s="20"/>
      <c r="BR522" s="20"/>
      <c r="BS522" s="20"/>
      <c r="BT522" s="20"/>
      <c r="BU522" s="20"/>
      <c r="BV522" s="20"/>
      <c r="BW522" s="91">
        <f t="shared" si="163"/>
        <v>0</v>
      </c>
      <c r="BX522" s="91" t="str">
        <f>_xlfn.XLOOKUP(BW522,'Normative data'!$V$3:$V$6,'Normative data'!$W$3:$W$6,"Not Found",-1)</f>
        <v>Not completed</v>
      </c>
      <c r="BY522" s="91">
        <f t="shared" si="164"/>
        <v>0</v>
      </c>
      <c r="BZ522" s="91" t="str">
        <f>_xlfn.XLOOKUP(BY522,'Normative data'!$V$3:$V$6,'Normative data'!$W$3:$W$6,"Not Found",-1)</f>
        <v>Not completed</v>
      </c>
      <c r="CA522" s="20"/>
      <c r="CC522" s="20"/>
      <c r="CE522" s="20"/>
      <c r="CG522" s="20"/>
      <c r="CH522" s="20" t="str">
        <f>_xlfn.XLOOKUP(CG522, 'Normative data'!$S$9:$S$15,'Normative data'!$T$9:$T$15, "Not Found", -1)</f>
        <v>not completed</v>
      </c>
      <c r="CI522" s="20"/>
      <c r="CJ522" s="20" t="str">
        <f>_xlfn.XLOOKUP(CI522, 'Normative data'!$S$9:$S$15, 'Normative data'!$T$9:$T$15, "Not Found", -1)</f>
        <v>not completed</v>
      </c>
      <c r="CK522" s="21"/>
      <c r="CL522" s="21"/>
      <c r="CM522" s="21"/>
      <c r="CN522" s="21"/>
      <c r="CO522" s="21"/>
      <c r="CP522" s="21"/>
      <c r="CQ522" s="20"/>
      <c r="CR522" s="20" t="str" cm="1">
        <f t="array" ref="CR522">IF(OR(ISBLANK(E522),ISBLANK(CQ522)),"Incomplete",_xlfn.XLOOKUP(CQ522,_xlfn.XLOOKUP(E522,'Normative data'!$Y$3:$Y$6,'Normative data'!$Z$3:$AG$6,,-1),'Normative data'!$Z$2:$AG$2,"Not Found",-1))</f>
        <v>Incomplete</v>
      </c>
      <c r="CS522" s="20"/>
      <c r="CT522" s="20"/>
      <c r="CU522" s="20" t="str" cm="1">
        <f t="array" ref="CU522">_xlfn.XLOOKUP(CS522&amp;CT522,(VLOOKUP!$A$3:$A$250)&amp;(VLOOKUP!$B$3:$B$250),VLOOKUP!$C$3:$C$250,"Incomplete",-1)</f>
        <v>Incomplete</v>
      </c>
      <c r="CV522" s="20" t="str" cm="1">
        <f t="array" ref="CV522">_xlfn.XLOOKUP(CU522, _xlfn.XLOOKUP(E522, 'Normative data'!$Y$11:$Y$14, 'Normative data'!$Z$11:$AG$14, ,-1), 'Normative data'!$Z$10:$AG$10, "Not Found", -1)</f>
        <v>Excellent</v>
      </c>
      <c r="CW522" s="20" t="str" cm="1">
        <f t="array" ref="CW522">IF(OR(ISBLANK(CS522),ISBLANK(CT522)),"Incomplete",_xlfn.XLOOKUP(CS522&amp;CT522,VLOOKUP!$A$4:$A$250&amp;VLOOKUP!$B$4:$B$250,VLOOKUP!$D$4:$D$250,"0"))</f>
        <v>Incomplete</v>
      </c>
    </row>
    <row r="523" spans="1:101">
      <c r="A523" s="18" t="s">
        <v>1117</v>
      </c>
      <c r="B523" s="18" t="s">
        <v>1118</v>
      </c>
      <c r="C523" s="17" t="s">
        <v>86</v>
      </c>
      <c r="D523" s="19">
        <v>40700</v>
      </c>
      <c r="F523" s="17">
        <v>8</v>
      </c>
      <c r="G523" s="17">
        <v>2025</v>
      </c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41" t="str">
        <f t="shared" si="159"/>
        <v>Incomplete</v>
      </c>
      <c r="AZ523" s="20"/>
      <c r="BA523" s="20" t="str">
        <f t="shared" si="160"/>
        <v>Incomplete</v>
      </c>
      <c r="BB523" s="20"/>
      <c r="BC523" s="20" t="str">
        <f t="shared" si="161"/>
        <v>Incomplete</v>
      </c>
      <c r="BD523" s="20"/>
      <c r="BE523" s="20" t="str">
        <f t="shared" si="162"/>
        <v>Incomplete</v>
      </c>
      <c r="BF523" s="20"/>
      <c r="BG523" s="20">
        <v>14</v>
      </c>
      <c r="BH523" s="20">
        <v>27</v>
      </c>
      <c r="BI523" s="20">
        <f t="shared" si="158"/>
        <v>13</v>
      </c>
      <c r="BJ523" s="20"/>
      <c r="BK523" s="20">
        <v>6</v>
      </c>
      <c r="BL523" s="20"/>
      <c r="BM523" s="20">
        <v>5</v>
      </c>
      <c r="BN523" s="20"/>
      <c r="BO523" s="20"/>
      <c r="BP523" s="20"/>
      <c r="BQ523" s="20"/>
      <c r="BR523" s="20"/>
      <c r="BS523" s="20"/>
      <c r="BT523" s="20"/>
      <c r="BU523" s="20"/>
      <c r="BV523" s="20"/>
      <c r="BW523" s="91" t="str">
        <f t="shared" si="163"/>
        <v>Incomplete</v>
      </c>
      <c r="BX523" s="91" t="str">
        <f>_xlfn.XLOOKUP(BW523,'Normative data'!$V$3:$V$6,'Normative data'!$W$3:$W$6,"Not Found",-1)</f>
        <v>Very low risk</v>
      </c>
      <c r="BY523" s="91" t="str">
        <f t="shared" si="164"/>
        <v>Incomplete</v>
      </c>
      <c r="BZ523" s="91" t="str">
        <f>_xlfn.XLOOKUP(BY523,'Normative data'!$V$3:$V$6,'Normative data'!$W$3:$W$6,"Not Found",-1)</f>
        <v>Very low risk</v>
      </c>
      <c r="CA523" s="20"/>
      <c r="CC523" s="20"/>
      <c r="CE523" s="20">
        <v>10</v>
      </c>
      <c r="CG523" s="20"/>
      <c r="CH523" s="20" t="str">
        <f>_xlfn.XLOOKUP(CG523, 'Normative data'!$S$9:$S$15,'Normative data'!$T$9:$T$15, "Not Found", -1)</f>
        <v>not completed</v>
      </c>
      <c r="CI523" s="20"/>
      <c r="CJ523" s="20" t="str">
        <f>_xlfn.XLOOKUP(CI523, 'Normative data'!$S$9:$S$15, 'Normative data'!$T$9:$T$15, "Not Found", -1)</f>
        <v>not completed</v>
      </c>
      <c r="CK523" s="21">
        <v>1.99</v>
      </c>
      <c r="CL523" s="21">
        <v>5.03</v>
      </c>
      <c r="CM523" s="21"/>
      <c r="CN523" s="21">
        <v>6.47</v>
      </c>
      <c r="CO523" s="21">
        <v>7.73</v>
      </c>
      <c r="CP523" s="21"/>
      <c r="CQ523" s="20"/>
      <c r="CR523" s="20" t="str" cm="1">
        <f t="array" ref="CR523">IF(OR(ISBLANK(E523),ISBLANK(CQ523)),"Incomplete",_xlfn.XLOOKUP(CQ523,_xlfn.XLOOKUP(E523,'Normative data'!$Y$3:$Y$6,'Normative data'!$Z$3:$AG$6,,-1),'Normative data'!$Z$2:$AG$2,"Not Found",-1))</f>
        <v>Incomplete</v>
      </c>
      <c r="CS523" s="20"/>
      <c r="CT523" s="20"/>
      <c r="CU523" s="20" t="str" cm="1">
        <f t="array" ref="CU523">_xlfn.XLOOKUP(CS523&amp;CT523,(VLOOKUP!$A$3:$A$250)&amp;(VLOOKUP!$B$3:$B$250),VLOOKUP!$C$3:$C$250,"Incomplete",-1)</f>
        <v>Incomplete</v>
      </c>
      <c r="CV523" s="20" t="str" cm="1">
        <f t="array" ref="CV523">_xlfn.XLOOKUP(CU523, _xlfn.XLOOKUP(E523, 'Normative data'!$Y$11:$Y$14, 'Normative data'!$Z$11:$AG$14, ,-1), 'Normative data'!$Z$10:$AG$10, "Not Found", -1)</f>
        <v>Excellent</v>
      </c>
      <c r="CW523" s="20" t="str" cm="1">
        <f t="array" ref="CW523">IF(OR(ISBLANK(CS523),ISBLANK(CT523)),"Incomplete",_xlfn.XLOOKUP(CS523&amp;CT523,VLOOKUP!$A$4:$A$250&amp;VLOOKUP!$B$4:$B$250,VLOOKUP!$D$4:$D$250,"0"))</f>
        <v>Incomplete</v>
      </c>
    </row>
    <row r="524" spans="1:101">
      <c r="A524" s="17" t="s">
        <v>120</v>
      </c>
      <c r="B524" s="17" t="s">
        <v>193</v>
      </c>
      <c r="C524" s="17" t="s">
        <v>86</v>
      </c>
      <c r="D524" s="26">
        <v>40784</v>
      </c>
      <c r="F524" s="17">
        <v>8</v>
      </c>
      <c r="G524" s="17">
        <v>2025</v>
      </c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41" t="str">
        <f t="shared" si="159"/>
        <v>Incomplete</v>
      </c>
      <c r="AZ524" s="20"/>
      <c r="BA524" s="20" t="str">
        <f t="shared" si="160"/>
        <v>Incomplete</v>
      </c>
      <c r="BB524" s="20"/>
      <c r="BC524" s="20" t="str">
        <f t="shared" si="161"/>
        <v>Incomplete</v>
      </c>
      <c r="BD524" s="20"/>
      <c r="BE524" s="20" t="str">
        <f t="shared" si="162"/>
        <v>Incomplete</v>
      </c>
      <c r="BF524" s="20"/>
      <c r="BG524" s="20">
        <v>16</v>
      </c>
      <c r="BH524" s="20">
        <v>31.2</v>
      </c>
      <c r="BI524" s="20">
        <f t="shared" si="158"/>
        <v>15.2</v>
      </c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91" t="str">
        <f t="shared" si="163"/>
        <v>Incomplete</v>
      </c>
      <c r="BX524" s="91" t="str">
        <f>_xlfn.XLOOKUP(BW524,'Normative data'!$V$3:$V$6,'Normative data'!$W$3:$W$6,"Not Found",-1)</f>
        <v>Very low risk</v>
      </c>
      <c r="BY524" s="91" t="str">
        <f t="shared" si="164"/>
        <v>Incomplete</v>
      </c>
      <c r="BZ524" s="91" t="str">
        <f>_xlfn.XLOOKUP(BY524,'Normative data'!$V$3:$V$6,'Normative data'!$W$3:$W$6,"Not Found",-1)</f>
        <v>Very low risk</v>
      </c>
      <c r="CA524" s="20"/>
      <c r="CC524" s="20"/>
      <c r="CE524" s="20">
        <v>27</v>
      </c>
      <c r="CG524" s="20"/>
      <c r="CH524" s="20" t="str">
        <f>_xlfn.XLOOKUP(CG524, 'Normative data'!$S$9:$S$15,'Normative data'!$T$9:$T$15, "Not Found", -1)</f>
        <v>not completed</v>
      </c>
      <c r="CI524" s="20"/>
      <c r="CJ524" s="20" t="str">
        <f>_xlfn.XLOOKUP(CI524, 'Normative data'!$S$9:$S$15, 'Normative data'!$T$9:$T$15, "Not Found", -1)</f>
        <v>not completed</v>
      </c>
      <c r="CK524" s="25">
        <v>2.08</v>
      </c>
      <c r="CL524" s="25">
        <v>4.8099999999999996</v>
      </c>
      <c r="CM524" s="21"/>
      <c r="CN524" s="25">
        <v>6.21</v>
      </c>
      <c r="CO524" s="25">
        <v>8.0500000000000007</v>
      </c>
      <c r="CP524" s="25"/>
      <c r="CQ524" s="20"/>
      <c r="CR524" s="20" t="str" cm="1">
        <f t="array" ref="CR524">IF(OR(ISBLANK(E524),ISBLANK(CQ524)),"Incomplete",_xlfn.XLOOKUP(CQ524,_xlfn.XLOOKUP(E524,'Normative data'!$Y$3:$Y$6,'Normative data'!$Z$3:$AG$6,,-1),'Normative data'!$Z$2:$AG$2,"Not Found",-1))</f>
        <v>Incomplete</v>
      </c>
      <c r="CS524" s="20"/>
      <c r="CT524" s="20"/>
      <c r="CU524" s="20" t="str" cm="1">
        <f t="array" ref="CU524">_xlfn.XLOOKUP(CS524&amp;CT524,(VLOOKUP!$A$3:$A$250)&amp;(VLOOKUP!$B$3:$B$250),VLOOKUP!$C$3:$C$250,"Incomplete",-1)</f>
        <v>Incomplete</v>
      </c>
      <c r="CV524" s="20" t="str" cm="1">
        <f t="array" ref="CV524">_xlfn.XLOOKUP(CU524, _xlfn.XLOOKUP(E524, 'Normative data'!$Y$11:$Y$14, 'Normative data'!$Z$11:$AG$14, ,-1), 'Normative data'!$Z$10:$AG$10, "Not Found", -1)</f>
        <v>Excellent</v>
      </c>
      <c r="CW524" s="20" t="str" cm="1">
        <f t="array" ref="CW524">IF(OR(ISBLANK(CS524),ISBLANK(CT524)),"Incomplete",_xlfn.XLOOKUP(CS524&amp;CT524,VLOOKUP!$A$4:$A$250&amp;VLOOKUP!$B$4:$B$250,VLOOKUP!$D$4:$D$250,"0"))</f>
        <v>Incomplete</v>
      </c>
    </row>
    <row r="525" spans="1:101">
      <c r="A525" s="17" t="s">
        <v>123</v>
      </c>
      <c r="B525" s="17" t="s">
        <v>193</v>
      </c>
      <c r="C525" s="17" t="s">
        <v>86</v>
      </c>
      <c r="D525" s="26">
        <v>40784</v>
      </c>
      <c r="F525" s="17">
        <v>8</v>
      </c>
      <c r="G525" s="17">
        <v>2025</v>
      </c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41" t="str">
        <f t="shared" si="159"/>
        <v>Incomplete</v>
      </c>
      <c r="AZ525" s="20"/>
      <c r="BA525" s="20" t="str">
        <f t="shared" si="160"/>
        <v>Incomplete</v>
      </c>
      <c r="BB525" s="20"/>
      <c r="BC525" s="20" t="str">
        <f t="shared" si="161"/>
        <v>Incomplete</v>
      </c>
      <c r="BD525" s="20"/>
      <c r="BE525" s="20" t="str">
        <f t="shared" si="162"/>
        <v>Incomplete</v>
      </c>
      <c r="BF525" s="20"/>
      <c r="BG525" s="20"/>
      <c r="BH525" s="20"/>
      <c r="BI525" s="20" t="str">
        <f t="shared" si="158"/>
        <v>Incomplete</v>
      </c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91" t="str">
        <f t="shared" si="163"/>
        <v>Incomplete</v>
      </c>
      <c r="BX525" s="91" t="str">
        <f>_xlfn.XLOOKUP(BW525,'Normative data'!$V$3:$V$6,'Normative data'!$W$3:$W$6,"Not Found",-1)</f>
        <v>Very low risk</v>
      </c>
      <c r="BY525" s="91" t="str">
        <f t="shared" si="164"/>
        <v>Incomplete</v>
      </c>
      <c r="BZ525" s="91" t="str">
        <f>_xlfn.XLOOKUP(BY525,'Normative data'!$V$3:$V$6,'Normative data'!$W$3:$W$6,"Not Found",-1)</f>
        <v>Very low risk</v>
      </c>
      <c r="CA525" s="20"/>
      <c r="CC525" s="20"/>
      <c r="CE525" s="20"/>
      <c r="CG525" s="20"/>
      <c r="CH525" s="20" t="str">
        <f>_xlfn.XLOOKUP(CG525, 'Normative data'!$S$9:$S$15,'Normative data'!$T$9:$T$15, "Not Found", -1)</f>
        <v>not completed</v>
      </c>
      <c r="CI525" s="20"/>
      <c r="CJ525" s="20" t="str">
        <f>_xlfn.XLOOKUP(CI525, 'Normative data'!$S$9:$S$15, 'Normative data'!$T$9:$T$15, "Not Found", -1)</f>
        <v>not completed</v>
      </c>
      <c r="CK525" s="20" t="s">
        <v>858</v>
      </c>
      <c r="CL525" s="20" t="s">
        <v>920</v>
      </c>
      <c r="CN525" s="20" t="s">
        <v>291</v>
      </c>
      <c r="CO525" s="20" t="s">
        <v>292</v>
      </c>
      <c r="CQ525" s="20"/>
      <c r="CR525" s="20" t="str" cm="1">
        <f t="array" ref="CR525">IF(OR(ISBLANK(E525),ISBLANK(CQ525)),"Incomplete",_xlfn.XLOOKUP(CQ525,_xlfn.XLOOKUP(E525,'Normative data'!$Y$3:$Y$6,'Normative data'!$Z$3:$AG$6,,-1),'Normative data'!$Z$2:$AG$2,"Not Found",-1))</f>
        <v>Incomplete</v>
      </c>
      <c r="CS525" s="20"/>
      <c r="CT525" s="20"/>
      <c r="CU525" s="20" t="str" cm="1">
        <f t="array" ref="CU525">_xlfn.XLOOKUP(CS525&amp;CT525,(VLOOKUP!$A$3:$A$250)&amp;(VLOOKUP!$B$3:$B$250),VLOOKUP!$C$3:$C$250,"Incomplete",-1)</f>
        <v>Incomplete</v>
      </c>
      <c r="CV525" s="20" t="str" cm="1">
        <f t="array" ref="CV525">_xlfn.XLOOKUP(CU525, _xlfn.XLOOKUP(E525, 'Normative data'!$Y$11:$Y$14, 'Normative data'!$Z$11:$AG$14, ,-1), 'Normative data'!$Z$10:$AG$10, "Not Found", -1)</f>
        <v>Excellent</v>
      </c>
      <c r="CW525" s="20" t="str" cm="1">
        <f t="array" ref="CW525">IF(OR(ISBLANK(CS525),ISBLANK(CT525)),"Incomplete",_xlfn.XLOOKUP(CS525&amp;CT525,VLOOKUP!$A$4:$A$250&amp;VLOOKUP!$B$4:$B$250,VLOOKUP!$D$4:$D$250,"0"))</f>
        <v>Incomplete</v>
      </c>
    </row>
    <row r="526" spans="1:101">
      <c r="A526" s="17" t="s">
        <v>1119</v>
      </c>
      <c r="B526" s="17" t="s">
        <v>1120</v>
      </c>
      <c r="C526" s="17" t="s">
        <v>86</v>
      </c>
      <c r="D526" s="26"/>
      <c r="F526" s="20" t="s">
        <v>235</v>
      </c>
      <c r="G526" s="17">
        <v>2026</v>
      </c>
      <c r="I526" s="20">
        <v>2</v>
      </c>
      <c r="J526" s="20" t="s">
        <v>122</v>
      </c>
      <c r="K526" s="20" t="s">
        <v>108</v>
      </c>
      <c r="L526" s="20"/>
      <c r="S526" s="20">
        <v>78.400000000000006</v>
      </c>
      <c r="T526" s="20">
        <v>156</v>
      </c>
      <c r="AY526" s="41" t="str">
        <f t="shared" si="159"/>
        <v>Incomplete</v>
      </c>
      <c r="BA526" s="20" t="str">
        <f t="shared" si="160"/>
        <v>Incomplete</v>
      </c>
      <c r="BC526" s="20" t="str">
        <f t="shared" si="161"/>
        <v>Incomplete</v>
      </c>
      <c r="BE526" s="20" t="str">
        <f t="shared" si="162"/>
        <v>Incomplete</v>
      </c>
      <c r="BH526" s="17">
        <v>28.5</v>
      </c>
      <c r="BI526" s="20" t="str">
        <f t="shared" si="158"/>
        <v>Incomplete</v>
      </c>
      <c r="BJ526" s="20"/>
      <c r="BK526" s="17">
        <v>6</v>
      </c>
      <c r="BL526" s="20"/>
      <c r="BM526" s="17">
        <v>9.5</v>
      </c>
      <c r="BN526" s="20"/>
      <c r="BW526" s="91">
        <f t="shared" si="163"/>
        <v>0</v>
      </c>
      <c r="BX526" s="91" t="str">
        <f>_xlfn.XLOOKUP(BW526,'Normative data'!$V$3:$V$6,'Normative data'!$W$3:$W$6,"Not Found",-1)</f>
        <v>Not completed</v>
      </c>
      <c r="BY526" s="91">
        <f t="shared" si="164"/>
        <v>0</v>
      </c>
      <c r="BZ526" s="91" t="str">
        <f>_xlfn.XLOOKUP(BY526,'Normative data'!$V$3:$V$6,'Normative data'!$W$3:$W$6,"Not Found",-1)</f>
        <v>Not completed</v>
      </c>
      <c r="CA526" s="20"/>
      <c r="CC526" s="20"/>
      <c r="CE526" s="17">
        <v>6</v>
      </c>
      <c r="CH526" s="20" t="str">
        <f>_xlfn.XLOOKUP(CG526, 'Normative data'!$S$9:$S$15,'Normative data'!$T$9:$T$15, "Not Found", -1)</f>
        <v>not completed</v>
      </c>
      <c r="CI526" s="17">
        <v>19.399999999999999</v>
      </c>
      <c r="CJ526" s="20" t="str">
        <f>_xlfn.XLOOKUP(CI526, 'Normative data'!$S$9:$S$15, 'Normative data'!$T$9:$T$15, "Not Found", -1)</f>
        <v>Average</v>
      </c>
      <c r="CK526" s="17">
        <v>2.33</v>
      </c>
      <c r="CL526" s="17">
        <v>4.29</v>
      </c>
      <c r="CN526" s="17">
        <v>7.33</v>
      </c>
      <c r="CO526" s="17">
        <v>6.82</v>
      </c>
      <c r="CR526" s="20" t="str" cm="1">
        <f t="array" ref="CR526">IF(OR(ISBLANK(E526),ISBLANK(CQ526)),"Incomplete",_xlfn.XLOOKUP(CQ526,_xlfn.XLOOKUP(E526,'Normative data'!$Y$3:$Y$6,'Normative data'!$Z$3:$AG$6,,-1),'Normative data'!$Z$2:$AG$2,"Not Found",-1))</f>
        <v>Incomplete</v>
      </c>
      <c r="CS526" s="20"/>
      <c r="CT526" s="20"/>
      <c r="CU526" s="20" t="str" cm="1">
        <f t="array" ref="CU526">_xlfn.XLOOKUP(CS526&amp;CT526,(VLOOKUP!$A$3:$A$250)&amp;(VLOOKUP!$B$3:$B$250),VLOOKUP!$C$3:$C$250,"Incomplete",-1)</f>
        <v>Incomplete</v>
      </c>
      <c r="CV526" s="20" t="str" cm="1">
        <f t="array" ref="CV526">_xlfn.XLOOKUP(CU526, _xlfn.XLOOKUP(E526, 'Normative data'!$Y$11:$Y$14, 'Normative data'!$Z$11:$AG$14, ,-1), 'Normative data'!$Z$10:$AG$10, "Not Found", -1)</f>
        <v>Excellent</v>
      </c>
      <c r="CW526" s="20" t="str" cm="1">
        <f t="array" ref="CW526">IF(OR(ISBLANK(CS526),ISBLANK(CT526)),"Incomplete",_xlfn.XLOOKUP(CS526&amp;CT526,VLOOKUP!$A$4:$A$250&amp;VLOOKUP!$B$4:$B$250,VLOOKUP!$D$4:$D$250,"0"))</f>
        <v>Incomplete</v>
      </c>
    </row>
    <row r="527" spans="1:101">
      <c r="A527" s="22" t="s">
        <v>979</v>
      </c>
      <c r="B527" s="22" t="s">
        <v>978</v>
      </c>
      <c r="C527" s="17" t="s">
        <v>86</v>
      </c>
      <c r="D527" s="23"/>
      <c r="F527" s="17">
        <v>10</v>
      </c>
      <c r="G527" s="17">
        <v>2025</v>
      </c>
      <c r="J527" s="17" t="s">
        <v>122</v>
      </c>
      <c r="S527" s="20"/>
      <c r="T527" s="20">
        <v>166</v>
      </c>
      <c r="U527" s="20">
        <v>55.8</v>
      </c>
      <c r="V527" s="20"/>
      <c r="W527" s="20">
        <v>11.4</v>
      </c>
      <c r="X527" s="20">
        <f>SUM(T527-W527)</f>
        <v>154.6</v>
      </c>
      <c r="Y527" s="20">
        <v>24.8</v>
      </c>
      <c r="Z527" s="20">
        <v>20.2</v>
      </c>
      <c r="AA527" s="20">
        <v>20.5</v>
      </c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>
        <v>28.1</v>
      </c>
      <c r="AR527" s="20">
        <v>0.47899999999999998</v>
      </c>
      <c r="AS527" s="20">
        <v>33.1</v>
      </c>
      <c r="AT527" s="20">
        <v>0.52</v>
      </c>
      <c r="AU527" s="20">
        <v>13.8</v>
      </c>
      <c r="AV527" s="20">
        <v>0.33500000000000002</v>
      </c>
      <c r="AW527" s="20">
        <v>14.2</v>
      </c>
      <c r="AX527" s="20">
        <v>0.34</v>
      </c>
      <c r="AY527" s="41">
        <f t="shared" si="159"/>
        <v>2178.41</v>
      </c>
      <c r="AZ527" s="20"/>
      <c r="BA527" s="20">
        <f t="shared" si="160"/>
        <v>2481.91</v>
      </c>
      <c r="BB527" s="20"/>
      <c r="BC527" s="20">
        <f t="shared" si="161"/>
        <v>1310.3999999999996</v>
      </c>
      <c r="BD527" s="20"/>
      <c r="BE527" s="20">
        <f t="shared" si="162"/>
        <v>1334.6799999999998</v>
      </c>
      <c r="BF527" s="20"/>
      <c r="BG527" s="20">
        <v>13.8</v>
      </c>
      <c r="BH527" s="20">
        <v>46.2</v>
      </c>
      <c r="BI527" s="20" t="e">
        <f>IF(OR(ISBLANK(#REF!), ISBLANK(#REF!)),"Incomplete",(SUM(#REF!-#REF!)))</f>
        <v>#REF!</v>
      </c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91">
        <f t="shared" si="163"/>
        <v>0</v>
      </c>
      <c r="BX527" s="91" t="str">
        <f>_xlfn.XLOOKUP(BW527,'Normative data'!$V$3:$V$6,'Normative data'!$W$3:$W$6,"Not Found",-1)</f>
        <v>Not completed</v>
      </c>
      <c r="BY527" s="91">
        <f t="shared" si="164"/>
        <v>0</v>
      </c>
      <c r="BZ527" s="91" t="str">
        <f>_xlfn.XLOOKUP(BY527,'Normative data'!$V$3:$V$6,'Normative data'!$W$3:$W$6,"Not Found",-1)</f>
        <v>Not completed</v>
      </c>
      <c r="CA527" s="20"/>
      <c r="CC527" s="20"/>
      <c r="CE527" s="20">
        <v>19</v>
      </c>
      <c r="CG527" s="20">
        <v>16.96</v>
      </c>
      <c r="CH527" s="20" t="e">
        <f>_xlfn.XLOOKUP(#REF!, 'Normative data'!$S$9:$S$15,'Normative data'!$T$9:$T$15, "Not Found", -1)</f>
        <v>#REF!</v>
      </c>
      <c r="CI527" s="20">
        <v>17.98</v>
      </c>
      <c r="CJ527" s="20" t="e">
        <f>_xlfn.XLOOKUP(#REF!, 'Normative data'!$S$9:$S$15, 'Normative data'!$T$9:$T$15, "Not Found", -1)</f>
        <v>#REF!</v>
      </c>
      <c r="CK527" s="24">
        <v>2.21</v>
      </c>
      <c r="CL527" s="24">
        <v>4.5199999999999996</v>
      </c>
      <c r="CM527" s="21"/>
      <c r="CN527" s="24">
        <v>6.58</v>
      </c>
      <c r="CO527" s="24">
        <v>7.6</v>
      </c>
      <c r="CQ527" s="20"/>
      <c r="CR527" s="20" t="str" cm="1">
        <f t="array" ref="CR527">IF(OR(ISBLANK(E527),ISBLANK(CQ527)),"Incomplete",_xlfn.XLOOKUP(CQ527,_xlfn.XLOOKUP(E527,'Normative data'!$Y$3:$Y$6,'Normative data'!$Z$3:$AG$6,,-1),'Normative data'!$Z$2:$AG$2,"Not Found",-1))</f>
        <v>Incomplete</v>
      </c>
      <c r="CS527" s="20"/>
      <c r="CT527" s="20"/>
      <c r="CU527" s="20" t="str" cm="1">
        <f t="array" ref="CU527">_xlfn.XLOOKUP(CS527&amp;CT527,(VLOOKUP!$A$3:$A$250)&amp;(VLOOKUP!$B$3:$B$250),VLOOKUP!$C$3:$C$250,"Incomplete",-1)</f>
        <v>Incomplete</v>
      </c>
      <c r="CV527" s="20" t="str" cm="1">
        <f t="array" ref="CV527">_xlfn.XLOOKUP(CU527, _xlfn.XLOOKUP(E527, 'Normative data'!$Y$11:$Y$14, 'Normative data'!$Z$11:$AG$14, ,-1), 'Normative data'!$Z$10:$AG$10, "Not Found", -1)</f>
        <v>Excellent</v>
      </c>
      <c r="CW527" s="20" t="str" cm="1">
        <f t="array" ref="CW527">IF(OR(ISBLANK(CS527),ISBLANK(CT527)),"Incomplete",_xlfn.XLOOKUP(CS527&amp;CT527,VLOOKUP!$A$4:$A$250&amp;VLOOKUP!$B$4:$B$250,VLOOKUP!$D$4:$D$250,"0"))</f>
        <v>Incomplete</v>
      </c>
    </row>
    <row r="528" spans="1:101">
      <c r="A528" s="17" t="s">
        <v>979</v>
      </c>
      <c r="B528" s="17" t="s">
        <v>978</v>
      </c>
      <c r="C528" s="17" t="s">
        <v>86</v>
      </c>
      <c r="D528" s="26"/>
      <c r="G528" s="17">
        <v>2025</v>
      </c>
      <c r="J528" s="17" t="s">
        <v>122</v>
      </c>
      <c r="S528" s="20"/>
      <c r="T528" s="20" t="s">
        <v>1121</v>
      </c>
      <c r="U528" s="20" t="s">
        <v>1122</v>
      </c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>
        <v>26.8</v>
      </c>
      <c r="AR528" s="20">
        <v>0.46800000000000003</v>
      </c>
      <c r="AS528" s="20">
        <v>30.6</v>
      </c>
      <c r="AT528" s="20">
        <v>0.5</v>
      </c>
      <c r="AU528" s="20">
        <v>15.7</v>
      </c>
      <c r="AV528" s="20">
        <v>0.35799999999999998</v>
      </c>
      <c r="AW528" s="20">
        <v>14.3</v>
      </c>
      <c r="AX528" s="20">
        <v>0.34200000000000003</v>
      </c>
      <c r="AY528" s="41" t="e">
        <f>IF(OR(ISBLANK(#REF!), ISBLANK(AQ528)), "Incomplete", (60.7*AQ528)+(45.3*#REF!)-2055)</f>
        <v>#REF!</v>
      </c>
      <c r="AZ528" s="20"/>
      <c r="BA528" s="20" t="e">
        <f>IF(OR(ISBLANK(#REF!), ISBLANK(AS528)), "Incomplete", (60.7*AS528)+(45.3*#REF!)-2055)</f>
        <v>#REF!</v>
      </c>
      <c r="BB528" s="20"/>
      <c r="BC528" s="20" t="e">
        <f>IF(OR(ISBLANK(#REF!), ISBLANK(AU528)), "Incomplete", (60.7*AU528)+(45.3*#REF!)-2055)</f>
        <v>#REF!</v>
      </c>
      <c r="BD528" s="20"/>
      <c r="BE528" s="20" t="e">
        <f>IF(OR(ISBLANK(#REF!), ISBLANK(AW528)), "Incomplete", (60.7*AW528)+(45.3*#REF!)-2055)</f>
        <v>#REF!</v>
      </c>
      <c r="BF528" s="20"/>
      <c r="BG528" s="20"/>
      <c r="BH528" s="20"/>
      <c r="BI528" s="20" t="str">
        <f t="shared" ref="BI528:BI546" si="165">IF(OR(ISBLANK(BG528), ISBLANK(BH528)),"Incomplete",(SUM(BH528-BG528)))</f>
        <v>Incomplete</v>
      </c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91" t="str">
        <f>IFERROR(SUM(BQ528+BR528+BS528)/(3*(#REF!-S528))*100, "Incomplete")</f>
        <v>Incomplete</v>
      </c>
      <c r="BX528" s="91" t="str">
        <f>_xlfn.XLOOKUP(BW528,'Normative data'!$V$3:$V$6,'Normative data'!$W$3:$W$6,"Not Found",-1)</f>
        <v>Very low risk</v>
      </c>
      <c r="BY528" s="91" t="str">
        <f>IFERROR(SUM(BT528+BU528+BV528)/(3*(#REF!-S528))*100, "Incomplete")</f>
        <v>Incomplete</v>
      </c>
      <c r="BZ528" s="91" t="str">
        <f>_xlfn.XLOOKUP(BY528,'Normative data'!$V$3:$V$6,'Normative data'!$W$3:$W$6,"Not Found",-1)</f>
        <v>Very low risk</v>
      </c>
      <c r="CA528" s="20"/>
      <c r="CC528" s="20"/>
      <c r="CE528" s="20"/>
      <c r="CG528" s="20"/>
      <c r="CH528" s="20" t="str">
        <f>_xlfn.XLOOKUP(CG528, 'Normative data'!$S$9:$S$15,'Normative data'!$T$9:$T$15, "Not Found", -1)</f>
        <v>not completed</v>
      </c>
      <c r="CI528" s="20"/>
      <c r="CJ528" s="20" t="str">
        <f>_xlfn.XLOOKUP(CI528, 'Normative data'!$S$9:$S$15, 'Normative data'!$T$9:$T$15, "Not Found", -1)</f>
        <v>not completed</v>
      </c>
      <c r="CK528" s="21"/>
      <c r="CL528" s="21"/>
      <c r="CM528" s="21"/>
      <c r="CN528" s="21"/>
      <c r="CO528" s="21"/>
      <c r="CQ528" s="20"/>
      <c r="CR528" s="20" t="str" cm="1">
        <f t="array" ref="CR528">IF(OR(ISBLANK(E528),ISBLANK(CQ528)),"Incomplete",_xlfn.XLOOKUP(CQ528,_xlfn.XLOOKUP(E528,'Normative data'!$Y$3:$Y$6,'Normative data'!$Z$3:$AG$6,,-1),'Normative data'!$Z$2:$AG$2,"Not Found",-1))</f>
        <v>Incomplete</v>
      </c>
      <c r="CS528" s="20"/>
      <c r="CT528" s="20"/>
      <c r="CU528" s="20" t="str" cm="1">
        <f t="array" ref="CU528">_xlfn.XLOOKUP(CS528&amp;CT528,(VLOOKUP!$A$3:$A$250)&amp;(VLOOKUP!$B$3:$B$250),VLOOKUP!$C$3:$C$250,"Incomplete",-1)</f>
        <v>Incomplete</v>
      </c>
      <c r="CV528" s="20" t="str" cm="1">
        <f t="array" ref="CV528">_xlfn.XLOOKUP(CU528, _xlfn.XLOOKUP(E528, 'Normative data'!$Y$11:$Y$14, 'Normative data'!$Z$11:$AG$14, ,-1), 'Normative data'!$Z$10:$AG$10, "Not Found", -1)</f>
        <v>Excellent</v>
      </c>
      <c r="CW528" s="20" t="str" cm="1">
        <f t="array" ref="CW528">IF(OR(ISBLANK(CS528),ISBLANK(CT528)),"Incomplete",_xlfn.XLOOKUP(CS528&amp;CT528,VLOOKUP!$A$4:$A$250&amp;VLOOKUP!$B$4:$B$250,VLOOKUP!$D$4:$D$250,"0"))</f>
        <v>Incomplete</v>
      </c>
    </row>
    <row r="529" spans="1:101">
      <c r="A529" s="17" t="s">
        <v>691</v>
      </c>
      <c r="B529" s="17" t="s">
        <v>690</v>
      </c>
      <c r="C529" s="17" t="s">
        <v>86</v>
      </c>
      <c r="D529" s="26">
        <v>40619</v>
      </c>
      <c r="F529" s="20" t="s">
        <v>217</v>
      </c>
      <c r="G529" s="17">
        <v>2026</v>
      </c>
      <c r="I529" s="20">
        <v>2</v>
      </c>
      <c r="J529" s="20"/>
      <c r="K529" s="20"/>
      <c r="L529" s="20"/>
      <c r="S529" s="20">
        <v>84.4</v>
      </c>
      <c r="T529" s="20">
        <v>162</v>
      </c>
      <c r="AQ529" s="20"/>
      <c r="AR529" s="20"/>
      <c r="AS529" s="20"/>
      <c r="AT529" s="20"/>
      <c r="AU529" s="20"/>
      <c r="AV529" s="20"/>
      <c r="AW529" s="20"/>
      <c r="AX529" s="20"/>
      <c r="AY529" s="41" t="str">
        <f t="shared" ref="AY529:AY550" si="166">IF(OR(ISBLANK(U529), ISBLANK(AQ529)), "Incomplete", (60.7*AQ529)+(45.3*U529)-2055)</f>
        <v>Incomplete</v>
      </c>
      <c r="BA529" s="20" t="str">
        <f t="shared" ref="BA529:BA550" si="167">IF(OR(ISBLANK(U529), ISBLANK(AS529)), "Incomplete", (60.7*AS529)+(45.3*U529)-2055)</f>
        <v>Incomplete</v>
      </c>
      <c r="BC529" s="20" t="str">
        <f t="shared" ref="BC529:BC550" si="168">IF(OR(ISBLANK(U529), ISBLANK(AU529)), "Incomplete", (60.7*AU529)+(45.3*U529)-2055)</f>
        <v>Incomplete</v>
      </c>
      <c r="BE529" s="20" t="str">
        <f t="shared" ref="BE529:BE550" si="169">IF(OR(ISBLANK(U529), ISBLANK(AW529)), "Incomplete", (60.7*AW529)+(45.3*U529)-2055)</f>
        <v>Incomplete</v>
      </c>
      <c r="BG529" s="17">
        <v>9</v>
      </c>
      <c r="BH529" s="17">
        <v>32.5</v>
      </c>
      <c r="BI529" s="20">
        <f t="shared" si="165"/>
        <v>23.5</v>
      </c>
      <c r="BJ529" s="20"/>
      <c r="BK529" s="17">
        <v>11</v>
      </c>
      <c r="BL529" s="20"/>
      <c r="BM529" s="17">
        <v>13</v>
      </c>
      <c r="BN529" s="20"/>
      <c r="BO529" s="17">
        <v>46.5</v>
      </c>
      <c r="BP529" s="17">
        <v>47</v>
      </c>
      <c r="BQ529" s="17">
        <v>87</v>
      </c>
      <c r="BR529" s="17">
        <v>92</v>
      </c>
      <c r="BS529" s="17">
        <v>71</v>
      </c>
      <c r="BT529" s="17">
        <v>86</v>
      </c>
      <c r="BU529" s="17">
        <v>84</v>
      </c>
      <c r="BV529" s="17">
        <v>80</v>
      </c>
      <c r="BW529" s="91">
        <f t="shared" ref="BW529:BW550" si="170">IFERROR(SUM(BQ529+BR529+BS529)/(3*(T529-S529))*100, "Incomplete")</f>
        <v>107.38831615120277</v>
      </c>
      <c r="BX529" s="91" t="str">
        <f>_xlfn.XLOOKUP(BW529,'Normative data'!$V$3:$V$6,'Normative data'!$W$3:$W$6,"Not Found",-1)</f>
        <v>Low risk</v>
      </c>
      <c r="BY529" s="91">
        <f t="shared" ref="BY529:BY550" si="171">IFERROR(SUM(BT529+BU529+BV529)/(3*(T529-S529))*100, "Incomplete")</f>
        <v>107.38831615120277</v>
      </c>
      <c r="BZ529" s="91" t="str">
        <f>_xlfn.XLOOKUP(BY529,'Normative data'!$V$3:$V$6,'Normative data'!$W$3:$W$6,"Not Found",-1)</f>
        <v>Low risk</v>
      </c>
      <c r="CA529" s="17">
        <v>29</v>
      </c>
      <c r="CC529" s="20"/>
      <c r="CE529" s="17">
        <v>21</v>
      </c>
      <c r="CG529" s="17">
        <v>17.86</v>
      </c>
      <c r="CH529" s="20" t="str">
        <f>_xlfn.XLOOKUP(CG529, 'Normative data'!$S$9:$S$15,'Normative data'!$T$9:$T$15, "Not Found", -1)</f>
        <v>Above Average</v>
      </c>
      <c r="CI529" s="17">
        <v>17.73</v>
      </c>
      <c r="CJ529" s="20" t="str">
        <f>_xlfn.XLOOKUP(CI529, 'Normative data'!$S$9:$S$15, 'Normative data'!$T$9:$T$15, "Not Found", -1)</f>
        <v>Above Average</v>
      </c>
      <c r="CK529" s="17">
        <v>2.2599999999999998</v>
      </c>
      <c r="CL529" s="17">
        <v>4.42</v>
      </c>
      <c r="CN529" s="17">
        <v>6.85</v>
      </c>
      <c r="CO529" s="17">
        <v>7.3</v>
      </c>
      <c r="CR529" s="20" t="str" cm="1">
        <f t="array" ref="CR529">IF(OR(ISBLANK(E529),ISBLANK(CQ529)),"Incomplete",_xlfn.XLOOKUP(CQ529,_xlfn.XLOOKUP(E529,'Normative data'!$Y$3:$Y$6,'Normative data'!$Z$3:$AG$6,,-1),'Normative data'!$Z$2:$AG$2,"Not Found",-1))</f>
        <v>Incomplete</v>
      </c>
      <c r="CS529" s="20"/>
      <c r="CT529" s="20"/>
      <c r="CU529" s="20" t="str" cm="1">
        <f t="array" ref="CU529">_xlfn.XLOOKUP(CS529&amp;CT529,(VLOOKUP!$A$3:$A$250)&amp;(VLOOKUP!$B$3:$B$250),VLOOKUP!$C$3:$C$250,"Incomplete",-1)</f>
        <v>Incomplete</v>
      </c>
      <c r="CV529" s="20" t="str" cm="1">
        <f t="array" ref="CV529">_xlfn.XLOOKUP(CU529, _xlfn.XLOOKUP(E529, 'Normative data'!$Y$11:$Y$14, 'Normative data'!$Z$11:$AG$14, ,-1), 'Normative data'!$Z$10:$AG$10, "Not Found", -1)</f>
        <v>Excellent</v>
      </c>
      <c r="CW529" s="20" t="str" cm="1">
        <f t="array" ref="CW529">IF(OR(ISBLANK(CS529),ISBLANK(CT529)),"Incomplete",_xlfn.XLOOKUP(CS529&amp;CT529,VLOOKUP!$A$4:$A$250&amp;VLOOKUP!$B$4:$B$250,VLOOKUP!$D$4:$D$250,"0"))</f>
        <v>Incomplete</v>
      </c>
    </row>
    <row r="530" spans="1:101">
      <c r="A530" s="17" t="s">
        <v>448</v>
      </c>
      <c r="B530" s="17" t="s">
        <v>447</v>
      </c>
      <c r="C530" s="17" t="s">
        <v>86</v>
      </c>
      <c r="D530" s="26"/>
      <c r="F530" s="20" t="s">
        <v>192</v>
      </c>
      <c r="G530" s="17">
        <v>2026</v>
      </c>
      <c r="I530" s="20">
        <v>2</v>
      </c>
      <c r="J530" s="20" t="s">
        <v>122</v>
      </c>
      <c r="K530" s="20" t="s">
        <v>228</v>
      </c>
      <c r="L530" s="20"/>
      <c r="S530" s="20"/>
      <c r="T530" s="20"/>
      <c r="AQ530" s="20"/>
      <c r="AR530" s="20"/>
      <c r="AS530" s="20"/>
      <c r="AT530" s="20"/>
      <c r="AU530" s="20"/>
      <c r="AV530" s="20"/>
      <c r="AW530" s="20"/>
      <c r="AX530" s="20"/>
      <c r="AY530" s="41" t="str">
        <f t="shared" si="166"/>
        <v>Incomplete</v>
      </c>
      <c r="BA530" s="20" t="str">
        <f t="shared" si="167"/>
        <v>Incomplete</v>
      </c>
      <c r="BC530" s="20" t="str">
        <f t="shared" si="168"/>
        <v>Incomplete</v>
      </c>
      <c r="BE530" s="20" t="str">
        <f t="shared" si="169"/>
        <v>Incomplete</v>
      </c>
      <c r="BH530" s="20"/>
      <c r="BI530" s="20" t="str">
        <f t="shared" si="165"/>
        <v>Incomplete</v>
      </c>
      <c r="BJ530" s="20"/>
      <c r="BL530" s="20"/>
      <c r="BM530" s="20"/>
      <c r="BN530" s="20"/>
      <c r="BW530" s="91" t="str">
        <f t="shared" si="170"/>
        <v>Incomplete</v>
      </c>
      <c r="BX530" s="91" t="str">
        <f>_xlfn.XLOOKUP(BW530,'Normative data'!$V$3:$V$6,'Normative data'!$W$3:$W$6,"Not Found",-1)</f>
        <v>Very low risk</v>
      </c>
      <c r="BY530" s="91" t="str">
        <f t="shared" si="171"/>
        <v>Incomplete</v>
      </c>
      <c r="BZ530" s="91" t="str">
        <f>_xlfn.XLOOKUP(BY530,'Normative data'!$V$3:$V$6,'Normative data'!$W$3:$W$6,"Not Found",-1)</f>
        <v>Very low risk</v>
      </c>
      <c r="CA530" s="20"/>
      <c r="CC530" s="20"/>
      <c r="CE530" s="20"/>
      <c r="CG530" s="20"/>
      <c r="CH530" s="20" t="str">
        <f>_xlfn.XLOOKUP(CG530, 'Normative data'!$S$9:$S$15,'Normative data'!$T$9:$T$15, "Not Found", -1)</f>
        <v>not completed</v>
      </c>
      <c r="CI530" s="20"/>
      <c r="CJ530" s="20" t="str">
        <f>_xlfn.XLOOKUP(CI530, 'Normative data'!$S$9:$S$15, 'Normative data'!$T$9:$T$15, "Not Found", -1)</f>
        <v>not completed</v>
      </c>
      <c r="CK530" s="21"/>
      <c r="CL530" s="21"/>
      <c r="CM530" s="21"/>
      <c r="CN530" s="21"/>
      <c r="CO530" s="21"/>
      <c r="CR530" s="20" t="str" cm="1">
        <f t="array" ref="CR530">IF(OR(ISBLANK(E530),ISBLANK(CQ530)),"Incomplete",_xlfn.XLOOKUP(CQ530,_xlfn.XLOOKUP(E530,'Normative data'!$Y$3:$Y$6,'Normative data'!$Z$3:$AG$6,,-1),'Normative data'!$Z$2:$AG$2,"Not Found",-1))</f>
        <v>Incomplete</v>
      </c>
      <c r="CS530" s="20"/>
      <c r="CT530" s="20">
        <v>0</v>
      </c>
      <c r="CU530" s="20" t="str" cm="1">
        <f t="array" ref="CU530">_xlfn.XLOOKUP(CS530&amp;CT530,(VLOOKUP!$A$3:$A$250)&amp;(VLOOKUP!$B$3:$B$250),VLOOKUP!$C$3:$C$250,"Incomplete",-1)</f>
        <v>Incomplete</v>
      </c>
      <c r="CV530" s="20" t="str" cm="1">
        <f t="array" ref="CV530">_xlfn.XLOOKUP(CU530, _xlfn.XLOOKUP(E530, 'Normative data'!$Y$11:$Y$14, 'Normative data'!$Z$11:$AG$14, ,-1), 'Normative data'!$Z$10:$AG$10, "Not Found", -1)</f>
        <v>Excellent</v>
      </c>
      <c r="CW530" s="20" t="str" cm="1">
        <f t="array" ref="CW530">IF(OR(ISBLANK(CS530),ISBLANK(CT530)),"Incomplete",_xlfn.XLOOKUP(CS530&amp;CT530,VLOOKUP!$A$4:$A$250&amp;VLOOKUP!$B$4:$B$250,VLOOKUP!$D$4:$D$250,"0"))</f>
        <v>Incomplete</v>
      </c>
    </row>
    <row r="531" spans="1:101">
      <c r="A531" s="17" t="s">
        <v>1123</v>
      </c>
      <c r="B531" s="17" t="s">
        <v>1124</v>
      </c>
      <c r="C531" s="17" t="s">
        <v>86</v>
      </c>
      <c r="D531" s="26">
        <v>40801</v>
      </c>
      <c r="E531" s="17">
        <v>14.7</v>
      </c>
      <c r="F531" s="20" t="s">
        <v>92</v>
      </c>
      <c r="G531" s="17">
        <v>2026</v>
      </c>
      <c r="I531" s="20">
        <v>2</v>
      </c>
      <c r="J531" s="20" t="s">
        <v>100</v>
      </c>
      <c r="K531" s="20" t="s">
        <v>297</v>
      </c>
      <c r="L531" s="20" t="s">
        <v>567</v>
      </c>
      <c r="S531" s="20">
        <v>77</v>
      </c>
      <c r="T531" s="20">
        <v>154.5</v>
      </c>
      <c r="U531" s="17">
        <v>54</v>
      </c>
      <c r="V531" s="17">
        <v>29.7</v>
      </c>
      <c r="W531" s="17">
        <v>13.2</v>
      </c>
      <c r="X531" s="17">
        <v>40.799999999999997</v>
      </c>
      <c r="Y531" s="17">
        <v>22.3</v>
      </c>
      <c r="Z531" s="17">
        <v>22.6</v>
      </c>
      <c r="AA531" s="17">
        <v>24.5</v>
      </c>
      <c r="AB531" s="17">
        <v>5.99</v>
      </c>
      <c r="AC531" s="17">
        <v>106.7</v>
      </c>
      <c r="AD531" s="17">
        <v>6.01</v>
      </c>
      <c r="AE531" s="17">
        <v>107.1</v>
      </c>
      <c r="AF531" s="17">
        <v>2.2999999999999998</v>
      </c>
      <c r="AG531" s="17">
        <v>133.5</v>
      </c>
      <c r="AH531" s="17">
        <v>2.2999999999999998</v>
      </c>
      <c r="AI531" s="17">
        <v>133.6</v>
      </c>
      <c r="AJ531" s="17">
        <v>287.5</v>
      </c>
      <c r="AK531" s="17">
        <v>284.39999999999998</v>
      </c>
      <c r="AL531" s="17">
        <v>250.6</v>
      </c>
      <c r="AM531" s="17">
        <v>247.2</v>
      </c>
      <c r="AN531" s="17">
        <v>84</v>
      </c>
      <c r="AO531" s="17">
        <v>0.76</v>
      </c>
      <c r="AP531" s="17">
        <v>6.6</v>
      </c>
      <c r="AQ531" s="17">
        <v>23.4</v>
      </c>
      <c r="AR531" s="17">
        <v>0.437</v>
      </c>
      <c r="AS531" s="17">
        <v>29.1</v>
      </c>
      <c r="AT531" s="17">
        <v>0.48699999999999999</v>
      </c>
      <c r="AU531" s="17">
        <v>14.9</v>
      </c>
      <c r="AV531" s="17">
        <v>0.34899999999999998</v>
      </c>
      <c r="AW531" s="17">
        <v>13.4</v>
      </c>
      <c r="AX531" s="17">
        <v>0.33100000000000002</v>
      </c>
      <c r="AY531" s="41">
        <f t="shared" si="166"/>
        <v>1811.58</v>
      </c>
      <c r="BA531" s="20">
        <f t="shared" si="167"/>
        <v>2157.5699999999997</v>
      </c>
      <c r="BC531" s="20">
        <f t="shared" si="168"/>
        <v>1295.6300000000001</v>
      </c>
      <c r="BE531" s="20">
        <f t="shared" si="169"/>
        <v>1204.58</v>
      </c>
      <c r="BG531" s="17">
        <v>22</v>
      </c>
      <c r="BH531" s="17">
        <v>44</v>
      </c>
      <c r="BI531" s="20">
        <f t="shared" si="165"/>
        <v>22</v>
      </c>
      <c r="BJ531" s="20"/>
      <c r="BK531" s="17">
        <v>9.5</v>
      </c>
      <c r="BL531" s="20"/>
      <c r="BM531" s="17">
        <v>10</v>
      </c>
      <c r="BN531" s="20"/>
      <c r="BO531" s="17">
        <v>49.5</v>
      </c>
      <c r="BP531" s="17">
        <v>51.5</v>
      </c>
      <c r="BQ531" s="17">
        <v>87</v>
      </c>
      <c r="BR531" s="17">
        <v>96</v>
      </c>
      <c r="BS531" s="17">
        <v>72</v>
      </c>
      <c r="BT531" s="17">
        <v>83</v>
      </c>
      <c r="BU531" s="17">
        <v>75</v>
      </c>
      <c r="BV531" s="17">
        <v>63</v>
      </c>
      <c r="BW531" s="91">
        <f t="shared" si="170"/>
        <v>109.6774193548387</v>
      </c>
      <c r="BX531" s="91" t="str">
        <f>_xlfn.XLOOKUP(BW531,'Normative data'!$V$3:$V$6,'Normative data'!$W$3:$W$6,"Not Found",-1)</f>
        <v>Low risk</v>
      </c>
      <c r="BY531" s="91">
        <f t="shared" si="171"/>
        <v>95.053763440860223</v>
      </c>
      <c r="BZ531" s="91" t="str">
        <f>_xlfn.XLOOKUP(BY531,'Normative data'!$V$3:$V$6,'Normative data'!$W$3:$W$6,"Not Found",-1)</f>
        <v>High risk</v>
      </c>
      <c r="CA531" s="17">
        <v>23</v>
      </c>
      <c r="CC531" s="20"/>
      <c r="CE531" s="17">
        <v>17</v>
      </c>
      <c r="CG531" s="17">
        <v>17.11</v>
      </c>
      <c r="CH531" s="20" t="str">
        <f>_xlfn.XLOOKUP(CG531, 'Normative data'!$S$9:$S$15,'Normative data'!$T$9:$T$15, "Not Found", -1)</f>
        <v>Above Average</v>
      </c>
      <c r="CI531" s="17">
        <v>17.059999999999999</v>
      </c>
      <c r="CJ531" s="20" t="str">
        <f>_xlfn.XLOOKUP(CI531, 'Normative data'!$S$9:$S$15, 'Normative data'!$T$9:$T$15, "Not Found", -1)</f>
        <v>Above Average</v>
      </c>
      <c r="CK531" s="17">
        <v>2</v>
      </c>
      <c r="CL531" s="17">
        <v>5</v>
      </c>
      <c r="CN531" s="17">
        <v>6</v>
      </c>
      <c r="CO531" s="17">
        <v>8.33</v>
      </c>
      <c r="CQ531" s="17">
        <v>8.1999999999999993</v>
      </c>
      <c r="CR531" s="20" t="str" cm="1">
        <f t="array" ref="CR531">IF(OR(ISBLANK(E531),ISBLANK(CQ531)),"Incomplete",_xlfn.XLOOKUP(CQ531,_xlfn.XLOOKUP(E531,'Normative data'!$Y$3:$Y$6,'Normative data'!$Z$3:$AG$6,,-1),'Normative data'!$Z$2:$AG$2,"Not Found",-1))</f>
        <v>Good</v>
      </c>
      <c r="CS531" s="20">
        <v>8</v>
      </c>
      <c r="CT531" s="20">
        <v>2</v>
      </c>
      <c r="CU531" s="20" cm="1">
        <f t="array" ref="CU531">_xlfn.XLOOKUP(CS531&amp;CT531,(VLOOKUP!$A$3:$A$250)&amp;(VLOOKUP!$B$3:$B$250),VLOOKUP!$C$3:$C$250,"Incomplete",-1)</f>
        <v>1260</v>
      </c>
      <c r="CV531" s="20" t="str" cm="1">
        <f t="array" ref="CV531">_xlfn.XLOOKUP(CU531, _xlfn.XLOOKUP(E531, 'Normative data'!$Y$11:$Y$14, 'Normative data'!$Z$11:$AG$14, ,-1), 'Normative data'!$Z$10:$AG$10, "Not Found", -1)</f>
        <v>Average</v>
      </c>
      <c r="CW531" s="20" cm="1">
        <f t="array" ref="CW531">IF(OR(ISBLANK(CS531),ISBLANK(CT531)),"Incomplete",_xlfn.XLOOKUP(CS531&amp;CT531,VLOOKUP!$A$4:$A$250&amp;VLOOKUP!$B$4:$B$250,VLOOKUP!$D$4:$D$250,"0"))</f>
        <v>41</v>
      </c>
    </row>
    <row r="532" spans="1:101">
      <c r="A532" s="17" t="s">
        <v>1125</v>
      </c>
      <c r="B532" s="17" t="s">
        <v>1126</v>
      </c>
      <c r="C532" s="17" t="s">
        <v>86</v>
      </c>
      <c r="D532" s="26">
        <v>40417</v>
      </c>
      <c r="F532" s="20" t="s">
        <v>154</v>
      </c>
      <c r="G532" s="17">
        <v>2026</v>
      </c>
      <c r="I532" s="20">
        <v>2</v>
      </c>
      <c r="J532" s="20"/>
      <c r="K532" s="20"/>
      <c r="L532" s="20"/>
      <c r="S532" s="20">
        <v>78.599999999999994</v>
      </c>
      <c r="T532" s="20">
        <v>159</v>
      </c>
      <c r="U532" s="17">
        <v>52.4</v>
      </c>
      <c r="V532" s="17">
        <v>24.2</v>
      </c>
      <c r="W532" s="17">
        <v>19.2</v>
      </c>
      <c r="X532" s="17">
        <v>33.200000000000003</v>
      </c>
      <c r="Y532" s="17">
        <v>17.399999999999999</v>
      </c>
      <c r="Z532" s="17">
        <v>20.7</v>
      </c>
      <c r="AA532" s="17">
        <v>36.700000000000003</v>
      </c>
      <c r="AB532" s="17">
        <v>4.78</v>
      </c>
      <c r="AC532" s="17">
        <v>82.1</v>
      </c>
      <c r="AD532" s="17">
        <v>4.87</v>
      </c>
      <c r="AE532" s="17">
        <v>83.5</v>
      </c>
      <c r="AF532" s="17">
        <v>3</v>
      </c>
      <c r="AG532" s="17">
        <v>139.5</v>
      </c>
      <c r="AH532" s="17">
        <v>3</v>
      </c>
      <c r="AI532" s="17">
        <v>139.9</v>
      </c>
      <c r="AJ532" s="17">
        <v>396.6</v>
      </c>
      <c r="AK532" s="17">
        <v>382.7</v>
      </c>
      <c r="AL532" s="17">
        <v>360.8</v>
      </c>
      <c r="AM532" s="17">
        <v>349.5</v>
      </c>
      <c r="AN532" s="17">
        <v>83</v>
      </c>
      <c r="AO532" s="17">
        <v>0.89</v>
      </c>
      <c r="AP532" s="17">
        <v>4.9000000000000004</v>
      </c>
      <c r="AQ532" s="20"/>
      <c r="AR532" s="20"/>
      <c r="AS532" s="20"/>
      <c r="AT532" s="20"/>
      <c r="AU532" s="20"/>
      <c r="AV532" s="20"/>
      <c r="AW532" s="20"/>
      <c r="AX532" s="20"/>
      <c r="AY532" s="41" t="str">
        <f t="shared" si="166"/>
        <v>Incomplete</v>
      </c>
      <c r="BA532" s="20" t="str">
        <f t="shared" si="167"/>
        <v>Incomplete</v>
      </c>
      <c r="BC532" s="20" t="str">
        <f t="shared" si="168"/>
        <v>Incomplete</v>
      </c>
      <c r="BE532" s="20" t="str">
        <f t="shared" si="169"/>
        <v>Incomplete</v>
      </c>
      <c r="BG532" s="17">
        <v>13</v>
      </c>
      <c r="BH532" s="17">
        <v>39.5</v>
      </c>
      <c r="BI532" s="20">
        <f t="shared" si="165"/>
        <v>26.5</v>
      </c>
      <c r="BJ532" s="20"/>
      <c r="BK532" s="17">
        <v>13</v>
      </c>
      <c r="BL532" s="20"/>
      <c r="BM532" s="17">
        <v>13</v>
      </c>
      <c r="BN532" s="20"/>
      <c r="BW532" s="91">
        <f t="shared" si="170"/>
        <v>0</v>
      </c>
      <c r="BX532" s="91" t="str">
        <f>_xlfn.XLOOKUP(BW532,'Normative data'!$V$3:$V$6,'Normative data'!$W$3:$W$6,"Not Found",-1)</f>
        <v>Not completed</v>
      </c>
      <c r="BY532" s="91">
        <f t="shared" si="171"/>
        <v>0</v>
      </c>
      <c r="BZ532" s="91" t="str">
        <f>_xlfn.XLOOKUP(BY532,'Normative data'!$V$3:$V$6,'Normative data'!$W$3:$W$6,"Not Found",-1)</f>
        <v>Not completed</v>
      </c>
      <c r="CA532" s="17">
        <v>21</v>
      </c>
      <c r="CC532" s="20"/>
      <c r="CG532" s="20"/>
      <c r="CH532" s="20" t="str">
        <f>_xlfn.XLOOKUP(CG532, 'Normative data'!$S$9:$S$15,'Normative data'!$T$9:$T$15, "Not Found", -1)</f>
        <v>not completed</v>
      </c>
      <c r="CI532" s="20"/>
      <c r="CJ532" s="20" t="str">
        <f>_xlfn.XLOOKUP(CI532, 'Normative data'!$S$9:$S$15, 'Normative data'!$T$9:$T$15, "Not Found", -1)</f>
        <v>not completed</v>
      </c>
      <c r="CK532" s="17">
        <v>2.66</v>
      </c>
      <c r="CL532" s="17">
        <v>3.76</v>
      </c>
      <c r="CN532" s="17">
        <v>7.84</v>
      </c>
      <c r="CO532" s="17">
        <v>5.72</v>
      </c>
      <c r="CR532" s="20" t="str" cm="1">
        <f t="array" ref="CR532">IF(OR(ISBLANK(E532),ISBLANK(CQ532)),"Incomplete",_xlfn.XLOOKUP(CQ532,_xlfn.XLOOKUP(E532,'Normative data'!$Y$3:$Y$6,'Normative data'!$Z$3:$AG$6,,-1),'Normative data'!$Z$2:$AG$2,"Not Found",-1))</f>
        <v>Incomplete</v>
      </c>
      <c r="CS532" s="20"/>
      <c r="CT532" s="20"/>
      <c r="CU532" s="20" t="str" cm="1">
        <f t="array" ref="CU532">_xlfn.XLOOKUP(CS532&amp;CT532,(VLOOKUP!$A$3:$A$250)&amp;(VLOOKUP!$B$3:$B$250),VLOOKUP!$C$3:$C$250,"Incomplete",-1)</f>
        <v>Incomplete</v>
      </c>
      <c r="CV532" s="20" t="str" cm="1">
        <f t="array" ref="CV532">_xlfn.XLOOKUP(CU532, _xlfn.XLOOKUP(E532, 'Normative data'!$Y$11:$Y$14, 'Normative data'!$Z$11:$AG$14, ,-1), 'Normative data'!$Z$10:$AG$10, "Not Found", -1)</f>
        <v>Excellent</v>
      </c>
      <c r="CW532" s="20" t="str" cm="1">
        <f t="array" ref="CW532">IF(OR(ISBLANK(CS532),ISBLANK(CT532)),"Incomplete",_xlfn.XLOOKUP(CS532&amp;CT532,VLOOKUP!$A$4:$A$250&amp;VLOOKUP!$B$4:$B$250,VLOOKUP!$D$4:$D$250,"0"))</f>
        <v>Incomplete</v>
      </c>
    </row>
    <row r="533" spans="1:101">
      <c r="A533" s="17" t="s">
        <v>254</v>
      </c>
      <c r="B533" s="17" t="s">
        <v>1126</v>
      </c>
      <c r="C533" s="17" t="s">
        <v>86</v>
      </c>
      <c r="D533" s="26">
        <v>40639</v>
      </c>
      <c r="E533" s="17">
        <v>15.1</v>
      </c>
      <c r="F533" s="20" t="s">
        <v>217</v>
      </c>
      <c r="G533" s="17">
        <v>2026</v>
      </c>
      <c r="I533" s="20">
        <v>2</v>
      </c>
      <c r="J533" s="20" t="s">
        <v>88</v>
      </c>
      <c r="K533" s="20" t="s">
        <v>93</v>
      </c>
      <c r="L533" s="20"/>
      <c r="S533" s="20">
        <v>84.4</v>
      </c>
      <c r="T533" s="20">
        <v>175.8</v>
      </c>
      <c r="U533" s="17">
        <v>56.4</v>
      </c>
      <c r="V533" s="17">
        <v>32</v>
      </c>
      <c r="W533" s="17">
        <v>12.7</v>
      </c>
      <c r="X533" s="17">
        <v>43.7</v>
      </c>
      <c r="Y533" s="17">
        <v>23.7</v>
      </c>
      <c r="Z533" s="17">
        <v>18.2</v>
      </c>
      <c r="AA533" s="17">
        <v>22.5</v>
      </c>
      <c r="AB533" s="17">
        <v>7.37</v>
      </c>
      <c r="AC533" s="17">
        <v>113</v>
      </c>
      <c r="AD533" s="17">
        <v>7.4</v>
      </c>
      <c r="AE533" s="17">
        <v>113.5</v>
      </c>
      <c r="AF533" s="17">
        <v>2.2000000000000002</v>
      </c>
      <c r="AG533" s="17">
        <v>75.5</v>
      </c>
      <c r="AH533" s="17">
        <v>2.2000000000000002</v>
      </c>
      <c r="AI533" s="17">
        <v>75.7</v>
      </c>
      <c r="AJ533" s="17">
        <v>344.4</v>
      </c>
      <c r="AK533" s="17">
        <v>340.8</v>
      </c>
      <c r="AL533" s="17">
        <v>312.7</v>
      </c>
      <c r="AM533" s="17">
        <v>309.60000000000002</v>
      </c>
      <c r="AN533" s="17">
        <v>100</v>
      </c>
      <c r="AO533" s="17">
        <v>0.83</v>
      </c>
      <c r="AP533" s="17">
        <v>6</v>
      </c>
      <c r="AQ533" s="20"/>
      <c r="AR533" s="20"/>
      <c r="AS533" s="20"/>
      <c r="AT533" s="20"/>
      <c r="AU533" s="20"/>
      <c r="AV533" s="20"/>
      <c r="AW533" s="20"/>
      <c r="AX533" s="20"/>
      <c r="AY533" s="41" t="str">
        <f t="shared" si="166"/>
        <v>Incomplete</v>
      </c>
      <c r="BA533" s="20" t="str">
        <f t="shared" si="167"/>
        <v>Incomplete</v>
      </c>
      <c r="BC533" s="20" t="str">
        <f t="shared" si="168"/>
        <v>Incomplete</v>
      </c>
      <c r="BE533" s="20" t="str">
        <f t="shared" si="169"/>
        <v>Incomplete</v>
      </c>
      <c r="BG533" s="17">
        <v>8</v>
      </c>
      <c r="BH533" s="17">
        <v>45.5</v>
      </c>
      <c r="BI533" s="20">
        <f t="shared" si="165"/>
        <v>37.5</v>
      </c>
      <c r="BJ533" s="20"/>
      <c r="BK533" s="17">
        <v>10</v>
      </c>
      <c r="BL533" s="20"/>
      <c r="BM533" s="17">
        <v>10.5</v>
      </c>
      <c r="BN533" s="20"/>
      <c r="BO533" s="17">
        <v>48</v>
      </c>
      <c r="BP533" s="17">
        <v>47</v>
      </c>
      <c r="BQ533" s="17">
        <v>81</v>
      </c>
      <c r="BR533" s="17">
        <v>88</v>
      </c>
      <c r="BS533" s="17">
        <v>90</v>
      </c>
      <c r="BT533" s="17">
        <v>78</v>
      </c>
      <c r="BU533" s="17">
        <v>87</v>
      </c>
      <c r="BV533" s="17">
        <v>89</v>
      </c>
      <c r="BW533" s="91">
        <f t="shared" si="170"/>
        <v>94.456601021152437</v>
      </c>
      <c r="BX533" s="91" t="str">
        <f>_xlfn.XLOOKUP(BW533,'Normative data'!$V$3:$V$6,'Normative data'!$W$3:$W$6,"Not Found",-1)</f>
        <v>High risk</v>
      </c>
      <c r="BY533" s="91">
        <f t="shared" si="171"/>
        <v>92.633114514952581</v>
      </c>
      <c r="BZ533" s="91" t="str">
        <f>_xlfn.XLOOKUP(BY533,'Normative data'!$V$3:$V$6,'Normative data'!$W$3:$W$6,"Not Found",-1)</f>
        <v>High risk</v>
      </c>
      <c r="CG533" s="17">
        <v>18.91</v>
      </c>
      <c r="CH533" s="20" t="str">
        <f>_xlfn.XLOOKUP(CG533, 'Normative data'!$S$9:$S$15,'Normative data'!$T$9:$T$15, "Not Found", -1)</f>
        <v>Average</v>
      </c>
      <c r="CI533" s="17">
        <v>18.48</v>
      </c>
      <c r="CJ533" s="20" t="str">
        <f>_xlfn.XLOOKUP(CI533, 'Normative data'!$S$9:$S$15, 'Normative data'!$T$9:$T$15, "Not Found", -1)</f>
        <v>Average</v>
      </c>
      <c r="CK533" s="21"/>
      <c r="CL533" s="21"/>
      <c r="CM533" s="21"/>
      <c r="CN533" s="21"/>
      <c r="CO533" s="21"/>
      <c r="CR533" s="20" t="str" cm="1">
        <f t="array" ref="CR533">IF(OR(ISBLANK(E533),ISBLANK(CQ533)),"Incomplete",_xlfn.XLOOKUP(CQ533,_xlfn.XLOOKUP(E533,'Normative data'!$Y$3:$Y$6,'Normative data'!$Z$3:$AG$6,,-1),'Normative data'!$Z$2:$AG$2,"Not Found",-1))</f>
        <v>Incomplete</v>
      </c>
      <c r="CS533" s="20"/>
      <c r="CT533" s="20"/>
      <c r="CU533" s="20" t="str" cm="1">
        <f t="array" ref="CU533">_xlfn.XLOOKUP(CS533&amp;CT533,(VLOOKUP!$A$3:$A$250)&amp;(VLOOKUP!$B$3:$B$250),VLOOKUP!$C$3:$C$250,"Incomplete",-1)</f>
        <v>Incomplete</v>
      </c>
      <c r="CV533" s="20" t="str" cm="1">
        <f t="array" ref="CV533">_xlfn.XLOOKUP(CU533, _xlfn.XLOOKUP(E533, 'Normative data'!$Y$11:$Y$14, 'Normative data'!$Z$11:$AG$14, ,-1), 'Normative data'!$Z$10:$AG$10, "Not Found", -1)</f>
        <v>Excellent</v>
      </c>
      <c r="CW533" s="20" t="str" cm="1">
        <f t="array" ref="CW533">IF(OR(ISBLANK(CS533),ISBLANK(CT533)),"Incomplete",_xlfn.XLOOKUP(CS533&amp;CT533,VLOOKUP!$A$4:$A$250&amp;VLOOKUP!$B$4:$B$250,VLOOKUP!$D$4:$D$250,"0"))</f>
        <v>Incomplete</v>
      </c>
    </row>
    <row r="534" spans="1:101">
      <c r="A534" s="17" t="s">
        <v>1066</v>
      </c>
      <c r="B534" s="17" t="s">
        <v>1126</v>
      </c>
      <c r="C534" s="17" t="s">
        <v>86</v>
      </c>
      <c r="D534" s="26">
        <v>41108</v>
      </c>
      <c r="E534" s="17">
        <v>13.8</v>
      </c>
      <c r="F534" s="20" t="s">
        <v>107</v>
      </c>
      <c r="G534" s="17">
        <v>2026</v>
      </c>
      <c r="I534" s="20">
        <v>2</v>
      </c>
      <c r="J534" s="20" t="s">
        <v>100</v>
      </c>
      <c r="K534" s="20" t="s">
        <v>170</v>
      </c>
      <c r="L534" s="20"/>
      <c r="S534" s="20">
        <v>77.900000000000006</v>
      </c>
      <c r="T534" s="20">
        <v>164.1</v>
      </c>
      <c r="U534" s="17">
        <v>49.5</v>
      </c>
      <c r="V534" s="17">
        <v>29.2</v>
      </c>
      <c r="W534" s="17">
        <v>9.5</v>
      </c>
      <c r="X534" s="17">
        <v>40</v>
      </c>
      <c r="Y534" s="17">
        <v>21.8</v>
      </c>
      <c r="Z534" s="17">
        <v>18.399999999999999</v>
      </c>
      <c r="AA534" s="17">
        <v>19.2</v>
      </c>
      <c r="AB534" s="17">
        <v>5.98</v>
      </c>
      <c r="AC534" s="17">
        <v>104.5</v>
      </c>
      <c r="AD534" s="17">
        <v>6</v>
      </c>
      <c r="AE534" s="17">
        <v>104.8</v>
      </c>
      <c r="AF534" s="17">
        <v>1.6</v>
      </c>
      <c r="AG534" s="17">
        <v>64.099999999999994</v>
      </c>
      <c r="AH534" s="17">
        <v>1.6</v>
      </c>
      <c r="AI534" s="17">
        <v>64.3</v>
      </c>
      <c r="AJ534" s="17">
        <v>387.8</v>
      </c>
      <c r="AK534" s="17">
        <v>386.3</v>
      </c>
      <c r="AL534" s="17">
        <v>344.1</v>
      </c>
      <c r="AM534" s="17">
        <v>342.4</v>
      </c>
      <c r="AN534" s="17">
        <v>98</v>
      </c>
      <c r="AO534" s="17">
        <v>0.84</v>
      </c>
      <c r="AP534" s="17">
        <v>5.8</v>
      </c>
      <c r="AQ534" s="17">
        <v>19</v>
      </c>
      <c r="AR534" s="17">
        <v>0.39400000000000002</v>
      </c>
      <c r="AS534" s="17">
        <v>24.5</v>
      </c>
      <c r="AT534" s="17">
        <v>0.44700000000000001</v>
      </c>
      <c r="AU534" s="17">
        <v>13.3</v>
      </c>
      <c r="AV534" s="17">
        <v>0.32900000000000001</v>
      </c>
      <c r="AW534" s="17">
        <v>13.8</v>
      </c>
      <c r="AX534" s="17">
        <v>0.33500000000000002</v>
      </c>
      <c r="AY534" s="41">
        <f t="shared" si="166"/>
        <v>1340.6499999999996</v>
      </c>
      <c r="BA534" s="20">
        <f t="shared" si="167"/>
        <v>1674.5</v>
      </c>
      <c r="BC534" s="20">
        <f t="shared" si="168"/>
        <v>994.65999999999985</v>
      </c>
      <c r="BE534" s="20">
        <f t="shared" si="169"/>
        <v>1025.0100000000002</v>
      </c>
      <c r="BG534" s="17">
        <v>17</v>
      </c>
      <c r="BH534" s="17">
        <v>41</v>
      </c>
      <c r="BI534" s="20">
        <f t="shared" si="165"/>
        <v>24</v>
      </c>
      <c r="BJ534" s="20"/>
      <c r="BK534" s="17">
        <v>9.3000000000000007</v>
      </c>
      <c r="BL534" s="20"/>
      <c r="BM534" s="17">
        <v>8.9</v>
      </c>
      <c r="BN534" s="20"/>
      <c r="BO534" s="17">
        <v>39.9</v>
      </c>
      <c r="BP534" s="17">
        <v>40</v>
      </c>
      <c r="BQ534" s="17">
        <v>62</v>
      </c>
      <c r="BR534" s="17">
        <v>71</v>
      </c>
      <c r="BT534" s="17">
        <v>81</v>
      </c>
      <c r="BU534" s="17">
        <v>79</v>
      </c>
      <c r="BW534" s="91">
        <f t="shared" si="170"/>
        <v>51.430781129157012</v>
      </c>
      <c r="BX534" s="91" t="str">
        <f>_xlfn.XLOOKUP(BW534,'Normative data'!$V$3:$V$6,'Normative data'!$W$3:$W$6,"Not Found",-1)</f>
        <v>High risk</v>
      </c>
      <c r="BY534" s="91">
        <f t="shared" si="171"/>
        <v>61.871616395978357</v>
      </c>
      <c r="BZ534" s="91" t="str">
        <f>_xlfn.XLOOKUP(BY534,'Normative data'!$V$3:$V$6,'Normative data'!$W$3:$W$6,"Not Found",-1)</f>
        <v>High risk</v>
      </c>
      <c r="CA534" s="17">
        <v>35</v>
      </c>
      <c r="CC534" s="20"/>
      <c r="CE534" s="17">
        <v>33</v>
      </c>
      <c r="CG534" s="17">
        <v>18.95</v>
      </c>
      <c r="CH534" s="20" t="str">
        <f>_xlfn.XLOOKUP(CG534, 'Normative data'!$S$9:$S$15,'Normative data'!$T$9:$T$15, "Not Found", -1)</f>
        <v>Average</v>
      </c>
      <c r="CI534" s="17">
        <v>18.649999999999999</v>
      </c>
      <c r="CJ534" s="20" t="str">
        <f>_xlfn.XLOOKUP(CI534, 'Normative data'!$S$9:$S$15, 'Normative data'!$T$9:$T$15, "Not Found", -1)</f>
        <v>Average</v>
      </c>
      <c r="CK534" s="17">
        <v>2.2000000000000002</v>
      </c>
      <c r="CL534" s="17">
        <v>4.55</v>
      </c>
      <c r="CN534" s="17">
        <v>6.84</v>
      </c>
      <c r="CO534" s="17">
        <v>7.31</v>
      </c>
      <c r="CQ534" s="17">
        <v>8.9</v>
      </c>
      <c r="CR534" s="20" t="str" cm="1">
        <f t="array" ref="CR534">IF(OR(ISBLANK(E534),ISBLANK(CQ534)),"Incomplete",_xlfn.XLOOKUP(CQ534,_xlfn.XLOOKUP(E534,'Normative data'!$Y$3:$Y$6,'Normative data'!$Z$3:$AG$6,,-1),'Normative data'!$Z$2:$AG$2,"Not Found",-1))</f>
        <v>Very good</v>
      </c>
      <c r="CS534" s="20">
        <v>8</v>
      </c>
      <c r="CT534" s="20">
        <v>9</v>
      </c>
      <c r="CU534" s="20" cm="1">
        <f t="array" ref="CU534">_xlfn.XLOOKUP(CS534&amp;CT534,(VLOOKUP!$A$3:$A$250)&amp;(VLOOKUP!$B$3:$B$250),VLOOKUP!$C$3:$C$250,"Incomplete",-1)</f>
        <v>1400</v>
      </c>
      <c r="CV534" s="20" t="str" cm="1">
        <f t="array" ref="CV534">_xlfn.XLOOKUP(CU534, _xlfn.XLOOKUP(E534, 'Normative data'!$Y$11:$Y$14, 'Normative data'!$Z$11:$AG$14, ,-1), 'Normative data'!$Z$10:$AG$10, "Not Found", -1)</f>
        <v xml:space="preserve">Very good </v>
      </c>
      <c r="CW534" s="20" cm="1">
        <f t="array" ref="CW534">IF(OR(ISBLANK(CS534),ISBLANK(CT534)),"Incomplete",_xlfn.XLOOKUP(CS534&amp;CT534,VLOOKUP!$A$4:$A$250&amp;VLOOKUP!$B$4:$B$250,VLOOKUP!$D$4:$D$250,"0"))</f>
        <v>43</v>
      </c>
    </row>
    <row r="535" spans="1:101">
      <c r="A535" s="17" t="s">
        <v>213</v>
      </c>
      <c r="B535" s="17" t="s">
        <v>1126</v>
      </c>
      <c r="C535" s="17" t="s">
        <v>86</v>
      </c>
      <c r="D535" s="26">
        <v>40368</v>
      </c>
      <c r="F535" s="20" t="s">
        <v>186</v>
      </c>
      <c r="G535" s="17">
        <v>2026</v>
      </c>
      <c r="I535" s="20">
        <v>2</v>
      </c>
      <c r="J535" s="20"/>
      <c r="K535" s="20"/>
      <c r="L535" s="20"/>
      <c r="S535" s="20"/>
      <c r="T535" s="20"/>
      <c r="AY535" s="41" t="str">
        <f t="shared" si="166"/>
        <v>Incomplete</v>
      </c>
      <c r="BA535" s="20" t="str">
        <f t="shared" si="167"/>
        <v>Incomplete</v>
      </c>
      <c r="BC535" s="20" t="str">
        <f t="shared" si="168"/>
        <v>Incomplete</v>
      </c>
      <c r="BE535" s="20" t="str">
        <f t="shared" si="169"/>
        <v>Incomplete</v>
      </c>
      <c r="BH535" s="20"/>
      <c r="BI535" s="20" t="str">
        <f t="shared" si="165"/>
        <v>Incomplete</v>
      </c>
      <c r="BJ535" s="20"/>
      <c r="BK535" s="17">
        <v>10.7</v>
      </c>
      <c r="BL535" s="20"/>
      <c r="BM535" s="17">
        <v>11</v>
      </c>
      <c r="BN535" s="20"/>
      <c r="BQ535" s="17">
        <v>79</v>
      </c>
      <c r="BR535" s="17">
        <v>78</v>
      </c>
      <c r="BS535" s="17">
        <v>68</v>
      </c>
      <c r="BT535" s="17">
        <v>77</v>
      </c>
      <c r="BU535" s="17">
        <v>80</v>
      </c>
      <c r="BV535" s="17">
        <v>73</v>
      </c>
      <c r="BW535" s="91" t="str">
        <f t="shared" si="170"/>
        <v>Incomplete</v>
      </c>
      <c r="BX535" s="91" t="str">
        <f>_xlfn.XLOOKUP(BW535,'Normative data'!$V$3:$V$6,'Normative data'!$W$3:$W$6,"Not Found",-1)</f>
        <v>Very low risk</v>
      </c>
      <c r="BY535" s="91" t="str">
        <f t="shared" si="171"/>
        <v>Incomplete</v>
      </c>
      <c r="BZ535" s="91" t="str">
        <f>_xlfn.XLOOKUP(BY535,'Normative data'!$V$3:$V$6,'Normative data'!$W$3:$W$6,"Not Found",-1)</f>
        <v>Very low risk</v>
      </c>
      <c r="CA535" s="17">
        <v>27</v>
      </c>
      <c r="CC535" s="20"/>
      <c r="CE535" s="17">
        <v>20</v>
      </c>
      <c r="CG535" s="17">
        <v>21.63</v>
      </c>
      <c r="CH535" s="20" t="str">
        <f>_xlfn.XLOOKUP(CG535, 'Normative data'!$S$9:$S$15,'Normative data'!$T$9:$T$15, "Not Found", -1)</f>
        <v>Average</v>
      </c>
      <c r="CI535" s="17">
        <v>21.95</v>
      </c>
      <c r="CJ535" s="20" t="str">
        <f>_xlfn.XLOOKUP(CI535, 'Normative data'!$S$9:$S$15, 'Normative data'!$T$9:$T$15, "Not Found", -1)</f>
        <v>Below Average</v>
      </c>
      <c r="CK535" s="17">
        <v>2.21</v>
      </c>
      <c r="CL535" s="17">
        <v>4.5199999999999996</v>
      </c>
      <c r="CN535" s="17">
        <v>7.51</v>
      </c>
      <c r="CO535" s="17">
        <v>6.66</v>
      </c>
      <c r="CR535" s="20" t="str" cm="1">
        <f t="array" ref="CR535">IF(OR(ISBLANK(E535),ISBLANK(CQ535)),"Incomplete",_xlfn.XLOOKUP(CQ535,_xlfn.XLOOKUP(E535,'Normative data'!$Y$3:$Y$6,'Normative data'!$Z$3:$AG$6,,-1),'Normative data'!$Z$2:$AG$2,"Not Found",-1))</f>
        <v>Incomplete</v>
      </c>
      <c r="CS535" s="20"/>
      <c r="CT535" s="20"/>
      <c r="CU535" s="20" t="str" cm="1">
        <f t="array" ref="CU535">_xlfn.XLOOKUP(CS535&amp;CT535,(VLOOKUP!$A$3:$A$250)&amp;(VLOOKUP!$B$3:$B$250),VLOOKUP!$C$3:$C$250,"Incomplete",-1)</f>
        <v>Incomplete</v>
      </c>
      <c r="CV535" s="20" t="str" cm="1">
        <f t="array" ref="CV535">_xlfn.XLOOKUP(CU535, _xlfn.XLOOKUP(E535, 'Normative data'!$Y$11:$Y$14, 'Normative data'!$Z$11:$AG$14, ,-1), 'Normative data'!$Z$10:$AG$10, "Not Found", -1)</f>
        <v>Excellent</v>
      </c>
      <c r="CW535" s="20" t="str" cm="1">
        <f t="array" ref="CW535">IF(OR(ISBLANK(CS535),ISBLANK(CT535)),"Incomplete",_xlfn.XLOOKUP(CS535&amp;CT535,VLOOKUP!$A$4:$A$250&amp;VLOOKUP!$B$4:$B$250,VLOOKUP!$D$4:$D$250,"0"))</f>
        <v>Incomplete</v>
      </c>
    </row>
    <row r="536" spans="1:101">
      <c r="A536" s="17" t="s">
        <v>1127</v>
      </c>
      <c r="B536" s="17" t="s">
        <v>1128</v>
      </c>
      <c r="C536" s="17" t="s">
        <v>86</v>
      </c>
      <c r="D536" s="26"/>
      <c r="F536" s="20" t="s">
        <v>235</v>
      </c>
      <c r="G536" s="17">
        <v>2026</v>
      </c>
      <c r="I536" s="20">
        <v>2</v>
      </c>
      <c r="J536" s="20" t="s">
        <v>88</v>
      </c>
      <c r="K536" s="20" t="s">
        <v>196</v>
      </c>
      <c r="L536" s="20"/>
      <c r="S536" s="20">
        <v>91.8</v>
      </c>
      <c r="T536" s="20">
        <v>171</v>
      </c>
      <c r="AQ536" s="20"/>
      <c r="AR536" s="20"/>
      <c r="AS536" s="20"/>
      <c r="AT536" s="20"/>
      <c r="AU536" s="20"/>
      <c r="AV536" s="20"/>
      <c r="AW536" s="20"/>
      <c r="AX536" s="20"/>
      <c r="AY536" s="41" t="str">
        <f t="shared" si="166"/>
        <v>Incomplete</v>
      </c>
      <c r="BA536" s="20" t="str">
        <f t="shared" si="167"/>
        <v>Incomplete</v>
      </c>
      <c r="BC536" s="20" t="str">
        <f t="shared" si="168"/>
        <v>Incomplete</v>
      </c>
      <c r="BE536" s="20" t="str">
        <f t="shared" si="169"/>
        <v>Incomplete</v>
      </c>
      <c r="BH536" s="17">
        <v>44.5</v>
      </c>
      <c r="BI536" s="20" t="str">
        <f t="shared" si="165"/>
        <v>Incomplete</v>
      </c>
      <c r="BJ536" s="20"/>
      <c r="BK536" s="17">
        <v>8</v>
      </c>
      <c r="BL536" s="20"/>
      <c r="BM536" s="17">
        <v>7</v>
      </c>
      <c r="BN536" s="20"/>
      <c r="BW536" s="91">
        <f t="shared" si="170"/>
        <v>0</v>
      </c>
      <c r="BX536" s="91" t="str">
        <f>_xlfn.XLOOKUP(BW536,'Normative data'!$V$3:$V$6,'Normative data'!$W$3:$W$6,"Not Found",-1)</f>
        <v>Not completed</v>
      </c>
      <c r="BY536" s="91">
        <f t="shared" si="171"/>
        <v>0</v>
      </c>
      <c r="BZ536" s="91" t="str">
        <f>_xlfn.XLOOKUP(BY536,'Normative data'!$V$3:$V$6,'Normative data'!$W$3:$W$6,"Not Found",-1)</f>
        <v>Not completed</v>
      </c>
      <c r="CG536" s="20"/>
      <c r="CH536" s="20" t="str">
        <f>_xlfn.XLOOKUP(CG536, 'Normative data'!$S$9:$S$15,'Normative data'!$T$9:$T$15, "Not Found", -1)</f>
        <v>not completed</v>
      </c>
      <c r="CI536" s="20"/>
      <c r="CJ536" s="20" t="str">
        <f>_xlfn.XLOOKUP(CI536, 'Normative data'!$S$9:$S$15, 'Normative data'!$T$9:$T$15, "Not Found", -1)</f>
        <v>not completed</v>
      </c>
      <c r="CK536" s="21"/>
      <c r="CL536" s="21"/>
      <c r="CM536" s="21"/>
      <c r="CN536" s="21"/>
      <c r="CO536" s="21"/>
      <c r="CR536" s="20" t="str" cm="1">
        <f t="array" ref="CR536">IF(OR(ISBLANK(E536),ISBLANK(CQ536)),"Incomplete",_xlfn.XLOOKUP(CQ536,_xlfn.XLOOKUP(E536,'Normative data'!$Y$3:$Y$6,'Normative data'!$Z$3:$AG$6,,-1),'Normative data'!$Z$2:$AG$2,"Not Found",-1))</f>
        <v>Incomplete</v>
      </c>
      <c r="CS536" s="20"/>
      <c r="CT536" s="20"/>
      <c r="CU536" s="20" t="str" cm="1">
        <f t="array" ref="CU536">_xlfn.XLOOKUP(CS536&amp;CT536,(VLOOKUP!$A$3:$A$250)&amp;(VLOOKUP!$B$3:$B$250),VLOOKUP!$C$3:$C$250,"Incomplete",-1)</f>
        <v>Incomplete</v>
      </c>
      <c r="CV536" s="20" t="str" cm="1">
        <f t="array" ref="CV536">_xlfn.XLOOKUP(CU536, _xlfn.XLOOKUP(E536, 'Normative data'!$Y$11:$Y$14, 'Normative data'!$Z$11:$AG$14, ,-1), 'Normative data'!$Z$10:$AG$10, "Not Found", -1)</f>
        <v>Excellent</v>
      </c>
      <c r="CW536" s="20" t="str" cm="1">
        <f t="array" ref="CW536">IF(OR(ISBLANK(CS536),ISBLANK(CT536)),"Incomplete",_xlfn.XLOOKUP(CS536&amp;CT536,VLOOKUP!$A$4:$A$250&amp;VLOOKUP!$B$4:$B$250,VLOOKUP!$D$4:$D$250,"0"))</f>
        <v>Incomplete</v>
      </c>
    </row>
    <row r="537" spans="1:101">
      <c r="A537" s="17" t="s">
        <v>812</v>
      </c>
      <c r="B537" s="17" t="s">
        <v>811</v>
      </c>
      <c r="C537" s="17" t="s">
        <v>86</v>
      </c>
      <c r="D537" s="26">
        <v>39730</v>
      </c>
      <c r="E537" s="17">
        <v>17.7</v>
      </c>
      <c r="F537" s="20">
        <v>12</v>
      </c>
      <c r="G537" s="17">
        <v>2026</v>
      </c>
      <c r="I537" s="20">
        <v>2</v>
      </c>
      <c r="J537" s="20" t="s">
        <v>122</v>
      </c>
      <c r="K537" s="20" t="s">
        <v>101</v>
      </c>
      <c r="L537" s="20" t="s">
        <v>567</v>
      </c>
      <c r="S537" s="20">
        <v>86.6</v>
      </c>
      <c r="T537" s="20">
        <v>167.3</v>
      </c>
      <c r="U537" s="17">
        <v>55.1</v>
      </c>
      <c r="V537" s="17">
        <v>35.1</v>
      </c>
      <c r="W537" s="17">
        <v>7.2</v>
      </c>
      <c r="X537" s="17">
        <v>47.9</v>
      </c>
      <c r="Y537" s="17">
        <v>26.6</v>
      </c>
      <c r="Z537" s="17">
        <v>19.8</v>
      </c>
      <c r="AA537" s="17">
        <v>13.1</v>
      </c>
      <c r="AB537" s="17">
        <v>7.14</v>
      </c>
      <c r="AC537" s="17">
        <v>112</v>
      </c>
      <c r="AD537" s="17">
        <v>7.17</v>
      </c>
      <c r="AE537" s="17">
        <v>112.6</v>
      </c>
      <c r="AF537" s="17">
        <v>1.2</v>
      </c>
      <c r="AG537" s="17">
        <v>48.3</v>
      </c>
      <c r="AH537" s="17">
        <v>1.2</v>
      </c>
      <c r="AI537" s="17">
        <v>48.4</v>
      </c>
      <c r="AJ537" s="17">
        <v>296.7</v>
      </c>
      <c r="AK537" s="17">
        <v>292.10000000000002</v>
      </c>
      <c r="AL537" s="17">
        <v>260.5</v>
      </c>
      <c r="AM537" s="17">
        <v>256.8</v>
      </c>
      <c r="AN537" s="17">
        <v>98</v>
      </c>
      <c r="AO537" s="17">
        <v>0.81</v>
      </c>
      <c r="AP537" s="17">
        <v>6.9</v>
      </c>
      <c r="AQ537" s="17">
        <v>34</v>
      </c>
      <c r="AR537" s="17">
        <v>0.25700000000000001</v>
      </c>
      <c r="AS537" s="17">
        <v>39.299999999999997</v>
      </c>
      <c r="AT537" s="17">
        <v>24.6</v>
      </c>
      <c r="AU537" s="17">
        <v>24.6</v>
      </c>
      <c r="AV537" s="17">
        <v>0.44800000000000001</v>
      </c>
      <c r="AW537" s="17">
        <v>23.4</v>
      </c>
      <c r="AX537" s="17">
        <v>0.437</v>
      </c>
      <c r="AY537" s="41">
        <f t="shared" si="166"/>
        <v>2504.83</v>
      </c>
      <c r="BA537" s="20">
        <f t="shared" si="167"/>
        <v>2826.5399999999991</v>
      </c>
      <c r="BC537" s="20">
        <f t="shared" si="168"/>
        <v>1934.25</v>
      </c>
      <c r="BE537" s="20">
        <f t="shared" si="169"/>
        <v>1861.4099999999999</v>
      </c>
      <c r="BG537" s="17">
        <v>14.5</v>
      </c>
      <c r="BH537" s="17">
        <v>30</v>
      </c>
      <c r="BI537" s="20">
        <f t="shared" si="165"/>
        <v>15.5</v>
      </c>
      <c r="BJ537" s="20"/>
      <c r="BK537" s="17">
        <v>9.5</v>
      </c>
      <c r="BL537" s="20"/>
      <c r="BM537" s="17">
        <v>12.5</v>
      </c>
      <c r="BN537" s="20"/>
      <c r="BO537" s="17">
        <v>47</v>
      </c>
      <c r="BP537" s="17">
        <v>47</v>
      </c>
      <c r="BQ537" s="17">
        <v>87</v>
      </c>
      <c r="BR537" s="17">
        <v>81</v>
      </c>
      <c r="BS537" s="17">
        <v>77</v>
      </c>
      <c r="BT537" s="17">
        <v>84</v>
      </c>
      <c r="BU537" s="17">
        <v>78</v>
      </c>
      <c r="BV537" s="17">
        <v>77</v>
      </c>
      <c r="BW537" s="91">
        <f t="shared" si="170"/>
        <v>101.19785212722014</v>
      </c>
      <c r="BX537" s="91" t="str">
        <f>_xlfn.XLOOKUP(BW537,'Normative data'!$V$3:$V$6,'Normative data'!$W$3:$W$6,"Not Found",-1)</f>
        <v>Low risk</v>
      </c>
      <c r="BY537" s="91">
        <f t="shared" si="171"/>
        <v>98.719537381247406</v>
      </c>
      <c r="BZ537" s="91" t="str">
        <f>_xlfn.XLOOKUP(BY537,'Normative data'!$V$3:$V$6,'Normative data'!$W$3:$W$6,"Not Found",-1)</f>
        <v>Low risk</v>
      </c>
      <c r="CA537" s="17">
        <v>40</v>
      </c>
      <c r="CC537" s="20"/>
      <c r="CE537" s="17">
        <v>33</v>
      </c>
      <c r="CG537" s="17">
        <v>16.75</v>
      </c>
      <c r="CH537" s="20" t="str">
        <f>_xlfn.XLOOKUP(CG537, 'Normative data'!$S$9:$S$15,'Normative data'!$T$9:$T$15, "Not Found", -1)</f>
        <v>Excellent</v>
      </c>
      <c r="CI537" s="17">
        <v>16.760000000000002</v>
      </c>
      <c r="CJ537" s="20" t="str">
        <f>_xlfn.XLOOKUP(CI537, 'Normative data'!$S$9:$S$15, 'Normative data'!$T$9:$T$15, "Not Found", -1)</f>
        <v>Excellent</v>
      </c>
      <c r="CK537" s="21"/>
      <c r="CL537" s="21"/>
      <c r="CM537" s="21"/>
      <c r="CN537" s="21"/>
      <c r="CO537" s="21"/>
      <c r="CQ537" s="17">
        <v>8.1</v>
      </c>
      <c r="CR537" s="20" t="str" cm="1">
        <f t="array" ref="CR537">IF(OR(ISBLANK(E537),ISBLANK(CQ537)),"Incomplete",_xlfn.XLOOKUP(CQ537,_xlfn.XLOOKUP(E537,'Normative data'!$Y$3:$Y$6,'Normative data'!$Z$3:$AG$6,,-1),'Normative data'!$Z$2:$AG$2,"Not Found",-1))</f>
        <v>Average</v>
      </c>
      <c r="CS537" s="20">
        <v>8</v>
      </c>
      <c r="CT537" s="20">
        <v>1</v>
      </c>
      <c r="CU537" s="20" cm="1">
        <f t="array" ref="CU537">_xlfn.XLOOKUP(CS537&amp;CT537,(VLOOKUP!$A$3:$A$250)&amp;(VLOOKUP!$B$3:$B$250),VLOOKUP!$C$3:$C$250,"Incomplete",-1)</f>
        <v>1240</v>
      </c>
      <c r="CV537" s="20" t="str" cm="1">
        <f t="array" ref="CV537">_xlfn.XLOOKUP(CU537, _xlfn.XLOOKUP(E537, 'Normative data'!$Y$11:$Y$14, 'Normative data'!$Z$11:$AG$14, ,-1), 'Normative data'!$Z$10:$AG$10, "Not Found", -1)</f>
        <v>Average</v>
      </c>
      <c r="CW537" s="20" cm="1">
        <f t="array" ref="CW537">IF(OR(ISBLANK(CS537),ISBLANK(CT537)),"Incomplete",_xlfn.XLOOKUP(CS537&amp;CT537,VLOOKUP!$A$4:$A$250&amp;VLOOKUP!$B$4:$B$250,VLOOKUP!$D$4:$D$250,"0"))</f>
        <v>40</v>
      </c>
    </row>
    <row r="538" spans="1:101">
      <c r="A538" s="17" t="s">
        <v>358</v>
      </c>
      <c r="B538" s="17" t="s">
        <v>357</v>
      </c>
      <c r="C538" s="17" t="s">
        <v>86</v>
      </c>
      <c r="D538" s="26"/>
      <c r="F538" s="20" t="s">
        <v>178</v>
      </c>
      <c r="G538" s="17">
        <v>2026</v>
      </c>
      <c r="I538" s="20">
        <v>2</v>
      </c>
      <c r="J538" s="20"/>
      <c r="K538" s="20"/>
      <c r="L538" s="20"/>
      <c r="S538" s="20">
        <v>87.3</v>
      </c>
      <c r="T538" s="20">
        <v>163.9</v>
      </c>
      <c r="AQ538" s="20"/>
      <c r="AR538" s="20"/>
      <c r="AS538" s="20"/>
      <c r="AT538" s="20"/>
      <c r="AU538" s="20"/>
      <c r="AV538" s="20"/>
      <c r="AW538" s="20"/>
      <c r="AX538" s="20"/>
      <c r="AY538" s="41" t="str">
        <f t="shared" si="166"/>
        <v>Incomplete</v>
      </c>
      <c r="BA538" s="20" t="str">
        <f t="shared" si="167"/>
        <v>Incomplete</v>
      </c>
      <c r="BC538" s="20" t="str">
        <f t="shared" si="168"/>
        <v>Incomplete</v>
      </c>
      <c r="BE538" s="20" t="str">
        <f t="shared" si="169"/>
        <v>Incomplete</v>
      </c>
      <c r="BH538" s="20"/>
      <c r="BI538" s="20" t="str">
        <f t="shared" si="165"/>
        <v>Incomplete</v>
      </c>
      <c r="BJ538" s="20"/>
      <c r="BL538" s="20"/>
      <c r="BM538" s="20"/>
      <c r="BN538" s="20"/>
      <c r="BQ538" s="17">
        <v>77</v>
      </c>
      <c r="BR538" s="17">
        <v>65</v>
      </c>
      <c r="BS538" s="17">
        <v>70</v>
      </c>
      <c r="BT538" s="17">
        <v>79</v>
      </c>
      <c r="BU538" s="17">
        <v>67</v>
      </c>
      <c r="BV538" s="17">
        <v>66</v>
      </c>
      <c r="BW538" s="91">
        <f t="shared" si="170"/>
        <v>92.254134029590944</v>
      </c>
      <c r="BX538" s="91" t="str">
        <f>_xlfn.XLOOKUP(BW538,'Normative data'!$V$3:$V$6,'Normative data'!$W$3:$W$6,"Not Found",-1)</f>
        <v>High risk</v>
      </c>
      <c r="BY538" s="91">
        <f t="shared" si="171"/>
        <v>92.254134029590944</v>
      </c>
      <c r="BZ538" s="91" t="str">
        <f>_xlfn.XLOOKUP(BY538,'Normative data'!$V$3:$V$6,'Normative data'!$W$3:$W$6,"Not Found",-1)</f>
        <v>High risk</v>
      </c>
      <c r="CA538" s="17">
        <v>14</v>
      </c>
      <c r="CC538" s="20"/>
      <c r="CE538" s="17">
        <v>23</v>
      </c>
      <c r="CG538" s="17">
        <v>19</v>
      </c>
      <c r="CH538" s="20" t="str">
        <f>_xlfn.XLOOKUP(CG538, 'Normative data'!$S$9:$S$15,'Normative data'!$T$9:$T$15, "Not Found", -1)</f>
        <v>Average</v>
      </c>
      <c r="CI538" s="17">
        <v>19.100000000000001</v>
      </c>
      <c r="CJ538" s="20" t="str">
        <f>_xlfn.XLOOKUP(CI538, 'Normative data'!$S$9:$S$15, 'Normative data'!$T$9:$T$15, "Not Found", -1)</f>
        <v>Average</v>
      </c>
      <c r="CK538" s="17">
        <v>2.41</v>
      </c>
      <c r="CL538" s="17">
        <v>4.1500000000000004</v>
      </c>
      <c r="CN538" s="17">
        <v>7.16</v>
      </c>
      <c r="CO538" s="17">
        <v>6.98</v>
      </c>
      <c r="CR538" s="20" t="str" cm="1">
        <f t="array" ref="CR538">IF(OR(ISBLANK(E538),ISBLANK(CQ538)),"Incomplete",_xlfn.XLOOKUP(CQ538,_xlfn.XLOOKUP(E538,'Normative data'!$Y$3:$Y$6,'Normative data'!$Z$3:$AG$6,,-1),'Normative data'!$Z$2:$AG$2,"Not Found",-1))</f>
        <v>Incomplete</v>
      </c>
      <c r="CS538" s="20"/>
      <c r="CT538" s="20"/>
      <c r="CU538" s="20" t="str" cm="1">
        <f t="array" ref="CU538">_xlfn.XLOOKUP(CS538&amp;CT538,(VLOOKUP!$A$3:$A$250)&amp;(VLOOKUP!$B$3:$B$250),VLOOKUP!$C$3:$C$250,"Incomplete",-1)</f>
        <v>Incomplete</v>
      </c>
      <c r="CV538" s="20" t="str" cm="1">
        <f t="array" ref="CV538">_xlfn.XLOOKUP(CU538, _xlfn.XLOOKUP(E538, 'Normative data'!$Y$11:$Y$14, 'Normative data'!$Z$11:$AG$14, ,-1), 'Normative data'!$Z$10:$AG$10, "Not Found", -1)</f>
        <v>Excellent</v>
      </c>
      <c r="CW538" s="20" t="str" cm="1">
        <f t="array" ref="CW538">IF(OR(ISBLANK(CS538),ISBLANK(CT538)),"Incomplete",_xlfn.XLOOKUP(CS538&amp;CT538,VLOOKUP!$A$4:$A$250&amp;VLOOKUP!$B$4:$B$250,VLOOKUP!$D$4:$D$250,"0"))</f>
        <v>Incomplete</v>
      </c>
    </row>
    <row r="539" spans="1:101">
      <c r="A539" s="17" t="s">
        <v>1129</v>
      </c>
      <c r="B539" s="17" t="s">
        <v>357</v>
      </c>
      <c r="C539" s="17" t="s">
        <v>86</v>
      </c>
      <c r="D539" s="26"/>
      <c r="F539" s="20" t="s">
        <v>104</v>
      </c>
      <c r="G539" s="17">
        <v>2026</v>
      </c>
      <c r="I539" s="20">
        <v>2</v>
      </c>
      <c r="J539" s="20" t="s">
        <v>88</v>
      </c>
      <c r="K539" s="20" t="s">
        <v>93</v>
      </c>
      <c r="L539" s="20"/>
      <c r="S539" s="20">
        <v>86.6</v>
      </c>
      <c r="T539" s="20">
        <v>173.4</v>
      </c>
      <c r="AY539" s="41" t="str">
        <f t="shared" si="166"/>
        <v>Incomplete</v>
      </c>
      <c r="BA539" s="20" t="str">
        <f t="shared" si="167"/>
        <v>Incomplete</v>
      </c>
      <c r="BC539" s="20" t="str">
        <f t="shared" si="168"/>
        <v>Incomplete</v>
      </c>
      <c r="BE539" s="20" t="str">
        <f t="shared" si="169"/>
        <v>Incomplete</v>
      </c>
      <c r="BG539" s="17">
        <v>12</v>
      </c>
      <c r="BH539" s="17">
        <v>44.5</v>
      </c>
      <c r="BI539" s="20">
        <f t="shared" si="165"/>
        <v>32.5</v>
      </c>
      <c r="BJ539" s="20"/>
      <c r="BK539" s="17">
        <v>9</v>
      </c>
      <c r="BL539" s="20"/>
      <c r="BM539" s="17">
        <v>11</v>
      </c>
      <c r="BN539" s="20"/>
      <c r="BO539" s="17">
        <v>47.5</v>
      </c>
      <c r="BP539" s="17">
        <v>46.5</v>
      </c>
      <c r="BQ539" s="17">
        <v>83</v>
      </c>
      <c r="BR539" s="17">
        <v>97</v>
      </c>
      <c r="BS539" s="17">
        <v>83</v>
      </c>
      <c r="BT539" s="17">
        <v>90</v>
      </c>
      <c r="BU539" s="17">
        <v>85</v>
      </c>
      <c r="BV539" s="17">
        <v>85</v>
      </c>
      <c r="BW539" s="91">
        <f t="shared" si="170"/>
        <v>100.99846390168969</v>
      </c>
      <c r="BX539" s="91" t="str">
        <f>_xlfn.XLOOKUP(BW539,'Normative data'!$V$3:$V$6,'Normative data'!$W$3:$W$6,"Not Found",-1)</f>
        <v>Low risk</v>
      </c>
      <c r="BY539" s="91">
        <f t="shared" si="171"/>
        <v>99.8463901689708</v>
      </c>
      <c r="BZ539" s="91" t="str">
        <f>_xlfn.XLOOKUP(BY539,'Normative data'!$V$3:$V$6,'Normative data'!$W$3:$W$6,"Not Found",-1)</f>
        <v>Low risk</v>
      </c>
      <c r="CA539" s="17">
        <v>28</v>
      </c>
      <c r="CC539" s="20"/>
      <c r="CE539" s="17">
        <v>31</v>
      </c>
      <c r="CG539" s="17">
        <v>17.71</v>
      </c>
      <c r="CH539" s="20" t="str">
        <f>_xlfn.XLOOKUP(CG539, 'Normative data'!$S$9:$S$15,'Normative data'!$T$9:$T$15, "Not Found", -1)</f>
        <v>Above Average</v>
      </c>
      <c r="CI539" s="17">
        <v>18.170000000000002</v>
      </c>
      <c r="CJ539" s="20" t="str">
        <f>_xlfn.XLOOKUP(CI539, 'Normative data'!$S$9:$S$15, 'Normative data'!$T$9:$T$15, "Not Found", -1)</f>
        <v>Average</v>
      </c>
      <c r="CK539" s="17">
        <v>2.17</v>
      </c>
      <c r="CL539" s="17">
        <v>4.6100000000000003</v>
      </c>
      <c r="CN539" s="17">
        <v>6.54</v>
      </c>
      <c r="CO539" s="17">
        <v>7.05</v>
      </c>
      <c r="CR539" s="20" t="str" cm="1">
        <f t="array" ref="CR539">IF(OR(ISBLANK(E539),ISBLANK(CQ539)),"Incomplete",_xlfn.XLOOKUP(CQ539,_xlfn.XLOOKUP(E539,'Normative data'!$Y$3:$Y$6,'Normative data'!$Z$3:$AG$6,,-1),'Normative data'!$Z$2:$AG$2,"Not Found",-1))</f>
        <v>Incomplete</v>
      </c>
      <c r="CS539" s="20"/>
      <c r="CT539" s="20"/>
      <c r="CU539" s="20" t="str" cm="1">
        <f t="array" ref="CU539">_xlfn.XLOOKUP(CS539&amp;CT539,(VLOOKUP!$A$3:$A$250)&amp;(VLOOKUP!$B$3:$B$250),VLOOKUP!$C$3:$C$250,"Incomplete",-1)</f>
        <v>Incomplete</v>
      </c>
      <c r="CV539" s="20" t="str" cm="1">
        <f t="array" ref="CV539">_xlfn.XLOOKUP(CU539, _xlfn.XLOOKUP(E539, 'Normative data'!$Y$11:$Y$14, 'Normative data'!$Z$11:$AG$14, ,-1), 'Normative data'!$Z$10:$AG$10, "Not Found", -1)</f>
        <v>Excellent</v>
      </c>
      <c r="CW539" s="20" t="str" cm="1">
        <f t="array" ref="CW539">IF(OR(ISBLANK(CS539),ISBLANK(CT539)),"Incomplete",_xlfn.XLOOKUP(CS539&amp;CT539,VLOOKUP!$A$4:$A$250&amp;VLOOKUP!$B$4:$B$250,VLOOKUP!$D$4:$D$250,"0"))</f>
        <v>Incomplete</v>
      </c>
    </row>
    <row r="540" spans="1:101">
      <c r="A540" s="17" t="s">
        <v>1130</v>
      </c>
      <c r="B540" s="17" t="s">
        <v>357</v>
      </c>
      <c r="C540" s="17" t="s">
        <v>86</v>
      </c>
      <c r="D540" s="26">
        <v>40416</v>
      </c>
      <c r="E540" s="17">
        <v>15.7</v>
      </c>
      <c r="F540" s="20" t="s">
        <v>186</v>
      </c>
      <c r="G540" s="17">
        <v>2026</v>
      </c>
      <c r="I540" s="20">
        <v>2</v>
      </c>
      <c r="J540" s="20" t="s">
        <v>100</v>
      </c>
      <c r="K540" s="20" t="s">
        <v>173</v>
      </c>
      <c r="L540" s="20"/>
      <c r="S540" s="20">
        <v>86.3</v>
      </c>
      <c r="T540" s="20">
        <v>168.1</v>
      </c>
      <c r="U540" s="17">
        <v>69.400000000000006</v>
      </c>
      <c r="V540" s="17">
        <v>36</v>
      </c>
      <c r="W540" s="17">
        <v>20.100000000000001</v>
      </c>
      <c r="X540" s="17">
        <v>49.3</v>
      </c>
      <c r="Y540" s="17">
        <v>27.4</v>
      </c>
      <c r="Z540" s="17">
        <v>24.6</v>
      </c>
      <c r="AA540" s="17">
        <v>29</v>
      </c>
      <c r="AB540" s="17">
        <v>7.05</v>
      </c>
      <c r="AC540" s="17">
        <v>96.3</v>
      </c>
      <c r="AD540" s="17">
        <v>7.07</v>
      </c>
      <c r="AE540" s="17">
        <v>96.5</v>
      </c>
      <c r="AF540" s="17">
        <v>2.7</v>
      </c>
      <c r="AG540" s="17">
        <v>102.9</v>
      </c>
      <c r="AH540" s="17">
        <v>2.7</v>
      </c>
      <c r="AI540" s="17">
        <v>102.8</v>
      </c>
      <c r="AJ540" s="17">
        <v>344.7</v>
      </c>
      <c r="AK540" s="17">
        <v>342.2</v>
      </c>
      <c r="AL540" s="17">
        <v>302.2</v>
      </c>
      <c r="AM540" s="17">
        <v>300.89999999999998</v>
      </c>
      <c r="AN540" s="17">
        <v>94</v>
      </c>
      <c r="AO540" s="17">
        <v>0.98</v>
      </c>
      <c r="AP540" s="17">
        <v>6.9</v>
      </c>
      <c r="AY540" s="41" t="str">
        <f t="shared" si="166"/>
        <v>Incomplete</v>
      </c>
      <c r="BA540" s="20" t="str">
        <f t="shared" si="167"/>
        <v>Incomplete</v>
      </c>
      <c r="BC540" s="20" t="str">
        <f t="shared" si="168"/>
        <v>Incomplete</v>
      </c>
      <c r="BE540" s="20" t="str">
        <f t="shared" si="169"/>
        <v>Incomplete</v>
      </c>
      <c r="BH540" s="20"/>
      <c r="BI540" s="20" t="str">
        <f t="shared" si="165"/>
        <v>Incomplete</v>
      </c>
      <c r="BJ540" s="20"/>
      <c r="BL540" s="20"/>
      <c r="BN540" s="20"/>
      <c r="BW540" s="91">
        <f t="shared" si="170"/>
        <v>0</v>
      </c>
      <c r="BX540" s="91" t="str">
        <f>_xlfn.XLOOKUP(BW540,'Normative data'!$V$3:$V$6,'Normative data'!$W$3:$W$6,"Not Found",-1)</f>
        <v>Not completed</v>
      </c>
      <c r="BY540" s="91">
        <f t="shared" si="171"/>
        <v>0</v>
      </c>
      <c r="BZ540" s="91" t="str">
        <f>_xlfn.XLOOKUP(BY540,'Normative data'!$V$3:$V$6,'Normative data'!$W$3:$W$6,"Not Found",-1)</f>
        <v>Not completed</v>
      </c>
      <c r="CA540" s="17">
        <v>23</v>
      </c>
      <c r="CC540" s="20"/>
      <c r="CE540" s="17">
        <v>6</v>
      </c>
      <c r="CH540" s="20" t="str">
        <f>_xlfn.XLOOKUP(CG540, 'Normative data'!$S$9:$S$15,'Normative data'!$T$9:$T$15, "Not Found", -1)</f>
        <v>not completed</v>
      </c>
      <c r="CJ540" s="20" t="str">
        <f>_xlfn.XLOOKUP(CI540, 'Normative data'!$S$9:$S$15, 'Normative data'!$T$9:$T$15, "Not Found", -1)</f>
        <v>not completed</v>
      </c>
      <c r="CK540" s="17">
        <v>2.06</v>
      </c>
      <c r="CL540" s="17">
        <v>4.8499999999999996</v>
      </c>
      <c r="CN540" s="17">
        <v>6.81</v>
      </c>
      <c r="CO540" s="17">
        <v>7.34</v>
      </c>
      <c r="CR540" s="20" t="str" cm="1">
        <f t="array" ref="CR540">IF(OR(ISBLANK(E540),ISBLANK(CQ540)),"Incomplete",_xlfn.XLOOKUP(CQ540,_xlfn.XLOOKUP(E540,'Normative data'!$Y$3:$Y$6,'Normative data'!$Z$3:$AG$6,,-1),'Normative data'!$Z$2:$AG$2,"Not Found",-1))</f>
        <v>Incomplete</v>
      </c>
      <c r="CS540" s="20"/>
      <c r="CT540" s="20"/>
      <c r="CU540" s="20" t="str" cm="1">
        <f t="array" ref="CU540">_xlfn.XLOOKUP(CS540&amp;CT540,(VLOOKUP!$A$3:$A$250)&amp;(VLOOKUP!$B$3:$B$250),VLOOKUP!$C$3:$C$250,"Incomplete",-1)</f>
        <v>Incomplete</v>
      </c>
      <c r="CV540" s="20" t="str" cm="1">
        <f t="array" ref="CV540">_xlfn.XLOOKUP(CU540, _xlfn.XLOOKUP(E540, 'Normative data'!$Y$11:$Y$14, 'Normative data'!$Z$11:$AG$14, ,-1), 'Normative data'!$Z$10:$AG$10, "Not Found", -1)</f>
        <v>Excellent</v>
      </c>
      <c r="CW540" s="20" t="str" cm="1">
        <f t="array" ref="CW540">IF(OR(ISBLANK(CS540),ISBLANK(CT540)),"Incomplete",_xlfn.XLOOKUP(CS540&amp;CT540,VLOOKUP!$A$4:$A$250&amp;VLOOKUP!$B$4:$B$250,VLOOKUP!$D$4:$D$250,"0"))</f>
        <v>Incomplete</v>
      </c>
    </row>
    <row r="541" spans="1:101">
      <c r="A541" s="17" t="s">
        <v>1131</v>
      </c>
      <c r="B541" s="17" t="s">
        <v>1132</v>
      </c>
      <c r="C541" s="17" t="s">
        <v>86</v>
      </c>
      <c r="D541" s="26">
        <v>40781</v>
      </c>
      <c r="E541" s="17">
        <v>14.7</v>
      </c>
      <c r="F541" s="20" t="s">
        <v>154</v>
      </c>
      <c r="G541" s="17">
        <v>2026</v>
      </c>
      <c r="I541" s="20">
        <v>2</v>
      </c>
      <c r="J541" s="20"/>
      <c r="K541" s="20"/>
      <c r="L541" s="20"/>
      <c r="S541" s="20">
        <v>84.7</v>
      </c>
      <c r="T541" s="20">
        <v>161.69999999999999</v>
      </c>
      <c r="U541" s="17">
        <v>49.7</v>
      </c>
      <c r="V541" s="17">
        <v>28.5</v>
      </c>
      <c r="W541" s="17">
        <v>10.9</v>
      </c>
      <c r="X541" s="17">
        <v>38.799999999999997</v>
      </c>
      <c r="Y541" s="17">
        <v>20.8</v>
      </c>
      <c r="Z541" s="17">
        <v>19</v>
      </c>
      <c r="AA541" s="17">
        <v>21.8</v>
      </c>
      <c r="AB541" s="17">
        <v>5.72</v>
      </c>
      <c r="AC541" s="17">
        <v>99.6</v>
      </c>
      <c r="AD541" s="17">
        <v>5.74</v>
      </c>
      <c r="AE541" s="17">
        <v>99.8</v>
      </c>
      <c r="AF541" s="17">
        <v>1.8</v>
      </c>
      <c r="AG541" s="17">
        <v>79.7</v>
      </c>
      <c r="AH541" s="17">
        <v>1.8</v>
      </c>
      <c r="AI541" s="17">
        <v>79.7</v>
      </c>
      <c r="AJ541" s="17">
        <v>310.10000000000002</v>
      </c>
      <c r="AK541" s="17">
        <v>308.39999999999998</v>
      </c>
      <c r="AL541" s="17">
        <v>282</v>
      </c>
      <c r="AM541" s="17">
        <v>280.7</v>
      </c>
      <c r="AN541" s="17">
        <v>100</v>
      </c>
      <c r="AO541" s="17">
        <v>0.82</v>
      </c>
      <c r="AP541" s="17">
        <v>5.7</v>
      </c>
      <c r="AQ541" s="17">
        <v>19.7</v>
      </c>
      <c r="AR541" s="17">
        <v>0.40100000000000002</v>
      </c>
      <c r="AS541" s="17">
        <v>21.9</v>
      </c>
      <c r="AT541" s="17">
        <v>0.42299999999999999</v>
      </c>
      <c r="AU541" s="17">
        <v>12.1</v>
      </c>
      <c r="AV541" s="17">
        <v>0.314</v>
      </c>
      <c r="AW541" s="17">
        <v>11.4</v>
      </c>
      <c r="AX541" s="17">
        <v>0.30499999999999999</v>
      </c>
      <c r="AY541" s="41">
        <f t="shared" si="166"/>
        <v>1392.1999999999998</v>
      </c>
      <c r="BA541" s="20">
        <f t="shared" si="167"/>
        <v>1525.7399999999998</v>
      </c>
      <c r="BC541" s="20">
        <f t="shared" si="168"/>
        <v>930.88000000000011</v>
      </c>
      <c r="BE541" s="20">
        <f t="shared" si="169"/>
        <v>888.38999999999987</v>
      </c>
      <c r="BG541" s="17">
        <v>14.5</v>
      </c>
      <c r="BH541" s="17">
        <v>55</v>
      </c>
      <c r="BI541" s="20">
        <f t="shared" si="165"/>
        <v>40.5</v>
      </c>
      <c r="BJ541" s="20"/>
      <c r="BL541" s="20"/>
      <c r="BM541" s="20"/>
      <c r="BN541" s="20"/>
      <c r="BO541" s="17">
        <v>43</v>
      </c>
      <c r="BP541" s="17">
        <v>42</v>
      </c>
      <c r="BQ541" s="17">
        <v>81</v>
      </c>
      <c r="BR541" s="17">
        <v>73</v>
      </c>
      <c r="BS541" s="17">
        <v>81</v>
      </c>
      <c r="BT541" s="17">
        <v>76</v>
      </c>
      <c r="BU541" s="17">
        <v>81</v>
      </c>
      <c r="BV541" s="17">
        <v>75</v>
      </c>
      <c r="BW541" s="91">
        <f t="shared" si="170"/>
        <v>101.73160173160176</v>
      </c>
      <c r="BX541" s="91" t="str">
        <f>_xlfn.XLOOKUP(BW541,'Normative data'!$V$3:$V$6,'Normative data'!$W$3:$W$6,"Not Found",-1)</f>
        <v>Low risk</v>
      </c>
      <c r="BY541" s="91">
        <f t="shared" si="171"/>
        <v>100.43290043290045</v>
      </c>
      <c r="BZ541" s="91" t="str">
        <f>_xlfn.XLOOKUP(BY541,'Normative data'!$V$3:$V$6,'Normative data'!$W$3:$W$6,"Not Found",-1)</f>
        <v>Low risk</v>
      </c>
      <c r="CA541" s="17">
        <v>27</v>
      </c>
      <c r="CC541" s="20"/>
      <c r="CE541" s="17">
        <v>19</v>
      </c>
      <c r="CG541" s="17">
        <v>18.61</v>
      </c>
      <c r="CH541" s="20" t="str">
        <f>_xlfn.XLOOKUP(CG541, 'Normative data'!$S$9:$S$15,'Normative data'!$T$9:$T$15, "Not Found", -1)</f>
        <v>Average</v>
      </c>
      <c r="CI541" s="17">
        <v>18.579999999999998</v>
      </c>
      <c r="CJ541" s="20" t="str">
        <f>_xlfn.XLOOKUP(CI541, 'Normative data'!$S$9:$S$15, 'Normative data'!$T$9:$T$15, "Not Found", -1)</f>
        <v>Average</v>
      </c>
      <c r="CK541" s="17">
        <v>2.46</v>
      </c>
      <c r="CL541" s="17">
        <v>4.07</v>
      </c>
      <c r="CN541" s="17">
        <v>7.66</v>
      </c>
      <c r="CO541" s="17">
        <v>6.53</v>
      </c>
      <c r="CQ541" s="17">
        <v>5.7</v>
      </c>
      <c r="CR541" s="20" t="str" cm="1">
        <f t="array" ref="CR541">IF(OR(ISBLANK(E541),ISBLANK(CQ541)),"Incomplete",_xlfn.XLOOKUP(CQ541,_xlfn.XLOOKUP(E541,'Normative data'!$Y$3:$Y$6,'Normative data'!$Z$3:$AG$6,,-1),'Normative data'!$Z$2:$AG$2,"Not Found",-1))</f>
        <v>Fair</v>
      </c>
      <c r="CS541" s="20">
        <v>5</v>
      </c>
      <c r="CT541" s="20">
        <v>7</v>
      </c>
      <c r="CU541" s="20" cm="1">
        <f t="array" ref="CU541">_xlfn.XLOOKUP(CS541&amp;CT541,(VLOOKUP!$A$3:$A$250)&amp;(VLOOKUP!$B$3:$B$250),VLOOKUP!$C$3:$C$250,"Incomplete",-1)</f>
        <v>780</v>
      </c>
      <c r="CV541" s="20" t="str" cm="1">
        <f t="array" ref="CV541">_xlfn.XLOOKUP(CU541, _xlfn.XLOOKUP(E541, 'Normative data'!$Y$11:$Y$14, 'Normative data'!$Z$11:$AG$14, ,-1), 'Normative data'!$Z$10:$AG$10, "Not Found", -1)</f>
        <v xml:space="preserve">Fair </v>
      </c>
      <c r="CW541" s="20" cm="1">
        <f t="array" ref="CW541">IF(OR(ISBLANK(CS541),ISBLANK(CT541)),"Incomplete",_xlfn.XLOOKUP(CS541&amp;CT541,VLOOKUP!$A$4:$A$250&amp;VLOOKUP!$B$4:$B$250,VLOOKUP!$D$4:$D$250,"0"))</f>
        <v>32</v>
      </c>
    </row>
    <row r="542" spans="1:101">
      <c r="A542" s="17" t="s">
        <v>559</v>
      </c>
      <c r="B542" s="17" t="s">
        <v>1132</v>
      </c>
      <c r="C542" s="17" t="s">
        <v>86</v>
      </c>
      <c r="D542" s="26">
        <v>41193</v>
      </c>
      <c r="F542" s="20" t="s">
        <v>107</v>
      </c>
      <c r="G542" s="17">
        <v>2026</v>
      </c>
      <c r="I542" s="20">
        <v>2</v>
      </c>
      <c r="J542" s="20" t="s">
        <v>100</v>
      </c>
      <c r="K542" s="20" t="s">
        <v>170</v>
      </c>
      <c r="L542" s="20"/>
      <c r="S542" s="20">
        <v>78.2</v>
      </c>
      <c r="T542" s="20">
        <v>157.30000000000001</v>
      </c>
      <c r="U542" s="17">
        <v>47.6</v>
      </c>
      <c r="V542" s="17">
        <v>28.8</v>
      </c>
      <c r="W542" s="17">
        <v>8.1999999999999993</v>
      </c>
      <c r="X542" s="17">
        <v>39.4</v>
      </c>
      <c r="Y542" s="17">
        <v>21.5</v>
      </c>
      <c r="Z542" s="17">
        <v>19.2</v>
      </c>
      <c r="AA542" s="17">
        <v>17.2</v>
      </c>
      <c r="AB542" s="17">
        <v>5.53</v>
      </c>
      <c r="AC542" s="17">
        <v>99.4</v>
      </c>
      <c r="AD542" s="17">
        <v>5.62</v>
      </c>
      <c r="AE542" s="17">
        <v>100.9</v>
      </c>
      <c r="AF542" s="17">
        <v>1.4</v>
      </c>
      <c r="AG542" s="17">
        <v>71.099999999999994</v>
      </c>
      <c r="AH542" s="17">
        <v>1.4</v>
      </c>
      <c r="AI542" s="17">
        <v>71.400000000000006</v>
      </c>
      <c r="AJ542" s="17">
        <v>316.7</v>
      </c>
      <c r="AK542" s="17">
        <v>305.5</v>
      </c>
      <c r="AL542" s="17">
        <v>279</v>
      </c>
      <c r="AM542" s="17">
        <v>270.2</v>
      </c>
      <c r="AN542" s="17">
        <v>102</v>
      </c>
      <c r="AO542" s="17">
        <v>0.81</v>
      </c>
      <c r="AP542" s="17">
        <v>6</v>
      </c>
      <c r="AQ542" s="17">
        <v>21.7</v>
      </c>
      <c r="AR542" s="17">
        <v>0.42099999999999999</v>
      </c>
      <c r="AS542" s="17">
        <v>25.5</v>
      </c>
      <c r="AT542" s="17">
        <v>0.45600000000000002</v>
      </c>
      <c r="AU542" s="17">
        <v>10.3</v>
      </c>
      <c r="AV542" s="17">
        <v>0.28999999999999998</v>
      </c>
      <c r="AW542" s="17">
        <v>11.2</v>
      </c>
      <c r="AX542" s="17">
        <v>0.30199999999999999</v>
      </c>
      <c r="AY542" s="41">
        <f t="shared" si="166"/>
        <v>1418.4699999999998</v>
      </c>
      <c r="BA542" s="20">
        <f t="shared" si="167"/>
        <v>1649.13</v>
      </c>
      <c r="BC542" s="20">
        <f t="shared" si="168"/>
        <v>726.48999999999978</v>
      </c>
      <c r="BE542" s="20">
        <f t="shared" si="169"/>
        <v>781.11999999999989</v>
      </c>
      <c r="BH542" s="17">
        <v>25.5</v>
      </c>
      <c r="BI542" s="20" t="str">
        <f t="shared" si="165"/>
        <v>Incomplete</v>
      </c>
      <c r="BJ542" s="20"/>
      <c r="BK542" s="17">
        <v>10.5</v>
      </c>
      <c r="BL542" s="20"/>
      <c r="BM542" s="17">
        <v>12</v>
      </c>
      <c r="BN542" s="20"/>
      <c r="BO542" s="17">
        <v>43</v>
      </c>
      <c r="BP542" s="17">
        <v>44</v>
      </c>
      <c r="BQ542" s="17">
        <v>83</v>
      </c>
      <c r="BR542" s="17">
        <v>84</v>
      </c>
      <c r="BS542" s="17">
        <v>73</v>
      </c>
      <c r="BT542" s="17">
        <v>76</v>
      </c>
      <c r="BU542" s="17">
        <v>67</v>
      </c>
      <c r="BV542" s="17">
        <v>75</v>
      </c>
      <c r="BW542" s="91">
        <f t="shared" si="170"/>
        <v>101.13780025284449</v>
      </c>
      <c r="BX542" s="91" t="str">
        <f>_xlfn.XLOOKUP(BW542,'Normative data'!$V$3:$V$6,'Normative data'!$W$3:$W$6,"Not Found",-1)</f>
        <v>Low risk</v>
      </c>
      <c r="BY542" s="91">
        <f t="shared" si="171"/>
        <v>91.866835229667089</v>
      </c>
      <c r="BZ542" s="91" t="str">
        <f>_xlfn.XLOOKUP(BY542,'Normative data'!$V$3:$V$6,'Normative data'!$W$3:$W$6,"Not Found",-1)</f>
        <v>High risk</v>
      </c>
      <c r="CA542" s="17">
        <v>25</v>
      </c>
      <c r="CC542" s="20"/>
      <c r="CE542" s="17">
        <v>6</v>
      </c>
      <c r="CG542" s="17">
        <v>20.91</v>
      </c>
      <c r="CH542" s="20" t="str">
        <f>_xlfn.XLOOKUP(CG542, 'Normative data'!$S$9:$S$15,'Normative data'!$T$9:$T$15, "Not Found", -1)</f>
        <v>Average</v>
      </c>
      <c r="CI542" s="17">
        <v>19.48</v>
      </c>
      <c r="CJ542" s="20" t="str">
        <f>_xlfn.XLOOKUP(CI542, 'Normative data'!$S$9:$S$15, 'Normative data'!$T$9:$T$15, "Not Found", -1)</f>
        <v>Average</v>
      </c>
      <c r="CK542" s="17">
        <v>2.0099999999999998</v>
      </c>
      <c r="CL542" s="17">
        <v>4.9800000000000004</v>
      </c>
      <c r="CN542" s="17">
        <v>6.84</v>
      </c>
      <c r="CO542" s="17">
        <v>7.31</v>
      </c>
      <c r="CQ542" s="17">
        <v>9.6999999999999993</v>
      </c>
      <c r="CR542" s="20" t="str" cm="1">
        <f t="array" ref="CR542">IF(OR(ISBLANK(E542),ISBLANK(CQ542)),"Incomplete",_xlfn.XLOOKUP(CQ542,_xlfn.XLOOKUP(E542,'Normative data'!$Y$3:$Y$6,'Normative data'!$Z$3:$AG$6,,-1),'Normative data'!$Z$2:$AG$2,"Not Found",-1))</f>
        <v>Incomplete</v>
      </c>
      <c r="CS542" s="20">
        <v>9</v>
      </c>
      <c r="CT542" s="20">
        <v>7</v>
      </c>
      <c r="CU542" s="20" cm="1">
        <f t="array" ref="CU542">_xlfn.XLOOKUP(CS542&amp;CT542,(VLOOKUP!$A$3:$A$250)&amp;(VLOOKUP!$B$3:$B$250),VLOOKUP!$C$3:$C$250,"Incomplete",-1)</f>
        <v>1580</v>
      </c>
      <c r="CV542" s="20" t="str" cm="1">
        <f t="array" ref="CV542">_xlfn.XLOOKUP(CU542, _xlfn.XLOOKUP(E542, 'Normative data'!$Y$11:$Y$14, 'Normative data'!$Z$11:$AG$14, ,-1), 'Normative data'!$Z$10:$AG$10, "Not Found", -1)</f>
        <v>Average</v>
      </c>
      <c r="CW542" s="20" cm="1">
        <f t="array" ref="CW542">IF(OR(ISBLANK(CS542),ISBLANK(CT542)),"Incomplete",_xlfn.XLOOKUP(CS542&amp;CT542,VLOOKUP!$A$4:$A$250&amp;VLOOKUP!$B$4:$B$250,VLOOKUP!$D$4:$D$250,"0"))</f>
        <v>46</v>
      </c>
    </row>
    <row r="543" spans="1:101">
      <c r="A543" s="17" t="s">
        <v>1133</v>
      </c>
      <c r="B543" s="17" t="s">
        <v>1134</v>
      </c>
      <c r="C543" s="17" t="s">
        <v>86</v>
      </c>
      <c r="D543" s="26">
        <v>41047</v>
      </c>
      <c r="E543" s="17">
        <v>13.9</v>
      </c>
      <c r="F543" s="20" t="s">
        <v>235</v>
      </c>
      <c r="G543" s="17">
        <v>2026</v>
      </c>
      <c r="I543" s="20">
        <v>2</v>
      </c>
      <c r="J543" s="20" t="s">
        <v>88</v>
      </c>
      <c r="K543" s="20" t="s">
        <v>108</v>
      </c>
      <c r="L543" s="20"/>
      <c r="S543" s="20">
        <v>82.6</v>
      </c>
      <c r="T543" s="20">
        <v>164.1</v>
      </c>
      <c r="U543" s="17">
        <v>49.7</v>
      </c>
      <c r="V543" s="17">
        <v>30.4</v>
      </c>
      <c r="W543" s="17">
        <v>8</v>
      </c>
      <c r="X543" s="17">
        <v>41.7</v>
      </c>
      <c r="Y543" s="17">
        <v>22.6</v>
      </c>
      <c r="Z543" s="17">
        <v>18.5</v>
      </c>
      <c r="AA543" s="17">
        <v>16.2</v>
      </c>
      <c r="AB543" s="17">
        <v>6.06</v>
      </c>
      <c r="AC543" s="17">
        <v>105.4</v>
      </c>
      <c r="AD543" s="17">
        <v>6.06</v>
      </c>
      <c r="AE543" s="17">
        <v>105.5</v>
      </c>
      <c r="AF543" s="17">
        <v>1.4</v>
      </c>
      <c r="AG543" s="17">
        <v>55.4</v>
      </c>
      <c r="AH543" s="17">
        <v>1.4</v>
      </c>
      <c r="AI543" s="17">
        <v>55.5</v>
      </c>
      <c r="AJ543" s="17">
        <v>345.4</v>
      </c>
      <c r="AK543" s="17">
        <v>344.6</v>
      </c>
      <c r="AL543" s="17">
        <v>308.8</v>
      </c>
      <c r="AM543" s="17">
        <v>308.3</v>
      </c>
      <c r="AN543" s="17">
        <v>93</v>
      </c>
      <c r="AO543" s="17">
        <v>0.82</v>
      </c>
      <c r="AP543" s="17">
        <v>5.9</v>
      </c>
      <c r="AQ543" s="20"/>
      <c r="AR543" s="20"/>
      <c r="AS543" s="20"/>
      <c r="AT543" s="20"/>
      <c r="AU543" s="20"/>
      <c r="AV543" s="20"/>
      <c r="AW543" s="20"/>
      <c r="AX543" s="20"/>
      <c r="AY543" s="41" t="str">
        <f t="shared" si="166"/>
        <v>Incomplete</v>
      </c>
      <c r="BA543" s="20" t="str">
        <f t="shared" si="167"/>
        <v>Incomplete</v>
      </c>
      <c r="BC543" s="20" t="str">
        <f t="shared" si="168"/>
        <v>Incomplete</v>
      </c>
      <c r="BE543" s="20" t="str">
        <f t="shared" si="169"/>
        <v>Incomplete</v>
      </c>
      <c r="BH543" s="17">
        <v>49.6</v>
      </c>
      <c r="BI543" s="20" t="str">
        <f t="shared" si="165"/>
        <v>Incomplete</v>
      </c>
      <c r="BJ543" s="20"/>
      <c r="BK543" s="17">
        <v>8</v>
      </c>
      <c r="BL543" s="20"/>
      <c r="BM543" s="17">
        <v>7</v>
      </c>
      <c r="BN543" s="20"/>
      <c r="BW543" s="91">
        <f t="shared" si="170"/>
        <v>0</v>
      </c>
      <c r="BX543" s="91" t="str">
        <f>_xlfn.XLOOKUP(BW543,'Normative data'!$V$3:$V$6,'Normative data'!$W$3:$W$6,"Not Found",-1)</f>
        <v>Not completed</v>
      </c>
      <c r="BY543" s="91">
        <f t="shared" si="171"/>
        <v>0</v>
      </c>
      <c r="BZ543" s="91" t="str">
        <f>_xlfn.XLOOKUP(BY543,'Normative data'!$V$3:$V$6,'Normative data'!$W$3:$W$6,"Not Found",-1)</f>
        <v>Not completed</v>
      </c>
      <c r="CA543" s="20"/>
      <c r="CC543" s="20"/>
      <c r="CE543" s="17">
        <v>13</v>
      </c>
      <c r="CH543" s="20" t="str">
        <f>_xlfn.XLOOKUP(CG543, 'Normative data'!$S$9:$S$15,'Normative data'!$T$9:$T$15, "Not Found", -1)</f>
        <v>not completed</v>
      </c>
      <c r="CI543" s="17">
        <v>18.739999999999998</v>
      </c>
      <c r="CJ543" s="20" t="str">
        <f>_xlfn.XLOOKUP(CI543, 'Normative data'!$S$9:$S$15, 'Normative data'!$T$9:$T$15, "Not Found", -1)</f>
        <v>Average</v>
      </c>
      <c r="CK543" s="17">
        <v>2.15</v>
      </c>
      <c r="CL543" s="17">
        <v>4.6500000000000004</v>
      </c>
      <c r="CN543" s="17">
        <v>6.84</v>
      </c>
      <c r="CO543" s="17">
        <v>7.31</v>
      </c>
      <c r="CQ543" s="17">
        <v>5.6</v>
      </c>
      <c r="CR543" s="20" t="str" cm="1">
        <f t="array" ref="CR543">IF(OR(ISBLANK(E543),ISBLANK(CQ543)),"Incomplete",_xlfn.XLOOKUP(CQ543,_xlfn.XLOOKUP(E543,'Normative data'!$Y$3:$Y$6,'Normative data'!$Z$3:$AG$6,,-1),'Normative data'!$Z$2:$AG$2,"Not Found",-1))</f>
        <v>Average</v>
      </c>
      <c r="CS543" s="20">
        <v>5</v>
      </c>
      <c r="CT543" s="20">
        <v>6</v>
      </c>
      <c r="CU543" s="20" cm="1">
        <f t="array" ref="CU543">_xlfn.XLOOKUP(CS543&amp;CT543,(VLOOKUP!$A$3:$A$250)&amp;(VLOOKUP!$B$3:$B$250),VLOOKUP!$C$3:$C$250,"Incomplete",-1)</f>
        <v>760</v>
      </c>
      <c r="CV543" s="20" t="str" cm="1">
        <f t="array" ref="CV543">_xlfn.XLOOKUP(CU543, _xlfn.XLOOKUP(E543, 'Normative data'!$Y$11:$Y$14, 'Normative data'!$Z$11:$AG$14, ,-1), 'Normative data'!$Z$10:$AG$10, "Not Found", -1)</f>
        <v>Average</v>
      </c>
      <c r="CW543" s="20" cm="1">
        <f t="array" ref="CW543">IF(OR(ISBLANK(CS543),ISBLANK(CT543)),"Incomplete",_xlfn.XLOOKUP(CS543&amp;CT543,VLOOKUP!$A$4:$A$250&amp;VLOOKUP!$B$4:$B$250,VLOOKUP!$D$4:$D$250,"0"))</f>
        <v>32</v>
      </c>
    </row>
    <row r="544" spans="1:101">
      <c r="A544" s="17" t="s">
        <v>888</v>
      </c>
      <c r="B544" s="17" t="s">
        <v>1134</v>
      </c>
      <c r="C544" s="17" t="s">
        <v>86</v>
      </c>
      <c r="D544" s="26">
        <v>41216</v>
      </c>
      <c r="E544" s="17">
        <v>14.1</v>
      </c>
      <c r="F544" s="20" t="s">
        <v>107</v>
      </c>
      <c r="G544" s="17">
        <v>2026</v>
      </c>
      <c r="I544" s="20">
        <v>2</v>
      </c>
      <c r="J544" s="20" t="s">
        <v>100</v>
      </c>
      <c r="K544" s="20" t="s">
        <v>170</v>
      </c>
      <c r="L544" s="20"/>
      <c r="S544" s="20">
        <v>76.5</v>
      </c>
      <c r="T544" s="20">
        <v>159.1</v>
      </c>
      <c r="U544" s="17">
        <v>45.9</v>
      </c>
      <c r="V544" s="17">
        <v>28.3</v>
      </c>
      <c r="W544" s="17">
        <v>7.3</v>
      </c>
      <c r="X544" s="17">
        <v>38.6</v>
      </c>
      <c r="Y544" s="17">
        <v>20.8</v>
      </c>
      <c r="Z544" s="17">
        <v>18.100000000000001</v>
      </c>
      <c r="AA544" s="17">
        <v>16</v>
      </c>
      <c r="AB544" s="17">
        <v>5.53</v>
      </c>
      <c r="AC544" s="17">
        <v>104.2</v>
      </c>
      <c r="AD544" s="17">
        <v>5.5</v>
      </c>
      <c r="AE544" s="17">
        <v>103.7</v>
      </c>
      <c r="AF544" s="17">
        <v>1.3</v>
      </c>
      <c r="AG544" s="17">
        <v>61</v>
      </c>
      <c r="AH544" s="17">
        <v>1.3</v>
      </c>
      <c r="AI544" s="17">
        <v>60.7</v>
      </c>
      <c r="AJ544" s="17">
        <v>320.8</v>
      </c>
      <c r="AK544" s="17">
        <v>323.10000000000002</v>
      </c>
      <c r="AL544" s="17">
        <v>288.5</v>
      </c>
      <c r="AM544" s="17">
        <v>291.89999999999998</v>
      </c>
      <c r="AN544" s="17">
        <v>93</v>
      </c>
      <c r="AO544" s="17">
        <v>0.8</v>
      </c>
      <c r="AP544" s="17">
        <v>5.7</v>
      </c>
      <c r="AQ544" s="17">
        <v>27.3</v>
      </c>
      <c r="AR544" s="17">
        <v>0.47199999999999998</v>
      </c>
      <c r="AS544" s="17">
        <v>34.6</v>
      </c>
      <c r="AT544" s="17">
        <v>0.53100000000000003</v>
      </c>
      <c r="AU544" s="17">
        <v>17.3</v>
      </c>
      <c r="AV544" s="17">
        <v>0.376</v>
      </c>
      <c r="AW544" s="17">
        <v>19.399999999999999</v>
      </c>
      <c r="AX544" s="17">
        <v>0.39800000000000002</v>
      </c>
      <c r="AY544" s="41">
        <f t="shared" si="166"/>
        <v>1681.38</v>
      </c>
      <c r="BA544" s="20">
        <f t="shared" si="167"/>
        <v>2124.4899999999998</v>
      </c>
      <c r="BC544" s="20">
        <f t="shared" si="168"/>
        <v>1074.3800000000001</v>
      </c>
      <c r="BE544" s="20">
        <f t="shared" si="169"/>
        <v>1201.8499999999999</v>
      </c>
      <c r="BH544" s="17">
        <v>52.8</v>
      </c>
      <c r="BI544" s="20" t="str">
        <f t="shared" si="165"/>
        <v>Incomplete</v>
      </c>
      <c r="BJ544" s="20"/>
      <c r="BK544" s="17">
        <v>16.899999999999999</v>
      </c>
      <c r="BL544" s="20"/>
      <c r="BM544" s="17">
        <v>17</v>
      </c>
      <c r="BN544" s="20"/>
      <c r="BO544" s="17">
        <v>40.200000000000003</v>
      </c>
      <c r="BP544" s="17">
        <v>40.5</v>
      </c>
      <c r="BQ544" s="17">
        <v>100</v>
      </c>
      <c r="BR544" s="17">
        <v>98</v>
      </c>
      <c r="BS544" s="17">
        <v>94</v>
      </c>
      <c r="BT544" s="17">
        <v>76</v>
      </c>
      <c r="BU544" s="17">
        <v>90</v>
      </c>
      <c r="BV544" s="17">
        <v>98</v>
      </c>
      <c r="BW544" s="91">
        <f t="shared" si="170"/>
        <v>117.83696529459242</v>
      </c>
      <c r="BX544" s="91" t="str">
        <f>_xlfn.XLOOKUP(BW544,'Normative data'!$V$3:$V$6,'Normative data'!$W$3:$W$6,"Not Found",-1)</f>
        <v>Low risk</v>
      </c>
      <c r="BY544" s="91">
        <f t="shared" si="171"/>
        <v>106.53753026634382</v>
      </c>
      <c r="BZ544" s="91" t="str">
        <f>_xlfn.XLOOKUP(BY544,'Normative data'!$V$3:$V$6,'Normative data'!$W$3:$W$6,"Not Found",-1)</f>
        <v>Low risk</v>
      </c>
      <c r="CA544" s="17">
        <v>45</v>
      </c>
      <c r="CC544" s="20"/>
      <c r="CE544" s="17">
        <v>35</v>
      </c>
      <c r="CG544" s="17">
        <v>18.75</v>
      </c>
      <c r="CH544" s="20" t="str">
        <f>_xlfn.XLOOKUP(CG544, 'Normative data'!$S$9:$S$15,'Normative data'!$T$9:$T$15, "Not Found", -1)</f>
        <v>Average</v>
      </c>
      <c r="CI544" s="17">
        <v>18.3</v>
      </c>
      <c r="CJ544" s="20" t="str">
        <f>_xlfn.XLOOKUP(CI544, 'Normative data'!$S$9:$S$15, 'Normative data'!$T$9:$T$15, "Not Found", -1)</f>
        <v>Average</v>
      </c>
      <c r="CK544" s="17">
        <v>2.14</v>
      </c>
      <c r="CL544" s="17">
        <v>4.67</v>
      </c>
      <c r="CN544" s="17">
        <v>6.55</v>
      </c>
      <c r="CO544" s="17">
        <v>7.63</v>
      </c>
      <c r="CQ544" s="17">
        <v>7.1</v>
      </c>
      <c r="CR544" s="20" t="str" cm="1">
        <f t="array" ref="CR544">IF(OR(ISBLANK(E544),ISBLANK(CQ544)),"Incomplete",_xlfn.XLOOKUP(CQ544,_xlfn.XLOOKUP(E544,'Normative data'!$Y$3:$Y$6,'Normative data'!$Z$3:$AG$6,,-1),'Normative data'!$Z$2:$AG$2,"Not Found",-1))</f>
        <v>Average</v>
      </c>
      <c r="CS544" s="20">
        <v>7</v>
      </c>
      <c r="CT544" s="20">
        <v>1</v>
      </c>
      <c r="CU544" s="20" cm="1">
        <f t="array" ref="CU544">_xlfn.XLOOKUP(CS544&amp;CT544,(VLOOKUP!$A$3:$A$250)&amp;(VLOOKUP!$B$3:$B$250),VLOOKUP!$C$3:$C$250,"Incomplete",-1)</f>
        <v>1040</v>
      </c>
      <c r="CV544" s="20" t="str" cm="1">
        <f t="array" ref="CV544">_xlfn.XLOOKUP(CU544, _xlfn.XLOOKUP(E544, 'Normative data'!$Y$11:$Y$14, 'Normative data'!$Z$11:$AG$14, ,-1), 'Normative data'!$Z$10:$AG$10, "Not Found", -1)</f>
        <v>Average</v>
      </c>
      <c r="CW544" s="20" cm="1">
        <f t="array" ref="CW544">IF(OR(ISBLANK(CS544),ISBLANK(CT544)),"Incomplete",_xlfn.XLOOKUP(CS544&amp;CT544,VLOOKUP!$A$4:$A$250&amp;VLOOKUP!$B$4:$B$250,VLOOKUP!$D$4:$D$250,"0"))</f>
        <v>37</v>
      </c>
    </row>
    <row r="545" spans="1:101">
      <c r="A545" s="17" t="s">
        <v>1135</v>
      </c>
      <c r="B545" s="17" t="s">
        <v>1134</v>
      </c>
      <c r="C545" s="17" t="s">
        <v>86</v>
      </c>
      <c r="D545" s="26">
        <v>40168</v>
      </c>
      <c r="E545" s="17">
        <v>16.3</v>
      </c>
      <c r="F545" s="20" t="s">
        <v>181</v>
      </c>
      <c r="G545" s="17">
        <v>2026</v>
      </c>
      <c r="I545" s="20">
        <v>2</v>
      </c>
      <c r="J545" s="20" t="s">
        <v>122</v>
      </c>
      <c r="K545" s="20" t="s">
        <v>95</v>
      </c>
      <c r="L545" s="20"/>
      <c r="S545" s="20">
        <v>87.5</v>
      </c>
      <c r="T545" s="20">
        <v>169.4</v>
      </c>
      <c r="U545" s="17">
        <v>59.3</v>
      </c>
      <c r="V545" s="17">
        <v>32.200000000000003</v>
      </c>
      <c r="W545" s="17">
        <v>15.3</v>
      </c>
      <c r="X545" s="17">
        <v>44</v>
      </c>
      <c r="Y545" s="17">
        <v>24.2</v>
      </c>
      <c r="Z545" s="17">
        <v>20.7</v>
      </c>
      <c r="AA545" s="17">
        <v>25.8</v>
      </c>
      <c r="AB545" s="17">
        <v>6.92</v>
      </c>
      <c r="AC545" s="17">
        <v>101</v>
      </c>
      <c r="AD545" s="17">
        <v>7.08</v>
      </c>
      <c r="AE545" s="17">
        <v>103.3</v>
      </c>
      <c r="AF545" s="17">
        <v>2.4</v>
      </c>
      <c r="AG545" s="17">
        <v>91.4</v>
      </c>
      <c r="AH545" s="17">
        <v>2.4</v>
      </c>
      <c r="AI545" s="17">
        <v>92.3</v>
      </c>
      <c r="AJ545" s="17">
        <v>349.8</v>
      </c>
      <c r="AK545" s="17">
        <v>331.3</v>
      </c>
      <c r="AL545" s="17">
        <v>310.60000000000002</v>
      </c>
      <c r="AM545" s="17">
        <v>293.5</v>
      </c>
      <c r="AN545" s="17">
        <v>103</v>
      </c>
      <c r="AO545" s="17">
        <v>0.87</v>
      </c>
      <c r="AP545" s="17">
        <v>6.3</v>
      </c>
      <c r="AQ545" s="17">
        <v>20.2</v>
      </c>
      <c r="AR545" s="17">
        <v>0.40600000000000003</v>
      </c>
      <c r="AS545" s="17">
        <v>22.9</v>
      </c>
      <c r="AT545" s="17">
        <v>0.432</v>
      </c>
      <c r="AU545" s="17">
        <v>11.8</v>
      </c>
      <c r="AV545" s="17">
        <v>0.31</v>
      </c>
      <c r="AW545" s="17">
        <v>11.2</v>
      </c>
      <c r="AX545" s="17">
        <v>0.30199999999999999</v>
      </c>
      <c r="AY545" s="41">
        <f t="shared" si="166"/>
        <v>1857.4299999999994</v>
      </c>
      <c r="BA545" s="20">
        <f t="shared" si="167"/>
        <v>2021.3199999999997</v>
      </c>
      <c r="BC545" s="20">
        <f t="shared" si="168"/>
        <v>1347.5499999999997</v>
      </c>
      <c r="BE545" s="20">
        <f t="shared" si="169"/>
        <v>1311.1299999999997</v>
      </c>
      <c r="BG545" s="17">
        <v>11.5</v>
      </c>
      <c r="BH545" s="17">
        <v>43.8</v>
      </c>
      <c r="BI545" s="20">
        <f t="shared" si="165"/>
        <v>32.299999999999997</v>
      </c>
      <c r="BJ545" s="20"/>
      <c r="BK545" s="17">
        <v>7</v>
      </c>
      <c r="BL545" s="20"/>
      <c r="BM545" s="17">
        <v>8</v>
      </c>
      <c r="BN545" s="20"/>
      <c r="BO545" s="17">
        <v>48.7</v>
      </c>
      <c r="BP545" s="17">
        <v>50.5</v>
      </c>
      <c r="BQ545" s="17">
        <v>90</v>
      </c>
      <c r="BR545" s="17">
        <v>79</v>
      </c>
      <c r="BS545" s="17">
        <v>73</v>
      </c>
      <c r="BT545" s="17">
        <v>90</v>
      </c>
      <c r="BU545" s="17">
        <v>81</v>
      </c>
      <c r="BV545" s="17">
        <v>78</v>
      </c>
      <c r="BW545" s="91">
        <f t="shared" si="170"/>
        <v>98.494098494098495</v>
      </c>
      <c r="BX545" s="91" t="str">
        <f>_xlfn.XLOOKUP(BW545,'Normative data'!$V$3:$V$6,'Normative data'!$W$3:$W$6,"Not Found",-1)</f>
        <v>Low risk</v>
      </c>
      <c r="BY545" s="91">
        <f t="shared" si="171"/>
        <v>101.34310134310134</v>
      </c>
      <c r="BZ545" s="91" t="str">
        <f>_xlfn.XLOOKUP(BY545,'Normative data'!$V$3:$V$6,'Normative data'!$W$3:$W$6,"Not Found",-1)</f>
        <v>Low risk</v>
      </c>
      <c r="CA545" s="17">
        <v>30</v>
      </c>
      <c r="CC545" s="20"/>
      <c r="CE545" s="17">
        <v>10</v>
      </c>
      <c r="CG545" s="17">
        <v>18.57</v>
      </c>
      <c r="CH545" s="20" t="str">
        <f>_xlfn.XLOOKUP(CG545, 'Normative data'!$S$9:$S$15,'Normative data'!$T$9:$T$15, "Not Found", -1)</f>
        <v>Average</v>
      </c>
      <c r="CI545" s="17">
        <v>18.34</v>
      </c>
      <c r="CJ545" s="20" t="str">
        <f>_xlfn.XLOOKUP(CI545, 'Normative data'!$S$9:$S$15, 'Normative data'!$T$9:$T$15, "Not Found", -1)</f>
        <v>Average</v>
      </c>
      <c r="CK545" s="21"/>
      <c r="CL545" s="21"/>
      <c r="CM545" s="21"/>
      <c r="CN545" s="21"/>
      <c r="CO545" s="21"/>
      <c r="CR545" s="20" t="str" cm="1">
        <f t="array" ref="CR545">IF(OR(ISBLANK(E545),ISBLANK(CQ545)),"Incomplete",_xlfn.XLOOKUP(CQ545,_xlfn.XLOOKUP(E545,'Normative data'!$Y$3:$Y$6,'Normative data'!$Z$3:$AG$6,,-1),'Normative data'!$Z$2:$AG$2,"Not Found",-1))</f>
        <v>Incomplete</v>
      </c>
      <c r="CS545" s="20"/>
      <c r="CT545" s="20"/>
      <c r="CU545" s="20" t="str" cm="1">
        <f t="array" ref="CU545">_xlfn.XLOOKUP(CS545&amp;CT545,(VLOOKUP!$A$3:$A$250)&amp;(VLOOKUP!$B$3:$B$250),VLOOKUP!$C$3:$C$250,"Incomplete",-1)</f>
        <v>Incomplete</v>
      </c>
      <c r="CV545" s="20" t="str" cm="1">
        <f t="array" ref="CV545">_xlfn.XLOOKUP(CU545, _xlfn.XLOOKUP(E545, 'Normative data'!$Y$11:$Y$14, 'Normative data'!$Z$11:$AG$14, ,-1), 'Normative data'!$Z$10:$AG$10, "Not Found", -1)</f>
        <v>Excellent</v>
      </c>
      <c r="CW545" s="20" t="str" cm="1">
        <f t="array" ref="CW545">IF(OR(ISBLANK(CS545),ISBLANK(CT545)),"Incomplete",_xlfn.XLOOKUP(CS545&amp;CT545,VLOOKUP!$A$4:$A$250&amp;VLOOKUP!$B$4:$B$250,VLOOKUP!$D$4:$D$250,"0"))</f>
        <v>Incomplete</v>
      </c>
    </row>
    <row r="546" spans="1:101">
      <c r="A546" s="17" t="s">
        <v>1136</v>
      </c>
      <c r="B546" s="17" t="s">
        <v>1137</v>
      </c>
      <c r="C546" s="17" t="s">
        <v>86</v>
      </c>
      <c r="D546" s="26"/>
      <c r="F546" s="20" t="s">
        <v>162</v>
      </c>
      <c r="G546" s="17">
        <v>2026</v>
      </c>
      <c r="I546" s="20">
        <v>2</v>
      </c>
      <c r="J546" s="20"/>
      <c r="K546" s="20"/>
      <c r="L546" s="20"/>
      <c r="S546" s="20">
        <v>84</v>
      </c>
      <c r="T546" s="20">
        <v>162.80000000000001</v>
      </c>
      <c r="AQ546" s="20"/>
      <c r="AR546" s="20"/>
      <c r="AS546" s="20"/>
      <c r="AT546" s="20"/>
      <c r="AU546" s="20"/>
      <c r="AV546" s="20"/>
      <c r="AW546" s="20"/>
      <c r="AX546" s="20"/>
      <c r="AY546" s="41" t="str">
        <f t="shared" si="166"/>
        <v>Incomplete</v>
      </c>
      <c r="BA546" s="20" t="str">
        <f t="shared" si="167"/>
        <v>Incomplete</v>
      </c>
      <c r="BC546" s="20" t="str">
        <f t="shared" si="168"/>
        <v>Incomplete</v>
      </c>
      <c r="BE546" s="20" t="str">
        <f t="shared" si="169"/>
        <v>Incomplete</v>
      </c>
      <c r="BG546" s="17">
        <v>12.4</v>
      </c>
      <c r="BH546" s="17">
        <v>57.4</v>
      </c>
      <c r="BI546" s="20">
        <f t="shared" si="165"/>
        <v>45</v>
      </c>
      <c r="BJ546" s="20"/>
      <c r="BK546" s="17">
        <v>4</v>
      </c>
      <c r="BL546" s="20"/>
      <c r="BM546" s="17">
        <v>4</v>
      </c>
      <c r="BN546" s="20"/>
      <c r="BW546" s="91">
        <f t="shared" si="170"/>
        <v>0</v>
      </c>
      <c r="BX546" s="91" t="str">
        <f>_xlfn.XLOOKUP(BW546,'Normative data'!$V$3:$V$6,'Normative data'!$W$3:$W$6,"Not Found",-1)</f>
        <v>Not completed</v>
      </c>
      <c r="BY546" s="91">
        <f t="shared" si="171"/>
        <v>0</v>
      </c>
      <c r="BZ546" s="91" t="str">
        <f>_xlfn.XLOOKUP(BY546,'Normative data'!$V$3:$V$6,'Normative data'!$W$3:$W$6,"Not Found",-1)</f>
        <v>Not completed</v>
      </c>
      <c r="CA546" s="20"/>
      <c r="CC546" s="20"/>
      <c r="CE546" s="17">
        <v>15</v>
      </c>
      <c r="CG546" s="17">
        <v>21.34</v>
      </c>
      <c r="CH546" s="20" t="str">
        <f>_xlfn.XLOOKUP(CG546, 'Normative data'!$S$9:$S$15,'Normative data'!$T$9:$T$15, "Not Found", -1)</f>
        <v>Average</v>
      </c>
      <c r="CI546" s="17">
        <v>20.6</v>
      </c>
      <c r="CJ546" s="20" t="str">
        <f>_xlfn.XLOOKUP(CI546, 'Normative data'!$S$9:$S$15, 'Normative data'!$T$9:$T$15, "Not Found", -1)</f>
        <v>Average</v>
      </c>
      <c r="CK546" s="17">
        <v>2.2799999999999998</v>
      </c>
      <c r="CL546" s="17">
        <v>4.3899999999999997</v>
      </c>
      <c r="CN546" s="17">
        <v>7.39</v>
      </c>
      <c r="CO546" s="17">
        <v>6.77</v>
      </c>
      <c r="CR546" s="20" t="str" cm="1">
        <f t="array" ref="CR546">IF(OR(ISBLANK(E546),ISBLANK(CQ546)),"Incomplete",_xlfn.XLOOKUP(CQ546,_xlfn.XLOOKUP(E546,'Normative data'!$Y$3:$Y$6,'Normative data'!$Z$3:$AG$6,,-1),'Normative data'!$Z$2:$AG$2,"Not Found",-1))</f>
        <v>Incomplete</v>
      </c>
      <c r="CS546" s="20"/>
      <c r="CT546" s="20"/>
      <c r="CU546" s="20" t="str" cm="1">
        <f t="array" ref="CU546">_xlfn.XLOOKUP(CS546&amp;CT546,(VLOOKUP!$A$3:$A$250)&amp;(VLOOKUP!$B$3:$B$250),VLOOKUP!$C$3:$C$250,"Incomplete",-1)</f>
        <v>Incomplete</v>
      </c>
      <c r="CV546" s="20" t="str" cm="1">
        <f t="array" ref="CV546">_xlfn.XLOOKUP(CU546, _xlfn.XLOOKUP(E546, 'Normative data'!$Y$11:$Y$14, 'Normative data'!$Z$11:$AG$14, ,-1), 'Normative data'!$Z$10:$AG$10, "Not Found", -1)</f>
        <v>Excellent</v>
      </c>
      <c r="CW546" s="20" t="str" cm="1">
        <f t="array" ref="CW546">IF(OR(ISBLANK(CS546),ISBLANK(CT546)),"Incomplete",_xlfn.XLOOKUP(CS546&amp;CT546,VLOOKUP!$A$4:$A$250&amp;VLOOKUP!$B$4:$B$250,VLOOKUP!$D$4:$D$250,"0"))</f>
        <v>Incomplete</v>
      </c>
    </row>
    <row r="547" spans="1:101">
      <c r="A547" s="18" t="s">
        <v>1138</v>
      </c>
      <c r="B547" s="18" t="s">
        <v>1139</v>
      </c>
      <c r="C547" s="17" t="s">
        <v>86</v>
      </c>
      <c r="D547" s="19">
        <v>40653</v>
      </c>
      <c r="F547" s="17">
        <v>8</v>
      </c>
      <c r="G547" s="17">
        <v>2025</v>
      </c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41" t="str">
        <f t="shared" si="166"/>
        <v>Incomplete</v>
      </c>
      <c r="AZ547" s="20"/>
      <c r="BA547" s="20" t="str">
        <f t="shared" si="167"/>
        <v>Incomplete</v>
      </c>
      <c r="BB547" s="20"/>
      <c r="BC547" s="20" t="str">
        <f t="shared" si="168"/>
        <v>Incomplete</v>
      </c>
      <c r="BD547" s="20"/>
      <c r="BE547" s="20" t="str">
        <f t="shared" si="169"/>
        <v>Incomplete</v>
      </c>
      <c r="BF547" s="20"/>
      <c r="BG547" s="20">
        <v>14</v>
      </c>
      <c r="BH547" s="20">
        <v>41.6</v>
      </c>
      <c r="BI547" s="20" t="e">
        <f>IF(OR(ISBLANK(#REF!), ISBLANK(#REF!)),"Incomplete",(SUM(#REF!-#REF!)))</f>
        <v>#REF!</v>
      </c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91" t="str">
        <f t="shared" si="170"/>
        <v>Incomplete</v>
      </c>
      <c r="BX547" s="91" t="str">
        <f>_xlfn.XLOOKUP(BW547,'Normative data'!$V$3:$V$6,'Normative data'!$W$3:$W$6,"Not Found",-1)</f>
        <v>Very low risk</v>
      </c>
      <c r="BY547" s="91" t="str">
        <f t="shared" si="171"/>
        <v>Incomplete</v>
      </c>
      <c r="BZ547" s="91" t="str">
        <f>_xlfn.XLOOKUP(BY547,'Normative data'!$V$3:$V$6,'Normative data'!$W$3:$W$6,"Not Found",-1)</f>
        <v>Very low risk</v>
      </c>
      <c r="CA547" s="20"/>
      <c r="CC547" s="20"/>
      <c r="CE547" s="20">
        <v>7</v>
      </c>
      <c r="CG547" s="20"/>
      <c r="CH547" s="20" t="str">
        <f>_xlfn.XLOOKUP(CG547, 'Normative data'!$S$9:$S$15,'Normative data'!$T$9:$T$15, "Not Found", -1)</f>
        <v>not completed</v>
      </c>
      <c r="CI547" s="20"/>
      <c r="CJ547" s="20" t="str">
        <f>_xlfn.XLOOKUP(CI547, 'Normative data'!$S$9:$S$15, 'Normative data'!$T$9:$T$15, "Not Found", -1)</f>
        <v>not completed</v>
      </c>
      <c r="CK547" s="21">
        <v>2.35</v>
      </c>
      <c r="CL547" s="21">
        <v>4.26</v>
      </c>
      <c r="CM547" s="21"/>
      <c r="CN547" s="21">
        <v>7.01</v>
      </c>
      <c r="CO547" s="21">
        <v>7.13</v>
      </c>
      <c r="CP547" s="21"/>
      <c r="CQ547" s="20"/>
      <c r="CR547" s="20" t="str" cm="1">
        <f t="array" ref="CR547">IF(OR(ISBLANK(E547),ISBLANK(CQ547)),"Incomplete",_xlfn.XLOOKUP(CQ547,_xlfn.XLOOKUP(E547,'Normative data'!$Y$3:$Y$6,'Normative data'!$Z$3:$AG$6,,-1),'Normative data'!$Z$2:$AG$2,"Not Found",-1))</f>
        <v>Incomplete</v>
      </c>
      <c r="CS547" s="20"/>
      <c r="CT547" s="20"/>
      <c r="CU547" s="20" t="str" cm="1">
        <f t="array" ref="CU547">_xlfn.XLOOKUP(CS547&amp;CT547,(VLOOKUP!$A$3:$A$250)&amp;(VLOOKUP!$B$3:$B$250),VLOOKUP!$C$3:$C$250,"Incomplete",-1)</f>
        <v>Incomplete</v>
      </c>
      <c r="CV547" s="20" t="str" cm="1">
        <f t="array" ref="CV547">_xlfn.XLOOKUP(CU547, _xlfn.XLOOKUP(E547, 'Normative data'!$Y$11:$Y$14, 'Normative data'!$Z$11:$AG$14, ,-1), 'Normative data'!$Z$10:$AG$10, "Not Found", -1)</f>
        <v>Excellent</v>
      </c>
      <c r="CW547" s="20" t="str" cm="1">
        <f t="array" ref="CW547">IF(OR(ISBLANK(CS547),ISBLANK(CT547)),"Incomplete",_xlfn.XLOOKUP(CS547&amp;CT547,VLOOKUP!$A$4:$A$250&amp;VLOOKUP!$B$4:$B$250,VLOOKUP!$D$4:$D$250,"0"))</f>
        <v>Incomplete</v>
      </c>
    </row>
    <row r="548" spans="1:101">
      <c r="A548" s="17" t="s">
        <v>1138</v>
      </c>
      <c r="B548" s="17" t="s">
        <v>1139</v>
      </c>
      <c r="C548" s="17" t="s">
        <v>86</v>
      </c>
      <c r="D548" s="19">
        <v>40653</v>
      </c>
      <c r="F548" s="17">
        <v>8</v>
      </c>
      <c r="G548" s="17">
        <v>2025</v>
      </c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41" t="str">
        <f t="shared" si="166"/>
        <v>Incomplete</v>
      </c>
      <c r="AZ548" s="20"/>
      <c r="BA548" s="20" t="str">
        <f t="shared" si="167"/>
        <v>Incomplete</v>
      </c>
      <c r="BB548" s="20"/>
      <c r="BC548" s="20" t="str">
        <f t="shared" si="168"/>
        <v>Incomplete</v>
      </c>
      <c r="BD548" s="20"/>
      <c r="BE548" s="20" t="str">
        <f t="shared" si="169"/>
        <v>Incomplete</v>
      </c>
      <c r="BF548" s="20"/>
      <c r="BG548" s="20"/>
      <c r="BH548" s="20"/>
      <c r="BI548" s="20" t="str">
        <f>IF(OR(ISBLANK(BG548), ISBLANK(BH548)),"Incomplete",(SUM(BH548-BG548)))</f>
        <v>Incomplete</v>
      </c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91" t="str">
        <f t="shared" si="170"/>
        <v>Incomplete</v>
      </c>
      <c r="BX548" s="91" t="str">
        <f>_xlfn.XLOOKUP(BW548,'Normative data'!$V$3:$V$6,'Normative data'!$W$3:$W$6,"Not Found",-1)</f>
        <v>Very low risk</v>
      </c>
      <c r="BY548" s="91" t="str">
        <f t="shared" si="171"/>
        <v>Incomplete</v>
      </c>
      <c r="BZ548" s="91" t="str">
        <f>_xlfn.XLOOKUP(BY548,'Normative data'!$V$3:$V$6,'Normative data'!$W$3:$W$6,"Not Found",-1)</f>
        <v>Very low risk</v>
      </c>
      <c r="CA548" s="20"/>
      <c r="CC548" s="20"/>
      <c r="CE548" s="20"/>
      <c r="CG548" s="20"/>
      <c r="CH548" s="20" t="str">
        <f>_xlfn.XLOOKUP(CG548, 'Normative data'!$S$9:$S$15,'Normative data'!$T$9:$T$15, "Not Found", -1)</f>
        <v>not completed</v>
      </c>
      <c r="CI548" s="20"/>
      <c r="CJ548" s="20" t="str">
        <f>_xlfn.XLOOKUP(CI548, 'Normative data'!$S$9:$S$15, 'Normative data'!$T$9:$T$15, "Not Found", -1)</f>
        <v>not completed</v>
      </c>
      <c r="CK548" s="20" t="s">
        <v>116</v>
      </c>
      <c r="CL548" s="20" t="s">
        <v>117</v>
      </c>
      <c r="CN548" s="20" t="s">
        <v>1140</v>
      </c>
      <c r="CO548" s="20" t="s">
        <v>1141</v>
      </c>
      <c r="CQ548" s="20"/>
      <c r="CR548" s="20" t="str" cm="1">
        <f t="array" ref="CR548">IF(OR(ISBLANK(E548),ISBLANK(CQ548)),"Incomplete",_xlfn.XLOOKUP(CQ548,_xlfn.XLOOKUP(E548,'Normative data'!$Y$3:$Y$6,'Normative data'!$Z$3:$AG$6,,-1),'Normative data'!$Z$2:$AG$2,"Not Found",-1))</f>
        <v>Incomplete</v>
      </c>
      <c r="CS548" s="20"/>
      <c r="CT548" s="20"/>
      <c r="CU548" s="20" t="str" cm="1">
        <f t="array" ref="CU548">_xlfn.XLOOKUP(CS548&amp;CT548,(VLOOKUP!$A$3:$A$250)&amp;(VLOOKUP!$B$3:$B$250),VLOOKUP!$C$3:$C$250,"Incomplete",-1)</f>
        <v>Incomplete</v>
      </c>
      <c r="CV548" s="20" t="str" cm="1">
        <f t="array" ref="CV548">_xlfn.XLOOKUP(CU548, _xlfn.XLOOKUP(E548, 'Normative data'!$Y$11:$Y$14, 'Normative data'!$Z$11:$AG$14, ,-1), 'Normative data'!$Z$10:$AG$10, "Not Found", -1)</f>
        <v>Excellent</v>
      </c>
      <c r="CW548" s="20" t="str" cm="1">
        <f t="array" ref="CW548">IF(OR(ISBLANK(CS548),ISBLANK(CT548)),"Incomplete",_xlfn.XLOOKUP(CS548&amp;CT548,VLOOKUP!$A$4:$A$250&amp;VLOOKUP!$B$4:$B$250,VLOOKUP!$D$4:$D$250,"0"))</f>
        <v>Incomplete</v>
      </c>
    </row>
    <row r="549" spans="1:101">
      <c r="A549" s="17" t="s">
        <v>340</v>
      </c>
      <c r="B549" s="17" t="s">
        <v>341</v>
      </c>
      <c r="C549" s="17" t="s">
        <v>86</v>
      </c>
      <c r="D549" s="26">
        <v>39879</v>
      </c>
      <c r="E549" s="17">
        <v>17.2</v>
      </c>
      <c r="F549" s="20" t="s">
        <v>192</v>
      </c>
      <c r="G549" s="17">
        <v>2026</v>
      </c>
      <c r="I549" s="20">
        <v>2</v>
      </c>
      <c r="J549" s="20" t="s">
        <v>100</v>
      </c>
      <c r="K549" s="20" t="s">
        <v>95</v>
      </c>
      <c r="L549" s="20"/>
      <c r="S549" s="20">
        <v>86.5</v>
      </c>
      <c r="T549" s="20">
        <v>171.7</v>
      </c>
      <c r="U549" s="17">
        <v>59.1</v>
      </c>
      <c r="V549" s="17">
        <v>35.4</v>
      </c>
      <c r="W549" s="17">
        <v>10.7</v>
      </c>
      <c r="X549" s="17">
        <v>48.4</v>
      </c>
      <c r="Y549" s="17">
        <v>26.8</v>
      </c>
      <c r="Z549" s="17">
        <v>20</v>
      </c>
      <c r="AA549" s="17">
        <v>18.100000000000001</v>
      </c>
      <c r="AB549" s="17">
        <v>7.48</v>
      </c>
      <c r="AC549" s="17">
        <v>109.5</v>
      </c>
      <c r="AD549" s="17">
        <v>7.5</v>
      </c>
      <c r="AE549" s="17">
        <v>109.8</v>
      </c>
      <c r="AF549" s="17">
        <v>1.7</v>
      </c>
      <c r="AG549" s="17">
        <v>63.2</v>
      </c>
      <c r="AH549" s="17">
        <v>1.7</v>
      </c>
      <c r="AI549" s="17">
        <v>63.2</v>
      </c>
      <c r="AJ549" s="17">
        <v>325.10000000000002</v>
      </c>
      <c r="AK549" s="17">
        <v>322.39999999999998</v>
      </c>
      <c r="AL549" s="17">
        <v>287.2</v>
      </c>
      <c r="AM549" s="17">
        <v>285.2</v>
      </c>
      <c r="AN549" s="17">
        <v>100</v>
      </c>
      <c r="AQ549" s="17">
        <v>18.100000000000001</v>
      </c>
      <c r="AR549" s="17">
        <v>0.38400000000000001</v>
      </c>
      <c r="AS549" s="17">
        <v>22.4</v>
      </c>
      <c r="AT549" s="17">
        <v>0.42699999999999999</v>
      </c>
      <c r="AU549" s="17">
        <v>11</v>
      </c>
      <c r="AV549" s="17">
        <v>0.3</v>
      </c>
      <c r="AW549" s="17">
        <v>10.9</v>
      </c>
      <c r="AX549" s="17">
        <v>0.29799999999999999</v>
      </c>
      <c r="AY549" s="41">
        <f t="shared" si="166"/>
        <v>1720.9</v>
      </c>
      <c r="BA549" s="20">
        <f t="shared" si="167"/>
        <v>1981.9099999999999</v>
      </c>
      <c r="BC549" s="20">
        <f t="shared" si="168"/>
        <v>1289.9300000000003</v>
      </c>
      <c r="BE549" s="20">
        <f t="shared" si="169"/>
        <v>1283.8600000000001</v>
      </c>
      <c r="BG549" s="17">
        <v>5</v>
      </c>
      <c r="BH549" s="17">
        <v>45.2</v>
      </c>
      <c r="BI549" s="20">
        <f>IF(OR(ISBLANK(BG549), ISBLANK(BH549)),"Incomplete",(SUM(BH549-BG549)))</f>
        <v>40.200000000000003</v>
      </c>
      <c r="BJ549" s="20"/>
      <c r="BK549" s="17">
        <v>5.5</v>
      </c>
      <c r="BL549" s="20"/>
      <c r="BM549" s="17">
        <v>7.5</v>
      </c>
      <c r="BN549" s="20"/>
      <c r="BO549" s="17">
        <v>48.5</v>
      </c>
      <c r="BP549" s="17">
        <v>49.5</v>
      </c>
      <c r="BQ549" s="17">
        <v>70</v>
      </c>
      <c r="BR549" s="17">
        <v>100</v>
      </c>
      <c r="BS549" s="17">
        <v>100</v>
      </c>
      <c r="BT549" s="17">
        <v>77</v>
      </c>
      <c r="BU549" s="17">
        <v>100</v>
      </c>
      <c r="BV549" s="17">
        <v>110</v>
      </c>
      <c r="BW549" s="91">
        <f t="shared" si="170"/>
        <v>105.63380281690142</v>
      </c>
      <c r="BX549" s="91" t="str">
        <f>_xlfn.XLOOKUP(BW549,'Normative data'!$V$3:$V$6,'Normative data'!$W$3:$W$6,"Not Found",-1)</f>
        <v>Low risk</v>
      </c>
      <c r="BY549" s="91">
        <f t="shared" si="171"/>
        <v>112.28482003129892</v>
      </c>
      <c r="BZ549" s="91" t="str">
        <f>_xlfn.XLOOKUP(BY549,'Normative data'!$V$3:$V$6,'Normative data'!$W$3:$W$6,"Not Found",-1)</f>
        <v>Low risk</v>
      </c>
      <c r="CA549" s="17">
        <v>39</v>
      </c>
      <c r="CC549" s="20"/>
      <c r="CE549" s="17">
        <v>17</v>
      </c>
      <c r="CG549" s="17">
        <v>17.899999999999999</v>
      </c>
      <c r="CH549" s="20" t="str">
        <f>_xlfn.XLOOKUP(CG549, 'Normative data'!$S$9:$S$15,'Normative data'!$T$9:$T$15, "Not Found", -1)</f>
        <v>Above Average</v>
      </c>
      <c r="CI549" s="17">
        <v>17.420000000000002</v>
      </c>
      <c r="CJ549" s="20" t="str">
        <f>_xlfn.XLOOKUP(CI549, 'Normative data'!$S$9:$S$15, 'Normative data'!$T$9:$T$15, "Not Found", -1)</f>
        <v>Above Average</v>
      </c>
      <c r="CK549" s="17">
        <v>2.25</v>
      </c>
      <c r="CL549" s="17">
        <v>4.4400000000000004</v>
      </c>
      <c r="CN549" s="17">
        <v>6.67</v>
      </c>
      <c r="CO549" s="17">
        <v>7.5</v>
      </c>
      <c r="CQ549" s="17">
        <v>10.1</v>
      </c>
      <c r="CR549" s="20" t="str" cm="1">
        <f t="array" ref="CR549">IF(OR(ISBLANK(E549),ISBLANK(CQ549)),"Incomplete",_xlfn.XLOOKUP(CQ549,_xlfn.XLOOKUP(E549,'Normative data'!$Y$3:$Y$6,'Normative data'!$Z$3:$AG$6,,-1),'Normative data'!$Z$2:$AG$2,"Not Found",-1))</f>
        <v>Very good</v>
      </c>
      <c r="CS549" s="20">
        <v>10</v>
      </c>
      <c r="CT549" s="20">
        <v>1</v>
      </c>
      <c r="CU549" s="20" cm="1">
        <f t="array" ref="CU549">_xlfn.XLOOKUP(CS549&amp;CT549,(VLOOKUP!$A$3:$A$250)&amp;(VLOOKUP!$B$3:$B$250),VLOOKUP!$C$3:$C$250,"Incomplete",-1)</f>
        <v>1680</v>
      </c>
      <c r="CV549" s="20" t="str" cm="1">
        <f t="array" ref="CV549">_xlfn.XLOOKUP(CU549, _xlfn.XLOOKUP(E549, 'Normative data'!$Y$11:$Y$14, 'Normative data'!$Z$11:$AG$14, ,-1), 'Normative data'!$Z$10:$AG$10, "Not Found", -1)</f>
        <v xml:space="preserve">Good </v>
      </c>
      <c r="CW549" s="20" cm="1">
        <f t="array" ref="CW549">IF(OR(ISBLANK(CS549),ISBLANK(CT549)),"Incomplete",_xlfn.XLOOKUP(CS549&amp;CT549,VLOOKUP!$A$4:$A$250&amp;VLOOKUP!$B$4:$B$250,VLOOKUP!$D$4:$D$250,"0"))</f>
        <v>47</v>
      </c>
    </row>
    <row r="550" spans="1:101">
      <c r="A550" s="17" t="s">
        <v>1142</v>
      </c>
      <c r="B550" s="17" t="s">
        <v>1081</v>
      </c>
      <c r="C550" s="17" t="s">
        <v>86</v>
      </c>
      <c r="D550" s="19">
        <v>40365</v>
      </c>
      <c r="G550" s="17">
        <v>2026</v>
      </c>
      <c r="H550" s="20" t="s">
        <v>114</v>
      </c>
      <c r="I550" s="17">
        <v>1</v>
      </c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>
        <v>31</v>
      </c>
      <c r="AR550" s="20">
        <v>0.503</v>
      </c>
      <c r="AS550" s="20">
        <v>35.5</v>
      </c>
      <c r="AT550" s="20">
        <v>0.53700000000000003</v>
      </c>
      <c r="AU550" s="20">
        <v>17.600000000000001</v>
      </c>
      <c r="AV550" s="20">
        <v>0.379</v>
      </c>
      <c r="AW550" s="20">
        <v>13.4</v>
      </c>
      <c r="AX550" s="20">
        <v>0.33100000000000002</v>
      </c>
      <c r="AY550" s="41" t="str">
        <f t="shared" si="166"/>
        <v>Incomplete</v>
      </c>
      <c r="AZ550" s="20"/>
      <c r="BA550" s="20" t="str">
        <f t="shared" si="167"/>
        <v>Incomplete</v>
      </c>
      <c r="BB550" s="20"/>
      <c r="BC550" s="20" t="str">
        <f t="shared" si="168"/>
        <v>Incomplete</v>
      </c>
      <c r="BD550" s="20"/>
      <c r="BE550" s="20" t="str">
        <f t="shared" si="169"/>
        <v>Incomplete</v>
      </c>
      <c r="BF550" s="20"/>
      <c r="BG550" s="20">
        <v>16</v>
      </c>
      <c r="BH550" s="20">
        <v>40</v>
      </c>
      <c r="BI550" s="20">
        <f>IF(OR(ISBLANK(BG550), ISBLANK(BH550)),"Incomplete",(SUM(BH550-BG550)))</f>
        <v>24</v>
      </c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91" t="str">
        <f t="shared" si="170"/>
        <v>Incomplete</v>
      </c>
      <c r="BX550" s="91" t="str">
        <f>_xlfn.XLOOKUP(BW550,'Normative data'!$V$3:$V$6,'Normative data'!$W$3:$W$6,"Not Found",-1)</f>
        <v>Very low risk</v>
      </c>
      <c r="BY550" s="91" t="str">
        <f t="shared" si="171"/>
        <v>Incomplete</v>
      </c>
      <c r="BZ550" s="91" t="str">
        <f>_xlfn.XLOOKUP(BY550,'Normative data'!$V$3:$V$6,'Normative data'!$W$3:$W$6,"Not Found",-1)</f>
        <v>Very low risk</v>
      </c>
      <c r="CA550" s="20"/>
      <c r="CC550" s="20">
        <v>51</v>
      </c>
      <c r="CE550" s="20">
        <v>13</v>
      </c>
      <c r="CG550" s="20"/>
      <c r="CH550" s="20" t="str">
        <f>_xlfn.XLOOKUP(CG550, 'Normative data'!$S$9:$S$15,'Normative data'!$T$9:$T$15, "Not Found", -1)</f>
        <v>not completed</v>
      </c>
      <c r="CI550" s="20"/>
      <c r="CJ550" s="20" t="str">
        <f>_xlfn.XLOOKUP(CI550, 'Normative data'!$S$9:$S$15, 'Normative data'!$T$9:$T$15, "Not Found", -1)</f>
        <v>not completed</v>
      </c>
      <c r="CK550" s="20" t="s">
        <v>245</v>
      </c>
      <c r="CL550" s="20" t="s">
        <v>246</v>
      </c>
      <c r="CN550" s="20" t="s">
        <v>338</v>
      </c>
      <c r="CO550" s="20" t="s">
        <v>337</v>
      </c>
      <c r="CQ550" s="20"/>
      <c r="CR550" s="20" t="str" cm="1">
        <f t="array" ref="CR550">IF(OR(ISBLANK(E550),ISBLANK(CQ550)),"Incomplete",_xlfn.XLOOKUP(CQ550,_xlfn.XLOOKUP(E550,'Normative data'!$Y$3:$Y$6,'Normative data'!$Z$3:$AG$6,,-1),'Normative data'!$Z$2:$AG$2,"Not Found",-1))</f>
        <v>Incomplete</v>
      </c>
      <c r="CS550" s="20"/>
      <c r="CT550" s="20"/>
      <c r="CU550" s="20" t="str" cm="1">
        <f t="array" ref="CU550">_xlfn.XLOOKUP(CS550&amp;CT550,(VLOOKUP!$A$3:$A$250)&amp;(VLOOKUP!$B$3:$B$250),VLOOKUP!$C$3:$C$250,"Incomplete",-1)</f>
        <v>Incomplete</v>
      </c>
      <c r="CV550" s="20" t="str" cm="1">
        <f t="array" ref="CV550">_xlfn.XLOOKUP(CU550, _xlfn.XLOOKUP(E550, 'Normative data'!$Y$11:$Y$14, 'Normative data'!$Z$11:$AG$14, ,-1), 'Normative data'!$Z$10:$AG$10, "Not Found", -1)</f>
        <v>Excellent</v>
      </c>
      <c r="CW550" s="20" t="str" cm="1">
        <f t="array" ref="CW550">IF(OR(ISBLANK(CS550),ISBLANK(CT550)),"Incomplete",_xlfn.XLOOKUP(CS550&amp;CT550,VLOOKUP!$A$4:$A$250&amp;VLOOKUP!$B$4:$B$250,VLOOKUP!$D$4:$D$250,"0"))</f>
        <v>Incomplete</v>
      </c>
    </row>
    <row r="551" spans="1:101">
      <c r="A551" s="17" t="s">
        <v>1142</v>
      </c>
      <c r="B551" s="17" t="s">
        <v>1081</v>
      </c>
      <c r="C551" s="17" t="s">
        <v>86</v>
      </c>
      <c r="D551" s="19">
        <v>40365</v>
      </c>
      <c r="G551" s="17">
        <v>2025</v>
      </c>
      <c r="S551" s="20"/>
      <c r="T551" s="20" t="s">
        <v>1143</v>
      </c>
      <c r="U551" s="20" t="s">
        <v>1144</v>
      </c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>
        <v>22.6</v>
      </c>
      <c r="AR551" s="20">
        <v>0.42899999999999999</v>
      </c>
      <c r="AS551" s="20">
        <v>28.5</v>
      </c>
      <c r="AT551" s="20">
        <v>0.48199999999999998</v>
      </c>
      <c r="AU551" s="20">
        <v>15</v>
      </c>
      <c r="AV551" s="20">
        <v>0.35</v>
      </c>
      <c r="AW551" s="20">
        <v>11.5</v>
      </c>
      <c r="AX551" s="20">
        <v>0.30599999999999999</v>
      </c>
      <c r="AY551" s="41" t="e">
        <f>IF(OR(ISBLANK(#REF!), ISBLANK(AQ551)), "Incomplete", (60.7*AQ551)+(45.3*#REF!)-2055)</f>
        <v>#REF!</v>
      </c>
      <c r="AZ551" s="20"/>
      <c r="BA551" s="20" t="e">
        <f>IF(OR(ISBLANK(#REF!), ISBLANK(AS551)), "Incomplete", (60.7*AS551)+(45.3*#REF!)-2055)</f>
        <v>#REF!</v>
      </c>
      <c r="BB551" s="20"/>
      <c r="BC551" s="20" t="e">
        <f>IF(OR(ISBLANK(#REF!), ISBLANK(AU551)), "Incomplete", (60.7*AU551)+(45.3*#REF!)-2055)</f>
        <v>#REF!</v>
      </c>
      <c r="BD551" s="20"/>
      <c r="BE551" s="20" t="e">
        <f>IF(OR(ISBLANK(#REF!), ISBLANK(AW551)), "Incomplete", (60.7*AW551)+(45.3*#REF!)-2055)</f>
        <v>#REF!</v>
      </c>
      <c r="BF551" s="20"/>
      <c r="BG551" s="20">
        <v>10</v>
      </c>
      <c r="BH551" s="20">
        <v>29</v>
      </c>
      <c r="BI551" s="20" t="e">
        <f>IF(OR(ISBLANK(#REF!), ISBLANK(#REF!)),"Incomplete",(SUM(#REF!-#REF!)))</f>
        <v>#REF!</v>
      </c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91" t="str">
        <f>IFERROR(SUM(BQ551+BR551+BS551)/(3*(#REF!-S551))*100, "Incomplete")</f>
        <v>Incomplete</v>
      </c>
      <c r="BX551" s="91" t="str">
        <f>_xlfn.XLOOKUP(BW551,'Normative data'!$V$3:$V$6,'Normative data'!$W$3:$W$6,"Not Found",-1)</f>
        <v>Very low risk</v>
      </c>
      <c r="BY551" s="91" t="str">
        <f>IFERROR(SUM(BT551+BU551+BV551)/(3*(#REF!-S551))*100, "Incomplete")</f>
        <v>Incomplete</v>
      </c>
      <c r="BZ551" s="91" t="str">
        <f>_xlfn.XLOOKUP(BY551,'Normative data'!$V$3:$V$6,'Normative data'!$W$3:$W$6,"Not Found",-1)</f>
        <v>Very low risk</v>
      </c>
      <c r="CA551" s="20"/>
      <c r="CC551" s="20"/>
      <c r="CE551" s="20">
        <v>17</v>
      </c>
      <c r="CG551" s="20"/>
      <c r="CH551" s="20" t="str">
        <f>_xlfn.XLOOKUP(CG551, 'Normative data'!$S$9:$S$15,'Normative data'!$T$9:$T$15, "Not Found", -1)</f>
        <v>not completed</v>
      </c>
      <c r="CI551" s="20"/>
      <c r="CJ551" s="20" t="str">
        <f>_xlfn.XLOOKUP(CI551, 'Normative data'!$S$9:$S$15, 'Normative data'!$T$9:$T$15, "Not Found", -1)</f>
        <v>not completed</v>
      </c>
      <c r="CK551" s="21">
        <v>2.2200000000000002</v>
      </c>
      <c r="CL551" s="21">
        <v>4.5</v>
      </c>
      <c r="CM551" s="21"/>
      <c r="CN551" s="21">
        <v>6.87</v>
      </c>
      <c r="CO551" s="21">
        <v>7.28</v>
      </c>
      <c r="CQ551" s="20"/>
      <c r="CR551" s="20" t="str" cm="1">
        <f t="array" ref="CR551">IF(OR(ISBLANK(E551),ISBLANK(CQ551)),"Incomplete",_xlfn.XLOOKUP(CQ551,_xlfn.XLOOKUP(E551,'Normative data'!$Y$3:$Y$6,'Normative data'!$Z$3:$AG$6,,-1),'Normative data'!$Z$2:$AG$2,"Not Found",-1))</f>
        <v>Incomplete</v>
      </c>
      <c r="CS551" s="20"/>
      <c r="CT551" s="20"/>
      <c r="CU551" s="20" t="str" cm="1">
        <f t="array" ref="CU551">_xlfn.XLOOKUP(CS551&amp;CT551,(VLOOKUP!$A$3:$A$250)&amp;(VLOOKUP!$B$3:$B$250),VLOOKUP!$C$3:$C$250,"Incomplete",-1)</f>
        <v>Incomplete</v>
      </c>
      <c r="CV551" s="20" t="str" cm="1">
        <f t="array" ref="CV551">_xlfn.XLOOKUP(CU551, _xlfn.XLOOKUP(E551, 'Normative data'!$Y$11:$Y$14, 'Normative data'!$Z$11:$AG$14, ,-1), 'Normative data'!$Z$10:$AG$10, "Not Found", -1)</f>
        <v>Excellent</v>
      </c>
      <c r="CW551" s="20" t="str" cm="1">
        <f t="array" ref="CW551">IF(OR(ISBLANK(CS551),ISBLANK(CT551)),"Incomplete",_xlfn.XLOOKUP(CS551&amp;CT551,VLOOKUP!$A$4:$A$250&amp;VLOOKUP!$B$4:$B$250,VLOOKUP!$D$4:$D$250,"0"))</f>
        <v>Incomplete</v>
      </c>
    </row>
    <row r="552" spans="1:101">
      <c r="A552" s="17" t="s">
        <v>1142</v>
      </c>
      <c r="B552" s="17" t="s">
        <v>1081</v>
      </c>
      <c r="C552" s="17" t="s">
        <v>86</v>
      </c>
      <c r="D552" s="19">
        <v>40365</v>
      </c>
      <c r="F552" s="17">
        <v>9</v>
      </c>
      <c r="G552" s="17">
        <v>2025</v>
      </c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41" t="str">
        <f>IF(OR(ISBLANK(U552), ISBLANK(AQ552)), "Incomplete", (60.7*AQ552)+(45.3*U552)-2055)</f>
        <v>Incomplete</v>
      </c>
      <c r="AZ552" s="20"/>
      <c r="BA552" s="20" t="str">
        <f>IF(OR(ISBLANK(U552), ISBLANK(AS552)), "Incomplete", (60.7*AS552)+(45.3*U552)-2055)</f>
        <v>Incomplete</v>
      </c>
      <c r="BB552" s="20"/>
      <c r="BC552" s="20" t="str">
        <f>IF(OR(ISBLANK(U552), ISBLANK(AU552)), "Incomplete", (60.7*AU552)+(45.3*U552)-2055)</f>
        <v>Incomplete</v>
      </c>
      <c r="BD552" s="20"/>
      <c r="BE552" s="20" t="str">
        <f>IF(OR(ISBLANK(U552), ISBLANK(AW552)), "Incomplete", (60.7*AW552)+(45.3*U552)-2055)</f>
        <v>Incomplete</v>
      </c>
      <c r="BF552" s="20"/>
      <c r="BG552" s="20"/>
      <c r="BH552" s="20"/>
      <c r="BI552" s="20" t="str">
        <f>IF(OR(ISBLANK(BG552), ISBLANK(BH552)),"Incomplete",(SUM(BH552-BG552)))</f>
        <v>Incomplete</v>
      </c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91" t="str">
        <f>IFERROR(SUM(BQ552+BR552+BS552)/(3*(T552-S552))*100, "Incomplete")</f>
        <v>Incomplete</v>
      </c>
      <c r="BX552" s="91" t="str">
        <f>_xlfn.XLOOKUP(BW552,'Normative data'!$V$3:$V$6,'Normative data'!$W$3:$W$6,"Not Found",-1)</f>
        <v>Very low risk</v>
      </c>
      <c r="BY552" s="91" t="str">
        <f>IFERROR(SUM(BT552+BU552+BV552)/(3*(T552-S552))*100, "Incomplete")</f>
        <v>Incomplete</v>
      </c>
      <c r="BZ552" s="91" t="str">
        <f>_xlfn.XLOOKUP(BY552,'Normative data'!$V$3:$V$6,'Normative data'!$W$3:$W$6,"Not Found",-1)</f>
        <v>Very low risk</v>
      </c>
      <c r="CA552" s="20"/>
      <c r="CC552" s="20"/>
      <c r="CE552" s="20"/>
      <c r="CG552" s="20"/>
      <c r="CH552" s="20" t="str">
        <f>_xlfn.XLOOKUP(CG552, 'Normative data'!$S$9:$S$15,'Normative data'!$T$9:$T$15, "Not Found", -1)</f>
        <v>not completed</v>
      </c>
      <c r="CI552" s="20"/>
      <c r="CJ552" s="20" t="str">
        <f>_xlfn.XLOOKUP(CI552, 'Normative data'!$S$9:$S$15, 'Normative data'!$T$9:$T$15, "Not Found", -1)</f>
        <v>not completed</v>
      </c>
      <c r="CK552" s="20" t="s">
        <v>204</v>
      </c>
      <c r="CL552" s="20" t="s">
        <v>802</v>
      </c>
      <c r="CN552" s="20" t="s">
        <v>1145</v>
      </c>
      <c r="CO552" s="20" t="s">
        <v>1146</v>
      </c>
      <c r="CQ552" s="20"/>
      <c r="CR552" s="20" t="str" cm="1">
        <f t="array" ref="CR552">IF(OR(ISBLANK(E552),ISBLANK(CQ552)),"Incomplete",_xlfn.XLOOKUP(CQ552,_xlfn.XLOOKUP(E552,'Normative data'!$Y$3:$Y$6,'Normative data'!$Z$3:$AG$6,,-1),'Normative data'!$Z$2:$AG$2,"Not Found",-1))</f>
        <v>Incomplete</v>
      </c>
      <c r="CS552" s="20"/>
      <c r="CT552" s="20"/>
      <c r="CU552" s="20" t="str" cm="1">
        <f t="array" ref="CU552">_xlfn.XLOOKUP(CS552&amp;CT552,(VLOOKUP!$A$3:$A$250)&amp;(VLOOKUP!$B$3:$B$250),VLOOKUP!$C$3:$C$250,"Incomplete",-1)</f>
        <v>Incomplete</v>
      </c>
      <c r="CV552" s="20" t="str" cm="1">
        <f t="array" ref="CV552">_xlfn.XLOOKUP(CU552, _xlfn.XLOOKUP(E552, 'Normative data'!$Y$11:$Y$14, 'Normative data'!$Z$11:$AG$14, ,-1), 'Normative data'!$Z$10:$AG$10, "Not Found", -1)</f>
        <v>Excellent</v>
      </c>
      <c r="CW552" s="20" t="str" cm="1">
        <f t="array" ref="CW552">IF(OR(ISBLANK(CS552),ISBLANK(CT552)),"Incomplete",_xlfn.XLOOKUP(CS552&amp;CT552,VLOOKUP!$A$4:$A$250&amp;VLOOKUP!$B$4:$B$250,VLOOKUP!$D$4:$D$250,"0"))</f>
        <v>Incomplete</v>
      </c>
    </row>
    <row r="553" spans="1:101">
      <c r="A553" s="17" t="s">
        <v>1142</v>
      </c>
      <c r="B553" s="17" t="s">
        <v>1147</v>
      </c>
      <c r="C553" s="17" t="s">
        <v>86</v>
      </c>
      <c r="D553" s="19">
        <v>40365</v>
      </c>
      <c r="G553" s="17">
        <v>2025</v>
      </c>
      <c r="S553" s="20"/>
      <c r="T553" s="20" t="s">
        <v>1148</v>
      </c>
      <c r="U553" s="20">
        <v>65</v>
      </c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 t="s">
        <v>1149</v>
      </c>
      <c r="AT553" s="20" t="s">
        <v>1150</v>
      </c>
      <c r="AU553" s="20" t="s">
        <v>1151</v>
      </c>
      <c r="AV553" s="20" t="s">
        <v>1152</v>
      </c>
      <c r="AW553" s="20" t="s">
        <v>1153</v>
      </c>
      <c r="AX553" s="20" t="s">
        <v>1154</v>
      </c>
      <c r="AY553" s="41" t="str">
        <f>IF(OR(ISBLANK(#REF!), ISBLANK(AQ553)), "Incomplete", (60.7*AQ553)+(45.3*#REF!)-2055)</f>
        <v>Incomplete</v>
      </c>
      <c r="AZ553" s="20"/>
      <c r="BA553" s="20" t="e">
        <f>IF(OR(ISBLANK(#REF!), ISBLANK(AS553)), "Incomplete", (60.7*AS553)+(45.3*#REF!)-2055)</f>
        <v>#VALUE!</v>
      </c>
      <c r="BB553" s="20"/>
      <c r="BC553" s="20" t="e">
        <f>IF(OR(ISBLANK(#REF!), ISBLANK(AU553)), "Incomplete", (60.7*AU553)+(45.3*#REF!)-2055)</f>
        <v>#VALUE!</v>
      </c>
      <c r="BD553" s="20"/>
      <c r="BE553" s="20" t="e">
        <f>IF(OR(ISBLANK(#REF!), ISBLANK(AW553)), "Incomplete", (60.7*AW553)+(45.3*#REF!)-2055)</f>
        <v>#VALUE!</v>
      </c>
      <c r="BF553" s="20"/>
      <c r="BG553" s="20"/>
      <c r="BH553" s="20"/>
      <c r="BI553" s="20" t="str">
        <f>IF(OR(ISBLANK(BG553), ISBLANK(BH553)),"Incomplete",(SUM(BH553-BG553)))</f>
        <v>Incomplete</v>
      </c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91" t="str">
        <f>IFERROR(SUM(BQ553+BR553+BS553)/(3*(#REF!-S553))*100, "Incomplete")</f>
        <v>Incomplete</v>
      </c>
      <c r="BX553" s="91" t="str">
        <f>_xlfn.XLOOKUP(BW553,'Normative data'!$V$3:$V$6,'Normative data'!$W$3:$W$6,"Not Found",-1)</f>
        <v>Very low risk</v>
      </c>
      <c r="BY553" s="91" t="str">
        <f>IFERROR(SUM(BT553+BU553+BV553)/(3*(#REF!-S553))*100, "Incomplete")</f>
        <v>Incomplete</v>
      </c>
      <c r="BZ553" s="91" t="str">
        <f>_xlfn.XLOOKUP(BY553,'Normative data'!$V$3:$V$6,'Normative data'!$W$3:$W$6,"Not Found",-1)</f>
        <v>Very low risk</v>
      </c>
      <c r="CA553" s="20"/>
      <c r="CC553" s="20"/>
      <c r="CE553" s="20"/>
      <c r="CG553" s="20"/>
      <c r="CH553" s="20" t="str">
        <f>_xlfn.XLOOKUP(CG553, 'Normative data'!$S$9:$S$15,'Normative data'!$T$9:$T$15, "Not Found", -1)</f>
        <v>not completed</v>
      </c>
      <c r="CI553" s="20"/>
      <c r="CJ553" s="20" t="str">
        <f>_xlfn.XLOOKUP(CI553, 'Normative data'!$S$9:$S$15, 'Normative data'!$T$9:$T$15, "Not Found", -1)</f>
        <v>not completed</v>
      </c>
      <c r="CK553" s="20" t="s">
        <v>245</v>
      </c>
      <c r="CL553" s="20" t="s">
        <v>246</v>
      </c>
      <c r="CN553" s="20" t="s">
        <v>338</v>
      </c>
      <c r="CO553" s="20" t="s">
        <v>337</v>
      </c>
      <c r="CQ553" s="20"/>
      <c r="CR553" s="20" t="str" cm="1">
        <f t="array" ref="CR553">IF(OR(ISBLANK(E553),ISBLANK(CQ553)),"Incomplete",_xlfn.XLOOKUP(CQ553,_xlfn.XLOOKUP(E553,'Normative data'!$Y$3:$Y$6,'Normative data'!$Z$3:$AG$6,,-1),'Normative data'!$Z$2:$AG$2,"Not Found",-1))</f>
        <v>Incomplete</v>
      </c>
      <c r="CS553" s="20"/>
      <c r="CT553" s="20"/>
      <c r="CU553" s="20" t="str" cm="1">
        <f t="array" ref="CU553">_xlfn.XLOOKUP(CS553&amp;CT553,(VLOOKUP!$A$3:$A$250)&amp;(VLOOKUP!$B$3:$B$250),VLOOKUP!$C$3:$C$250,"Incomplete",-1)</f>
        <v>Incomplete</v>
      </c>
      <c r="CV553" s="20" t="str" cm="1">
        <f t="array" ref="CV553">_xlfn.XLOOKUP(CU553, _xlfn.XLOOKUP(E553, 'Normative data'!$Y$11:$Y$14, 'Normative data'!$Z$11:$AG$14, ,-1), 'Normative data'!$Z$10:$AG$10, "Not Found", -1)</f>
        <v>Excellent</v>
      </c>
      <c r="CW553" s="20" t="str" cm="1">
        <f t="array" ref="CW553">IF(OR(ISBLANK(CS553),ISBLANK(CT553)),"Incomplete",_xlfn.XLOOKUP(CS553&amp;CT553,VLOOKUP!$A$4:$A$250&amp;VLOOKUP!$B$4:$B$250,VLOOKUP!$D$4:$D$250,"0"))</f>
        <v>Incomplete</v>
      </c>
    </row>
    <row r="554" spans="1:101">
      <c r="A554" s="17" t="s">
        <v>574</v>
      </c>
      <c r="B554" s="17" t="s">
        <v>573</v>
      </c>
      <c r="C554" s="17" t="s">
        <v>86</v>
      </c>
      <c r="D554" s="26">
        <v>40180</v>
      </c>
      <c r="E554" s="17">
        <v>16.2</v>
      </c>
      <c r="F554" s="20" t="s">
        <v>178</v>
      </c>
      <c r="G554" s="17">
        <v>2026</v>
      </c>
      <c r="I554" s="20">
        <v>2</v>
      </c>
      <c r="J554" s="20"/>
      <c r="K554" s="20"/>
      <c r="L554" s="20"/>
      <c r="S554" s="20">
        <v>93</v>
      </c>
      <c r="T554" s="20">
        <v>176.1</v>
      </c>
      <c r="U554" s="17">
        <v>71.400000000000006</v>
      </c>
      <c r="V554" s="17">
        <v>37.1</v>
      </c>
      <c r="W554" s="17">
        <v>20.8</v>
      </c>
      <c r="X554" s="17">
        <v>50.6</v>
      </c>
      <c r="Y554" s="17">
        <v>27.7</v>
      </c>
      <c r="Z554" s="17">
        <v>23.1</v>
      </c>
      <c r="AA554" s="17">
        <v>29.1</v>
      </c>
      <c r="AB554" s="17">
        <v>8.1999999999999993</v>
      </c>
      <c r="AC554" s="17">
        <v>104.2</v>
      </c>
      <c r="AD554" s="17">
        <v>8.07</v>
      </c>
      <c r="AE554" s="17">
        <v>102.6</v>
      </c>
      <c r="AF554" s="17">
        <v>3.1</v>
      </c>
      <c r="AG554" s="17">
        <v>110.1</v>
      </c>
      <c r="AH554" s="17">
        <v>3.1</v>
      </c>
      <c r="AI554" s="17">
        <v>109.5</v>
      </c>
      <c r="AJ554" s="17">
        <v>278.7</v>
      </c>
      <c r="AK554" s="17">
        <v>287.2</v>
      </c>
      <c r="AL554" s="17">
        <v>254.5</v>
      </c>
      <c r="AM554" s="17">
        <v>262</v>
      </c>
      <c r="AN554" s="17">
        <v>99</v>
      </c>
      <c r="AO554" s="17">
        <v>0.91</v>
      </c>
      <c r="AP554" s="17">
        <v>6.9</v>
      </c>
      <c r="AQ554" s="20"/>
      <c r="AR554" s="20"/>
      <c r="AS554" s="20"/>
      <c r="AT554" s="20"/>
      <c r="AU554" s="20"/>
      <c r="AV554" s="20"/>
      <c r="AW554" s="20"/>
      <c r="AX554" s="20"/>
      <c r="AY554" s="41" t="str">
        <f>IF(OR(ISBLANK(U554), ISBLANK(AQ554)), "Incomplete", (60.7*AQ554)+(45.3*U554)-2055)</f>
        <v>Incomplete</v>
      </c>
      <c r="BA554" s="20" t="str">
        <f>IF(OR(ISBLANK(U554), ISBLANK(AS554)), "Incomplete", (60.7*AS554)+(45.3*U554)-2055)</f>
        <v>Incomplete</v>
      </c>
      <c r="BC554" s="20" t="str">
        <f>IF(OR(ISBLANK(U554), ISBLANK(AU554)), "Incomplete", (60.7*AU554)+(45.3*U554)-2055)</f>
        <v>Incomplete</v>
      </c>
      <c r="BE554" s="20" t="str">
        <f>IF(OR(ISBLANK(U554), ISBLANK(AW554)), "Incomplete", (60.7*AW554)+(45.3*U554)-2055)</f>
        <v>Incomplete</v>
      </c>
      <c r="BH554" s="20"/>
      <c r="BI554" s="20" t="str">
        <f>IF(OR(ISBLANK(BG554), ISBLANK(BH554)),"Incomplete",(SUM(BH554-BG554)))</f>
        <v>Incomplete</v>
      </c>
      <c r="BJ554" s="20"/>
      <c r="BK554" s="17">
        <v>13.1</v>
      </c>
      <c r="BL554" s="20"/>
      <c r="BM554" s="17">
        <v>15.2</v>
      </c>
      <c r="BN554" s="20"/>
      <c r="BW554" s="91">
        <f t="shared" ref="BW554:BW596" si="172">IFERROR(SUM(BQ554+BR554+BS554)/(3*(T554-S554))*100, "Incomplete")</f>
        <v>0</v>
      </c>
      <c r="BX554" s="91" t="str">
        <f>_xlfn.XLOOKUP(BW554,'Normative data'!$V$3:$V$6,'Normative data'!$W$3:$W$6,"Not Found",-1)</f>
        <v>Not completed</v>
      </c>
      <c r="BY554" s="91">
        <f t="shared" ref="BY554:BY596" si="173">IFERROR(SUM(BT554+BU554+BV554)/(3*(T554-S554))*100, "Incomplete")</f>
        <v>0</v>
      </c>
      <c r="BZ554" s="91" t="str">
        <f>_xlfn.XLOOKUP(BY554,'Normative data'!$V$3:$V$6,'Normative data'!$W$3:$W$6,"Not Found",-1)</f>
        <v>Not completed</v>
      </c>
      <c r="CA554" s="20"/>
      <c r="CC554" s="20"/>
      <c r="CE554" s="20"/>
      <c r="CG554" s="20"/>
      <c r="CH554" s="20" t="str">
        <f>_xlfn.XLOOKUP(CG554, 'Normative data'!$S$9:$S$15,'Normative data'!$T$9:$T$15, "Not Found", -1)</f>
        <v>not completed</v>
      </c>
      <c r="CI554" s="20"/>
      <c r="CJ554" s="20" t="str">
        <f>_xlfn.XLOOKUP(CI554, 'Normative data'!$S$9:$S$15, 'Normative data'!$T$9:$T$15, "Not Found", -1)</f>
        <v>not completed</v>
      </c>
      <c r="CK554" s="21"/>
      <c r="CL554" s="21"/>
      <c r="CM554" s="21"/>
      <c r="CN554" s="21"/>
      <c r="CO554" s="21"/>
      <c r="CQ554" s="17">
        <v>2.8</v>
      </c>
      <c r="CR554" s="20" t="str" cm="1">
        <f t="array" ref="CR554">IF(OR(ISBLANK(E554),ISBLANK(CQ554)),"Incomplete",_xlfn.XLOOKUP(CQ554,_xlfn.XLOOKUP(E554,'Normative data'!$Y$3:$Y$6,'Normative data'!$Z$3:$AG$6,,-1),'Normative data'!$Z$2:$AG$2,"Not Found",-1))</f>
        <v>Very poor</v>
      </c>
      <c r="CS554" s="20">
        <v>2</v>
      </c>
      <c r="CT554" s="20">
        <v>8</v>
      </c>
      <c r="CU554" s="20" cm="1">
        <f t="array" ref="CU554">_xlfn.XLOOKUP(CS554&amp;CT554,(VLOOKUP!$A$3:$A$250)&amp;(VLOOKUP!$B$3:$B$250),VLOOKUP!$C$3:$C$250,"Incomplete",-1)</f>
        <v>300</v>
      </c>
      <c r="CV554" s="20" t="str" cm="1">
        <f t="array" ref="CV554">_xlfn.XLOOKUP(CU554, _xlfn.XLOOKUP(E554, 'Normative data'!$Y$11:$Y$14, 'Normative data'!$Z$11:$AG$14, ,-1), 'Normative data'!$Z$10:$AG$10, "Not Found", -1)</f>
        <v xml:space="preserve">Very poor </v>
      </c>
      <c r="CW554" s="20" cm="1">
        <f t="array" ref="CW554">IF(OR(ISBLANK(CS554),ISBLANK(CT554)),"Incomplete",_xlfn.XLOOKUP(CS554&amp;CT554,VLOOKUP!$A$4:$A$250&amp;VLOOKUP!$B$4:$B$250,VLOOKUP!$D$4:$D$250,"0"))</f>
        <v>23</v>
      </c>
    </row>
    <row r="555" spans="1:101">
      <c r="A555" s="17" t="s">
        <v>1092</v>
      </c>
      <c r="B555" s="17" t="s">
        <v>1091</v>
      </c>
      <c r="C555" s="17" t="s">
        <v>86</v>
      </c>
      <c r="D555" s="26">
        <v>40725</v>
      </c>
      <c r="E555" s="17">
        <v>15.3</v>
      </c>
      <c r="F555" s="20" t="s">
        <v>87</v>
      </c>
      <c r="G555" s="17">
        <v>2026</v>
      </c>
      <c r="I555" s="20">
        <v>2</v>
      </c>
      <c r="J555" s="20" t="s">
        <v>88</v>
      </c>
      <c r="K555" s="20" t="s">
        <v>218</v>
      </c>
      <c r="L555" s="20"/>
      <c r="S555" s="20">
        <v>81.599999999999994</v>
      </c>
      <c r="T555" s="20">
        <v>162.5</v>
      </c>
      <c r="U555" s="17">
        <v>55.5</v>
      </c>
      <c r="V555" s="17">
        <v>31</v>
      </c>
      <c r="W555" s="17">
        <v>13.1</v>
      </c>
      <c r="X555" s="17">
        <v>42.4</v>
      </c>
      <c r="Y555" s="17">
        <v>23.3</v>
      </c>
      <c r="Z555" s="17">
        <v>21</v>
      </c>
      <c r="AA555" s="17">
        <v>23.6</v>
      </c>
      <c r="AB555" s="17">
        <v>6.25</v>
      </c>
      <c r="AC555" s="17">
        <v>97.5</v>
      </c>
      <c r="AD555" s="17">
        <v>6.15</v>
      </c>
      <c r="AE555" s="17">
        <v>95.9</v>
      </c>
      <c r="AF555" s="17" t="s">
        <v>1155</v>
      </c>
      <c r="AG555" s="17">
        <v>85.8</v>
      </c>
      <c r="AH555" s="17">
        <v>2</v>
      </c>
      <c r="AI555" s="17">
        <v>85.2</v>
      </c>
      <c r="AJ555" s="17">
        <v>361</v>
      </c>
      <c r="AK555" s="17">
        <v>377.1</v>
      </c>
      <c r="AL555" s="17">
        <v>315.60000000000002</v>
      </c>
      <c r="AM555" s="17">
        <v>330.7</v>
      </c>
      <c r="AN555" s="17">
        <v>102</v>
      </c>
      <c r="AO555" s="17">
        <v>0.87</v>
      </c>
      <c r="AP555" s="17">
        <v>6.3</v>
      </c>
      <c r="AQ555" s="17">
        <v>22.8</v>
      </c>
      <c r="AR555" s="17">
        <v>0.43099999999999999</v>
      </c>
      <c r="AS555" s="17">
        <v>27.2</v>
      </c>
      <c r="AT555" s="17">
        <v>0.47099999999999997</v>
      </c>
      <c r="AU555" s="17">
        <v>11.9</v>
      </c>
      <c r="AV555" s="17">
        <v>0.311</v>
      </c>
      <c r="AW555" s="17">
        <v>12.7</v>
      </c>
      <c r="AX555" s="17">
        <v>0.32200000000000001</v>
      </c>
      <c r="AY555" s="41">
        <f>IF(OR(ISBLANK(U555), ISBLANK(AQ555)), "Incomplete", (60.7*AQ555)+(45.3*U555)-2055)</f>
        <v>1843.1099999999997</v>
      </c>
      <c r="BA555" s="20">
        <f>IF(OR(ISBLANK(U555), ISBLANK(AS555)), "Incomplete", (60.7*AS555)+(45.3*U555)-2055)</f>
        <v>2110.1899999999996</v>
      </c>
      <c r="BC555" s="20">
        <f>IF(OR(ISBLANK(U555), ISBLANK(AU555)), "Incomplete", (60.7*AU555)+(45.3*U555)-2055)</f>
        <v>1181.4799999999996</v>
      </c>
      <c r="BE555" s="20">
        <f>IF(OR(ISBLANK(U555), ISBLANK(AW555)), "Incomplete", (60.7*AW555)+(45.3*U555)-2055)</f>
        <v>1230.0399999999995</v>
      </c>
      <c r="BG555" s="17">
        <v>16.5</v>
      </c>
      <c r="BH555" s="17">
        <v>50</v>
      </c>
      <c r="BI555" s="20">
        <f>IF(OR(ISBLANK(BG555), ISBLANK(BH555)),"Incomplete",(SUM(BH555-BG555)))</f>
        <v>33.5</v>
      </c>
      <c r="BJ555" s="20"/>
      <c r="BK555" s="17">
        <v>6</v>
      </c>
      <c r="BL555" s="20"/>
      <c r="BM555" s="17">
        <v>6.5</v>
      </c>
      <c r="BN555" s="20"/>
      <c r="BO555" s="17">
        <v>46</v>
      </c>
      <c r="BP555" s="17">
        <v>48</v>
      </c>
      <c r="BQ555" s="17">
        <v>66</v>
      </c>
      <c r="BR555" s="17">
        <v>82</v>
      </c>
      <c r="BS555" s="17">
        <v>77</v>
      </c>
      <c r="BT555" s="17">
        <v>73</v>
      </c>
      <c r="BU555" s="17">
        <v>80</v>
      </c>
      <c r="BV555" s="17">
        <v>77</v>
      </c>
      <c r="BW555" s="91">
        <f t="shared" si="172"/>
        <v>92.707045735475887</v>
      </c>
      <c r="BX555" s="91" t="str">
        <f>_xlfn.XLOOKUP(BW555,'Normative data'!$V$3:$V$6,'Normative data'!$W$3:$W$6,"Not Found",-1)</f>
        <v>High risk</v>
      </c>
      <c r="BY555" s="91">
        <f t="shared" si="173"/>
        <v>94.767202307375356</v>
      </c>
      <c r="BZ555" s="91" t="str">
        <f>_xlfn.XLOOKUP(BY555,'Normative data'!$V$3:$V$6,'Normative data'!$W$3:$W$6,"Not Found",-1)</f>
        <v>High risk</v>
      </c>
      <c r="CA555" s="17">
        <v>29</v>
      </c>
      <c r="CC555" s="20"/>
      <c r="CE555" s="17">
        <v>12</v>
      </c>
      <c r="CG555" s="17">
        <v>19.13</v>
      </c>
      <c r="CH555" s="20" t="str">
        <f>_xlfn.XLOOKUP(CG555, 'Normative data'!$S$9:$S$15,'Normative data'!$T$9:$T$15, "Not Found", -1)</f>
        <v>Average</v>
      </c>
      <c r="CI555" s="17">
        <v>22</v>
      </c>
      <c r="CJ555" s="20" t="str">
        <f>_xlfn.XLOOKUP(CI555, 'Normative data'!$S$9:$S$15, 'Normative data'!$T$9:$T$15, "Not Found", -1)</f>
        <v>Below Average</v>
      </c>
      <c r="CK555" s="17">
        <v>2.27</v>
      </c>
      <c r="CL555" s="17">
        <v>4.41</v>
      </c>
      <c r="CN555" s="17">
        <v>7.6</v>
      </c>
      <c r="CO555" s="17">
        <v>6.58</v>
      </c>
      <c r="CR555" s="20" t="str" cm="1">
        <f t="array" ref="CR555">IF(OR(ISBLANK(E555),ISBLANK(CQ555)),"Incomplete",_xlfn.XLOOKUP(CQ555,_xlfn.XLOOKUP(E555,'Normative data'!$Y$3:$Y$6,'Normative data'!$Z$3:$AG$6,,-1),'Normative data'!$Z$2:$AG$2,"Not Found",-1))</f>
        <v>Incomplete</v>
      </c>
      <c r="CS555" s="20"/>
      <c r="CT555" s="20"/>
      <c r="CU555" s="20" t="str" cm="1">
        <f t="array" ref="CU555">_xlfn.XLOOKUP(CS555&amp;CT555,(VLOOKUP!$A$3:$A$250)&amp;(VLOOKUP!$B$3:$B$250),VLOOKUP!$C$3:$C$250,"Incomplete",-1)</f>
        <v>Incomplete</v>
      </c>
      <c r="CV555" s="20" t="str" cm="1">
        <f t="array" ref="CV555">_xlfn.XLOOKUP(CU555, _xlfn.XLOOKUP(E555, 'Normative data'!$Y$11:$Y$14, 'Normative data'!$Z$11:$AG$14, ,-1), 'Normative data'!$Z$10:$AG$10, "Not Found", -1)</f>
        <v>Excellent</v>
      </c>
      <c r="CW555" s="20" t="str" cm="1">
        <f t="array" ref="CW555">IF(OR(ISBLANK(CS555),ISBLANK(CT555)),"Incomplete",_xlfn.XLOOKUP(CS555&amp;CT555,VLOOKUP!$A$4:$A$250&amp;VLOOKUP!$B$4:$B$250,VLOOKUP!$D$4:$D$250,"0"))</f>
        <v>Incomplete</v>
      </c>
    </row>
    <row r="556" spans="1:101">
      <c r="A556" s="22" t="s">
        <v>1156</v>
      </c>
      <c r="B556" s="22" t="s">
        <v>1157</v>
      </c>
      <c r="C556" s="17" t="s">
        <v>86</v>
      </c>
      <c r="D556" s="23">
        <v>40647</v>
      </c>
      <c r="F556" s="17">
        <v>8</v>
      </c>
      <c r="G556" s="17">
        <v>2025</v>
      </c>
      <c r="J556" s="17" t="s">
        <v>122</v>
      </c>
      <c r="S556" s="20"/>
      <c r="T556" s="20">
        <v>155</v>
      </c>
      <c r="U556" s="20">
        <v>56.8</v>
      </c>
      <c r="V556" s="20"/>
      <c r="W556" s="20">
        <v>17.8</v>
      </c>
      <c r="X556" s="20">
        <f>SUM(T556-W556)</f>
        <v>137.19999999999999</v>
      </c>
      <c r="Y556" s="20">
        <v>21.3</v>
      </c>
      <c r="Z556" s="20">
        <v>23.6</v>
      </c>
      <c r="AA556" s="20">
        <v>31.4</v>
      </c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>
        <v>25</v>
      </c>
      <c r="AR556" s="20">
        <v>0.45300000000000001</v>
      </c>
      <c r="AS556" s="20">
        <v>29.7</v>
      </c>
      <c r="AT556" s="20">
        <v>0.49199999999999999</v>
      </c>
      <c r="AU556" s="20">
        <v>13.7</v>
      </c>
      <c r="AV556" s="20">
        <v>0.33400000000000002</v>
      </c>
      <c r="AW556" s="20">
        <v>18.5</v>
      </c>
      <c r="AX556" s="20">
        <v>0.38800000000000001</v>
      </c>
      <c r="AY556" s="41" t="e">
        <f>IF(OR(ISBLANK(U556), ISBLANK(#REF!)), "Incomplete", (60.7*#REF!)+(45.3*U556)-2055)</f>
        <v>#REF!</v>
      </c>
      <c r="AZ556" s="20"/>
      <c r="BA556" s="20" t="e">
        <f>IF(OR(ISBLANK(U556), ISBLANK(#REF!)), "Incomplete", (60.7*#REF!)+(45.3*U556)-2055)</f>
        <v>#REF!</v>
      </c>
      <c r="BB556" s="20"/>
      <c r="BC556" s="20" t="e">
        <f>IF(OR(ISBLANK(U556), ISBLANK(#REF!)), "Incomplete", (60.7*#REF!)+(45.3*U556)-2055)</f>
        <v>#REF!</v>
      </c>
      <c r="BD556" s="20"/>
      <c r="BE556" s="20" t="e">
        <f>IF(OR(ISBLANK(U556), ISBLANK(#REF!)), "Incomplete", (60.7*#REF!)+(45.3*U556)-2055)</f>
        <v>#REF!</v>
      </c>
      <c r="BF556" s="20"/>
      <c r="BG556" s="20">
        <v>13</v>
      </c>
      <c r="BH556" s="20">
        <v>54</v>
      </c>
      <c r="BI556" s="20" t="e">
        <f>IF(OR(ISBLANK(#REF!), ISBLANK(#REF!)),"Incomplete",(SUM(#REF!-#REF!)))</f>
        <v>#REF!</v>
      </c>
      <c r="BJ556" s="20"/>
      <c r="BK556" s="20">
        <v>11</v>
      </c>
      <c r="BL556" s="20"/>
      <c r="BM556" s="20">
        <v>10</v>
      </c>
      <c r="BN556" s="20"/>
      <c r="BO556" s="20"/>
      <c r="BP556" s="20"/>
      <c r="BQ556" s="20"/>
      <c r="BR556" s="20"/>
      <c r="BS556" s="20"/>
      <c r="BT556" s="20"/>
      <c r="BU556" s="20"/>
      <c r="BV556" s="20"/>
      <c r="BW556" s="91">
        <f t="shared" si="172"/>
        <v>0</v>
      </c>
      <c r="BX556" s="91" t="str">
        <f>_xlfn.XLOOKUP(BW556,'Normative data'!$V$3:$V$6,'Normative data'!$W$3:$W$6,"Not Found",-1)</f>
        <v>Not completed</v>
      </c>
      <c r="BY556" s="91">
        <f t="shared" si="173"/>
        <v>0</v>
      </c>
      <c r="BZ556" s="91" t="str">
        <f>_xlfn.XLOOKUP(BY556,'Normative data'!$V$3:$V$6,'Normative data'!$W$3:$W$6,"Not Found",-1)</f>
        <v>Not completed</v>
      </c>
      <c r="CA556" s="20"/>
      <c r="CC556" s="20"/>
      <c r="CE556" s="20">
        <v>2</v>
      </c>
      <c r="CG556" s="20">
        <v>18.07</v>
      </c>
      <c r="CH556" s="20" t="e">
        <f>_xlfn.XLOOKUP(#REF!, 'Normative data'!$S$9:$S$15,'Normative data'!$T$9:$T$15, "Not Found", -1)</f>
        <v>#REF!</v>
      </c>
      <c r="CI556" s="20">
        <v>17.64</v>
      </c>
      <c r="CJ556" s="20" t="e">
        <f>_xlfn.XLOOKUP(#REF!, 'Normative data'!$S$9:$S$15, 'Normative data'!$T$9:$T$15, "Not Found", -1)</f>
        <v>#REF!</v>
      </c>
      <c r="CK556" s="24">
        <v>2.0499999999999998</v>
      </c>
      <c r="CL556" s="24">
        <v>4.88</v>
      </c>
      <c r="CM556" s="21"/>
      <c r="CN556" s="24">
        <v>6.49</v>
      </c>
      <c r="CO556" s="24">
        <v>7.7</v>
      </c>
      <c r="CP556" s="24"/>
      <c r="CQ556" s="20"/>
      <c r="CR556" s="20" t="str" cm="1">
        <f t="array" ref="CR556">IF(OR(ISBLANK(E556),ISBLANK(CQ556)),"Incomplete",_xlfn.XLOOKUP(CQ556,_xlfn.XLOOKUP(E556,'Normative data'!$Y$3:$Y$6,'Normative data'!$Z$3:$AG$6,,-1),'Normative data'!$Z$2:$AG$2,"Not Found",-1))</f>
        <v>Incomplete</v>
      </c>
      <c r="CS556" s="20"/>
      <c r="CT556" s="20"/>
      <c r="CU556" s="20" t="str" cm="1">
        <f t="array" ref="CU556">_xlfn.XLOOKUP(CS556&amp;CT556,(VLOOKUP!$A$3:$A$250)&amp;(VLOOKUP!$B$3:$B$250),VLOOKUP!$C$3:$C$250,"Incomplete",-1)</f>
        <v>Incomplete</v>
      </c>
      <c r="CV556" s="20" t="str" cm="1">
        <f t="array" ref="CV556">_xlfn.XLOOKUP(CU556, _xlfn.XLOOKUP(E556, 'Normative data'!$Y$11:$Y$14, 'Normative data'!$Z$11:$AG$14, ,-1), 'Normative data'!$Z$10:$AG$10, "Not Found", -1)</f>
        <v>Excellent</v>
      </c>
      <c r="CW556" s="20" t="str" cm="1">
        <f t="array" ref="CW556">IF(OR(ISBLANK(CS556),ISBLANK(CT556)),"Incomplete",_xlfn.XLOOKUP(CS556&amp;CT556,VLOOKUP!$A$4:$A$250&amp;VLOOKUP!$B$4:$B$250,VLOOKUP!$D$4:$D$250,"0"))</f>
        <v>Incomplete</v>
      </c>
    </row>
    <row r="557" spans="1:101">
      <c r="A557" s="17" t="s">
        <v>1156</v>
      </c>
      <c r="B557" s="17" t="s">
        <v>1157</v>
      </c>
      <c r="C557" s="17" t="s">
        <v>86</v>
      </c>
      <c r="D557" s="23">
        <v>40647</v>
      </c>
      <c r="G557" s="17">
        <v>2025</v>
      </c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41" t="str">
        <f>IF(OR(ISBLANK(U557), ISBLANK(AQ557)), "Incomplete", (60.7*AQ557)+(45.3*U557)-2055)</f>
        <v>Incomplete</v>
      </c>
      <c r="AZ557" s="20"/>
      <c r="BA557" s="20" t="str">
        <f>IF(OR(ISBLANK(U557), ISBLANK(AS557)), "Incomplete", (60.7*AS557)+(45.3*U557)-2055)</f>
        <v>Incomplete</v>
      </c>
      <c r="BB557" s="20"/>
      <c r="BC557" s="20" t="str">
        <f>IF(OR(ISBLANK(U557), ISBLANK(AU557)), "Incomplete", (60.7*AU557)+(45.3*U557)-2055)</f>
        <v>Incomplete</v>
      </c>
      <c r="BD557" s="20"/>
      <c r="BE557" s="20" t="str">
        <f>IF(OR(ISBLANK(U557), ISBLANK(AW557)), "Incomplete", (60.7*AW557)+(45.3*U557)-2055)</f>
        <v>Incomplete</v>
      </c>
      <c r="BF557" s="20"/>
      <c r="BG557" s="20"/>
      <c r="BH557" s="20"/>
      <c r="BI557" s="20" t="str">
        <f>IF(OR(ISBLANK(BG557), ISBLANK(BH557)),"Incomplete",(SUM(BH557-BG557)))</f>
        <v>Incomplete</v>
      </c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91" t="str">
        <f t="shared" si="172"/>
        <v>Incomplete</v>
      </c>
      <c r="BX557" s="91" t="str">
        <f>_xlfn.XLOOKUP(BW557,'Normative data'!$V$3:$V$6,'Normative data'!$W$3:$W$6,"Not Found",-1)</f>
        <v>Very low risk</v>
      </c>
      <c r="BY557" s="91" t="str">
        <f t="shared" si="173"/>
        <v>Incomplete</v>
      </c>
      <c r="BZ557" s="91" t="str">
        <f>_xlfn.XLOOKUP(BY557,'Normative data'!$V$3:$V$6,'Normative data'!$W$3:$W$6,"Not Found",-1)</f>
        <v>Very low risk</v>
      </c>
      <c r="CA557" s="20"/>
      <c r="CC557" s="20"/>
      <c r="CE557" s="20"/>
      <c r="CG557" s="20">
        <v>17.82</v>
      </c>
      <c r="CH557" s="20" t="str">
        <f>_xlfn.XLOOKUP(CG557, 'Normative data'!$S$9:$S$15,'Normative data'!$T$9:$T$15, "Not Found", -1)</f>
        <v>Above Average</v>
      </c>
      <c r="CI557" s="20">
        <v>17.43</v>
      </c>
      <c r="CJ557" s="20" t="str">
        <f>_xlfn.XLOOKUP(CI557, 'Normative data'!$S$9:$S$15, 'Normative data'!$T$9:$T$15, "Not Found", -1)</f>
        <v>Above Average</v>
      </c>
      <c r="CK557" s="21"/>
      <c r="CL557" s="21"/>
      <c r="CM557" s="21"/>
      <c r="CN557" s="21"/>
      <c r="CO557" s="21"/>
      <c r="CQ557" s="20"/>
      <c r="CR557" s="20" t="str" cm="1">
        <f t="array" ref="CR557">IF(OR(ISBLANK(E557),ISBLANK(CQ557)),"Incomplete",_xlfn.XLOOKUP(CQ557,_xlfn.XLOOKUP(E557,'Normative data'!$Y$3:$Y$6,'Normative data'!$Z$3:$AG$6,,-1),'Normative data'!$Z$2:$AG$2,"Not Found",-1))</f>
        <v>Incomplete</v>
      </c>
      <c r="CS557" s="20"/>
      <c r="CT557" s="20"/>
      <c r="CU557" s="20" t="str" cm="1">
        <f t="array" ref="CU557">_xlfn.XLOOKUP(CS557&amp;CT557,(VLOOKUP!$A$3:$A$250)&amp;(VLOOKUP!$B$3:$B$250),VLOOKUP!$C$3:$C$250,"Incomplete",-1)</f>
        <v>Incomplete</v>
      </c>
      <c r="CV557" s="20" t="str" cm="1">
        <f t="array" ref="CV557">_xlfn.XLOOKUP(CU557, _xlfn.XLOOKUP(E557, 'Normative data'!$Y$11:$Y$14, 'Normative data'!$Z$11:$AG$14, ,-1), 'Normative data'!$Z$10:$AG$10, "Not Found", -1)</f>
        <v>Excellent</v>
      </c>
      <c r="CW557" s="20" t="str" cm="1">
        <f t="array" ref="CW557">IF(OR(ISBLANK(CS557),ISBLANK(CT557)),"Incomplete",_xlfn.XLOOKUP(CS557&amp;CT557,VLOOKUP!$A$4:$A$250&amp;VLOOKUP!$B$4:$B$250,VLOOKUP!$D$4:$D$250,"0"))</f>
        <v>Incomplete</v>
      </c>
    </row>
    <row r="558" spans="1:101">
      <c r="A558" s="17" t="s">
        <v>1156</v>
      </c>
      <c r="B558" s="17" t="s">
        <v>1157</v>
      </c>
      <c r="C558" s="17" t="s">
        <v>86</v>
      </c>
      <c r="D558" s="23">
        <v>40647</v>
      </c>
      <c r="G558" s="17">
        <v>2025</v>
      </c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41" t="str">
        <f>IF(OR(ISBLANK(U558), ISBLANK(AQ558)), "Incomplete", (60.7*AQ558)+(45.3*U558)-2055)</f>
        <v>Incomplete</v>
      </c>
      <c r="AZ558" s="20"/>
      <c r="BA558" s="20" t="str">
        <f>IF(OR(ISBLANK(U558), ISBLANK(AS558)), "Incomplete", (60.7*AS558)+(45.3*U558)-2055)</f>
        <v>Incomplete</v>
      </c>
      <c r="BB558" s="20"/>
      <c r="BC558" s="20" t="str">
        <f>IF(OR(ISBLANK(U558), ISBLANK(AU558)), "Incomplete", (60.7*AU558)+(45.3*U558)-2055)</f>
        <v>Incomplete</v>
      </c>
      <c r="BD558" s="20"/>
      <c r="BE558" s="20" t="str">
        <f>IF(OR(ISBLANK(U558), ISBLANK(AW558)), "Incomplete", (60.7*AW558)+(45.3*U558)-2055)</f>
        <v>Incomplete</v>
      </c>
      <c r="BF558" s="20"/>
      <c r="BG558" s="20"/>
      <c r="BH558" s="20"/>
      <c r="BI558" s="20" t="str">
        <f>IF(OR(ISBLANK(BG558), ISBLANK(BH558)),"Incomplete",(SUM(BH558-BG558)))</f>
        <v>Incomplete</v>
      </c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91" t="str">
        <f t="shared" si="172"/>
        <v>Incomplete</v>
      </c>
      <c r="BX558" s="91" t="str">
        <f>_xlfn.XLOOKUP(BW558,'Normative data'!$V$3:$V$6,'Normative data'!$W$3:$W$6,"Not Found",-1)</f>
        <v>Very low risk</v>
      </c>
      <c r="BY558" s="91" t="str">
        <f t="shared" si="173"/>
        <v>Incomplete</v>
      </c>
      <c r="BZ558" s="91" t="str">
        <f>_xlfn.XLOOKUP(BY558,'Normative data'!$V$3:$V$6,'Normative data'!$W$3:$W$6,"Not Found",-1)</f>
        <v>Very low risk</v>
      </c>
      <c r="CA558" s="20"/>
      <c r="CC558" s="20"/>
      <c r="CE558" s="20"/>
      <c r="CG558" s="20">
        <v>17.43</v>
      </c>
      <c r="CH558" s="20" t="str">
        <f>_xlfn.XLOOKUP(CG558, 'Normative data'!$S$9:$S$15,'Normative data'!$T$9:$T$15, "Not Found", -1)</f>
        <v>Above Average</v>
      </c>
      <c r="CI558" s="20">
        <v>18.23</v>
      </c>
      <c r="CJ558" s="20" t="str">
        <f>_xlfn.XLOOKUP(CI558, 'Normative data'!$S$9:$S$15, 'Normative data'!$T$9:$T$15, "Not Found", -1)</f>
        <v>Average</v>
      </c>
      <c r="CK558" s="21"/>
      <c r="CL558" s="21"/>
      <c r="CM558" s="21"/>
      <c r="CN558" s="21"/>
      <c r="CO558" s="21"/>
      <c r="CQ558" s="20"/>
      <c r="CR558" s="20" t="str" cm="1">
        <f t="array" ref="CR558">IF(OR(ISBLANK(E558),ISBLANK(CQ558)),"Incomplete",_xlfn.XLOOKUP(CQ558,_xlfn.XLOOKUP(E558,'Normative data'!$Y$3:$Y$6,'Normative data'!$Z$3:$AG$6,,-1),'Normative data'!$Z$2:$AG$2,"Not Found",-1))</f>
        <v>Incomplete</v>
      </c>
      <c r="CS558" s="20"/>
      <c r="CT558" s="20"/>
      <c r="CU558" s="20" t="str" cm="1">
        <f t="array" ref="CU558">_xlfn.XLOOKUP(CS558&amp;CT558,(VLOOKUP!$A$3:$A$250)&amp;(VLOOKUP!$B$3:$B$250),VLOOKUP!$C$3:$C$250,"Incomplete",-1)</f>
        <v>Incomplete</v>
      </c>
      <c r="CV558" s="20" t="str" cm="1">
        <f t="array" ref="CV558">_xlfn.XLOOKUP(CU558, _xlfn.XLOOKUP(E558, 'Normative data'!$Y$11:$Y$14, 'Normative data'!$Z$11:$AG$14, ,-1), 'Normative data'!$Z$10:$AG$10, "Not Found", -1)</f>
        <v>Excellent</v>
      </c>
      <c r="CW558" s="20" t="str" cm="1">
        <f t="array" ref="CW558">IF(OR(ISBLANK(CS558),ISBLANK(CT558)),"Incomplete",_xlfn.XLOOKUP(CS558&amp;CT558,VLOOKUP!$A$4:$A$250&amp;VLOOKUP!$B$4:$B$250,VLOOKUP!$D$4:$D$250,"0"))</f>
        <v>Incomplete</v>
      </c>
    </row>
    <row r="559" spans="1:101">
      <c r="A559" s="17" t="s">
        <v>1158</v>
      </c>
      <c r="B559" s="17" t="s">
        <v>1157</v>
      </c>
      <c r="C559" s="17" t="s">
        <v>86</v>
      </c>
      <c r="D559" s="23">
        <v>40647</v>
      </c>
      <c r="G559" s="17">
        <v>2026</v>
      </c>
      <c r="H559" s="20" t="s">
        <v>114</v>
      </c>
      <c r="I559" s="17">
        <v>1</v>
      </c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 t="s">
        <v>1159</v>
      </c>
      <c r="AR559" s="20" t="s">
        <v>1160</v>
      </c>
      <c r="AS559" s="20">
        <v>27.8</v>
      </c>
      <c r="AT559" s="20" t="s">
        <v>1161</v>
      </c>
      <c r="AU559" s="20" t="s">
        <v>1105</v>
      </c>
      <c r="AV559" s="20" t="s">
        <v>1106</v>
      </c>
      <c r="AW559" s="20" t="s">
        <v>1162</v>
      </c>
      <c r="AX559" s="20" t="s">
        <v>1163</v>
      </c>
      <c r="AY559" s="41" t="str">
        <f>IF(OR(ISBLANK(U559), ISBLANK(AQ559)), "Incomplete", (60.7*AQ559)+(45.3*U559)-2055)</f>
        <v>Incomplete</v>
      </c>
      <c r="AZ559" s="20"/>
      <c r="BA559" s="20" t="str">
        <f>IF(OR(ISBLANK(U559), ISBLANK(AS559)), "Incomplete", (60.7*AS559)+(45.3*U559)-2055)</f>
        <v>Incomplete</v>
      </c>
      <c r="BB559" s="20"/>
      <c r="BC559" s="20" t="str">
        <f>IF(OR(ISBLANK(U559), ISBLANK(AU559)), "Incomplete", (60.7*AU559)+(45.3*U559)-2055)</f>
        <v>Incomplete</v>
      </c>
      <c r="BD559" s="20"/>
      <c r="BE559" s="20" t="str">
        <f>IF(OR(ISBLANK(U559), ISBLANK(AW559)), "Incomplete", (60.7*AW559)+(45.3*U559)-2055)</f>
        <v>Incomplete</v>
      </c>
      <c r="BF559" s="20"/>
      <c r="BG559" s="20" t="s">
        <v>463</v>
      </c>
      <c r="BH559" s="20" t="s">
        <v>326</v>
      </c>
      <c r="BI559" s="20" t="e">
        <f>IF(OR(ISBLANK(BG559), ISBLANK(BH559)),"Incomplete",(SUM(BH559-BG559)))</f>
        <v>#VALUE!</v>
      </c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91" t="str">
        <f t="shared" si="172"/>
        <v>Incomplete</v>
      </c>
      <c r="BX559" s="91" t="str">
        <f>_xlfn.XLOOKUP(BW559,'Normative data'!$V$3:$V$6,'Normative data'!$W$3:$W$6,"Not Found",-1)</f>
        <v>Very low risk</v>
      </c>
      <c r="BY559" s="91" t="str">
        <f t="shared" si="173"/>
        <v>Incomplete</v>
      </c>
      <c r="BZ559" s="91" t="str">
        <f>_xlfn.XLOOKUP(BY559,'Normative data'!$V$3:$V$6,'Normative data'!$W$3:$W$6,"Not Found",-1)</f>
        <v>Very low risk</v>
      </c>
      <c r="CA559" s="20"/>
      <c r="CC559" s="20">
        <v>44</v>
      </c>
      <c r="CE559" s="20">
        <v>5</v>
      </c>
      <c r="CG559" s="20" t="s">
        <v>923</v>
      </c>
      <c r="CH559" s="20" t="str">
        <f>_xlfn.XLOOKUP(CG559, 'Normative data'!$S$9:$S$15,'Normative data'!$T$9:$T$15, "Not Found", -1)</f>
        <v>Poor</v>
      </c>
      <c r="CI559" s="20" t="s">
        <v>1164</v>
      </c>
      <c r="CJ559" s="20" t="str">
        <f>_xlfn.XLOOKUP(CI559, 'Normative data'!$S$9:$S$15, 'Normative data'!$T$9:$T$15, "Not Found", -1)</f>
        <v>Poor</v>
      </c>
      <c r="CK559" s="20">
        <v>2</v>
      </c>
      <c r="CL559" s="20">
        <v>5</v>
      </c>
      <c r="CN559" s="20">
        <v>6.43</v>
      </c>
      <c r="CO559" s="20">
        <v>7.78</v>
      </c>
      <c r="CQ559" s="20" t="s">
        <v>1165</v>
      </c>
      <c r="CR559" s="20" t="str" cm="1">
        <f t="array" ref="CR559">IF(OR(ISBLANK(E559),ISBLANK(CQ559)),"Incomplete",_xlfn.XLOOKUP(CQ559,_xlfn.XLOOKUP(E559,'Normative data'!$Y$3:$Y$6,'Normative data'!$Z$3:$AG$6,,-1),'Normative data'!$Z$2:$AG$2,"Not Found",-1))</f>
        <v>Incomplete</v>
      </c>
      <c r="CS559" s="20">
        <v>10</v>
      </c>
      <c r="CT559" s="20">
        <v>5</v>
      </c>
      <c r="CU559" s="20" cm="1">
        <f t="array" ref="CU559">_xlfn.XLOOKUP(CS559&amp;CT559,(VLOOKUP!$A$3:$A$250)&amp;(VLOOKUP!$B$3:$B$250),VLOOKUP!$C$3:$C$250,"Incomplete",-1)</f>
        <v>1760</v>
      </c>
      <c r="CV559" s="20" t="str" cm="1">
        <f t="array" ref="CV559">_xlfn.XLOOKUP(CU559, _xlfn.XLOOKUP(E559, 'Normative data'!$Y$11:$Y$14, 'Normative data'!$Z$11:$AG$14, ,-1), 'Normative data'!$Z$10:$AG$10, "Not Found", -1)</f>
        <v xml:space="preserve">Good </v>
      </c>
      <c r="CW559" s="20" cm="1">
        <f t="array" ref="CW559">IF(OR(ISBLANK(CS559),ISBLANK(CT559)),"Incomplete",_xlfn.XLOOKUP(CS559&amp;CT559,VLOOKUP!$A$4:$A$250&amp;VLOOKUP!$B$4:$B$250,VLOOKUP!$D$4:$D$250,"0"))</f>
        <v>48</v>
      </c>
    </row>
    <row r="560" spans="1:101">
      <c r="A560" s="22" t="s">
        <v>1166</v>
      </c>
      <c r="B560" s="22" t="s">
        <v>1157</v>
      </c>
      <c r="C560" s="17" t="s">
        <v>86</v>
      </c>
      <c r="D560" s="23">
        <v>40795</v>
      </c>
      <c r="F560" s="17">
        <v>8</v>
      </c>
      <c r="G560" s="17">
        <v>2025</v>
      </c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41" t="str">
        <f>IF(OR(ISBLANK(U560), ISBLANK(AQ560)), "Incomplete", (60.7*AQ560)+(45.3*U560)-2055)</f>
        <v>Incomplete</v>
      </c>
      <c r="AZ560" s="20"/>
      <c r="BA560" s="20" t="str">
        <f>IF(OR(ISBLANK(U560), ISBLANK(AS560)), "Incomplete", (60.7*AS560)+(45.3*U560)-2055)</f>
        <v>Incomplete</v>
      </c>
      <c r="BB560" s="20"/>
      <c r="BC560" s="20" t="str">
        <f>IF(OR(ISBLANK(U560), ISBLANK(AU560)), "Incomplete", (60.7*AU560)+(45.3*U560)-2055)</f>
        <v>Incomplete</v>
      </c>
      <c r="BD560" s="20"/>
      <c r="BE560" s="20" t="str">
        <f>IF(OR(ISBLANK(U560), ISBLANK(AW560)), "Incomplete", (60.7*AW560)+(45.3*U560)-2055)</f>
        <v>Incomplete</v>
      </c>
      <c r="BF560" s="20"/>
      <c r="BG560" s="20">
        <v>7</v>
      </c>
      <c r="BH560" s="20">
        <v>29.8</v>
      </c>
      <c r="BI560" s="20" t="e">
        <f>IF(OR(ISBLANK(#REF!), ISBLANK(#REF!)),"Incomplete",(SUM(#REF!-#REF!)))</f>
        <v>#REF!</v>
      </c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91" t="str">
        <f t="shared" si="172"/>
        <v>Incomplete</v>
      </c>
      <c r="BX560" s="91" t="str">
        <f>_xlfn.XLOOKUP(BW560,'Normative data'!$V$3:$V$6,'Normative data'!$W$3:$W$6,"Not Found",-1)</f>
        <v>Very low risk</v>
      </c>
      <c r="BY560" s="91" t="str">
        <f t="shared" si="173"/>
        <v>Incomplete</v>
      </c>
      <c r="BZ560" s="91" t="str">
        <f>_xlfn.XLOOKUP(BY560,'Normative data'!$V$3:$V$6,'Normative data'!$W$3:$W$6,"Not Found",-1)</f>
        <v>Very low risk</v>
      </c>
      <c r="CA560" s="20"/>
      <c r="CC560" s="20"/>
      <c r="CE560" s="20"/>
      <c r="CG560" s="20"/>
      <c r="CH560" s="20" t="str">
        <f>_xlfn.XLOOKUP(CG560, 'Normative data'!$S$9:$S$15,'Normative data'!$T$9:$T$15, "Not Found", -1)</f>
        <v>not completed</v>
      </c>
      <c r="CI560" s="20"/>
      <c r="CJ560" s="20" t="str">
        <f>_xlfn.XLOOKUP(CI560, 'Normative data'!$S$9:$S$15, 'Normative data'!$T$9:$T$15, "Not Found", -1)</f>
        <v>not completed</v>
      </c>
      <c r="CK560" s="24">
        <v>2.42</v>
      </c>
      <c r="CL560" s="24">
        <v>4.13</v>
      </c>
      <c r="CM560" s="24"/>
      <c r="CN560" s="24">
        <v>7.81</v>
      </c>
      <c r="CO560" s="24">
        <v>6.4</v>
      </c>
      <c r="CP560" s="24"/>
      <c r="CQ560" s="20"/>
      <c r="CR560" s="20" t="str" cm="1">
        <f t="array" ref="CR560">IF(OR(ISBLANK(E560),ISBLANK(CQ560)),"Incomplete",_xlfn.XLOOKUP(CQ560,_xlfn.XLOOKUP(E560,'Normative data'!$Y$3:$Y$6,'Normative data'!$Z$3:$AG$6,,-1),'Normative data'!$Z$2:$AG$2,"Not Found",-1))</f>
        <v>Incomplete</v>
      </c>
      <c r="CS560" s="20"/>
      <c r="CT560" s="20"/>
      <c r="CU560" s="20" t="str" cm="1">
        <f t="array" ref="CU560">_xlfn.XLOOKUP(CS560&amp;CT560,(VLOOKUP!$A$3:$A$250)&amp;(VLOOKUP!$B$3:$B$250),VLOOKUP!$C$3:$C$250,"Incomplete",-1)</f>
        <v>Incomplete</v>
      </c>
      <c r="CV560" s="20" t="str" cm="1">
        <f t="array" ref="CV560">_xlfn.XLOOKUP(CU560, _xlfn.XLOOKUP(E560, 'Normative data'!$Y$11:$Y$14, 'Normative data'!$Z$11:$AG$14, ,-1), 'Normative data'!$Z$10:$AG$10, "Not Found", -1)</f>
        <v>Excellent</v>
      </c>
      <c r="CW560" s="20" t="str" cm="1">
        <f t="array" ref="CW560">IF(OR(ISBLANK(CS560),ISBLANK(CT560)),"Incomplete",_xlfn.XLOOKUP(CS560&amp;CT560,VLOOKUP!$A$4:$A$250&amp;VLOOKUP!$B$4:$B$250,VLOOKUP!$D$4:$D$250,"0"))</f>
        <v>Incomplete</v>
      </c>
    </row>
    <row r="561" spans="1:101">
      <c r="A561" s="18" t="s">
        <v>1167</v>
      </c>
      <c r="B561" s="18" t="s">
        <v>1157</v>
      </c>
      <c r="C561" s="17" t="s">
        <v>86</v>
      </c>
      <c r="D561" s="19">
        <v>39927</v>
      </c>
      <c r="F561" s="17">
        <v>10</v>
      </c>
      <c r="G561" s="17">
        <v>2025</v>
      </c>
      <c r="J561" s="17" t="s">
        <v>122</v>
      </c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>
        <v>27</v>
      </c>
      <c r="AR561" s="20">
        <v>0.46899999999999997</v>
      </c>
      <c r="AS561" s="20">
        <v>32</v>
      </c>
      <c r="AT561" s="20">
        <v>0.51100000000000001</v>
      </c>
      <c r="AU561" s="20">
        <v>16.2</v>
      </c>
      <c r="AV561" s="20">
        <v>0.36299999999999999</v>
      </c>
      <c r="AW561" s="20">
        <v>18.600000000000001</v>
      </c>
      <c r="AX561" s="20">
        <v>0.39</v>
      </c>
      <c r="AY561" s="41" t="str">
        <f>IF(OR(ISBLANK(U561), ISBLANK(#REF!)), "Incomplete", (60.7*#REF!)+(45.3*U561)-2055)</f>
        <v>Incomplete</v>
      </c>
      <c r="AZ561" s="20"/>
      <c r="BA561" s="20" t="str">
        <f>IF(OR(ISBLANK(U561), ISBLANK(#REF!)), "Incomplete", (60.7*#REF!)+(45.3*U561)-2055)</f>
        <v>Incomplete</v>
      </c>
      <c r="BB561" s="20"/>
      <c r="BC561" s="20" t="str">
        <f>IF(OR(ISBLANK(U561), ISBLANK(#REF!)), "Incomplete", (60.7*#REF!)+(45.3*U561)-2055)</f>
        <v>Incomplete</v>
      </c>
      <c r="BD561" s="20"/>
      <c r="BE561" s="20" t="str">
        <f>IF(OR(ISBLANK(U561), ISBLANK(#REF!)), "Incomplete", (60.7*#REF!)+(45.3*U561)-2055)</f>
        <v>Incomplete</v>
      </c>
      <c r="BF561" s="20"/>
      <c r="BG561" s="20">
        <v>12.5</v>
      </c>
      <c r="BH561" s="20">
        <v>36</v>
      </c>
      <c r="BI561" s="20">
        <f t="shared" ref="BI561:BI569" si="174">IF(OR(ISBLANK(BG561), ISBLANK(BH561)),"Incomplete",(SUM(BH561-BG561)))</f>
        <v>23.5</v>
      </c>
      <c r="BJ561" s="20"/>
      <c r="BK561" s="20">
        <v>10</v>
      </c>
      <c r="BL561" s="20"/>
      <c r="BM561" s="20">
        <v>11</v>
      </c>
      <c r="BN561" s="20"/>
      <c r="BO561" s="20"/>
      <c r="BP561" s="20"/>
      <c r="BQ561" s="20"/>
      <c r="BR561" s="20"/>
      <c r="BS561" s="20"/>
      <c r="BT561" s="20"/>
      <c r="BU561" s="20"/>
      <c r="BV561" s="20"/>
      <c r="BW561" s="91" t="str">
        <f t="shared" si="172"/>
        <v>Incomplete</v>
      </c>
      <c r="BX561" s="91" t="str">
        <f>_xlfn.XLOOKUP(BW561,'Normative data'!$V$3:$V$6,'Normative data'!$W$3:$W$6,"Not Found",-1)</f>
        <v>Very low risk</v>
      </c>
      <c r="BY561" s="91" t="str">
        <f t="shared" si="173"/>
        <v>Incomplete</v>
      </c>
      <c r="BZ561" s="91" t="str">
        <f>_xlfn.XLOOKUP(BY561,'Normative data'!$V$3:$V$6,'Normative data'!$W$3:$W$6,"Not Found",-1)</f>
        <v>Very low risk</v>
      </c>
      <c r="CA561" s="20"/>
      <c r="CC561" s="20"/>
      <c r="CE561" s="20"/>
      <c r="CG561" s="20">
        <v>17.12</v>
      </c>
      <c r="CH561" s="20" t="e">
        <f>_xlfn.XLOOKUP(#REF!, 'Normative data'!$S$9:$S$15,'Normative data'!$T$9:$T$15, "Not Found", -1)</f>
        <v>#REF!</v>
      </c>
      <c r="CI561" s="20">
        <v>16.940000000000001</v>
      </c>
      <c r="CJ561" s="20" t="e">
        <f>_xlfn.XLOOKUP(#REF!, 'Normative data'!$S$9:$S$15, 'Normative data'!$T$9:$T$15, "Not Found", -1)</f>
        <v>#REF!</v>
      </c>
      <c r="CK561" s="21">
        <v>2.2400000000000002</v>
      </c>
      <c r="CL561" s="21">
        <v>4.46</v>
      </c>
      <c r="CM561" s="21"/>
      <c r="CN561" s="21">
        <v>6.65</v>
      </c>
      <c r="CO561" s="21">
        <v>7.5</v>
      </c>
      <c r="CP561" s="21"/>
      <c r="CQ561" s="20"/>
      <c r="CR561" s="20" t="str" cm="1">
        <f t="array" ref="CR561">IF(OR(ISBLANK(E561),ISBLANK(CQ561)),"Incomplete",_xlfn.XLOOKUP(CQ561,_xlfn.XLOOKUP(E561,'Normative data'!$Y$3:$Y$6,'Normative data'!$Z$3:$AG$6,,-1),'Normative data'!$Z$2:$AG$2,"Not Found",-1))</f>
        <v>Incomplete</v>
      </c>
      <c r="CS561" s="20"/>
      <c r="CT561" s="20"/>
      <c r="CU561" s="20" t="str" cm="1">
        <f t="array" ref="CU561">_xlfn.XLOOKUP(CS561&amp;CT561,(VLOOKUP!$A$3:$A$250)&amp;(VLOOKUP!$B$3:$B$250),VLOOKUP!$C$3:$C$250,"Incomplete",-1)</f>
        <v>Incomplete</v>
      </c>
      <c r="CV561" s="20" t="str" cm="1">
        <f t="array" ref="CV561">_xlfn.XLOOKUP(CU561, _xlfn.XLOOKUP(E561, 'Normative data'!$Y$11:$Y$14, 'Normative data'!$Z$11:$AG$14, ,-1), 'Normative data'!$Z$10:$AG$10, "Not Found", -1)</f>
        <v>Excellent</v>
      </c>
      <c r="CW561" s="20" t="str" cm="1">
        <f t="array" ref="CW561">IF(OR(ISBLANK(CS561),ISBLANK(CT561)),"Incomplete",_xlfn.XLOOKUP(CS561&amp;CT561,VLOOKUP!$A$4:$A$250&amp;VLOOKUP!$B$4:$B$250,VLOOKUP!$D$4:$D$250,"0"))</f>
        <v>Incomplete</v>
      </c>
    </row>
    <row r="562" spans="1:101">
      <c r="A562" s="17" t="s">
        <v>1167</v>
      </c>
      <c r="B562" s="17" t="s">
        <v>1157</v>
      </c>
      <c r="C562" s="17" t="s">
        <v>86</v>
      </c>
      <c r="D562" s="19">
        <v>39927</v>
      </c>
      <c r="G562" s="17">
        <v>2025</v>
      </c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41" t="str">
        <f t="shared" ref="AY562:AY588" si="175">IF(OR(ISBLANK(U562), ISBLANK(AQ562)), "Incomplete", (60.7*AQ562)+(45.3*U562)-2055)</f>
        <v>Incomplete</v>
      </c>
      <c r="AZ562" s="20"/>
      <c r="BA562" s="20" t="str">
        <f t="shared" ref="BA562:BA588" si="176">IF(OR(ISBLANK(U562), ISBLANK(AS562)), "Incomplete", (60.7*AS562)+(45.3*U562)-2055)</f>
        <v>Incomplete</v>
      </c>
      <c r="BB562" s="20"/>
      <c r="BC562" s="20" t="str">
        <f t="shared" ref="BC562:BC588" si="177">IF(OR(ISBLANK(U562), ISBLANK(AU562)), "Incomplete", (60.7*AU562)+(45.3*U562)-2055)</f>
        <v>Incomplete</v>
      </c>
      <c r="BD562" s="20"/>
      <c r="BE562" s="20" t="str">
        <f t="shared" ref="BE562:BE588" si="178">IF(OR(ISBLANK(U562), ISBLANK(AW562)), "Incomplete", (60.7*AW562)+(45.3*U562)-2055)</f>
        <v>Incomplete</v>
      </c>
      <c r="BF562" s="20"/>
      <c r="BG562" s="20"/>
      <c r="BH562" s="20"/>
      <c r="BI562" s="20" t="str">
        <f t="shared" si="174"/>
        <v>Incomplete</v>
      </c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91" t="str">
        <f t="shared" si="172"/>
        <v>Incomplete</v>
      </c>
      <c r="BX562" s="91" t="str">
        <f>_xlfn.XLOOKUP(BW562,'Normative data'!$V$3:$V$6,'Normative data'!$W$3:$W$6,"Not Found",-1)</f>
        <v>Very low risk</v>
      </c>
      <c r="BY562" s="91" t="str">
        <f t="shared" si="173"/>
        <v>Incomplete</v>
      </c>
      <c r="BZ562" s="91" t="str">
        <f>_xlfn.XLOOKUP(BY562,'Normative data'!$V$3:$V$6,'Normative data'!$W$3:$W$6,"Not Found",-1)</f>
        <v>Very low risk</v>
      </c>
      <c r="CA562" s="20"/>
      <c r="CC562" s="20"/>
      <c r="CE562" s="20">
        <v>5</v>
      </c>
      <c r="CG562" s="20">
        <v>17.100000000000001</v>
      </c>
      <c r="CH562" s="20" t="str">
        <f>_xlfn.XLOOKUP(CG562, 'Normative data'!$S$9:$S$15,'Normative data'!$T$9:$T$15, "Not Found", -1)</f>
        <v>Above Average</v>
      </c>
      <c r="CI562" s="20">
        <v>17.420000000000002</v>
      </c>
      <c r="CJ562" s="20" t="str">
        <f>_xlfn.XLOOKUP(CI562, 'Normative data'!$S$9:$S$15, 'Normative data'!$T$9:$T$15, "Not Found", -1)</f>
        <v>Above Average</v>
      </c>
      <c r="CK562" s="20" t="s">
        <v>660</v>
      </c>
      <c r="CL562" s="20" t="s">
        <v>661</v>
      </c>
      <c r="CM562" s="21"/>
      <c r="CN562" s="20" t="s">
        <v>1168</v>
      </c>
      <c r="CO562" s="20" t="s">
        <v>1169</v>
      </c>
      <c r="CQ562" s="20"/>
      <c r="CR562" s="20" t="str" cm="1">
        <f t="array" ref="CR562">IF(OR(ISBLANK(E562),ISBLANK(CQ562)),"Incomplete",_xlfn.XLOOKUP(CQ562,_xlfn.XLOOKUP(E562,'Normative data'!$Y$3:$Y$6,'Normative data'!$Z$3:$AG$6,,-1),'Normative data'!$Z$2:$AG$2,"Not Found",-1))</f>
        <v>Incomplete</v>
      </c>
      <c r="CS562" s="20"/>
      <c r="CT562" s="20"/>
      <c r="CU562" s="20" t="str" cm="1">
        <f t="array" ref="CU562">_xlfn.XLOOKUP(CS562&amp;CT562,(VLOOKUP!$A$3:$A$250)&amp;(VLOOKUP!$B$3:$B$250),VLOOKUP!$C$3:$C$250,"Incomplete",-1)</f>
        <v>Incomplete</v>
      </c>
      <c r="CV562" s="20" t="str" cm="1">
        <f t="array" ref="CV562">_xlfn.XLOOKUP(CU562, _xlfn.XLOOKUP(E562, 'Normative data'!$Y$11:$Y$14, 'Normative data'!$Z$11:$AG$14, ,-1), 'Normative data'!$Z$10:$AG$10, "Not Found", -1)</f>
        <v>Excellent</v>
      </c>
      <c r="CW562" s="20" t="str" cm="1">
        <f t="array" ref="CW562">IF(OR(ISBLANK(CS562),ISBLANK(CT562)),"Incomplete",_xlfn.XLOOKUP(CS562&amp;CT562,VLOOKUP!$A$4:$A$250&amp;VLOOKUP!$B$4:$B$250,VLOOKUP!$D$4:$D$250,"0"))</f>
        <v>Incomplete</v>
      </c>
    </row>
    <row r="563" spans="1:101">
      <c r="A563" s="17" t="s">
        <v>1170</v>
      </c>
      <c r="B563" s="17" t="s">
        <v>1171</v>
      </c>
      <c r="C563" s="17" t="s">
        <v>86</v>
      </c>
      <c r="D563" s="26"/>
      <c r="F563" s="17">
        <v>8</v>
      </c>
      <c r="G563" s="17">
        <v>2025</v>
      </c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41" t="str">
        <f t="shared" si="175"/>
        <v>Incomplete</v>
      </c>
      <c r="AZ563" s="20"/>
      <c r="BA563" s="20" t="str">
        <f t="shared" si="176"/>
        <v>Incomplete</v>
      </c>
      <c r="BB563" s="20"/>
      <c r="BC563" s="20" t="str">
        <f t="shared" si="177"/>
        <v>Incomplete</v>
      </c>
      <c r="BD563" s="20"/>
      <c r="BE563" s="20" t="str">
        <f t="shared" si="178"/>
        <v>Incomplete</v>
      </c>
      <c r="BF563" s="20"/>
      <c r="BG563" s="20"/>
      <c r="BH563" s="20"/>
      <c r="BI563" s="20" t="str">
        <f t="shared" si="174"/>
        <v>Incomplete</v>
      </c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91" t="str">
        <f t="shared" si="172"/>
        <v>Incomplete</v>
      </c>
      <c r="BX563" s="91" t="str">
        <f>_xlfn.XLOOKUP(BW563,'Normative data'!$V$3:$V$6,'Normative data'!$W$3:$W$6,"Not Found",-1)</f>
        <v>Very low risk</v>
      </c>
      <c r="BY563" s="91" t="str">
        <f t="shared" si="173"/>
        <v>Incomplete</v>
      </c>
      <c r="BZ563" s="91" t="str">
        <f>_xlfn.XLOOKUP(BY563,'Normative data'!$V$3:$V$6,'Normative data'!$W$3:$W$6,"Not Found",-1)</f>
        <v>Very low risk</v>
      </c>
      <c r="CA563" s="20"/>
      <c r="CC563" s="20"/>
      <c r="CE563" s="20">
        <v>10</v>
      </c>
      <c r="CG563" s="20"/>
      <c r="CH563" s="20" t="str">
        <f>_xlfn.XLOOKUP(CG563, 'Normative data'!$S$9:$S$15,'Normative data'!$T$9:$T$15, "Not Found", -1)</f>
        <v>not completed</v>
      </c>
      <c r="CI563" s="20"/>
      <c r="CJ563" s="20" t="str">
        <f>_xlfn.XLOOKUP(CI563, 'Normative data'!$S$9:$S$15, 'Normative data'!$T$9:$T$15, "Not Found", -1)</f>
        <v>not completed</v>
      </c>
      <c r="CK563" s="21"/>
      <c r="CL563" s="21"/>
      <c r="CM563" s="21"/>
      <c r="CN563" s="21"/>
      <c r="CO563" s="21"/>
      <c r="CQ563" s="20"/>
      <c r="CR563" s="20" t="str" cm="1">
        <f t="array" ref="CR563">IF(OR(ISBLANK(E563),ISBLANK(CQ563)),"Incomplete",_xlfn.XLOOKUP(CQ563,_xlfn.XLOOKUP(E563,'Normative data'!$Y$3:$Y$6,'Normative data'!$Z$3:$AG$6,,-1),'Normative data'!$Z$2:$AG$2,"Not Found",-1))</f>
        <v>Incomplete</v>
      </c>
      <c r="CS563" s="20"/>
      <c r="CT563" s="20"/>
      <c r="CU563" s="20" t="str" cm="1">
        <f t="array" ref="CU563">_xlfn.XLOOKUP(CS563&amp;CT563,(VLOOKUP!$A$3:$A$250)&amp;(VLOOKUP!$B$3:$B$250),VLOOKUP!$C$3:$C$250,"Incomplete",-1)</f>
        <v>Incomplete</v>
      </c>
      <c r="CV563" s="20" t="str" cm="1">
        <f t="array" ref="CV563">_xlfn.XLOOKUP(CU563, _xlfn.XLOOKUP(E563, 'Normative data'!$Y$11:$Y$14, 'Normative data'!$Z$11:$AG$14, ,-1), 'Normative data'!$Z$10:$AG$10, "Not Found", -1)</f>
        <v>Excellent</v>
      </c>
      <c r="CW563" s="20" t="str" cm="1">
        <f t="array" ref="CW563">IF(OR(ISBLANK(CS563),ISBLANK(CT563)),"Incomplete",_xlfn.XLOOKUP(CS563&amp;CT563,VLOOKUP!$A$4:$A$250&amp;VLOOKUP!$B$4:$B$250,VLOOKUP!$D$4:$D$250,"0"))</f>
        <v>Incomplete</v>
      </c>
    </row>
    <row r="564" spans="1:101">
      <c r="A564" s="22" t="s">
        <v>1172</v>
      </c>
      <c r="B564" s="22" t="s">
        <v>1173</v>
      </c>
      <c r="C564" s="17" t="s">
        <v>86</v>
      </c>
      <c r="D564" s="23"/>
      <c r="F564" s="17">
        <v>10</v>
      </c>
      <c r="G564" s="17">
        <v>2025</v>
      </c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41" t="str">
        <f t="shared" si="175"/>
        <v>Incomplete</v>
      </c>
      <c r="AZ564" s="20"/>
      <c r="BA564" s="20" t="str">
        <f t="shared" si="176"/>
        <v>Incomplete</v>
      </c>
      <c r="BB564" s="20"/>
      <c r="BC564" s="20" t="str">
        <f t="shared" si="177"/>
        <v>Incomplete</v>
      </c>
      <c r="BD564" s="20"/>
      <c r="BE564" s="20" t="str">
        <f t="shared" si="178"/>
        <v>Incomplete</v>
      </c>
      <c r="BF564" s="20"/>
      <c r="BG564" s="20">
        <v>17</v>
      </c>
      <c r="BH564" s="20">
        <v>41.5</v>
      </c>
      <c r="BI564" s="20">
        <f t="shared" si="174"/>
        <v>24.5</v>
      </c>
      <c r="BJ564" s="20"/>
      <c r="BK564" s="20">
        <v>5</v>
      </c>
      <c r="BL564" s="20"/>
      <c r="BM564" s="20">
        <v>3</v>
      </c>
      <c r="BN564" s="20"/>
      <c r="BO564" s="20"/>
      <c r="BP564" s="20"/>
      <c r="BQ564" s="20"/>
      <c r="BR564" s="20"/>
      <c r="BS564" s="20"/>
      <c r="BT564" s="20"/>
      <c r="BU564" s="20"/>
      <c r="BV564" s="20"/>
      <c r="BW564" s="91" t="str">
        <f t="shared" si="172"/>
        <v>Incomplete</v>
      </c>
      <c r="BX564" s="91" t="str">
        <f>_xlfn.XLOOKUP(BW564,'Normative data'!$V$3:$V$6,'Normative data'!$W$3:$W$6,"Not Found",-1)</f>
        <v>Very low risk</v>
      </c>
      <c r="BY564" s="91" t="str">
        <f t="shared" si="173"/>
        <v>Incomplete</v>
      </c>
      <c r="BZ564" s="91" t="str">
        <f>_xlfn.XLOOKUP(BY564,'Normative data'!$V$3:$V$6,'Normative data'!$W$3:$W$6,"Not Found",-1)</f>
        <v>Very low risk</v>
      </c>
      <c r="CA564" s="20"/>
      <c r="CC564" s="20"/>
      <c r="CE564" s="20">
        <v>1</v>
      </c>
      <c r="CG564" s="20"/>
      <c r="CH564" s="20" t="str">
        <f>_xlfn.XLOOKUP(CG564, 'Normative data'!$S$9:$S$15,'Normative data'!$T$9:$T$15, "Not Found", -1)</f>
        <v>not completed</v>
      </c>
      <c r="CI564" s="20"/>
      <c r="CJ564" s="20" t="str">
        <f>_xlfn.XLOOKUP(CI564, 'Normative data'!$S$9:$S$15, 'Normative data'!$T$9:$T$15, "Not Found", -1)</f>
        <v>not completed</v>
      </c>
      <c r="CK564" s="24">
        <v>2.42</v>
      </c>
      <c r="CL564" s="24">
        <v>4.13</v>
      </c>
      <c r="CM564" s="21"/>
      <c r="CN564" s="24">
        <v>7.8</v>
      </c>
      <c r="CO564" s="24">
        <v>6.41</v>
      </c>
      <c r="CP564" s="24"/>
      <c r="CQ564" s="20"/>
      <c r="CR564" s="20" t="str" cm="1">
        <f t="array" ref="CR564">IF(OR(ISBLANK(E564),ISBLANK(CQ564)),"Incomplete",_xlfn.XLOOKUP(CQ564,_xlfn.XLOOKUP(E564,'Normative data'!$Y$3:$Y$6,'Normative data'!$Z$3:$AG$6,,-1),'Normative data'!$Z$2:$AG$2,"Not Found",-1))</f>
        <v>Incomplete</v>
      </c>
      <c r="CS564" s="20"/>
      <c r="CT564" s="20"/>
      <c r="CU564" s="20" t="str" cm="1">
        <f t="array" ref="CU564">_xlfn.XLOOKUP(CS564&amp;CT564,(VLOOKUP!$A$3:$A$250)&amp;(VLOOKUP!$B$3:$B$250),VLOOKUP!$C$3:$C$250,"Incomplete",-1)</f>
        <v>Incomplete</v>
      </c>
      <c r="CV564" s="20" t="str" cm="1">
        <f t="array" ref="CV564">_xlfn.XLOOKUP(CU564, _xlfn.XLOOKUP(E564, 'Normative data'!$Y$11:$Y$14, 'Normative data'!$Z$11:$AG$14, ,-1), 'Normative data'!$Z$10:$AG$10, "Not Found", -1)</f>
        <v>Excellent</v>
      </c>
      <c r="CW564" s="20" t="str" cm="1">
        <f t="array" ref="CW564">IF(OR(ISBLANK(CS564),ISBLANK(CT564)),"Incomplete",_xlfn.XLOOKUP(CS564&amp;CT564,VLOOKUP!$A$4:$A$250&amp;VLOOKUP!$B$4:$B$250,VLOOKUP!$D$4:$D$250,"0"))</f>
        <v>Incomplete</v>
      </c>
    </row>
    <row r="565" spans="1:101">
      <c r="A565" s="17" t="s">
        <v>1172</v>
      </c>
      <c r="B565" s="17" t="s">
        <v>1173</v>
      </c>
      <c r="C565" s="17" t="s">
        <v>86</v>
      </c>
      <c r="D565" s="26"/>
      <c r="F565" s="17">
        <v>10</v>
      </c>
      <c r="G565" s="17">
        <v>2025</v>
      </c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41" t="str">
        <f t="shared" si="175"/>
        <v>Incomplete</v>
      </c>
      <c r="AZ565" s="20"/>
      <c r="BA565" s="20" t="str">
        <f t="shared" si="176"/>
        <v>Incomplete</v>
      </c>
      <c r="BB565" s="20"/>
      <c r="BC565" s="20" t="str">
        <f t="shared" si="177"/>
        <v>Incomplete</v>
      </c>
      <c r="BD565" s="20"/>
      <c r="BE565" s="20" t="str">
        <f t="shared" si="178"/>
        <v>Incomplete</v>
      </c>
      <c r="BF565" s="20"/>
      <c r="BG565" s="20"/>
      <c r="BH565" s="20"/>
      <c r="BI565" s="20" t="str">
        <f t="shared" si="174"/>
        <v>Incomplete</v>
      </c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91" t="str">
        <f t="shared" si="172"/>
        <v>Incomplete</v>
      </c>
      <c r="BX565" s="91" t="str">
        <f>_xlfn.XLOOKUP(BW565,'Normative data'!$V$3:$V$6,'Normative data'!$W$3:$W$6,"Not Found",-1)</f>
        <v>Very low risk</v>
      </c>
      <c r="BY565" s="91" t="str">
        <f t="shared" si="173"/>
        <v>Incomplete</v>
      </c>
      <c r="BZ565" s="91" t="str">
        <f>_xlfn.XLOOKUP(BY565,'Normative data'!$V$3:$V$6,'Normative data'!$W$3:$W$6,"Not Found",-1)</f>
        <v>Very low risk</v>
      </c>
      <c r="CA565" s="20"/>
      <c r="CC565" s="20"/>
      <c r="CE565" s="20"/>
      <c r="CG565" s="20"/>
      <c r="CH565" s="20" t="str">
        <f>_xlfn.XLOOKUP(CG565, 'Normative data'!$S$9:$S$15,'Normative data'!$T$9:$T$15, "Not Found", -1)</f>
        <v>not completed</v>
      </c>
      <c r="CI565" s="20"/>
      <c r="CJ565" s="20" t="str">
        <f>_xlfn.XLOOKUP(CI565, 'Normative data'!$S$9:$S$15, 'Normative data'!$T$9:$T$15, "Not Found", -1)</f>
        <v>not completed</v>
      </c>
      <c r="CK565" s="20" t="s">
        <v>1174</v>
      </c>
      <c r="CL565" s="20" t="s">
        <v>1175</v>
      </c>
      <c r="CN565" s="20" t="s">
        <v>1176</v>
      </c>
      <c r="CO565" s="20" t="s">
        <v>1177</v>
      </c>
      <c r="CQ565" s="20"/>
      <c r="CR565" s="20" t="str" cm="1">
        <f t="array" ref="CR565">IF(OR(ISBLANK(E565),ISBLANK(CQ565)),"Incomplete",_xlfn.XLOOKUP(CQ565,_xlfn.XLOOKUP(E565,'Normative data'!$Y$3:$Y$6,'Normative data'!$Z$3:$AG$6,,-1),'Normative data'!$Z$2:$AG$2,"Not Found",-1))</f>
        <v>Incomplete</v>
      </c>
      <c r="CS565" s="20"/>
      <c r="CT565" s="20"/>
      <c r="CU565" s="20" t="str" cm="1">
        <f t="array" ref="CU565">_xlfn.XLOOKUP(CS565&amp;CT565,(VLOOKUP!$A$3:$A$250)&amp;(VLOOKUP!$B$3:$B$250),VLOOKUP!$C$3:$C$250,"Incomplete",-1)</f>
        <v>Incomplete</v>
      </c>
      <c r="CV565" s="20" t="str" cm="1">
        <f t="array" ref="CV565">_xlfn.XLOOKUP(CU565, _xlfn.XLOOKUP(E565, 'Normative data'!$Y$11:$Y$14, 'Normative data'!$Z$11:$AG$14, ,-1), 'Normative data'!$Z$10:$AG$10, "Not Found", -1)</f>
        <v>Excellent</v>
      </c>
      <c r="CW565" s="20" t="str" cm="1">
        <f t="array" ref="CW565">IF(OR(ISBLANK(CS565),ISBLANK(CT565)),"Incomplete",_xlfn.XLOOKUP(CS565&amp;CT565,VLOOKUP!$A$4:$A$250&amp;VLOOKUP!$B$4:$B$250,VLOOKUP!$D$4:$D$250,"0"))</f>
        <v>Incomplete</v>
      </c>
    </row>
    <row r="566" spans="1:101">
      <c r="A566" s="17" t="s">
        <v>1178</v>
      </c>
      <c r="B566" s="17" t="s">
        <v>1179</v>
      </c>
      <c r="C566" s="17" t="s">
        <v>86</v>
      </c>
      <c r="D566" s="26">
        <v>40088</v>
      </c>
      <c r="E566" s="17">
        <v>17.3</v>
      </c>
      <c r="F566" s="20">
        <v>12</v>
      </c>
      <c r="G566" s="17">
        <v>2026</v>
      </c>
      <c r="I566" s="20">
        <v>2</v>
      </c>
      <c r="J566" s="20" t="s">
        <v>88</v>
      </c>
      <c r="K566" s="20" t="s">
        <v>101</v>
      </c>
      <c r="L566" s="20"/>
      <c r="S566" s="20">
        <v>85.5</v>
      </c>
      <c r="T566" s="20">
        <v>166.7</v>
      </c>
      <c r="U566" s="17">
        <v>53.1</v>
      </c>
      <c r="V566" s="17">
        <v>31.1</v>
      </c>
      <c r="W566" s="17">
        <v>10.199999999999999</v>
      </c>
      <c r="X566" s="17">
        <v>42.9</v>
      </c>
      <c r="Y566" s="17">
        <v>23.6</v>
      </c>
      <c r="Z566" s="17">
        <v>19.100000000000001</v>
      </c>
      <c r="AA566" s="17">
        <v>19.2</v>
      </c>
      <c r="AB566" s="17">
        <v>6.66</v>
      </c>
      <c r="AC566" s="17">
        <v>108.5</v>
      </c>
      <c r="AD566" s="17">
        <v>6.76</v>
      </c>
      <c r="AE566" s="17">
        <v>110.2</v>
      </c>
      <c r="AF566" s="17">
        <v>1.7</v>
      </c>
      <c r="AG566" s="17">
        <v>67.5</v>
      </c>
      <c r="AH566" s="17">
        <v>1.7</v>
      </c>
      <c r="AI566" s="17">
        <v>67.8</v>
      </c>
      <c r="AJ566" s="17">
        <v>344.9</v>
      </c>
      <c r="AK566" s="17">
        <v>331.8</v>
      </c>
      <c r="AL566" s="17">
        <v>302.3</v>
      </c>
      <c r="AM566" s="17">
        <v>292.2</v>
      </c>
      <c r="AN566" s="17">
        <v>97</v>
      </c>
      <c r="AO566" s="17">
        <v>0.82</v>
      </c>
      <c r="AP566" s="17">
        <v>6.3</v>
      </c>
      <c r="AQ566" s="17">
        <v>22</v>
      </c>
      <c r="AR566" s="17">
        <v>0.42399999999999999</v>
      </c>
      <c r="AS566" s="17">
        <v>29.2</v>
      </c>
      <c r="AT566" s="17">
        <v>0.48799999999999999</v>
      </c>
      <c r="AU566" s="17">
        <v>14.5</v>
      </c>
      <c r="AV566" s="17">
        <v>0.34399999999999997</v>
      </c>
      <c r="AW566" s="17">
        <v>17.399999999999999</v>
      </c>
      <c r="AX566" s="17">
        <v>0.377</v>
      </c>
      <c r="AY566" s="41">
        <f t="shared" si="175"/>
        <v>1685.83</v>
      </c>
      <c r="BA566" s="20">
        <f t="shared" si="176"/>
        <v>2122.87</v>
      </c>
      <c r="BC566" s="20">
        <f t="shared" si="177"/>
        <v>1230.58</v>
      </c>
      <c r="BE566" s="20">
        <f t="shared" si="178"/>
        <v>1406.6099999999997</v>
      </c>
      <c r="BG566" s="17">
        <v>15</v>
      </c>
      <c r="BH566" s="17">
        <v>30</v>
      </c>
      <c r="BI566" s="20">
        <f t="shared" si="174"/>
        <v>15</v>
      </c>
      <c r="BJ566" s="20"/>
      <c r="BK566" s="17">
        <v>8</v>
      </c>
      <c r="BL566" s="20"/>
      <c r="BM566" s="17">
        <v>11</v>
      </c>
      <c r="BN566" s="20"/>
      <c r="BO566" s="17">
        <v>46</v>
      </c>
      <c r="BP566" s="17">
        <v>45</v>
      </c>
      <c r="BQ566" s="17">
        <v>80</v>
      </c>
      <c r="BR566" s="17">
        <v>93</v>
      </c>
      <c r="BS566" s="17">
        <v>78</v>
      </c>
      <c r="BT566" s="17">
        <v>82</v>
      </c>
      <c r="BU566" s="17">
        <v>84</v>
      </c>
      <c r="BV566" s="17">
        <v>73</v>
      </c>
      <c r="BW566" s="91">
        <f t="shared" si="172"/>
        <v>103.0377668308703</v>
      </c>
      <c r="BX566" s="91" t="str">
        <f>_xlfn.XLOOKUP(BW566,'Normative data'!$V$3:$V$6,'Normative data'!$W$3:$W$6,"Not Found",-1)</f>
        <v>Low risk</v>
      </c>
      <c r="BY566" s="91">
        <f t="shared" si="173"/>
        <v>98.111658456486055</v>
      </c>
      <c r="BZ566" s="91" t="str">
        <f>_xlfn.XLOOKUP(BY566,'Normative data'!$V$3:$V$6,'Normative data'!$W$3:$W$6,"Not Found",-1)</f>
        <v>Low risk</v>
      </c>
      <c r="CA566" s="17">
        <v>38</v>
      </c>
      <c r="CC566" s="20"/>
      <c r="CE566" s="17">
        <v>20</v>
      </c>
      <c r="CG566" s="17">
        <v>18.239999999999998</v>
      </c>
      <c r="CH566" s="20" t="str">
        <f>_xlfn.XLOOKUP(CG566, 'Normative data'!$S$9:$S$15,'Normative data'!$T$9:$T$15, "Not Found", -1)</f>
        <v>Average</v>
      </c>
      <c r="CI566" s="17">
        <v>17.68</v>
      </c>
      <c r="CJ566" s="20" t="str">
        <f>_xlfn.XLOOKUP(CI566, 'Normative data'!$S$9:$S$15, 'Normative data'!$T$9:$T$15, "Not Found", -1)</f>
        <v>Above Average</v>
      </c>
      <c r="CK566" s="21"/>
      <c r="CL566" s="21"/>
      <c r="CM566" s="21"/>
      <c r="CN566" s="21"/>
      <c r="CO566" s="21"/>
      <c r="CR566" s="20" t="str" cm="1">
        <f t="array" ref="CR566">IF(OR(ISBLANK(E566),ISBLANK(CQ566)),"Incomplete",_xlfn.XLOOKUP(CQ566,_xlfn.XLOOKUP(E566,'Normative data'!$Y$3:$Y$6,'Normative data'!$Z$3:$AG$6,,-1),'Normative data'!$Z$2:$AG$2,"Not Found",-1))</f>
        <v>Incomplete</v>
      </c>
      <c r="CS566" s="20"/>
      <c r="CT566" s="20"/>
      <c r="CU566" s="20" t="str" cm="1">
        <f t="array" ref="CU566">_xlfn.XLOOKUP(CS566&amp;CT566,(VLOOKUP!$A$3:$A$250)&amp;(VLOOKUP!$B$3:$B$250),VLOOKUP!$C$3:$C$250,"Incomplete",-1)</f>
        <v>Incomplete</v>
      </c>
      <c r="CV566" s="20" t="str" cm="1">
        <f t="array" ref="CV566">_xlfn.XLOOKUP(CU566, _xlfn.XLOOKUP(E566, 'Normative data'!$Y$11:$Y$14, 'Normative data'!$Z$11:$AG$14, ,-1), 'Normative data'!$Z$10:$AG$10, "Not Found", -1)</f>
        <v>Excellent</v>
      </c>
      <c r="CW566" s="20" t="str" cm="1">
        <f t="array" ref="CW566">IF(OR(ISBLANK(CS566),ISBLANK(CT566)),"Incomplete",_xlfn.XLOOKUP(CS566&amp;CT566,VLOOKUP!$A$4:$A$250&amp;VLOOKUP!$B$4:$B$250,VLOOKUP!$D$4:$D$250,"0"))</f>
        <v>Incomplete</v>
      </c>
    </row>
    <row r="567" spans="1:101">
      <c r="A567" s="17" t="s">
        <v>989</v>
      </c>
      <c r="B567" s="17" t="s">
        <v>988</v>
      </c>
      <c r="C567" s="17" t="s">
        <v>86</v>
      </c>
      <c r="D567" s="26"/>
      <c r="F567" s="20" t="s">
        <v>99</v>
      </c>
      <c r="G567" s="17">
        <v>2026</v>
      </c>
      <c r="I567" s="20">
        <v>2</v>
      </c>
      <c r="J567" s="20"/>
      <c r="K567" s="20"/>
      <c r="L567" s="20"/>
      <c r="S567" s="20">
        <v>86.7</v>
      </c>
      <c r="T567" s="20">
        <v>169.4</v>
      </c>
      <c r="AQ567" s="20"/>
      <c r="AR567" s="20"/>
      <c r="AS567" s="20"/>
      <c r="AT567" s="20"/>
      <c r="AU567" s="20"/>
      <c r="AV567" s="20"/>
      <c r="AW567" s="20"/>
      <c r="AX567" s="20"/>
      <c r="AY567" s="41" t="str">
        <f t="shared" si="175"/>
        <v>Incomplete</v>
      </c>
      <c r="BA567" s="20" t="str">
        <f t="shared" si="176"/>
        <v>Incomplete</v>
      </c>
      <c r="BC567" s="20" t="str">
        <f t="shared" si="177"/>
        <v>Incomplete</v>
      </c>
      <c r="BE567" s="20" t="str">
        <f t="shared" si="178"/>
        <v>Incomplete</v>
      </c>
      <c r="BG567" s="17">
        <v>5</v>
      </c>
      <c r="BH567" s="17">
        <v>23.4</v>
      </c>
      <c r="BI567" s="20">
        <f t="shared" si="174"/>
        <v>18.399999999999999</v>
      </c>
      <c r="BJ567" s="20"/>
      <c r="BL567" s="20"/>
      <c r="BM567" s="20"/>
      <c r="BN567" s="20"/>
      <c r="BQ567" s="17">
        <v>79</v>
      </c>
      <c r="BR567" s="17">
        <v>77</v>
      </c>
      <c r="BS567" s="17">
        <v>62</v>
      </c>
      <c r="BT567" s="17">
        <v>79</v>
      </c>
      <c r="BU567" s="17">
        <v>75</v>
      </c>
      <c r="BV567" s="17">
        <v>66</v>
      </c>
      <c r="BW567" s="91">
        <f t="shared" si="172"/>
        <v>87.86779524385328</v>
      </c>
      <c r="BX567" s="91" t="str">
        <f>_xlfn.XLOOKUP(BW567,'Normative data'!$V$3:$V$6,'Normative data'!$W$3:$W$6,"Not Found",-1)</f>
        <v>High risk</v>
      </c>
      <c r="BY567" s="91">
        <f t="shared" si="173"/>
        <v>88.673921805723495</v>
      </c>
      <c r="BZ567" s="91" t="str">
        <f>_xlfn.XLOOKUP(BY567,'Normative data'!$V$3:$V$6,'Normative data'!$W$3:$W$6,"Not Found",-1)</f>
        <v>High risk</v>
      </c>
      <c r="CA567" s="17">
        <v>3</v>
      </c>
      <c r="CC567" s="20"/>
      <c r="CE567" s="17">
        <v>13</v>
      </c>
      <c r="CG567" s="17">
        <v>20.91</v>
      </c>
      <c r="CH567" s="20" t="str">
        <f>_xlfn.XLOOKUP(CG567, 'Normative data'!$S$9:$S$15,'Normative data'!$T$9:$T$15, "Not Found", -1)</f>
        <v>Average</v>
      </c>
      <c r="CI567" s="17">
        <v>20</v>
      </c>
      <c r="CJ567" s="20" t="str">
        <f>_xlfn.XLOOKUP(CI567, 'Normative data'!$S$9:$S$15, 'Normative data'!$T$9:$T$15, "Not Found", -1)</f>
        <v>Average</v>
      </c>
      <c r="CK567" s="17">
        <v>2.23</v>
      </c>
      <c r="CL567" s="17">
        <v>4.49</v>
      </c>
      <c r="CN567" s="17">
        <v>7.78</v>
      </c>
      <c r="CO567" s="17">
        <v>6.43</v>
      </c>
      <c r="CR567" s="20" t="str" cm="1">
        <f t="array" ref="CR567">IF(OR(ISBLANK(E567),ISBLANK(CQ567)),"Incomplete",_xlfn.XLOOKUP(CQ567,_xlfn.XLOOKUP(E567,'Normative data'!$Y$3:$Y$6,'Normative data'!$Z$3:$AG$6,,-1),'Normative data'!$Z$2:$AG$2,"Not Found",-1))</f>
        <v>Incomplete</v>
      </c>
      <c r="CS567" s="20"/>
      <c r="CT567" s="20"/>
      <c r="CU567" s="20" t="str" cm="1">
        <f t="array" ref="CU567">_xlfn.XLOOKUP(CS567&amp;CT567,(VLOOKUP!$A$3:$A$250)&amp;(VLOOKUP!$B$3:$B$250),VLOOKUP!$C$3:$C$250,"Incomplete",-1)</f>
        <v>Incomplete</v>
      </c>
      <c r="CV567" s="20" t="str" cm="1">
        <f t="array" ref="CV567">_xlfn.XLOOKUP(CU567, _xlfn.XLOOKUP(E567, 'Normative data'!$Y$11:$Y$14, 'Normative data'!$Z$11:$AG$14, ,-1), 'Normative data'!$Z$10:$AG$10, "Not Found", -1)</f>
        <v>Excellent</v>
      </c>
      <c r="CW567" s="20" t="str" cm="1">
        <f t="array" ref="CW567">IF(OR(ISBLANK(CS567),ISBLANK(CT567)),"Incomplete",_xlfn.XLOOKUP(CS567&amp;CT567,VLOOKUP!$A$4:$A$250&amp;VLOOKUP!$B$4:$B$250,VLOOKUP!$D$4:$D$250,"0"))</f>
        <v>Incomplete</v>
      </c>
    </row>
    <row r="568" spans="1:101">
      <c r="A568" s="17" t="s">
        <v>874</v>
      </c>
      <c r="B568" s="17" t="s">
        <v>988</v>
      </c>
      <c r="C568" s="17" t="s">
        <v>86</v>
      </c>
      <c r="D568" s="26"/>
      <c r="F568" s="20" t="s">
        <v>151</v>
      </c>
      <c r="G568" s="17">
        <v>2026</v>
      </c>
      <c r="I568" s="20">
        <v>2</v>
      </c>
      <c r="J568" s="20"/>
      <c r="K568" s="20"/>
      <c r="L568" s="20"/>
      <c r="S568" s="20"/>
      <c r="T568" s="20"/>
      <c r="AQ568" s="20"/>
      <c r="AR568" s="20"/>
      <c r="AS568" s="20"/>
      <c r="AT568" s="20"/>
      <c r="AU568" s="20"/>
      <c r="AV568" s="20"/>
      <c r="AW568" s="20"/>
      <c r="AX568" s="20"/>
      <c r="AY568" s="41" t="str">
        <f t="shared" si="175"/>
        <v>Incomplete</v>
      </c>
      <c r="BA568" s="20" t="str">
        <f t="shared" si="176"/>
        <v>Incomplete</v>
      </c>
      <c r="BC568" s="20" t="str">
        <f t="shared" si="177"/>
        <v>Incomplete</v>
      </c>
      <c r="BE568" s="20" t="str">
        <f t="shared" si="178"/>
        <v>Incomplete</v>
      </c>
      <c r="BH568" s="20"/>
      <c r="BI568" s="20" t="str">
        <f t="shared" si="174"/>
        <v>Incomplete</v>
      </c>
      <c r="BJ568" s="20"/>
      <c r="BL568" s="20"/>
      <c r="BM568" s="20"/>
      <c r="BN568" s="20"/>
      <c r="BQ568" s="17">
        <v>78</v>
      </c>
      <c r="BR568" s="17">
        <v>71</v>
      </c>
      <c r="BS568" s="17">
        <v>58</v>
      </c>
      <c r="BT568" s="17">
        <v>77</v>
      </c>
      <c r="BU568" s="17">
        <v>63</v>
      </c>
      <c r="BV568" s="17">
        <v>56</v>
      </c>
      <c r="BW568" s="91" t="str">
        <f t="shared" si="172"/>
        <v>Incomplete</v>
      </c>
      <c r="BX568" s="91" t="str">
        <f>_xlfn.XLOOKUP(BW568,'Normative data'!$V$3:$V$6,'Normative data'!$W$3:$W$6,"Not Found",-1)</f>
        <v>Very low risk</v>
      </c>
      <c r="BY568" s="91" t="str">
        <f t="shared" si="173"/>
        <v>Incomplete</v>
      </c>
      <c r="BZ568" s="91" t="str">
        <f>_xlfn.XLOOKUP(BY568,'Normative data'!$V$3:$V$6,'Normative data'!$W$3:$W$6,"Not Found",-1)</f>
        <v>Very low risk</v>
      </c>
      <c r="CA568" s="17">
        <v>8</v>
      </c>
      <c r="CC568" s="20"/>
      <c r="CE568" s="17">
        <v>1</v>
      </c>
      <c r="CG568" s="17">
        <v>23.47</v>
      </c>
      <c r="CH568" s="20" t="str">
        <f>_xlfn.XLOOKUP(CG568, 'Normative data'!$S$9:$S$15,'Normative data'!$T$9:$T$15, "Not Found", -1)</f>
        <v>Poor</v>
      </c>
      <c r="CI568" s="17">
        <v>23.42</v>
      </c>
      <c r="CJ568" s="20" t="str">
        <f>_xlfn.XLOOKUP(CI568, 'Normative data'!$S$9:$S$15, 'Normative data'!$T$9:$T$15, "Not Found", -1)</f>
        <v>Poor</v>
      </c>
      <c r="CK568" s="17">
        <v>2.58</v>
      </c>
      <c r="CL568" s="17">
        <v>4.88</v>
      </c>
      <c r="CN568" s="17">
        <v>8.48</v>
      </c>
      <c r="CO568" s="17">
        <v>5.9</v>
      </c>
      <c r="CR568" s="20" t="str" cm="1">
        <f t="array" ref="CR568">IF(OR(ISBLANK(E568),ISBLANK(CQ568)),"Incomplete",_xlfn.XLOOKUP(CQ568,_xlfn.XLOOKUP(E568,'Normative data'!$Y$3:$Y$6,'Normative data'!$Z$3:$AG$6,,-1),'Normative data'!$Z$2:$AG$2,"Not Found",-1))</f>
        <v>Incomplete</v>
      </c>
      <c r="CS568" s="20"/>
      <c r="CT568" s="20"/>
      <c r="CU568" s="20" t="str" cm="1">
        <f t="array" ref="CU568">_xlfn.XLOOKUP(CS568&amp;CT568,(VLOOKUP!$A$3:$A$250)&amp;(VLOOKUP!$B$3:$B$250),VLOOKUP!$C$3:$C$250,"Incomplete",-1)</f>
        <v>Incomplete</v>
      </c>
      <c r="CV568" s="20" t="str" cm="1">
        <f t="array" ref="CV568">_xlfn.XLOOKUP(CU568, _xlfn.XLOOKUP(E568, 'Normative data'!$Y$11:$Y$14, 'Normative data'!$Z$11:$AG$14, ,-1), 'Normative data'!$Z$10:$AG$10, "Not Found", -1)</f>
        <v>Excellent</v>
      </c>
      <c r="CW568" s="20" t="str" cm="1">
        <f t="array" ref="CW568">IF(OR(ISBLANK(CS568),ISBLANK(CT568)),"Incomplete",_xlfn.XLOOKUP(CS568&amp;CT568,VLOOKUP!$A$4:$A$250&amp;VLOOKUP!$B$4:$B$250,VLOOKUP!$D$4:$D$250,"0"))</f>
        <v>Incomplete</v>
      </c>
    </row>
    <row r="569" spans="1:101">
      <c r="A569" s="17" t="s">
        <v>658</v>
      </c>
      <c r="B569" s="17" t="s">
        <v>657</v>
      </c>
      <c r="C569" s="17" t="s">
        <v>86</v>
      </c>
      <c r="D569" s="26">
        <v>40555</v>
      </c>
      <c r="E569" s="17">
        <v>15.4</v>
      </c>
      <c r="F569" s="20" t="s">
        <v>104</v>
      </c>
      <c r="G569" s="17">
        <v>2026</v>
      </c>
      <c r="I569" s="20">
        <v>2</v>
      </c>
      <c r="J569" s="20" t="s">
        <v>100</v>
      </c>
      <c r="K569" s="20" t="s">
        <v>556</v>
      </c>
      <c r="L569" s="20"/>
      <c r="S569" s="20">
        <v>87.7</v>
      </c>
      <c r="T569" s="20">
        <v>165</v>
      </c>
      <c r="U569" s="17">
        <v>57.7</v>
      </c>
      <c r="V569" s="17">
        <v>34.1</v>
      </c>
      <c r="W569" s="17">
        <v>11.2</v>
      </c>
      <c r="X569" s="17">
        <v>46.6</v>
      </c>
      <c r="Y569" s="17">
        <v>26</v>
      </c>
      <c r="AA569" s="17">
        <v>19.3</v>
      </c>
      <c r="AB569" s="17">
        <v>6.9</v>
      </c>
      <c r="AC569" s="17">
        <v>103.4</v>
      </c>
      <c r="AD569" s="17">
        <v>6.91</v>
      </c>
      <c r="AE569" s="17">
        <v>103.6</v>
      </c>
      <c r="AF569" s="17">
        <v>1.7</v>
      </c>
      <c r="AG569" s="17">
        <v>69.5</v>
      </c>
      <c r="AH569" s="17">
        <v>1.7</v>
      </c>
      <c r="AI569" s="17">
        <v>69.5</v>
      </c>
      <c r="AJ569" s="17">
        <v>318.7</v>
      </c>
      <c r="AK569" s="17">
        <v>317.2</v>
      </c>
      <c r="AL569" s="17">
        <v>278.10000000000002</v>
      </c>
      <c r="AM569" s="17">
        <v>276.8</v>
      </c>
      <c r="AN569" s="17">
        <v>105</v>
      </c>
      <c r="AO569" s="102"/>
      <c r="AP569" s="102"/>
      <c r="AQ569" s="17">
        <v>32</v>
      </c>
      <c r="AR569" s="17">
        <v>0.51100000000000001</v>
      </c>
      <c r="AS569" s="17">
        <v>34.700000000000003</v>
      </c>
      <c r="AT569" s="17">
        <v>0.53200000000000003</v>
      </c>
      <c r="AU569" s="17">
        <v>18.5</v>
      </c>
      <c r="AV569" s="17">
        <v>0.38900000000000001</v>
      </c>
      <c r="AW569" s="17">
        <v>17.600000000000001</v>
      </c>
      <c r="AX569" s="17">
        <v>0.379</v>
      </c>
      <c r="AY569" s="41">
        <f t="shared" si="175"/>
        <v>2501.21</v>
      </c>
      <c r="BA569" s="20">
        <f t="shared" si="176"/>
        <v>2665.1000000000004</v>
      </c>
      <c r="BC569" s="20">
        <f t="shared" si="177"/>
        <v>1681.7600000000002</v>
      </c>
      <c r="BE569" s="20">
        <f t="shared" si="178"/>
        <v>1627.13</v>
      </c>
      <c r="BG569" s="17">
        <v>11.2</v>
      </c>
      <c r="BH569" s="17">
        <v>48.1</v>
      </c>
      <c r="BI569" s="20">
        <f t="shared" si="174"/>
        <v>36.900000000000006</v>
      </c>
      <c r="BJ569" s="20"/>
      <c r="BK569" s="17">
        <v>16</v>
      </c>
      <c r="BL569" s="20"/>
      <c r="BM569" s="17">
        <v>13.5</v>
      </c>
      <c r="BN569" s="20"/>
      <c r="BO569" s="17">
        <v>51</v>
      </c>
      <c r="BP569" s="17">
        <v>50</v>
      </c>
      <c r="BQ569" s="17">
        <v>77</v>
      </c>
      <c r="BR569" s="17">
        <v>83</v>
      </c>
      <c r="BS569" s="17">
        <v>60</v>
      </c>
      <c r="BT569" s="17">
        <v>83</v>
      </c>
      <c r="BU569" s="17">
        <v>80</v>
      </c>
      <c r="BV569" s="17">
        <v>79</v>
      </c>
      <c r="BW569" s="91">
        <f t="shared" si="172"/>
        <v>94.868477792151793</v>
      </c>
      <c r="BX569" s="91" t="str">
        <f>_xlfn.XLOOKUP(BW569,'Normative data'!$V$3:$V$6,'Normative data'!$W$3:$W$6,"Not Found",-1)</f>
        <v>High risk</v>
      </c>
      <c r="BY569" s="91">
        <f t="shared" si="173"/>
        <v>104.35532557136698</v>
      </c>
      <c r="BZ569" s="91" t="str">
        <f>_xlfn.XLOOKUP(BY569,'Normative data'!$V$3:$V$6,'Normative data'!$W$3:$W$6,"Not Found",-1)</f>
        <v>Low risk</v>
      </c>
      <c r="CA569" s="17">
        <v>37</v>
      </c>
      <c r="CC569" s="20"/>
      <c r="CE569" s="17">
        <v>40</v>
      </c>
      <c r="CG569" s="17">
        <v>17.829999999999998</v>
      </c>
      <c r="CH569" s="20" t="str">
        <f>_xlfn.XLOOKUP(CG569, 'Normative data'!$S$9:$S$15,'Normative data'!$T$9:$T$15, "Not Found", -1)</f>
        <v>Above Average</v>
      </c>
      <c r="CI569" s="17">
        <v>18.16</v>
      </c>
      <c r="CJ569" s="20" t="str">
        <f>_xlfn.XLOOKUP(CI569, 'Normative data'!$S$9:$S$15, 'Normative data'!$T$9:$T$15, "Not Found", -1)</f>
        <v>Average</v>
      </c>
      <c r="CK569" s="17">
        <v>2.2400000000000002</v>
      </c>
      <c r="CL569" s="17">
        <v>4.46</v>
      </c>
      <c r="CN569" s="17">
        <v>6.83</v>
      </c>
      <c r="CO569" s="17">
        <v>7.32</v>
      </c>
      <c r="CQ569" s="17">
        <v>8.4</v>
      </c>
      <c r="CR569" s="20" t="str" cm="1">
        <f t="array" ref="CR569">IF(OR(ISBLANK(E569),ISBLANK(CQ569)),"Incomplete",_xlfn.XLOOKUP(CQ569,_xlfn.XLOOKUP(E569,'Normative data'!$Y$3:$Y$6,'Normative data'!$Z$3:$AG$6,,-1),'Normative data'!$Z$2:$AG$2,"Not Found",-1))</f>
        <v>Good</v>
      </c>
      <c r="CS569" s="20">
        <v>8</v>
      </c>
      <c r="CT569" s="20">
        <v>4</v>
      </c>
      <c r="CU569" s="20" cm="1">
        <f t="array" ref="CU569">_xlfn.XLOOKUP(CS569&amp;CT569,(VLOOKUP!$A$3:$A$250)&amp;(VLOOKUP!$B$3:$B$250),VLOOKUP!$C$3:$C$250,"Incomplete",-1)</f>
        <v>1300</v>
      </c>
      <c r="CV569" s="20" t="str" cm="1">
        <f t="array" ref="CV569">_xlfn.XLOOKUP(CU569, _xlfn.XLOOKUP(E569, 'Normative data'!$Y$11:$Y$14, 'Normative data'!$Z$11:$AG$14, ,-1), 'Normative data'!$Z$10:$AG$10, "Not Found", -1)</f>
        <v>Average</v>
      </c>
      <c r="CW569" s="20" cm="1">
        <f t="array" ref="CW569">IF(OR(ISBLANK(CS569),ISBLANK(CT569)),"Incomplete",_xlfn.XLOOKUP(CS569&amp;CT569,VLOOKUP!$A$4:$A$250&amp;VLOOKUP!$B$4:$B$250,VLOOKUP!$D$4:$D$250,"0"))</f>
        <v>41</v>
      </c>
    </row>
    <row r="570" spans="1:101">
      <c r="A570" s="17" t="s">
        <v>917</v>
      </c>
      <c r="B570" s="17" t="s">
        <v>1180</v>
      </c>
      <c r="C570" s="17" t="s">
        <v>86</v>
      </c>
      <c r="D570" s="26">
        <v>40751</v>
      </c>
      <c r="F570" s="17">
        <v>8</v>
      </c>
      <c r="G570" s="17">
        <v>2025</v>
      </c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41" t="str">
        <f t="shared" si="175"/>
        <v>Incomplete</v>
      </c>
      <c r="AZ570" s="20"/>
      <c r="BA570" s="20" t="str">
        <f t="shared" si="176"/>
        <v>Incomplete</v>
      </c>
      <c r="BB570" s="20"/>
      <c r="BC570" s="20" t="str">
        <f t="shared" si="177"/>
        <v>Incomplete</v>
      </c>
      <c r="BD570" s="20"/>
      <c r="BE570" s="20" t="str">
        <f t="shared" si="178"/>
        <v>Incomplete</v>
      </c>
      <c r="BF570" s="20"/>
      <c r="BG570" s="20">
        <v>13</v>
      </c>
      <c r="BH570" s="20">
        <v>13</v>
      </c>
      <c r="BI570" s="20" t="e">
        <f>IF(OR(ISBLANK(#REF!), ISBLANK(#REF!)),"Incomplete",(SUM(#REF!-#REF!)))</f>
        <v>#REF!</v>
      </c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91" t="str">
        <f t="shared" si="172"/>
        <v>Incomplete</v>
      </c>
      <c r="BX570" s="91" t="str">
        <f>_xlfn.XLOOKUP(BW570,'Normative data'!$V$3:$V$6,'Normative data'!$W$3:$W$6,"Not Found",-1)</f>
        <v>Very low risk</v>
      </c>
      <c r="BY570" s="91" t="str">
        <f t="shared" si="173"/>
        <v>Incomplete</v>
      </c>
      <c r="BZ570" s="91" t="str">
        <f>_xlfn.XLOOKUP(BY570,'Normative data'!$V$3:$V$6,'Normative data'!$W$3:$W$6,"Not Found",-1)</f>
        <v>Very low risk</v>
      </c>
      <c r="CA570" s="20"/>
      <c r="CC570" s="20"/>
      <c r="CE570" s="20"/>
      <c r="CG570" s="20"/>
      <c r="CH570" s="20" t="str">
        <f>_xlfn.XLOOKUP(CG570, 'Normative data'!$S$9:$S$15,'Normative data'!$T$9:$T$15, "Not Found", -1)</f>
        <v>not completed</v>
      </c>
      <c r="CI570" s="20"/>
      <c r="CJ570" s="20" t="str">
        <f>_xlfn.XLOOKUP(CI570, 'Normative data'!$S$9:$S$15, 'Normative data'!$T$9:$T$15, "Not Found", -1)</f>
        <v>not completed</v>
      </c>
      <c r="CK570" s="20">
        <v>2.4700000000000002</v>
      </c>
      <c r="CL570" s="20">
        <v>4.05</v>
      </c>
      <c r="CN570" s="20">
        <v>7.95</v>
      </c>
      <c r="CO570" s="20">
        <v>6.29</v>
      </c>
      <c r="CQ570" s="20"/>
      <c r="CR570" s="20" t="str" cm="1">
        <f t="array" ref="CR570">IF(OR(ISBLANK(E570),ISBLANK(CQ570)),"Incomplete",_xlfn.XLOOKUP(CQ570,_xlfn.XLOOKUP(E570,'Normative data'!$Y$3:$Y$6,'Normative data'!$Z$3:$AG$6,,-1),'Normative data'!$Z$2:$AG$2,"Not Found",-1))</f>
        <v>Incomplete</v>
      </c>
      <c r="CS570" s="20"/>
      <c r="CT570" s="20"/>
      <c r="CU570" s="20" t="str" cm="1">
        <f t="array" ref="CU570">_xlfn.XLOOKUP(CS570&amp;CT570,(VLOOKUP!$A$3:$A$250)&amp;(VLOOKUP!$B$3:$B$250),VLOOKUP!$C$3:$C$250,"Incomplete",-1)</f>
        <v>Incomplete</v>
      </c>
      <c r="CV570" s="20" t="str" cm="1">
        <f t="array" ref="CV570">_xlfn.XLOOKUP(CU570, _xlfn.XLOOKUP(E570, 'Normative data'!$Y$11:$Y$14, 'Normative data'!$Z$11:$AG$14, ,-1), 'Normative data'!$Z$10:$AG$10, "Not Found", -1)</f>
        <v>Excellent</v>
      </c>
      <c r="CW570" s="20" t="str" cm="1">
        <f t="array" ref="CW570">IF(OR(ISBLANK(CS570),ISBLANK(CT570)),"Incomplete",_xlfn.XLOOKUP(CS570&amp;CT570,VLOOKUP!$A$4:$A$250&amp;VLOOKUP!$B$4:$B$250,VLOOKUP!$D$4:$D$250,"0"))</f>
        <v>Incomplete</v>
      </c>
    </row>
    <row r="571" spans="1:101">
      <c r="A571" s="17" t="s">
        <v>921</v>
      </c>
      <c r="B571" s="17" t="s">
        <v>1180</v>
      </c>
      <c r="C571" s="17" t="s">
        <v>86</v>
      </c>
      <c r="D571" s="26">
        <v>40751</v>
      </c>
      <c r="F571" s="17">
        <v>8</v>
      </c>
      <c r="G571" s="17">
        <v>2025</v>
      </c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41" t="str">
        <f t="shared" si="175"/>
        <v>Incomplete</v>
      </c>
      <c r="AZ571" s="20"/>
      <c r="BA571" s="20" t="str">
        <f t="shared" si="176"/>
        <v>Incomplete</v>
      </c>
      <c r="BB571" s="20"/>
      <c r="BC571" s="20" t="str">
        <f t="shared" si="177"/>
        <v>Incomplete</v>
      </c>
      <c r="BD571" s="20"/>
      <c r="BE571" s="20" t="str">
        <f t="shared" si="178"/>
        <v>Incomplete</v>
      </c>
      <c r="BF571" s="20"/>
      <c r="BG571" s="20"/>
      <c r="BH571" s="20"/>
      <c r="BI571" s="20" t="str">
        <f>IF(OR(ISBLANK(BG571), ISBLANK(BH571)),"Incomplete",(SUM(BH571-BG571)))</f>
        <v>Incomplete</v>
      </c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91" t="str">
        <f t="shared" si="172"/>
        <v>Incomplete</v>
      </c>
      <c r="BX571" s="91" t="str">
        <f>_xlfn.XLOOKUP(BW571,'Normative data'!$V$3:$V$6,'Normative data'!$W$3:$W$6,"Not Found",-1)</f>
        <v>Very low risk</v>
      </c>
      <c r="BY571" s="91" t="str">
        <f t="shared" si="173"/>
        <v>Incomplete</v>
      </c>
      <c r="BZ571" s="91" t="str">
        <f>_xlfn.XLOOKUP(BY571,'Normative data'!$V$3:$V$6,'Normative data'!$W$3:$W$6,"Not Found",-1)</f>
        <v>Very low risk</v>
      </c>
      <c r="CA571" s="20"/>
      <c r="CC571" s="20"/>
      <c r="CE571" s="20"/>
      <c r="CG571" s="20"/>
      <c r="CH571" s="20" t="str">
        <f>_xlfn.XLOOKUP(CG571, 'Normative data'!$S$9:$S$15,'Normative data'!$T$9:$T$15, "Not Found", -1)</f>
        <v>not completed</v>
      </c>
      <c r="CI571" s="20"/>
      <c r="CJ571" s="20" t="str">
        <f>_xlfn.XLOOKUP(CI571, 'Normative data'!$S$9:$S$15, 'Normative data'!$T$9:$T$15, "Not Found", -1)</f>
        <v>not completed</v>
      </c>
      <c r="CK571" s="20" t="s">
        <v>971</v>
      </c>
      <c r="CL571" s="20" t="s">
        <v>972</v>
      </c>
      <c r="CN571" s="20" t="s">
        <v>1181</v>
      </c>
      <c r="CO571" s="20" t="s">
        <v>1182</v>
      </c>
      <c r="CQ571" s="20"/>
      <c r="CR571" s="20" t="str" cm="1">
        <f t="array" ref="CR571">IF(OR(ISBLANK(E571),ISBLANK(CQ571)),"Incomplete",_xlfn.XLOOKUP(CQ571,_xlfn.XLOOKUP(E571,'Normative data'!$Y$3:$Y$6,'Normative data'!$Z$3:$AG$6,,-1),'Normative data'!$Z$2:$AG$2,"Not Found",-1))</f>
        <v>Incomplete</v>
      </c>
      <c r="CS571" s="20"/>
      <c r="CT571" s="20"/>
      <c r="CU571" s="20" t="str" cm="1">
        <f t="array" ref="CU571">_xlfn.XLOOKUP(CS571&amp;CT571,(VLOOKUP!$A$3:$A$250)&amp;(VLOOKUP!$B$3:$B$250),VLOOKUP!$C$3:$C$250,"Incomplete",-1)</f>
        <v>Incomplete</v>
      </c>
      <c r="CV571" s="20" t="str" cm="1">
        <f t="array" ref="CV571">_xlfn.XLOOKUP(CU571, _xlfn.XLOOKUP(E571, 'Normative data'!$Y$11:$Y$14, 'Normative data'!$Z$11:$AG$14, ,-1), 'Normative data'!$Z$10:$AG$10, "Not Found", -1)</f>
        <v>Excellent</v>
      </c>
      <c r="CW571" s="20" t="str" cm="1">
        <f t="array" ref="CW571">IF(OR(ISBLANK(CS571),ISBLANK(CT571)),"Incomplete",_xlfn.XLOOKUP(CS571&amp;CT571,VLOOKUP!$A$4:$A$250&amp;VLOOKUP!$B$4:$B$250,VLOOKUP!$D$4:$D$250,"0"))</f>
        <v>Incomplete</v>
      </c>
    </row>
    <row r="572" spans="1:101">
      <c r="A572" s="18" t="s">
        <v>1183</v>
      </c>
      <c r="B572" s="18" t="s">
        <v>1184</v>
      </c>
      <c r="C572" s="17" t="s">
        <v>86</v>
      </c>
      <c r="D572" s="19">
        <v>39785</v>
      </c>
      <c r="F572" s="17">
        <v>11</v>
      </c>
      <c r="G572" s="17">
        <v>2025</v>
      </c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41" t="str">
        <f t="shared" si="175"/>
        <v>Incomplete</v>
      </c>
      <c r="AZ572" s="20"/>
      <c r="BA572" s="20" t="str">
        <f t="shared" si="176"/>
        <v>Incomplete</v>
      </c>
      <c r="BB572" s="20"/>
      <c r="BC572" s="20" t="str">
        <f t="shared" si="177"/>
        <v>Incomplete</v>
      </c>
      <c r="BD572" s="20"/>
      <c r="BE572" s="20" t="str">
        <f t="shared" si="178"/>
        <v>Incomplete</v>
      </c>
      <c r="BF572" s="20"/>
      <c r="BG572" s="20">
        <v>8</v>
      </c>
      <c r="BH572" s="20">
        <v>39.5</v>
      </c>
      <c r="BI572" s="20" t="e">
        <f>IF(OR(ISBLANK(#REF!), ISBLANK(#REF!)),"Incomplete",(SUM(#REF!-#REF!)))</f>
        <v>#REF!</v>
      </c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91" t="str">
        <f t="shared" si="172"/>
        <v>Incomplete</v>
      </c>
      <c r="BX572" s="91" t="str">
        <f>_xlfn.XLOOKUP(BW572,'Normative data'!$V$3:$V$6,'Normative data'!$W$3:$W$6,"Not Found",-1)</f>
        <v>Very low risk</v>
      </c>
      <c r="BY572" s="91" t="str">
        <f t="shared" si="173"/>
        <v>Incomplete</v>
      </c>
      <c r="BZ572" s="91" t="str">
        <f>_xlfn.XLOOKUP(BY572,'Normative data'!$V$3:$V$6,'Normative data'!$W$3:$W$6,"Not Found",-1)</f>
        <v>Very low risk</v>
      </c>
      <c r="CA572" s="20"/>
      <c r="CC572" s="20"/>
      <c r="CE572" s="20">
        <v>5</v>
      </c>
      <c r="CG572" s="20"/>
      <c r="CH572" s="20" t="str">
        <f>_xlfn.XLOOKUP(CG572, 'Normative data'!$S$9:$S$15,'Normative data'!$T$9:$T$15, "Not Found", -1)</f>
        <v>not completed</v>
      </c>
      <c r="CI572" s="20"/>
      <c r="CJ572" s="20" t="str">
        <f>_xlfn.XLOOKUP(CI572, 'Normative data'!$S$9:$S$15, 'Normative data'!$T$9:$T$15, "Not Found", -1)</f>
        <v>not completed</v>
      </c>
      <c r="CK572" s="21">
        <v>2.2799999999999998</v>
      </c>
      <c r="CL572" s="21">
        <v>4.3899999999999997</v>
      </c>
      <c r="CM572" s="21"/>
      <c r="CN572" s="21">
        <v>6.97</v>
      </c>
      <c r="CO572" s="21">
        <v>7.17</v>
      </c>
      <c r="CP572" s="21"/>
      <c r="CQ572" s="20"/>
      <c r="CR572" s="20" t="str" cm="1">
        <f t="array" ref="CR572">IF(OR(ISBLANK(E572),ISBLANK(CQ572)),"Incomplete",_xlfn.XLOOKUP(CQ572,_xlfn.XLOOKUP(E572,'Normative data'!$Y$3:$Y$6,'Normative data'!$Z$3:$AG$6,,-1),'Normative data'!$Z$2:$AG$2,"Not Found",-1))</f>
        <v>Incomplete</v>
      </c>
      <c r="CS572" s="20"/>
      <c r="CT572" s="20"/>
      <c r="CU572" s="20" t="str" cm="1">
        <f t="array" ref="CU572">_xlfn.XLOOKUP(CS572&amp;CT572,(VLOOKUP!$A$3:$A$250)&amp;(VLOOKUP!$B$3:$B$250),VLOOKUP!$C$3:$C$250,"Incomplete",-1)</f>
        <v>Incomplete</v>
      </c>
      <c r="CV572" s="20" t="str" cm="1">
        <f t="array" ref="CV572">_xlfn.XLOOKUP(CU572, _xlfn.XLOOKUP(E572, 'Normative data'!$Y$11:$Y$14, 'Normative data'!$Z$11:$AG$14, ,-1), 'Normative data'!$Z$10:$AG$10, "Not Found", -1)</f>
        <v>Excellent</v>
      </c>
      <c r="CW572" s="20" t="str" cm="1">
        <f t="array" ref="CW572">IF(OR(ISBLANK(CS572),ISBLANK(CT572)),"Incomplete",_xlfn.XLOOKUP(CS572&amp;CT572,VLOOKUP!$A$4:$A$250&amp;VLOOKUP!$B$4:$B$250,VLOOKUP!$D$4:$D$250,"0"))</f>
        <v>Incomplete</v>
      </c>
    </row>
    <row r="573" spans="1:101">
      <c r="A573" s="18" t="s">
        <v>578</v>
      </c>
      <c r="B573" s="18" t="s">
        <v>580</v>
      </c>
      <c r="C573" s="17" t="s">
        <v>86</v>
      </c>
      <c r="D573" s="19">
        <v>40855</v>
      </c>
      <c r="F573" s="17">
        <v>8</v>
      </c>
      <c r="G573" s="17">
        <v>2025</v>
      </c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41" t="str">
        <f t="shared" si="175"/>
        <v>Incomplete</v>
      </c>
      <c r="AZ573" s="20"/>
      <c r="BA573" s="20" t="str">
        <f t="shared" si="176"/>
        <v>Incomplete</v>
      </c>
      <c r="BB573" s="20"/>
      <c r="BC573" s="20" t="str">
        <f t="shared" si="177"/>
        <v>Incomplete</v>
      </c>
      <c r="BD573" s="20"/>
      <c r="BE573" s="20" t="str">
        <f t="shared" si="178"/>
        <v>Incomplete</v>
      </c>
      <c r="BF573" s="20"/>
      <c r="BG573" s="20">
        <v>12</v>
      </c>
      <c r="BH573" s="20">
        <v>30.5</v>
      </c>
      <c r="BI573" s="20" t="e">
        <f>IF(OR(ISBLANK(#REF!), ISBLANK(#REF!)),"Incomplete",(SUM(#REF!-#REF!)))</f>
        <v>#REF!</v>
      </c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91" t="str">
        <f t="shared" si="172"/>
        <v>Incomplete</v>
      </c>
      <c r="BX573" s="91" t="str">
        <f>_xlfn.XLOOKUP(BW573,'Normative data'!$V$3:$V$6,'Normative data'!$W$3:$W$6,"Not Found",-1)</f>
        <v>Very low risk</v>
      </c>
      <c r="BY573" s="91" t="str">
        <f t="shared" si="173"/>
        <v>Incomplete</v>
      </c>
      <c r="BZ573" s="91" t="str">
        <f>_xlfn.XLOOKUP(BY573,'Normative data'!$V$3:$V$6,'Normative data'!$W$3:$W$6,"Not Found",-1)</f>
        <v>Very low risk</v>
      </c>
      <c r="CA573" s="20"/>
      <c r="CC573" s="20"/>
      <c r="CE573" s="20">
        <v>5</v>
      </c>
      <c r="CG573" s="20"/>
      <c r="CH573" s="20" t="str">
        <f>_xlfn.XLOOKUP(CG573, 'Normative data'!$S$9:$S$15,'Normative data'!$T$9:$T$15, "Not Found", -1)</f>
        <v>not completed</v>
      </c>
      <c r="CI573" s="20"/>
      <c r="CJ573" s="20" t="str">
        <f>_xlfn.XLOOKUP(CI573, 'Normative data'!$S$9:$S$15, 'Normative data'!$T$9:$T$15, "Not Found", -1)</f>
        <v>not completed</v>
      </c>
      <c r="CK573" s="21">
        <v>2.54</v>
      </c>
      <c r="CL573" s="21">
        <v>3.94</v>
      </c>
      <c r="CM573" s="21"/>
      <c r="CN573" s="21">
        <v>7.8</v>
      </c>
      <c r="CO573" s="21">
        <v>6.41</v>
      </c>
      <c r="CP573" s="21"/>
      <c r="CQ573" s="20"/>
      <c r="CR573" s="20" t="str" cm="1">
        <f t="array" ref="CR573">IF(OR(ISBLANK(E573),ISBLANK(CQ573)),"Incomplete",_xlfn.XLOOKUP(CQ573,_xlfn.XLOOKUP(E573,'Normative data'!$Y$3:$Y$6,'Normative data'!$Z$3:$AG$6,,-1),'Normative data'!$Z$2:$AG$2,"Not Found",-1))</f>
        <v>Incomplete</v>
      </c>
      <c r="CS573" s="20"/>
      <c r="CT573" s="20"/>
      <c r="CU573" s="20" t="str" cm="1">
        <f t="array" ref="CU573">_xlfn.XLOOKUP(CS573&amp;CT573,(VLOOKUP!$A$3:$A$250)&amp;(VLOOKUP!$B$3:$B$250),VLOOKUP!$C$3:$C$250,"Incomplete",-1)</f>
        <v>Incomplete</v>
      </c>
      <c r="CV573" s="20" t="str" cm="1">
        <f t="array" ref="CV573">_xlfn.XLOOKUP(CU573, _xlfn.XLOOKUP(E573, 'Normative data'!$Y$11:$Y$14, 'Normative data'!$Z$11:$AG$14, ,-1), 'Normative data'!$Z$10:$AG$10, "Not Found", -1)</f>
        <v>Excellent</v>
      </c>
      <c r="CW573" s="20" t="str" cm="1">
        <f t="array" ref="CW573">IF(OR(ISBLANK(CS573),ISBLANK(CT573)),"Incomplete",_xlfn.XLOOKUP(CS573&amp;CT573,VLOOKUP!$A$4:$A$250&amp;VLOOKUP!$B$4:$B$250,VLOOKUP!$D$4:$D$250,"0"))</f>
        <v>Incomplete</v>
      </c>
    </row>
    <row r="574" spans="1:101">
      <c r="A574" s="22" t="s">
        <v>679</v>
      </c>
      <c r="B574" s="22" t="s">
        <v>678</v>
      </c>
      <c r="C574" s="17" t="s">
        <v>86</v>
      </c>
      <c r="D574" s="23">
        <v>40417</v>
      </c>
      <c r="F574" s="17">
        <v>9</v>
      </c>
      <c r="G574" s="17">
        <v>2025</v>
      </c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41" t="str">
        <f t="shared" si="175"/>
        <v>Incomplete</v>
      </c>
      <c r="AZ574" s="20"/>
      <c r="BA574" s="20" t="str">
        <f t="shared" si="176"/>
        <v>Incomplete</v>
      </c>
      <c r="BB574" s="20"/>
      <c r="BC574" s="20" t="str">
        <f t="shared" si="177"/>
        <v>Incomplete</v>
      </c>
      <c r="BD574" s="20"/>
      <c r="BE574" s="20" t="str">
        <f t="shared" si="178"/>
        <v>Incomplete</v>
      </c>
      <c r="BF574" s="20"/>
      <c r="BG574" s="20">
        <v>17</v>
      </c>
      <c r="BH574" s="20">
        <v>31</v>
      </c>
      <c r="BI574" s="20" t="e">
        <f>IF(OR(ISBLANK(#REF!), ISBLANK(#REF!)),"Incomplete",(SUM(#REF!-#REF!)))</f>
        <v>#REF!</v>
      </c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91" t="str">
        <f t="shared" si="172"/>
        <v>Incomplete</v>
      </c>
      <c r="BX574" s="91" t="str">
        <f>_xlfn.XLOOKUP(BW574,'Normative data'!$V$3:$V$6,'Normative data'!$W$3:$W$6,"Not Found",-1)</f>
        <v>Very low risk</v>
      </c>
      <c r="BY574" s="91" t="str">
        <f t="shared" si="173"/>
        <v>Incomplete</v>
      </c>
      <c r="BZ574" s="91" t="str">
        <f>_xlfn.XLOOKUP(BY574,'Normative data'!$V$3:$V$6,'Normative data'!$W$3:$W$6,"Not Found",-1)</f>
        <v>Very low risk</v>
      </c>
      <c r="CA574" s="20"/>
      <c r="CC574" s="20"/>
      <c r="CE574" s="20"/>
      <c r="CG574" s="20"/>
      <c r="CH574" s="20" t="str">
        <f>_xlfn.XLOOKUP(CG574, 'Normative data'!$S$9:$S$15,'Normative data'!$T$9:$T$15, "Not Found", -1)</f>
        <v>not completed</v>
      </c>
      <c r="CI574" s="20"/>
      <c r="CJ574" s="20" t="str">
        <f>_xlfn.XLOOKUP(CI574, 'Normative data'!$S$9:$S$15, 'Normative data'!$T$9:$T$15, "Not Found", -1)</f>
        <v>not completed</v>
      </c>
      <c r="CK574" s="24">
        <v>2.1800000000000002</v>
      </c>
      <c r="CL574" s="24">
        <v>4.59</v>
      </c>
      <c r="CM574" s="24"/>
      <c r="CN574" s="24">
        <v>7.04</v>
      </c>
      <c r="CO574" s="24">
        <v>7.1</v>
      </c>
      <c r="CP574" s="24"/>
      <c r="CQ574" s="20"/>
      <c r="CR574" s="20" t="str" cm="1">
        <f t="array" ref="CR574">IF(OR(ISBLANK(E574),ISBLANK(CQ574)),"Incomplete",_xlfn.XLOOKUP(CQ574,_xlfn.XLOOKUP(E574,'Normative data'!$Y$3:$Y$6,'Normative data'!$Z$3:$AG$6,,-1),'Normative data'!$Z$2:$AG$2,"Not Found",-1))</f>
        <v>Incomplete</v>
      </c>
      <c r="CS574" s="20"/>
      <c r="CT574" s="20"/>
      <c r="CU574" s="20" t="str" cm="1">
        <f t="array" ref="CU574">_xlfn.XLOOKUP(CS574&amp;CT574,(VLOOKUP!$A$3:$A$250)&amp;(VLOOKUP!$B$3:$B$250),VLOOKUP!$C$3:$C$250,"Incomplete",-1)</f>
        <v>Incomplete</v>
      </c>
      <c r="CV574" s="20" t="str" cm="1">
        <f t="array" ref="CV574">_xlfn.XLOOKUP(CU574, _xlfn.XLOOKUP(E574, 'Normative data'!$Y$11:$Y$14, 'Normative data'!$Z$11:$AG$14, ,-1), 'Normative data'!$Z$10:$AG$10, "Not Found", -1)</f>
        <v>Excellent</v>
      </c>
      <c r="CW574" s="20" t="str" cm="1">
        <f t="array" ref="CW574">IF(OR(ISBLANK(CS574),ISBLANK(CT574)),"Incomplete",_xlfn.XLOOKUP(CS574&amp;CT574,VLOOKUP!$A$4:$A$250&amp;VLOOKUP!$B$4:$B$250,VLOOKUP!$D$4:$D$250,"0"))</f>
        <v>Incomplete</v>
      </c>
    </row>
    <row r="575" spans="1:101">
      <c r="A575" s="17" t="s">
        <v>1185</v>
      </c>
      <c r="B575" s="17" t="s">
        <v>678</v>
      </c>
      <c r="C575" s="17" t="s">
        <v>86</v>
      </c>
      <c r="D575" s="23">
        <v>40417</v>
      </c>
      <c r="F575" s="17">
        <v>9</v>
      </c>
      <c r="G575" s="17">
        <v>2025</v>
      </c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41" t="str">
        <f t="shared" si="175"/>
        <v>Incomplete</v>
      </c>
      <c r="AZ575" s="20"/>
      <c r="BA575" s="20" t="str">
        <f t="shared" si="176"/>
        <v>Incomplete</v>
      </c>
      <c r="BB575" s="20"/>
      <c r="BC575" s="20" t="str">
        <f t="shared" si="177"/>
        <v>Incomplete</v>
      </c>
      <c r="BD575" s="20"/>
      <c r="BE575" s="20" t="str">
        <f t="shared" si="178"/>
        <v>Incomplete</v>
      </c>
      <c r="BF575" s="20"/>
      <c r="BG575" s="20"/>
      <c r="BH575" s="20"/>
      <c r="BI575" s="20" t="str">
        <f>IF(OR(ISBLANK(BG575), ISBLANK(BH575)),"Incomplete",(SUM(BH575-BG575)))</f>
        <v>Incomplete</v>
      </c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91" t="str">
        <f t="shared" si="172"/>
        <v>Incomplete</v>
      </c>
      <c r="BX575" s="91" t="str">
        <f>_xlfn.XLOOKUP(BW575,'Normative data'!$V$3:$V$6,'Normative data'!$W$3:$W$6,"Not Found",-1)</f>
        <v>Very low risk</v>
      </c>
      <c r="BY575" s="91" t="str">
        <f t="shared" si="173"/>
        <v>Incomplete</v>
      </c>
      <c r="BZ575" s="91" t="str">
        <f>_xlfn.XLOOKUP(BY575,'Normative data'!$V$3:$V$6,'Normative data'!$W$3:$W$6,"Not Found",-1)</f>
        <v>Very low risk</v>
      </c>
      <c r="CA575" s="20"/>
      <c r="CC575" s="20"/>
      <c r="CE575" s="20"/>
      <c r="CG575" s="20"/>
      <c r="CH575" s="20" t="str">
        <f>_xlfn.XLOOKUP(CG575, 'Normative data'!$S$9:$S$15,'Normative data'!$T$9:$T$15, "Not Found", -1)</f>
        <v>not completed</v>
      </c>
      <c r="CI575" s="20"/>
      <c r="CJ575" s="20" t="str">
        <f>_xlfn.XLOOKUP(CI575, 'Normative data'!$S$9:$S$15, 'Normative data'!$T$9:$T$15, "Not Found", -1)</f>
        <v>not completed</v>
      </c>
      <c r="CK575" s="20" t="s">
        <v>831</v>
      </c>
      <c r="CL575" s="20" t="s">
        <v>832</v>
      </c>
      <c r="CN575" s="20" t="s">
        <v>1186</v>
      </c>
      <c r="CO575" s="20" t="s">
        <v>1187</v>
      </c>
      <c r="CQ575" s="20"/>
      <c r="CR575" s="20" t="str" cm="1">
        <f t="array" ref="CR575">IF(OR(ISBLANK(E575),ISBLANK(CQ575)),"Incomplete",_xlfn.XLOOKUP(CQ575,_xlfn.XLOOKUP(E575,'Normative data'!$Y$3:$Y$6,'Normative data'!$Z$3:$AG$6,,-1),'Normative data'!$Z$2:$AG$2,"Not Found",-1))</f>
        <v>Incomplete</v>
      </c>
      <c r="CS575" s="20"/>
      <c r="CT575" s="20"/>
      <c r="CU575" s="20" t="str" cm="1">
        <f t="array" ref="CU575">_xlfn.XLOOKUP(CS575&amp;CT575,(VLOOKUP!$A$3:$A$250)&amp;(VLOOKUP!$B$3:$B$250),VLOOKUP!$C$3:$C$250,"Incomplete",-1)</f>
        <v>Incomplete</v>
      </c>
      <c r="CV575" s="20" t="str" cm="1">
        <f t="array" ref="CV575">_xlfn.XLOOKUP(CU575, _xlfn.XLOOKUP(E575, 'Normative data'!$Y$11:$Y$14, 'Normative data'!$Z$11:$AG$14, ,-1), 'Normative data'!$Z$10:$AG$10, "Not Found", -1)</f>
        <v>Excellent</v>
      </c>
      <c r="CW575" s="20" t="str" cm="1">
        <f t="array" ref="CW575">IF(OR(ISBLANK(CS575),ISBLANK(CT575)),"Incomplete",_xlfn.XLOOKUP(CS575&amp;CT575,VLOOKUP!$A$4:$A$250&amp;VLOOKUP!$B$4:$B$250,VLOOKUP!$D$4:$D$250,"0"))</f>
        <v>Incomplete</v>
      </c>
    </row>
    <row r="576" spans="1:101">
      <c r="A576" s="17" t="s">
        <v>470</v>
      </c>
      <c r="B576" s="17" t="s">
        <v>891</v>
      </c>
      <c r="C576" s="17" t="s">
        <v>86</v>
      </c>
      <c r="D576" s="19">
        <v>40140</v>
      </c>
      <c r="F576" s="17">
        <v>10</v>
      </c>
      <c r="G576" s="17">
        <v>2025</v>
      </c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41" t="str">
        <f t="shared" si="175"/>
        <v>Incomplete</v>
      </c>
      <c r="AZ576" s="20"/>
      <c r="BA576" s="20" t="str">
        <f t="shared" si="176"/>
        <v>Incomplete</v>
      </c>
      <c r="BB576" s="20"/>
      <c r="BC576" s="20" t="str">
        <f t="shared" si="177"/>
        <v>Incomplete</v>
      </c>
      <c r="BD576" s="20"/>
      <c r="BE576" s="20" t="str">
        <f t="shared" si="178"/>
        <v>Incomplete</v>
      </c>
      <c r="BF576" s="20"/>
      <c r="BG576" s="20"/>
      <c r="BH576" s="20"/>
      <c r="BI576" s="20" t="str">
        <f>IF(OR(ISBLANK(BG576), ISBLANK(BH576)),"Incomplete",(SUM(BH576-BG576)))</f>
        <v>Incomplete</v>
      </c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91" t="str">
        <f t="shared" si="172"/>
        <v>Incomplete</v>
      </c>
      <c r="BX576" s="91" t="str">
        <f>_xlfn.XLOOKUP(BW576,'Normative data'!$V$3:$V$6,'Normative data'!$W$3:$W$6,"Not Found",-1)</f>
        <v>Very low risk</v>
      </c>
      <c r="BY576" s="91" t="str">
        <f t="shared" si="173"/>
        <v>Incomplete</v>
      </c>
      <c r="BZ576" s="91" t="str">
        <f>_xlfn.XLOOKUP(BY576,'Normative data'!$V$3:$V$6,'Normative data'!$W$3:$W$6,"Not Found",-1)</f>
        <v>Very low risk</v>
      </c>
      <c r="CA576" s="20"/>
      <c r="CC576" s="20"/>
      <c r="CE576" s="20"/>
      <c r="CG576" s="20"/>
      <c r="CH576" s="20" t="str">
        <f>_xlfn.XLOOKUP(CG576, 'Normative data'!$S$9:$S$15,'Normative data'!$T$9:$T$15, "Not Found", -1)</f>
        <v>not completed</v>
      </c>
      <c r="CI576" s="20"/>
      <c r="CJ576" s="20" t="str">
        <f>_xlfn.XLOOKUP(CI576, 'Normative data'!$S$9:$S$15, 'Normative data'!$T$9:$T$15, "Not Found", -1)</f>
        <v>not completed</v>
      </c>
      <c r="CK576" s="20" t="s">
        <v>401</v>
      </c>
      <c r="CL576" s="20" t="s">
        <v>867</v>
      </c>
      <c r="CN576" s="20" t="s">
        <v>1188</v>
      </c>
      <c r="CO576" s="20" t="s">
        <v>1189</v>
      </c>
      <c r="CQ576" s="20"/>
      <c r="CR576" s="20" t="str" cm="1">
        <f t="array" ref="CR576">IF(OR(ISBLANK(E576),ISBLANK(CQ576)),"Incomplete",_xlfn.XLOOKUP(CQ576,_xlfn.XLOOKUP(E576,'Normative data'!$Y$3:$Y$6,'Normative data'!$Z$3:$AG$6,,-1),'Normative data'!$Z$2:$AG$2,"Not Found",-1))</f>
        <v>Incomplete</v>
      </c>
      <c r="CS576" s="20"/>
      <c r="CT576" s="20"/>
      <c r="CU576" s="20" t="str" cm="1">
        <f t="array" ref="CU576">_xlfn.XLOOKUP(CS576&amp;CT576,(VLOOKUP!$A$3:$A$250)&amp;(VLOOKUP!$B$3:$B$250),VLOOKUP!$C$3:$C$250,"Incomplete",-1)</f>
        <v>Incomplete</v>
      </c>
      <c r="CV576" s="20" t="str" cm="1">
        <f t="array" ref="CV576">_xlfn.XLOOKUP(CU576, _xlfn.XLOOKUP(E576, 'Normative data'!$Y$11:$Y$14, 'Normative data'!$Z$11:$AG$14, ,-1), 'Normative data'!$Z$10:$AG$10, "Not Found", -1)</f>
        <v>Excellent</v>
      </c>
      <c r="CW576" s="20" t="str" cm="1">
        <f t="array" ref="CW576">IF(OR(ISBLANK(CS576),ISBLANK(CT576)),"Incomplete",_xlfn.XLOOKUP(CS576&amp;CT576,VLOOKUP!$A$4:$A$250&amp;VLOOKUP!$B$4:$B$250,VLOOKUP!$D$4:$D$250,"0"))</f>
        <v>Incomplete</v>
      </c>
    </row>
    <row r="577" spans="1:101">
      <c r="A577" s="18" t="s">
        <v>1190</v>
      </c>
      <c r="B577" s="18" t="s">
        <v>891</v>
      </c>
      <c r="C577" s="17" t="s">
        <v>86</v>
      </c>
      <c r="D577" s="19">
        <v>40140</v>
      </c>
      <c r="F577" s="17">
        <v>10</v>
      </c>
      <c r="G577" s="17">
        <v>2025</v>
      </c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41" t="str">
        <f t="shared" si="175"/>
        <v>Incomplete</v>
      </c>
      <c r="AZ577" s="20"/>
      <c r="BA577" s="20" t="str">
        <f t="shared" si="176"/>
        <v>Incomplete</v>
      </c>
      <c r="BB577" s="20"/>
      <c r="BC577" s="20" t="str">
        <f t="shared" si="177"/>
        <v>Incomplete</v>
      </c>
      <c r="BD577" s="20"/>
      <c r="BE577" s="20" t="str">
        <f t="shared" si="178"/>
        <v>Incomplete</v>
      </c>
      <c r="BF577" s="20"/>
      <c r="BG577" s="20"/>
      <c r="BH577" s="20"/>
      <c r="BI577" s="20" t="str">
        <f>IF(OR(ISBLANK(BG577), ISBLANK(BH577)),"Incomplete",(SUM(BH577-BG577)))</f>
        <v>Incomplete</v>
      </c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91" t="str">
        <f t="shared" si="172"/>
        <v>Incomplete</v>
      </c>
      <c r="BX577" s="91" t="str">
        <f>_xlfn.XLOOKUP(BW577,'Normative data'!$V$3:$V$6,'Normative data'!$W$3:$W$6,"Not Found",-1)</f>
        <v>Very low risk</v>
      </c>
      <c r="BY577" s="91" t="str">
        <f t="shared" si="173"/>
        <v>Incomplete</v>
      </c>
      <c r="BZ577" s="91" t="str">
        <f>_xlfn.XLOOKUP(BY577,'Normative data'!$V$3:$V$6,'Normative data'!$W$3:$W$6,"Not Found",-1)</f>
        <v>Very low risk</v>
      </c>
      <c r="CA577" s="20"/>
      <c r="CC577" s="20"/>
      <c r="CE577" s="20"/>
      <c r="CG577" s="20"/>
      <c r="CH577" s="20" t="str">
        <f>_xlfn.XLOOKUP(CG577, 'Normative data'!$S$9:$S$15,'Normative data'!$T$9:$T$15, "Not Found", -1)</f>
        <v>not completed</v>
      </c>
      <c r="CI577" s="20"/>
      <c r="CJ577" s="20" t="str">
        <f>_xlfn.XLOOKUP(CI577, 'Normative data'!$S$9:$S$15, 'Normative data'!$T$9:$T$15, "Not Found", -1)</f>
        <v>not completed</v>
      </c>
      <c r="CK577" s="21">
        <v>2.14</v>
      </c>
      <c r="CL577" s="21">
        <v>4.67</v>
      </c>
      <c r="CM577" s="21"/>
      <c r="CN577" s="21">
        <v>6.5</v>
      </c>
      <c r="CO577" s="21">
        <v>7.69</v>
      </c>
      <c r="CP577" s="21"/>
      <c r="CQ577" s="20"/>
      <c r="CR577" s="20" t="str" cm="1">
        <f t="array" ref="CR577">IF(OR(ISBLANK(E577),ISBLANK(CQ577)),"Incomplete",_xlfn.XLOOKUP(CQ577,_xlfn.XLOOKUP(E577,'Normative data'!$Y$3:$Y$6,'Normative data'!$Z$3:$AG$6,,-1),'Normative data'!$Z$2:$AG$2,"Not Found",-1))</f>
        <v>Incomplete</v>
      </c>
      <c r="CS577" s="20"/>
      <c r="CT577" s="20"/>
      <c r="CU577" s="20" t="str" cm="1">
        <f t="array" ref="CU577">_xlfn.XLOOKUP(CS577&amp;CT577,(VLOOKUP!$A$3:$A$250)&amp;(VLOOKUP!$B$3:$B$250),VLOOKUP!$C$3:$C$250,"Incomplete",-1)</f>
        <v>Incomplete</v>
      </c>
      <c r="CV577" s="20" t="str" cm="1">
        <f t="array" ref="CV577">_xlfn.XLOOKUP(CU577, _xlfn.XLOOKUP(E577, 'Normative data'!$Y$11:$Y$14, 'Normative data'!$Z$11:$AG$14, ,-1), 'Normative data'!$Z$10:$AG$10, "Not Found", -1)</f>
        <v>Excellent</v>
      </c>
      <c r="CW577" s="20" t="str" cm="1">
        <f t="array" ref="CW577">IF(OR(ISBLANK(CS577),ISBLANK(CT577)),"Incomplete",_xlfn.XLOOKUP(CS577&amp;CT577,VLOOKUP!$A$4:$A$250&amp;VLOOKUP!$B$4:$B$250,VLOOKUP!$D$4:$D$250,"0"))</f>
        <v>Incomplete</v>
      </c>
    </row>
    <row r="578" spans="1:101">
      <c r="A578" s="18" t="s">
        <v>1191</v>
      </c>
      <c r="B578" s="18" t="s">
        <v>1192</v>
      </c>
      <c r="C578" s="17" t="s">
        <v>86</v>
      </c>
      <c r="D578" s="19">
        <v>40085</v>
      </c>
      <c r="F578" s="17">
        <v>10</v>
      </c>
      <c r="G578" s="17">
        <v>2025</v>
      </c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41" t="str">
        <f t="shared" si="175"/>
        <v>Incomplete</v>
      </c>
      <c r="AZ578" s="20"/>
      <c r="BA578" s="20" t="str">
        <f t="shared" si="176"/>
        <v>Incomplete</v>
      </c>
      <c r="BB578" s="20"/>
      <c r="BC578" s="20" t="str">
        <f t="shared" si="177"/>
        <v>Incomplete</v>
      </c>
      <c r="BD578" s="20"/>
      <c r="BE578" s="20" t="str">
        <f t="shared" si="178"/>
        <v>Incomplete</v>
      </c>
      <c r="BF578" s="20"/>
      <c r="BG578" s="20"/>
      <c r="BH578" s="20"/>
      <c r="BI578" s="20" t="str">
        <f>IF(OR(ISBLANK(BG578), ISBLANK(BH578)),"Incomplete",(SUM(BH578-BG578)))</f>
        <v>Incomplete</v>
      </c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91" t="str">
        <f t="shared" si="172"/>
        <v>Incomplete</v>
      </c>
      <c r="BX578" s="91" t="str">
        <f>_xlfn.XLOOKUP(BW578,'Normative data'!$V$3:$V$6,'Normative data'!$W$3:$W$6,"Not Found",-1)</f>
        <v>Very low risk</v>
      </c>
      <c r="BY578" s="91" t="str">
        <f t="shared" si="173"/>
        <v>Incomplete</v>
      </c>
      <c r="BZ578" s="91" t="str">
        <f>_xlfn.XLOOKUP(BY578,'Normative data'!$V$3:$V$6,'Normative data'!$W$3:$W$6,"Not Found",-1)</f>
        <v>Very low risk</v>
      </c>
      <c r="CA578" s="20"/>
      <c r="CC578" s="20"/>
      <c r="CE578" s="20"/>
      <c r="CG578" s="20"/>
      <c r="CH578" s="20" t="str">
        <f>_xlfn.XLOOKUP(CG578, 'Normative data'!$S$9:$S$15,'Normative data'!$T$9:$T$15, "Not Found", -1)</f>
        <v>not completed</v>
      </c>
      <c r="CI578" s="20"/>
      <c r="CJ578" s="20" t="str">
        <f>_xlfn.XLOOKUP(CI578, 'Normative data'!$S$9:$S$15, 'Normative data'!$T$9:$T$15, "Not Found", -1)</f>
        <v>not completed</v>
      </c>
      <c r="CK578" s="21">
        <v>2.1800000000000002</v>
      </c>
      <c r="CL578" s="21">
        <v>4.59</v>
      </c>
      <c r="CM578" s="21"/>
      <c r="CN578" s="21">
        <v>6.6</v>
      </c>
      <c r="CO578" s="21">
        <v>7.58</v>
      </c>
      <c r="CP578" s="21"/>
      <c r="CQ578" s="20"/>
      <c r="CR578" s="20" t="str" cm="1">
        <f t="array" ref="CR578">IF(OR(ISBLANK(E578),ISBLANK(CQ578)),"Incomplete",_xlfn.XLOOKUP(CQ578,_xlfn.XLOOKUP(E578,'Normative data'!$Y$3:$Y$6,'Normative data'!$Z$3:$AG$6,,-1),'Normative data'!$Z$2:$AG$2,"Not Found",-1))</f>
        <v>Incomplete</v>
      </c>
      <c r="CS578" s="20"/>
      <c r="CT578" s="20"/>
      <c r="CU578" s="20" t="str" cm="1">
        <f t="array" ref="CU578">_xlfn.XLOOKUP(CS578&amp;CT578,(VLOOKUP!$A$3:$A$250)&amp;(VLOOKUP!$B$3:$B$250),VLOOKUP!$C$3:$C$250,"Incomplete",-1)</f>
        <v>Incomplete</v>
      </c>
      <c r="CV578" s="20" t="str" cm="1">
        <f t="array" ref="CV578">_xlfn.XLOOKUP(CU578, _xlfn.XLOOKUP(E578, 'Normative data'!$Y$11:$Y$14, 'Normative data'!$Z$11:$AG$14, ,-1), 'Normative data'!$Z$10:$AG$10, "Not Found", -1)</f>
        <v>Excellent</v>
      </c>
      <c r="CW578" s="20" t="str" cm="1">
        <f t="array" ref="CW578">IF(OR(ISBLANK(CS578),ISBLANK(CT578)),"Incomplete",_xlfn.XLOOKUP(CS578&amp;CT578,VLOOKUP!$A$4:$A$250&amp;VLOOKUP!$B$4:$B$250,VLOOKUP!$D$4:$D$250,"0"))</f>
        <v>Incomplete</v>
      </c>
    </row>
    <row r="579" spans="1:101">
      <c r="A579" s="22" t="s">
        <v>1124</v>
      </c>
      <c r="B579" s="22" t="s">
        <v>1123</v>
      </c>
      <c r="C579" s="17" t="s">
        <v>86</v>
      </c>
      <c r="D579" s="26">
        <v>40801</v>
      </c>
      <c r="F579" s="17">
        <v>8</v>
      </c>
      <c r="G579" s="17">
        <v>2025</v>
      </c>
      <c r="J579" s="17" t="s">
        <v>122</v>
      </c>
      <c r="S579" s="20"/>
      <c r="T579" s="20">
        <v>154</v>
      </c>
      <c r="U579" s="20">
        <v>48.7</v>
      </c>
      <c r="V579" s="20"/>
      <c r="W579" s="20">
        <v>10.8</v>
      </c>
      <c r="X579" s="20">
        <f>SUM(T579-W579)</f>
        <v>143.19999999999999</v>
      </c>
      <c r="Y579" s="20">
        <v>20.6</v>
      </c>
      <c r="Z579" s="20">
        <v>20.5</v>
      </c>
      <c r="AA579" s="20">
        <v>22.1</v>
      </c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41" t="str">
        <f t="shared" si="175"/>
        <v>Incomplete</v>
      </c>
      <c r="AZ579" s="20"/>
      <c r="BA579" s="20" t="str">
        <f t="shared" si="176"/>
        <v>Incomplete</v>
      </c>
      <c r="BB579" s="20"/>
      <c r="BC579" s="20" t="str">
        <f t="shared" si="177"/>
        <v>Incomplete</v>
      </c>
      <c r="BD579" s="20"/>
      <c r="BE579" s="20" t="str">
        <f t="shared" si="178"/>
        <v>Incomplete</v>
      </c>
      <c r="BF579" s="20"/>
      <c r="BG579" s="20">
        <v>19</v>
      </c>
      <c r="BH579" s="20">
        <v>34</v>
      </c>
      <c r="BI579" s="20" t="e">
        <f>IF(OR(ISBLANK(#REF!), ISBLANK(#REF!)),"Incomplete",(SUM(#REF!-#REF!)))</f>
        <v>#REF!</v>
      </c>
      <c r="BJ579" s="20"/>
      <c r="BK579" s="20">
        <v>7</v>
      </c>
      <c r="BL579" s="20"/>
      <c r="BM579" s="20">
        <v>7</v>
      </c>
      <c r="BN579" s="20"/>
      <c r="BO579" s="20"/>
      <c r="BP579" s="20"/>
      <c r="BQ579" s="20"/>
      <c r="BR579" s="20"/>
      <c r="BS579" s="20"/>
      <c r="BT579" s="20"/>
      <c r="BU579" s="20"/>
      <c r="BV579" s="20"/>
      <c r="BW579" s="91">
        <f t="shared" si="172"/>
        <v>0</v>
      </c>
      <c r="BX579" s="91" t="str">
        <f>_xlfn.XLOOKUP(BW579,'Normative data'!$V$3:$V$6,'Normative data'!$W$3:$W$6,"Not Found",-1)</f>
        <v>Not completed</v>
      </c>
      <c r="BY579" s="91">
        <f t="shared" si="173"/>
        <v>0</v>
      </c>
      <c r="BZ579" s="91" t="str">
        <f>_xlfn.XLOOKUP(BY579,'Normative data'!$V$3:$V$6,'Normative data'!$W$3:$W$6,"Not Found",-1)</f>
        <v>Not completed</v>
      </c>
      <c r="CA579" s="20"/>
      <c r="CC579" s="20"/>
      <c r="CE579" s="20"/>
      <c r="CG579" s="20">
        <v>17.45</v>
      </c>
      <c r="CH579" s="20" t="e">
        <f>_xlfn.XLOOKUP(#REF!, 'Normative data'!$S$9:$S$15,'Normative data'!$T$9:$T$15, "Not Found", -1)</f>
        <v>#REF!</v>
      </c>
      <c r="CI579" s="20">
        <v>17.48</v>
      </c>
      <c r="CJ579" s="20" t="e">
        <f>_xlfn.XLOOKUP(#REF!, 'Normative data'!$S$9:$S$15, 'Normative data'!$T$9:$T$15, "Not Found", -1)</f>
        <v>#REF!</v>
      </c>
      <c r="CK579" s="24">
        <v>2</v>
      </c>
      <c r="CL579" s="24">
        <v>5</v>
      </c>
      <c r="CM579" s="21"/>
      <c r="CN579" s="24">
        <v>6.36</v>
      </c>
      <c r="CO579" s="24">
        <v>7.86</v>
      </c>
      <c r="CP579" s="24"/>
      <c r="CQ579" s="20"/>
      <c r="CR579" s="20" t="str" cm="1">
        <f t="array" ref="CR579">IF(OR(ISBLANK(E579),ISBLANK(CQ579)),"Incomplete",_xlfn.XLOOKUP(CQ579,_xlfn.XLOOKUP(E579,'Normative data'!$Y$3:$Y$6,'Normative data'!$Z$3:$AG$6,,-1),'Normative data'!$Z$2:$AG$2,"Not Found",-1))</f>
        <v>Incomplete</v>
      </c>
      <c r="CS579" s="20"/>
      <c r="CT579" s="20"/>
      <c r="CU579" s="20" t="str" cm="1">
        <f t="array" ref="CU579">_xlfn.XLOOKUP(CS579&amp;CT579,(VLOOKUP!$A$3:$A$250)&amp;(VLOOKUP!$B$3:$B$250),VLOOKUP!$C$3:$C$250,"Incomplete",-1)</f>
        <v>Incomplete</v>
      </c>
      <c r="CV579" s="20" t="str" cm="1">
        <f t="array" ref="CV579">_xlfn.XLOOKUP(CU579, _xlfn.XLOOKUP(E579, 'Normative data'!$Y$11:$Y$14, 'Normative data'!$Z$11:$AG$14, ,-1), 'Normative data'!$Z$10:$AG$10, "Not Found", -1)</f>
        <v>Excellent</v>
      </c>
      <c r="CW579" s="20" t="str" cm="1">
        <f t="array" ref="CW579">IF(OR(ISBLANK(CS579),ISBLANK(CT579)),"Incomplete",_xlfn.XLOOKUP(CS579&amp;CT579,VLOOKUP!$A$4:$A$250&amp;VLOOKUP!$B$4:$B$250,VLOOKUP!$D$4:$D$250,"0"))</f>
        <v>Incomplete</v>
      </c>
    </row>
    <row r="580" spans="1:101">
      <c r="A580" s="22" t="s">
        <v>1124</v>
      </c>
      <c r="B580" s="22" t="s">
        <v>1123</v>
      </c>
      <c r="C580" s="17" t="s">
        <v>86</v>
      </c>
      <c r="D580" s="26">
        <v>40801</v>
      </c>
      <c r="F580" s="17">
        <v>8</v>
      </c>
      <c r="G580" s="17">
        <v>2025</v>
      </c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41" t="str">
        <f t="shared" si="175"/>
        <v>Incomplete</v>
      </c>
      <c r="AZ580" s="20"/>
      <c r="BA580" s="20" t="str">
        <f t="shared" si="176"/>
        <v>Incomplete</v>
      </c>
      <c r="BB580" s="20"/>
      <c r="BC580" s="20" t="str">
        <f t="shared" si="177"/>
        <v>Incomplete</v>
      </c>
      <c r="BD580" s="20"/>
      <c r="BE580" s="20" t="str">
        <f t="shared" si="178"/>
        <v>Incomplete</v>
      </c>
      <c r="BF580" s="20"/>
      <c r="BG580" s="20"/>
      <c r="BH580" s="20"/>
      <c r="BI580" s="20" t="str">
        <f>IF(OR(ISBLANK(BG580), ISBLANK(BH580)),"Incomplete",(SUM(BH580-BG580)))</f>
        <v>Incomplete</v>
      </c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91" t="str">
        <f t="shared" si="172"/>
        <v>Incomplete</v>
      </c>
      <c r="BX580" s="91" t="str">
        <f>_xlfn.XLOOKUP(BW580,'Normative data'!$V$3:$V$6,'Normative data'!$W$3:$W$6,"Not Found",-1)</f>
        <v>Very low risk</v>
      </c>
      <c r="BY580" s="91" t="str">
        <f t="shared" si="173"/>
        <v>Incomplete</v>
      </c>
      <c r="BZ580" s="91" t="str">
        <f>_xlfn.XLOOKUP(BY580,'Normative data'!$V$3:$V$6,'Normative data'!$W$3:$W$6,"Not Found",-1)</f>
        <v>Very low risk</v>
      </c>
      <c r="CA580" s="20"/>
      <c r="CC580" s="20"/>
      <c r="CE580" s="20">
        <v>1</v>
      </c>
      <c r="CG580" s="20">
        <v>17.16</v>
      </c>
      <c r="CH580" s="20" t="e">
        <f>_xlfn.XLOOKUP(#REF!, 'Normative data'!$S$9:$S$15,'Normative data'!$T$9:$T$15, "Not Found", -1)</f>
        <v>#REF!</v>
      </c>
      <c r="CI580" s="20">
        <v>17.13</v>
      </c>
      <c r="CJ580" s="20" t="e">
        <f>_xlfn.XLOOKUP(#REF!, 'Normative data'!$S$9:$S$15, 'Normative data'!$T$9:$T$15, "Not Found", -1)</f>
        <v>#REF!</v>
      </c>
      <c r="CK580" s="21"/>
      <c r="CL580" s="21"/>
      <c r="CM580" s="21"/>
      <c r="CN580" s="21"/>
      <c r="CO580" s="21"/>
      <c r="CP580" s="24"/>
      <c r="CQ580" s="20"/>
      <c r="CR580" s="20" t="str" cm="1">
        <f t="array" ref="CR580">IF(OR(ISBLANK(E580),ISBLANK(CQ580)),"Incomplete",_xlfn.XLOOKUP(CQ580,_xlfn.XLOOKUP(E580,'Normative data'!$Y$3:$Y$6,'Normative data'!$Z$3:$AG$6,,-1),'Normative data'!$Z$2:$AG$2,"Not Found",-1))</f>
        <v>Incomplete</v>
      </c>
      <c r="CS580" s="20"/>
      <c r="CT580" s="20"/>
      <c r="CU580" s="20" t="str" cm="1">
        <f t="array" ref="CU580">_xlfn.XLOOKUP(CS580&amp;CT580,(VLOOKUP!$A$3:$A$250)&amp;(VLOOKUP!$B$3:$B$250),VLOOKUP!$C$3:$C$250,"Incomplete",-1)</f>
        <v>Incomplete</v>
      </c>
      <c r="CV580" s="20" t="str" cm="1">
        <f t="array" ref="CV580">_xlfn.XLOOKUP(CU580, _xlfn.XLOOKUP(E580, 'Normative data'!$Y$11:$Y$14, 'Normative data'!$Z$11:$AG$14, ,-1), 'Normative data'!$Z$10:$AG$10, "Not Found", -1)</f>
        <v>Excellent</v>
      </c>
      <c r="CW580" s="20" t="str" cm="1">
        <f t="array" ref="CW580">IF(OR(ISBLANK(CS580),ISBLANK(CT580)),"Incomplete",_xlfn.XLOOKUP(CS580&amp;CT580,VLOOKUP!$A$4:$A$250&amp;VLOOKUP!$B$4:$B$250,VLOOKUP!$D$4:$D$250,"0"))</f>
        <v>Incomplete</v>
      </c>
    </row>
    <row r="581" spans="1:101">
      <c r="A581" s="17" t="s">
        <v>1193</v>
      </c>
      <c r="B581" s="38" t="s">
        <v>1123</v>
      </c>
      <c r="C581" s="17" t="s">
        <v>86</v>
      </c>
      <c r="D581" s="26">
        <v>40801</v>
      </c>
      <c r="G581" s="17">
        <v>2026</v>
      </c>
      <c r="H581" s="20" t="s">
        <v>114</v>
      </c>
      <c r="I581" s="17">
        <v>1</v>
      </c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>
        <v>27.7</v>
      </c>
      <c r="AR581" s="20">
        <v>0.47499999999999998</v>
      </c>
      <c r="AS581" s="20">
        <v>33</v>
      </c>
      <c r="AT581" s="20">
        <v>0.51900000000000002</v>
      </c>
      <c r="AU581" s="20">
        <v>18</v>
      </c>
      <c r="AV581" s="20">
        <v>0.38300000000000001</v>
      </c>
      <c r="AW581" s="20">
        <v>15.4</v>
      </c>
      <c r="AX581" s="20">
        <v>0.35499999999999998</v>
      </c>
      <c r="AY581" s="41" t="str">
        <f t="shared" si="175"/>
        <v>Incomplete</v>
      </c>
      <c r="AZ581" s="20"/>
      <c r="BA581" s="20" t="str">
        <f t="shared" si="176"/>
        <v>Incomplete</v>
      </c>
      <c r="BB581" s="20"/>
      <c r="BC581" s="20" t="str">
        <f t="shared" si="177"/>
        <v>Incomplete</v>
      </c>
      <c r="BD581" s="20"/>
      <c r="BE581" s="20" t="str">
        <f t="shared" si="178"/>
        <v>Incomplete</v>
      </c>
      <c r="BF581" s="20"/>
      <c r="BG581" s="20">
        <v>18.5</v>
      </c>
      <c r="BH581" s="20">
        <v>48</v>
      </c>
      <c r="BI581" s="20">
        <f>IF(OR(ISBLANK(BG581), ISBLANK(BH581)),"Incomplete",(SUM(BH581-BG581)))</f>
        <v>29.5</v>
      </c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91" t="str">
        <f t="shared" si="172"/>
        <v>Incomplete</v>
      </c>
      <c r="BX581" s="91" t="str">
        <f>_xlfn.XLOOKUP(BW581,'Normative data'!$V$3:$V$6,'Normative data'!$W$3:$W$6,"Not Found",-1)</f>
        <v>Very low risk</v>
      </c>
      <c r="BY581" s="91" t="str">
        <f t="shared" si="173"/>
        <v>Incomplete</v>
      </c>
      <c r="BZ581" s="91" t="str">
        <f>_xlfn.XLOOKUP(BY581,'Normative data'!$V$3:$V$6,'Normative data'!$W$3:$W$6,"Not Found",-1)</f>
        <v>Very low risk</v>
      </c>
      <c r="CA581" s="20"/>
      <c r="CC581" s="20">
        <v>40</v>
      </c>
      <c r="CE581" s="20">
        <v>2</v>
      </c>
      <c r="CG581" s="20">
        <v>16.489999999999998</v>
      </c>
      <c r="CH581" s="20" t="str">
        <f>_xlfn.XLOOKUP(CG581, 'Normative data'!$S$9:$S$15,'Normative data'!$T$9:$T$15, "Not Found", -1)</f>
        <v>Excellent</v>
      </c>
      <c r="CI581" s="20">
        <v>16.37</v>
      </c>
      <c r="CJ581" s="20" t="str">
        <f>_xlfn.XLOOKUP(CI581, 'Normative data'!$S$9:$S$15, 'Normative data'!$T$9:$T$15, "Not Found", -1)</f>
        <v>Excellent</v>
      </c>
      <c r="CK581" s="20">
        <v>1.95</v>
      </c>
      <c r="CL581" s="20">
        <v>5.13</v>
      </c>
      <c r="CN581" s="20">
        <v>6.11</v>
      </c>
      <c r="CO581" s="20">
        <v>8.18</v>
      </c>
      <c r="CQ581" s="37" t="s">
        <v>1194</v>
      </c>
      <c r="CR581" s="20" t="str" cm="1">
        <f t="array" ref="CR581">IF(OR(ISBLANK(E581),ISBLANK(CQ581)),"Incomplete",_xlfn.XLOOKUP(CQ581,_xlfn.XLOOKUP(E581,'Normative data'!$Y$3:$Y$6,'Normative data'!$Z$3:$AG$6,,-1),'Normative data'!$Z$2:$AG$2,"Not Found",-1))</f>
        <v>Incomplete</v>
      </c>
      <c r="CS581" s="20">
        <v>11</v>
      </c>
      <c r="CT581" s="20">
        <v>1</v>
      </c>
      <c r="CU581" s="20" cm="1">
        <f t="array" ref="CU581">_xlfn.XLOOKUP(CS581&amp;CT581,(VLOOKUP!$A$3:$A$250)&amp;(VLOOKUP!$B$3:$B$250),VLOOKUP!$C$3:$C$250,"Incomplete",-1)</f>
        <v>1900</v>
      </c>
      <c r="CV581" s="20" t="str" cm="1">
        <f t="array" ref="CV581">_xlfn.XLOOKUP(CU581, _xlfn.XLOOKUP(E581, 'Normative data'!$Y$11:$Y$14, 'Normative data'!$Z$11:$AG$14, ,-1), 'Normative data'!$Z$10:$AG$10, "Not Found", -1)</f>
        <v xml:space="preserve">Good </v>
      </c>
      <c r="CW581" s="20" cm="1">
        <f t="array" ref="CW581">IF(OR(ISBLANK(CS581),ISBLANK(CT581)),"Incomplete",_xlfn.XLOOKUP(CS581&amp;CT581,VLOOKUP!$A$4:$A$250&amp;VLOOKUP!$B$4:$B$250,VLOOKUP!$D$4:$D$250,"0"))</f>
        <v>51</v>
      </c>
    </row>
    <row r="582" spans="1:101">
      <c r="A582" s="17" t="s">
        <v>1195</v>
      </c>
      <c r="B582" s="17" t="s">
        <v>1123</v>
      </c>
      <c r="C582" s="17" t="s">
        <v>86</v>
      </c>
      <c r="D582" s="26">
        <v>40801</v>
      </c>
      <c r="G582" s="17">
        <v>2025</v>
      </c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>
        <v>26.3</v>
      </c>
      <c r="AR582" s="20">
        <v>0.46500000000000002</v>
      </c>
      <c r="AS582" s="20">
        <v>35</v>
      </c>
      <c r="AT582" s="20">
        <v>0.53400000000000003</v>
      </c>
      <c r="AU582" s="20">
        <v>11.5</v>
      </c>
      <c r="AV582" s="20">
        <v>0.30599999999999999</v>
      </c>
      <c r="AW582" s="20">
        <v>14.3</v>
      </c>
      <c r="AX582" s="20">
        <v>0.34100000000000003</v>
      </c>
      <c r="AY582" s="41" t="str">
        <f t="shared" si="175"/>
        <v>Incomplete</v>
      </c>
      <c r="AZ582" s="20"/>
      <c r="BA582" s="20" t="str">
        <f t="shared" si="176"/>
        <v>Incomplete</v>
      </c>
      <c r="BB582" s="20"/>
      <c r="BC582" s="20" t="str">
        <f t="shared" si="177"/>
        <v>Incomplete</v>
      </c>
      <c r="BD582" s="20"/>
      <c r="BE582" s="20" t="str">
        <f t="shared" si="178"/>
        <v>Incomplete</v>
      </c>
      <c r="BF582" s="20"/>
      <c r="BG582" s="20"/>
      <c r="BH582" s="20"/>
      <c r="BI582" s="20" t="str">
        <f>IF(OR(ISBLANK(BG582), ISBLANK(BH582)),"Incomplete",(SUM(BH582-BG582)))</f>
        <v>Incomplete</v>
      </c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91" t="str">
        <f t="shared" si="172"/>
        <v>Incomplete</v>
      </c>
      <c r="BX582" s="91" t="str">
        <f>_xlfn.XLOOKUP(BW582,'Normative data'!$V$3:$V$6,'Normative data'!$W$3:$W$6,"Not Found",-1)</f>
        <v>Very low risk</v>
      </c>
      <c r="BY582" s="91" t="str">
        <f t="shared" si="173"/>
        <v>Incomplete</v>
      </c>
      <c r="BZ582" s="91" t="str">
        <f>_xlfn.XLOOKUP(BY582,'Normative data'!$V$3:$V$6,'Normative data'!$W$3:$W$6,"Not Found",-1)</f>
        <v>Very low risk</v>
      </c>
      <c r="CA582" s="20"/>
      <c r="CC582" s="20"/>
      <c r="CE582" s="20"/>
      <c r="CG582" s="20">
        <v>17.100000000000001</v>
      </c>
      <c r="CH582" s="20" t="e">
        <f>_xlfn.XLOOKUP(#REF!, 'Normative data'!$S$9:$S$15,'Normative data'!$T$9:$T$15, "Not Found", -1)</f>
        <v>#REF!</v>
      </c>
      <c r="CI582" s="20">
        <v>17.079999999999998</v>
      </c>
      <c r="CJ582" s="20" t="e">
        <f>_xlfn.XLOOKUP(#REF!, 'Normative data'!$S$9:$S$15, 'Normative data'!$T$9:$T$15, "Not Found", -1)</f>
        <v>#REF!</v>
      </c>
      <c r="CK582" s="21"/>
      <c r="CL582" s="21"/>
      <c r="CM582" s="21"/>
      <c r="CN582" s="21"/>
      <c r="CO582" s="21"/>
      <c r="CQ582" s="20"/>
      <c r="CR582" s="20" t="str" cm="1">
        <f t="array" ref="CR582">IF(OR(ISBLANK(E582),ISBLANK(CQ582)),"Incomplete",_xlfn.XLOOKUP(CQ582,_xlfn.XLOOKUP(E582,'Normative data'!$Y$3:$Y$6,'Normative data'!$Z$3:$AG$6,,-1),'Normative data'!$Z$2:$AG$2,"Not Found",-1))</f>
        <v>Incomplete</v>
      </c>
      <c r="CS582" s="20"/>
      <c r="CT582" s="20"/>
      <c r="CU582" s="20" t="str" cm="1">
        <f t="array" ref="CU582">_xlfn.XLOOKUP(CS582&amp;CT582,(VLOOKUP!$A$3:$A$250)&amp;(VLOOKUP!$B$3:$B$250),VLOOKUP!$C$3:$C$250,"Incomplete",-1)</f>
        <v>Incomplete</v>
      </c>
      <c r="CV582" s="20" t="str" cm="1">
        <f t="array" ref="CV582">_xlfn.XLOOKUP(CU582, _xlfn.XLOOKUP(E582, 'Normative data'!$Y$11:$Y$14, 'Normative data'!$Z$11:$AG$14, ,-1), 'Normative data'!$Z$10:$AG$10, "Not Found", -1)</f>
        <v>Excellent</v>
      </c>
      <c r="CW582" s="20" t="str" cm="1">
        <f t="array" ref="CW582">IF(OR(ISBLANK(CS582),ISBLANK(CT582)),"Incomplete",_xlfn.XLOOKUP(CS582&amp;CT582,VLOOKUP!$A$4:$A$250&amp;VLOOKUP!$B$4:$B$250,VLOOKUP!$D$4:$D$250,"0"))</f>
        <v>Incomplete</v>
      </c>
    </row>
    <row r="583" spans="1:101">
      <c r="A583" s="22" t="s">
        <v>308</v>
      </c>
      <c r="B583" s="22" t="s">
        <v>1196</v>
      </c>
      <c r="C583" s="17" t="s">
        <v>86</v>
      </c>
      <c r="D583" s="23">
        <v>39662</v>
      </c>
      <c r="F583" s="17">
        <v>11</v>
      </c>
      <c r="G583" s="17">
        <v>2025</v>
      </c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41" t="str">
        <f t="shared" si="175"/>
        <v>Incomplete</v>
      </c>
      <c r="AZ583" s="20"/>
      <c r="BA583" s="20" t="str">
        <f t="shared" si="176"/>
        <v>Incomplete</v>
      </c>
      <c r="BB583" s="20"/>
      <c r="BC583" s="20" t="str">
        <f t="shared" si="177"/>
        <v>Incomplete</v>
      </c>
      <c r="BD583" s="20"/>
      <c r="BE583" s="20" t="str">
        <f t="shared" si="178"/>
        <v>Incomplete</v>
      </c>
      <c r="BF583" s="20"/>
      <c r="BG583" s="20">
        <v>17.5</v>
      </c>
      <c r="BH583" s="20">
        <v>50</v>
      </c>
      <c r="BI583" s="20" t="e">
        <f>IF(OR(ISBLANK(#REF!), ISBLANK(#REF!)),"Incomplete",(SUM(#REF!-#REF!)))</f>
        <v>#REF!</v>
      </c>
      <c r="BJ583" s="20"/>
      <c r="BK583" s="20">
        <v>8</v>
      </c>
      <c r="BL583" s="20"/>
      <c r="BM583" s="20">
        <v>9</v>
      </c>
      <c r="BN583" s="20"/>
      <c r="BO583" s="20"/>
      <c r="BP583" s="20"/>
      <c r="BQ583" s="20"/>
      <c r="BR583" s="20"/>
      <c r="BS583" s="20"/>
      <c r="BT583" s="20"/>
      <c r="BU583" s="20"/>
      <c r="BV583" s="20"/>
      <c r="BW583" s="91" t="str">
        <f t="shared" si="172"/>
        <v>Incomplete</v>
      </c>
      <c r="BX583" s="91" t="str">
        <f>_xlfn.XLOOKUP(BW583,'Normative data'!$V$3:$V$6,'Normative data'!$W$3:$W$6,"Not Found",-1)</f>
        <v>Very low risk</v>
      </c>
      <c r="BY583" s="91" t="str">
        <f t="shared" si="173"/>
        <v>Incomplete</v>
      </c>
      <c r="BZ583" s="91" t="str">
        <f>_xlfn.XLOOKUP(BY583,'Normative data'!$V$3:$V$6,'Normative data'!$W$3:$W$6,"Not Found",-1)</f>
        <v>Very low risk</v>
      </c>
      <c r="CA583" s="20"/>
      <c r="CC583" s="20"/>
      <c r="CE583" s="20"/>
      <c r="CG583" s="20"/>
      <c r="CH583" s="20" t="str">
        <f>_xlfn.XLOOKUP(CG583, 'Normative data'!$S$9:$S$15,'Normative data'!$T$9:$T$15, "Not Found", -1)</f>
        <v>not completed</v>
      </c>
      <c r="CI583" s="20"/>
      <c r="CJ583" s="20" t="str">
        <f>_xlfn.XLOOKUP(CI583, 'Normative data'!$S$9:$S$15, 'Normative data'!$T$9:$T$15, "Not Found", -1)</f>
        <v>not completed</v>
      </c>
      <c r="CK583" s="24">
        <v>2.37</v>
      </c>
      <c r="CL583" s="24">
        <v>4.22</v>
      </c>
      <c r="CM583" s="24"/>
      <c r="CN583" s="24">
        <v>7.34</v>
      </c>
      <c r="CO583" s="24">
        <v>6.81</v>
      </c>
      <c r="CP583" s="24"/>
      <c r="CQ583" s="20"/>
      <c r="CR583" s="20" t="str" cm="1">
        <f t="array" ref="CR583">IF(OR(ISBLANK(E583),ISBLANK(CQ583)),"Incomplete",_xlfn.XLOOKUP(CQ583,_xlfn.XLOOKUP(E583,'Normative data'!$Y$3:$Y$6,'Normative data'!$Z$3:$AG$6,,-1),'Normative data'!$Z$2:$AG$2,"Not Found",-1))</f>
        <v>Incomplete</v>
      </c>
      <c r="CS583" s="20"/>
      <c r="CT583" s="20"/>
      <c r="CU583" s="20" t="str" cm="1">
        <f t="array" ref="CU583">_xlfn.XLOOKUP(CS583&amp;CT583,(VLOOKUP!$A$3:$A$250)&amp;(VLOOKUP!$B$3:$B$250),VLOOKUP!$C$3:$C$250,"Incomplete",-1)</f>
        <v>Incomplete</v>
      </c>
      <c r="CV583" s="20" t="str" cm="1">
        <f t="array" ref="CV583">_xlfn.XLOOKUP(CU583, _xlfn.XLOOKUP(E583, 'Normative data'!$Y$11:$Y$14, 'Normative data'!$Z$11:$AG$14, ,-1), 'Normative data'!$Z$10:$AG$10, "Not Found", -1)</f>
        <v>Excellent</v>
      </c>
      <c r="CW583" s="20" t="str" cm="1">
        <f t="array" ref="CW583">IF(OR(ISBLANK(CS583),ISBLANK(CT583)),"Incomplete",_xlfn.XLOOKUP(CS583&amp;CT583,VLOOKUP!$A$4:$A$250&amp;VLOOKUP!$B$4:$B$250,VLOOKUP!$D$4:$D$250,"0"))</f>
        <v>Incomplete</v>
      </c>
    </row>
    <row r="584" spans="1:101">
      <c r="A584" s="17" t="s">
        <v>308</v>
      </c>
      <c r="B584" s="17" t="s">
        <v>1196</v>
      </c>
      <c r="C584" s="17" t="s">
        <v>86</v>
      </c>
      <c r="D584" s="23">
        <v>39662</v>
      </c>
      <c r="F584" s="17">
        <v>11</v>
      </c>
      <c r="G584" s="17">
        <v>2025</v>
      </c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41" t="str">
        <f t="shared" si="175"/>
        <v>Incomplete</v>
      </c>
      <c r="AZ584" s="20"/>
      <c r="BA584" s="20" t="str">
        <f t="shared" si="176"/>
        <v>Incomplete</v>
      </c>
      <c r="BB584" s="20"/>
      <c r="BC584" s="20" t="str">
        <f t="shared" si="177"/>
        <v>Incomplete</v>
      </c>
      <c r="BD584" s="20"/>
      <c r="BE584" s="20" t="str">
        <f t="shared" si="178"/>
        <v>Incomplete</v>
      </c>
      <c r="BF584" s="20"/>
      <c r="BG584" s="20"/>
      <c r="BH584" s="20"/>
      <c r="BI584" s="20" t="str">
        <f>IF(OR(ISBLANK(BG584), ISBLANK(BH584)),"Incomplete",(SUM(BH584-BG584)))</f>
        <v>Incomplete</v>
      </c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91" t="str">
        <f t="shared" si="172"/>
        <v>Incomplete</v>
      </c>
      <c r="BX584" s="91" t="str">
        <f>_xlfn.XLOOKUP(BW584,'Normative data'!$V$3:$V$6,'Normative data'!$W$3:$W$6,"Not Found",-1)</f>
        <v>Very low risk</v>
      </c>
      <c r="BY584" s="91" t="str">
        <f t="shared" si="173"/>
        <v>Incomplete</v>
      </c>
      <c r="BZ584" s="91" t="str">
        <f>_xlfn.XLOOKUP(BY584,'Normative data'!$V$3:$V$6,'Normative data'!$W$3:$W$6,"Not Found",-1)</f>
        <v>Very low risk</v>
      </c>
      <c r="CA584" s="20"/>
      <c r="CC584" s="20"/>
      <c r="CE584" s="20"/>
      <c r="CG584" s="20"/>
      <c r="CH584" s="20" t="str">
        <f>_xlfn.XLOOKUP(CG584, 'Normative data'!$S$9:$S$15,'Normative data'!$T$9:$T$15, "Not Found", -1)</f>
        <v>not completed</v>
      </c>
      <c r="CI584" s="20"/>
      <c r="CJ584" s="20" t="str">
        <f>_xlfn.XLOOKUP(CI584, 'Normative data'!$S$9:$S$15, 'Normative data'!$T$9:$T$15, "Not Found", -1)</f>
        <v>not completed</v>
      </c>
      <c r="CK584" s="20" t="s">
        <v>116</v>
      </c>
      <c r="CL584" s="20" t="s">
        <v>117</v>
      </c>
      <c r="CN584" s="20" t="s">
        <v>1197</v>
      </c>
      <c r="CO584" s="20" t="s">
        <v>1198</v>
      </c>
      <c r="CQ584" s="20"/>
      <c r="CR584" s="20" t="str" cm="1">
        <f t="array" ref="CR584">IF(OR(ISBLANK(E584),ISBLANK(CQ584)),"Incomplete",_xlfn.XLOOKUP(CQ584,_xlfn.XLOOKUP(E584,'Normative data'!$Y$3:$Y$6,'Normative data'!$Z$3:$AG$6,,-1),'Normative data'!$Z$2:$AG$2,"Not Found",-1))</f>
        <v>Incomplete</v>
      </c>
      <c r="CS584" s="20"/>
      <c r="CT584" s="20"/>
      <c r="CU584" s="20" t="str" cm="1">
        <f t="array" ref="CU584">_xlfn.XLOOKUP(CS584&amp;CT584,(VLOOKUP!$A$3:$A$250)&amp;(VLOOKUP!$B$3:$B$250),VLOOKUP!$C$3:$C$250,"Incomplete",-1)</f>
        <v>Incomplete</v>
      </c>
      <c r="CV584" s="20" t="str" cm="1">
        <f t="array" ref="CV584">_xlfn.XLOOKUP(CU584, _xlfn.XLOOKUP(E584, 'Normative data'!$Y$11:$Y$14, 'Normative data'!$Z$11:$AG$14, ,-1), 'Normative data'!$Z$10:$AG$10, "Not Found", -1)</f>
        <v>Excellent</v>
      </c>
      <c r="CW584" s="20" t="str" cm="1">
        <f t="array" ref="CW584">IF(OR(ISBLANK(CS584),ISBLANK(CT584)),"Incomplete",_xlfn.XLOOKUP(CS584&amp;CT584,VLOOKUP!$A$4:$A$250&amp;VLOOKUP!$B$4:$B$250,VLOOKUP!$D$4:$D$250,"0"))</f>
        <v>Incomplete</v>
      </c>
    </row>
    <row r="585" spans="1:101">
      <c r="A585" s="17" t="s">
        <v>1118</v>
      </c>
      <c r="B585" s="17" t="s">
        <v>1117</v>
      </c>
      <c r="C585" s="17" t="s">
        <v>86</v>
      </c>
      <c r="D585" s="26">
        <v>40700</v>
      </c>
      <c r="F585" s="20" t="s">
        <v>92</v>
      </c>
      <c r="G585" s="17">
        <v>2026</v>
      </c>
      <c r="I585" s="20">
        <v>2</v>
      </c>
      <c r="J585" s="20"/>
      <c r="K585" s="20"/>
      <c r="L585" s="20"/>
      <c r="S585" s="20">
        <v>76.5</v>
      </c>
      <c r="T585" s="20">
        <v>156.30000000000001</v>
      </c>
      <c r="U585" s="17">
        <v>47.2</v>
      </c>
      <c r="V585" s="17">
        <v>25.5</v>
      </c>
      <c r="W585" s="17">
        <v>12.3</v>
      </c>
      <c r="X585" s="17">
        <v>34.9</v>
      </c>
      <c r="Y585" s="17">
        <v>18.600000000000001</v>
      </c>
      <c r="Z585" s="17">
        <v>19.3</v>
      </c>
      <c r="AA585" s="17">
        <v>26</v>
      </c>
      <c r="AB585" s="17">
        <v>4.88</v>
      </c>
      <c r="AC585" s="17">
        <v>89.3</v>
      </c>
      <c r="AD585" s="17">
        <v>4.8499999999999996</v>
      </c>
      <c r="AE585" s="17">
        <v>88.8</v>
      </c>
      <c r="AF585" s="17">
        <v>1.9</v>
      </c>
      <c r="AG585" s="17">
        <v>102.3</v>
      </c>
      <c r="AH585" s="17">
        <v>1.9</v>
      </c>
      <c r="AI585" s="17">
        <v>101.7</v>
      </c>
      <c r="AJ585" s="17">
        <v>373.7</v>
      </c>
      <c r="AK585" s="17">
        <v>378.2</v>
      </c>
      <c r="AL585" s="17">
        <v>332.9</v>
      </c>
      <c r="AM585" s="17">
        <v>339.7</v>
      </c>
      <c r="AN585" s="17">
        <v>92</v>
      </c>
      <c r="AO585" s="17">
        <v>0.85</v>
      </c>
      <c r="AP585" s="17">
        <v>5.2</v>
      </c>
      <c r="AQ585" s="20"/>
      <c r="AR585" s="20"/>
      <c r="AS585" s="20"/>
      <c r="AT585" s="20"/>
      <c r="AU585" s="20"/>
      <c r="AV585" s="20"/>
      <c r="AW585" s="20"/>
      <c r="AX585" s="20"/>
      <c r="AY585" s="41" t="str">
        <f t="shared" si="175"/>
        <v>Incomplete</v>
      </c>
      <c r="BA585" s="20" t="str">
        <f t="shared" si="176"/>
        <v>Incomplete</v>
      </c>
      <c r="BC585" s="20" t="str">
        <f t="shared" si="177"/>
        <v>Incomplete</v>
      </c>
      <c r="BE585" s="20" t="str">
        <f t="shared" si="178"/>
        <v>Incomplete</v>
      </c>
      <c r="BG585" s="17">
        <v>15</v>
      </c>
      <c r="BH585" s="17">
        <v>36</v>
      </c>
      <c r="BI585" s="20">
        <f>IF(OR(ISBLANK(BG585), ISBLANK(BH585)),"Incomplete",(SUM(BH585-BG585)))</f>
        <v>21</v>
      </c>
      <c r="BJ585" s="20"/>
      <c r="BK585" s="17">
        <v>11</v>
      </c>
      <c r="BL585" s="20"/>
      <c r="BM585" s="17">
        <v>11</v>
      </c>
      <c r="BN585" s="20"/>
      <c r="BO585" s="17">
        <v>42</v>
      </c>
      <c r="BP585" s="17">
        <v>42</v>
      </c>
      <c r="BQ585" s="17">
        <v>79</v>
      </c>
      <c r="BR585" s="17">
        <v>70</v>
      </c>
      <c r="BS585" s="17">
        <v>81</v>
      </c>
      <c r="BT585" s="17">
        <v>81</v>
      </c>
      <c r="BU585" s="17">
        <v>80</v>
      </c>
      <c r="BV585" s="17">
        <v>89</v>
      </c>
      <c r="BW585" s="91">
        <f t="shared" si="172"/>
        <v>96.073517126148687</v>
      </c>
      <c r="BX585" s="91" t="str">
        <f>_xlfn.XLOOKUP(BW585,'Normative data'!$V$3:$V$6,'Normative data'!$W$3:$W$6,"Not Found",-1)</f>
        <v>Low risk</v>
      </c>
      <c r="BY585" s="91">
        <f t="shared" si="173"/>
        <v>104.42773600668336</v>
      </c>
      <c r="BZ585" s="91" t="str">
        <f>_xlfn.XLOOKUP(BY585,'Normative data'!$V$3:$V$6,'Normative data'!$W$3:$W$6,"Not Found",-1)</f>
        <v>Low risk</v>
      </c>
      <c r="CG585" s="20"/>
      <c r="CH585" s="20" t="str">
        <f>_xlfn.XLOOKUP(CG585, 'Normative data'!$S$9:$S$15,'Normative data'!$T$9:$T$15, "Not Found", -1)</f>
        <v>not completed</v>
      </c>
      <c r="CI585" s="20"/>
      <c r="CJ585" s="20" t="str">
        <f>_xlfn.XLOOKUP(CI585, 'Normative data'!$S$9:$S$15, 'Normative data'!$T$9:$T$15, "Not Found", -1)</f>
        <v>not completed</v>
      </c>
      <c r="CK585" s="17">
        <v>2.14</v>
      </c>
      <c r="CL585" s="17">
        <v>4.67</v>
      </c>
      <c r="CN585" s="17">
        <v>6.81</v>
      </c>
      <c r="CO585" s="17">
        <v>7.34</v>
      </c>
      <c r="CR585" s="20" t="str" cm="1">
        <f t="array" ref="CR585">IF(OR(ISBLANK(E585),ISBLANK(CQ585)),"Incomplete",_xlfn.XLOOKUP(CQ585,_xlfn.XLOOKUP(E585,'Normative data'!$Y$3:$Y$6,'Normative data'!$Z$3:$AG$6,,-1),'Normative data'!$Z$2:$AG$2,"Not Found",-1))</f>
        <v>Incomplete</v>
      </c>
      <c r="CS585" s="20"/>
      <c r="CT585" s="20"/>
      <c r="CU585" s="20" t="str" cm="1">
        <f t="array" ref="CU585">_xlfn.XLOOKUP(CS585&amp;CT585,(VLOOKUP!$A$3:$A$250)&amp;(VLOOKUP!$B$3:$B$250),VLOOKUP!$C$3:$C$250,"Incomplete",-1)</f>
        <v>Incomplete</v>
      </c>
      <c r="CV585" s="20" t="str" cm="1">
        <f t="array" ref="CV585">_xlfn.XLOOKUP(CU585, _xlfn.XLOOKUP(E585, 'Normative data'!$Y$11:$Y$14, 'Normative data'!$Z$11:$AG$14, ,-1), 'Normative data'!$Z$10:$AG$10, "Not Found", -1)</f>
        <v>Excellent</v>
      </c>
      <c r="CW585" s="20" t="str" cm="1">
        <f t="array" ref="CW585">IF(OR(ISBLANK(CS585),ISBLANK(CT585)),"Incomplete",_xlfn.XLOOKUP(CS585&amp;CT585,VLOOKUP!$A$4:$A$250&amp;VLOOKUP!$B$4:$B$250,VLOOKUP!$D$4:$D$250,"0"))</f>
        <v>Incomplete</v>
      </c>
    </row>
    <row r="586" spans="1:101">
      <c r="A586" s="22" t="s">
        <v>143</v>
      </c>
      <c r="B586" s="22" t="s">
        <v>1199</v>
      </c>
      <c r="C586" s="17" t="s">
        <v>86</v>
      </c>
      <c r="D586" s="23">
        <v>40261</v>
      </c>
      <c r="G586" s="17">
        <v>2026</v>
      </c>
      <c r="H586" s="20" t="s">
        <v>114</v>
      </c>
      <c r="I586" s="17">
        <v>1</v>
      </c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41" t="str">
        <f t="shared" si="175"/>
        <v>Incomplete</v>
      </c>
      <c r="AZ586" s="20"/>
      <c r="BA586" s="20" t="str">
        <f t="shared" si="176"/>
        <v>Incomplete</v>
      </c>
      <c r="BB586" s="20"/>
      <c r="BC586" s="20" t="str">
        <f t="shared" si="177"/>
        <v>Incomplete</v>
      </c>
      <c r="BD586" s="20"/>
      <c r="BE586" s="20" t="str">
        <f t="shared" si="178"/>
        <v>Incomplete</v>
      </c>
      <c r="BF586" s="20"/>
      <c r="BG586" s="20"/>
      <c r="BH586" s="20"/>
      <c r="BI586" s="20" t="str">
        <f>IF(OR(ISBLANK(BG586), ISBLANK(BH586)),"Incomplete",(SUM(BH586-BG586)))</f>
        <v>Incomplete</v>
      </c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91" t="str">
        <f t="shared" si="172"/>
        <v>Incomplete</v>
      </c>
      <c r="BX586" s="91" t="str">
        <f>_xlfn.XLOOKUP(BW586,'Normative data'!$V$3:$V$6,'Normative data'!$W$3:$W$6,"Not Found",-1)</f>
        <v>Very low risk</v>
      </c>
      <c r="BY586" s="91" t="str">
        <f t="shared" si="173"/>
        <v>Incomplete</v>
      </c>
      <c r="BZ586" s="91" t="str">
        <f>_xlfn.XLOOKUP(BY586,'Normative data'!$V$3:$V$6,'Normative data'!$W$3:$W$6,"Not Found",-1)</f>
        <v>Very low risk</v>
      </c>
      <c r="CA586" s="20"/>
      <c r="CC586" s="20">
        <v>47</v>
      </c>
      <c r="CE586" s="20">
        <v>1</v>
      </c>
      <c r="CG586" s="20"/>
      <c r="CH586" s="20" t="str">
        <f>_xlfn.XLOOKUP(CG586, 'Normative data'!$S$9:$S$15,'Normative data'!$T$9:$T$15, "Not Found", -1)</f>
        <v>not completed</v>
      </c>
      <c r="CI586" s="20"/>
      <c r="CJ586" s="20" t="str">
        <f>_xlfn.XLOOKUP(CI586, 'Normative data'!$S$9:$S$15, 'Normative data'!$T$9:$T$15, "Not Found", -1)</f>
        <v>not completed</v>
      </c>
      <c r="CK586" s="20" t="s">
        <v>477</v>
      </c>
      <c r="CL586" s="20" t="s">
        <v>697</v>
      </c>
      <c r="CN586" s="20" t="s">
        <v>130</v>
      </c>
      <c r="CO586" s="20" t="s">
        <v>129</v>
      </c>
      <c r="CQ586" s="20"/>
      <c r="CR586" s="20" t="str" cm="1">
        <f t="array" ref="CR586">IF(OR(ISBLANK(E586),ISBLANK(CQ586)),"Incomplete",_xlfn.XLOOKUP(CQ586,_xlfn.XLOOKUP(E586,'Normative data'!$Y$3:$Y$6,'Normative data'!$Z$3:$AG$6,,-1),'Normative data'!$Z$2:$AG$2,"Not Found",-1))</f>
        <v>Incomplete</v>
      </c>
      <c r="CS586" s="20"/>
      <c r="CT586" s="20"/>
      <c r="CU586" s="20" t="str" cm="1">
        <f t="array" ref="CU586">_xlfn.XLOOKUP(CS586&amp;CT586,(VLOOKUP!$A$3:$A$250)&amp;(VLOOKUP!$B$3:$B$250),VLOOKUP!$C$3:$C$250,"Incomplete",-1)</f>
        <v>Incomplete</v>
      </c>
      <c r="CV586" s="20" t="str" cm="1">
        <f t="array" ref="CV586">_xlfn.XLOOKUP(CU586, _xlfn.XLOOKUP(E586, 'Normative data'!$Y$11:$Y$14, 'Normative data'!$Z$11:$AG$14, ,-1), 'Normative data'!$Z$10:$AG$10, "Not Found", -1)</f>
        <v>Excellent</v>
      </c>
      <c r="CW586" s="20" t="str" cm="1">
        <f t="array" ref="CW586">IF(OR(ISBLANK(CS586),ISBLANK(CT586)),"Incomplete",_xlfn.XLOOKUP(CS586&amp;CT586,VLOOKUP!$A$4:$A$250&amp;VLOOKUP!$B$4:$B$250,VLOOKUP!$D$4:$D$250,"0"))</f>
        <v>Incomplete</v>
      </c>
    </row>
    <row r="587" spans="1:101">
      <c r="A587" s="22" t="s">
        <v>143</v>
      </c>
      <c r="B587" s="22" t="s">
        <v>1199</v>
      </c>
      <c r="C587" s="17" t="s">
        <v>86</v>
      </c>
      <c r="D587" s="23">
        <v>40261</v>
      </c>
      <c r="F587" s="17">
        <v>9</v>
      </c>
      <c r="G587" s="17">
        <v>2025</v>
      </c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41" t="str">
        <f t="shared" si="175"/>
        <v>Incomplete</v>
      </c>
      <c r="AZ587" s="20"/>
      <c r="BA587" s="20" t="str">
        <f t="shared" si="176"/>
        <v>Incomplete</v>
      </c>
      <c r="BB587" s="20"/>
      <c r="BC587" s="20" t="str">
        <f t="shared" si="177"/>
        <v>Incomplete</v>
      </c>
      <c r="BD587" s="20"/>
      <c r="BE587" s="20" t="str">
        <f t="shared" si="178"/>
        <v>Incomplete</v>
      </c>
      <c r="BF587" s="20"/>
      <c r="BG587" s="20">
        <v>13.5</v>
      </c>
      <c r="BH587" s="20">
        <v>42.5</v>
      </c>
      <c r="BI587" s="20" t="e">
        <f>IF(OR(ISBLANK(#REF!), ISBLANK(#REF!)),"Incomplete",(SUM(#REF!-#REF!)))</f>
        <v>#REF!</v>
      </c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91" t="str">
        <f t="shared" si="172"/>
        <v>Incomplete</v>
      </c>
      <c r="BX587" s="91" t="str">
        <f>_xlfn.XLOOKUP(BW587,'Normative data'!$V$3:$V$6,'Normative data'!$W$3:$W$6,"Not Found",-1)</f>
        <v>Very low risk</v>
      </c>
      <c r="BY587" s="91" t="str">
        <f t="shared" si="173"/>
        <v>Incomplete</v>
      </c>
      <c r="BZ587" s="91" t="str">
        <f>_xlfn.XLOOKUP(BY587,'Normative data'!$V$3:$V$6,'Normative data'!$W$3:$W$6,"Not Found",-1)</f>
        <v>Very low risk</v>
      </c>
      <c r="CA587" s="20"/>
      <c r="CC587" s="20"/>
      <c r="CE587" s="20">
        <v>3</v>
      </c>
      <c r="CG587" s="20"/>
      <c r="CH587" s="20" t="str">
        <f>_xlfn.XLOOKUP(CG587, 'Normative data'!$S$9:$S$15,'Normative data'!$T$9:$T$15, "Not Found", -1)</f>
        <v>not completed</v>
      </c>
      <c r="CI587" s="20"/>
      <c r="CJ587" s="20" t="str">
        <f>_xlfn.XLOOKUP(CI587, 'Normative data'!$S$9:$S$15, 'Normative data'!$T$9:$T$15, "Not Found", -1)</f>
        <v>not completed</v>
      </c>
      <c r="CK587" s="24">
        <v>2.4</v>
      </c>
      <c r="CL587" s="24">
        <v>4.17</v>
      </c>
      <c r="CM587" s="24"/>
      <c r="CN587" s="24">
        <v>7.54</v>
      </c>
      <c r="CO587" s="24">
        <v>6.63</v>
      </c>
      <c r="CP587" s="24"/>
      <c r="CQ587" s="20"/>
      <c r="CR587" s="20" t="str" cm="1">
        <f t="array" ref="CR587">IF(OR(ISBLANK(E587),ISBLANK(CQ587)),"Incomplete",_xlfn.XLOOKUP(CQ587,_xlfn.XLOOKUP(E587,'Normative data'!$Y$3:$Y$6,'Normative data'!$Z$3:$AG$6,,-1),'Normative data'!$Z$2:$AG$2,"Not Found",-1))</f>
        <v>Incomplete</v>
      </c>
      <c r="CS587" s="20"/>
      <c r="CT587" s="20"/>
      <c r="CU587" s="20" t="str" cm="1">
        <f t="array" ref="CU587">_xlfn.XLOOKUP(CS587&amp;CT587,(VLOOKUP!$A$3:$A$250)&amp;(VLOOKUP!$B$3:$B$250),VLOOKUP!$C$3:$C$250,"Incomplete",-1)</f>
        <v>Incomplete</v>
      </c>
      <c r="CV587" s="20" t="str" cm="1">
        <f t="array" ref="CV587">_xlfn.XLOOKUP(CU587, _xlfn.XLOOKUP(E587, 'Normative data'!$Y$11:$Y$14, 'Normative data'!$Z$11:$AG$14, ,-1), 'Normative data'!$Z$10:$AG$10, "Not Found", -1)</f>
        <v>Excellent</v>
      </c>
      <c r="CW587" s="20" t="str" cm="1">
        <f t="array" ref="CW587">IF(OR(ISBLANK(CS587),ISBLANK(CT587)),"Incomplete",_xlfn.XLOOKUP(CS587&amp;CT587,VLOOKUP!$A$4:$A$250&amp;VLOOKUP!$B$4:$B$250,VLOOKUP!$D$4:$D$250,"0"))</f>
        <v>Incomplete</v>
      </c>
    </row>
    <row r="588" spans="1:101">
      <c r="A588" s="17" t="s">
        <v>143</v>
      </c>
      <c r="B588" s="17" t="s">
        <v>1199</v>
      </c>
      <c r="C588" s="17" t="s">
        <v>86</v>
      </c>
      <c r="D588" s="23">
        <v>40261</v>
      </c>
      <c r="G588" s="17">
        <v>2025</v>
      </c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41" t="str">
        <f t="shared" si="175"/>
        <v>Incomplete</v>
      </c>
      <c r="AZ588" s="20"/>
      <c r="BA588" s="20" t="str">
        <f t="shared" si="176"/>
        <v>Incomplete</v>
      </c>
      <c r="BB588" s="20"/>
      <c r="BC588" s="20" t="str">
        <f t="shared" si="177"/>
        <v>Incomplete</v>
      </c>
      <c r="BD588" s="20"/>
      <c r="BE588" s="20" t="str">
        <f t="shared" si="178"/>
        <v>Incomplete</v>
      </c>
      <c r="BF588" s="20"/>
      <c r="BG588" s="20"/>
      <c r="BH588" s="20"/>
      <c r="BI588" s="20" t="str">
        <f>IF(OR(ISBLANK(BG588), ISBLANK(BH588)),"Incomplete",(SUM(BH588-BG588)))</f>
        <v>Incomplete</v>
      </c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91" t="str">
        <f t="shared" si="172"/>
        <v>Incomplete</v>
      </c>
      <c r="BX588" s="91" t="str">
        <f>_xlfn.XLOOKUP(BW588,'Normative data'!$V$3:$V$6,'Normative data'!$W$3:$W$6,"Not Found",-1)</f>
        <v>Very low risk</v>
      </c>
      <c r="BY588" s="91" t="str">
        <f t="shared" si="173"/>
        <v>Incomplete</v>
      </c>
      <c r="BZ588" s="91" t="str">
        <f>_xlfn.XLOOKUP(BY588,'Normative data'!$V$3:$V$6,'Normative data'!$W$3:$W$6,"Not Found",-1)</f>
        <v>Very low risk</v>
      </c>
      <c r="CA588" s="20"/>
      <c r="CC588" s="20"/>
      <c r="CE588" s="20"/>
      <c r="CG588" s="20"/>
      <c r="CH588" s="20" t="str">
        <f>_xlfn.XLOOKUP(CG588, 'Normative data'!$S$9:$S$15,'Normative data'!$T$9:$T$15, "Not Found", -1)</f>
        <v>not completed</v>
      </c>
      <c r="CI588" s="20"/>
      <c r="CJ588" s="20" t="str">
        <f>_xlfn.XLOOKUP(CI588, 'Normative data'!$S$9:$S$15, 'Normative data'!$T$9:$T$15, "Not Found", -1)</f>
        <v>not completed</v>
      </c>
      <c r="CK588" s="20" t="s">
        <v>477</v>
      </c>
      <c r="CL588" s="20" t="s">
        <v>697</v>
      </c>
      <c r="CN588" s="20" t="s">
        <v>130</v>
      </c>
      <c r="CO588" s="20" t="s">
        <v>129</v>
      </c>
      <c r="CQ588" s="20"/>
      <c r="CR588" s="20" t="str" cm="1">
        <f t="array" ref="CR588">IF(OR(ISBLANK(E588),ISBLANK(CQ588)),"Incomplete",_xlfn.XLOOKUP(CQ588,_xlfn.XLOOKUP(E588,'Normative data'!$Y$3:$Y$6,'Normative data'!$Z$3:$AG$6,,-1),'Normative data'!$Z$2:$AG$2,"Not Found",-1))</f>
        <v>Incomplete</v>
      </c>
      <c r="CS588" s="20"/>
      <c r="CT588" s="20"/>
      <c r="CU588" s="20" t="str" cm="1">
        <f t="array" ref="CU588">_xlfn.XLOOKUP(CS588&amp;CT588,(VLOOKUP!$A$3:$A$250)&amp;(VLOOKUP!$B$3:$B$250),VLOOKUP!$C$3:$C$250,"Incomplete",-1)</f>
        <v>Incomplete</v>
      </c>
      <c r="CV588" s="20" t="str" cm="1">
        <f t="array" ref="CV588">_xlfn.XLOOKUP(CU588, _xlfn.XLOOKUP(E588, 'Normative data'!$Y$11:$Y$14, 'Normative data'!$Z$11:$AG$14, ,-1), 'Normative data'!$Z$10:$AG$10, "Not Found", -1)</f>
        <v>Excellent</v>
      </c>
      <c r="CW588" s="20" t="str" cm="1">
        <f t="array" ref="CW588">IF(OR(ISBLANK(CS588),ISBLANK(CT588)),"Incomplete",_xlfn.XLOOKUP(CS588&amp;CT588,VLOOKUP!$A$4:$A$250&amp;VLOOKUP!$B$4:$B$250,VLOOKUP!$D$4:$D$250,"0"))</f>
        <v>Incomplete</v>
      </c>
    </row>
    <row r="589" spans="1:101">
      <c r="A589" s="22" t="s">
        <v>300</v>
      </c>
      <c r="B589" s="22" t="s">
        <v>301</v>
      </c>
      <c r="C589" s="17" t="s">
        <v>86</v>
      </c>
      <c r="D589" s="23">
        <v>40037</v>
      </c>
      <c r="F589" s="17">
        <v>10</v>
      </c>
      <c r="G589" s="17">
        <v>2025</v>
      </c>
      <c r="J589" s="17" t="s">
        <v>88</v>
      </c>
      <c r="S589" s="20"/>
      <c r="T589" s="20">
        <v>167.7</v>
      </c>
      <c r="U589" s="20">
        <v>63.1</v>
      </c>
      <c r="V589" s="20"/>
      <c r="W589" s="20">
        <v>12.5</v>
      </c>
      <c r="X589" s="20">
        <f>SUM(T589-W589)</f>
        <v>155.19999999999999</v>
      </c>
      <c r="Y589" s="20">
        <v>28.5</v>
      </c>
      <c r="Z589" s="20">
        <v>22.4</v>
      </c>
      <c r="AA589" s="20">
        <v>19.899999999999999</v>
      </c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>
        <v>33.1</v>
      </c>
      <c r="AR589" s="20">
        <v>0.52</v>
      </c>
      <c r="AS589" s="20">
        <v>36</v>
      </c>
      <c r="AT589" s="20">
        <v>0.54200000000000004</v>
      </c>
      <c r="AU589" s="20">
        <v>18.600000000000001</v>
      </c>
      <c r="AV589" s="20">
        <v>0.39</v>
      </c>
      <c r="AW589" s="20">
        <v>18.899999999999999</v>
      </c>
      <c r="AX589" s="20">
        <v>0.39300000000000002</v>
      </c>
      <c r="AY589" s="41" t="e">
        <f>IF(OR(ISBLANK(U589), ISBLANK(#REF!)), "Incomplete", (60.7*#REF!)+(45.3*U589)-2055)</f>
        <v>#REF!</v>
      </c>
      <c r="AZ589" s="20"/>
      <c r="BA589" s="20" t="e">
        <f>IF(OR(ISBLANK(U589), ISBLANK(#REF!)), "Incomplete", (60.7*#REF!)+(45.3*U589)-2055)</f>
        <v>#REF!</v>
      </c>
      <c r="BB589" s="20"/>
      <c r="BC589" s="20" t="e">
        <f>IF(OR(ISBLANK(U589), ISBLANK(#REF!)), "Incomplete", (60.7*#REF!)+(45.3*U589)-2055)</f>
        <v>#REF!</v>
      </c>
      <c r="BD589" s="20"/>
      <c r="BE589" s="20" t="e">
        <f>IF(OR(ISBLANK(U589), ISBLANK(#REF!)), "Incomplete", (60.7*#REF!)+(45.3*U589)-2055)</f>
        <v>#REF!</v>
      </c>
      <c r="BF589" s="20"/>
      <c r="BG589" s="20">
        <v>15.5</v>
      </c>
      <c r="BH589" s="20">
        <v>43.3</v>
      </c>
      <c r="BI589" s="20">
        <f>IF(OR(ISBLANK(BG589), ISBLANK(BH589)),"Incomplete",(SUM(BH589-BG589)))</f>
        <v>27.799999999999997</v>
      </c>
      <c r="BJ589" s="20"/>
      <c r="BK589" s="20">
        <v>6</v>
      </c>
      <c r="BL589" s="20"/>
      <c r="BM589" s="20">
        <v>4</v>
      </c>
      <c r="BN589" s="20"/>
      <c r="BO589" s="20"/>
      <c r="BP589" s="20"/>
      <c r="BQ589" s="20"/>
      <c r="BR589" s="20"/>
      <c r="BS589" s="20"/>
      <c r="BT589" s="20"/>
      <c r="BU589" s="20"/>
      <c r="BV589" s="20"/>
      <c r="BW589" s="91">
        <f t="shared" si="172"/>
        <v>0</v>
      </c>
      <c r="BX589" s="91" t="str">
        <f>_xlfn.XLOOKUP(BW589,'Normative data'!$V$3:$V$6,'Normative data'!$W$3:$W$6,"Not Found",-1)</f>
        <v>Not completed</v>
      </c>
      <c r="BY589" s="91">
        <f t="shared" si="173"/>
        <v>0</v>
      </c>
      <c r="BZ589" s="91" t="str">
        <f>_xlfn.XLOOKUP(BY589,'Normative data'!$V$3:$V$6,'Normative data'!$W$3:$W$6,"Not Found",-1)</f>
        <v>Not completed</v>
      </c>
      <c r="CA589" s="20"/>
      <c r="CC589" s="20"/>
      <c r="CE589" s="20">
        <v>21</v>
      </c>
      <c r="CG589" s="20"/>
      <c r="CH589" s="20" t="str">
        <f>_xlfn.XLOOKUP(CG589, 'Normative data'!$S$9:$S$15,'Normative data'!$T$9:$T$15, "Not Found", -1)</f>
        <v>not completed</v>
      </c>
      <c r="CI589" s="20"/>
      <c r="CJ589" s="20" t="str">
        <f>_xlfn.XLOOKUP(CI589, 'Normative data'!$S$9:$S$15, 'Normative data'!$T$9:$T$15, "Not Found", -1)</f>
        <v>not completed</v>
      </c>
      <c r="CK589" s="24">
        <v>2.2400000000000002</v>
      </c>
      <c r="CL589" s="24">
        <v>4.46</v>
      </c>
      <c r="CM589" s="21"/>
      <c r="CN589" s="24">
        <v>6.63</v>
      </c>
      <c r="CO589" s="24">
        <v>7.54</v>
      </c>
      <c r="CP589" s="24"/>
      <c r="CQ589" s="20"/>
      <c r="CR589" s="20" t="str" cm="1">
        <f t="array" ref="CR589">IF(OR(ISBLANK(E589),ISBLANK(CQ589)),"Incomplete",_xlfn.XLOOKUP(CQ589,_xlfn.XLOOKUP(E589,'Normative data'!$Y$3:$Y$6,'Normative data'!$Z$3:$AG$6,,-1),'Normative data'!$Z$2:$AG$2,"Not Found",-1))</f>
        <v>Incomplete</v>
      </c>
      <c r="CS589" s="20"/>
      <c r="CT589" s="20"/>
      <c r="CU589" s="20" t="str" cm="1">
        <f t="array" ref="CU589">_xlfn.XLOOKUP(CS589&amp;CT589,(VLOOKUP!$A$3:$A$250)&amp;(VLOOKUP!$B$3:$B$250),VLOOKUP!$C$3:$C$250,"Incomplete",-1)</f>
        <v>Incomplete</v>
      </c>
      <c r="CV589" s="20" t="str" cm="1">
        <f t="array" ref="CV589">_xlfn.XLOOKUP(CU589, _xlfn.XLOOKUP(E589, 'Normative data'!$Y$11:$Y$14, 'Normative data'!$Z$11:$AG$14, ,-1), 'Normative data'!$Z$10:$AG$10, "Not Found", -1)</f>
        <v>Excellent</v>
      </c>
      <c r="CW589" s="20" t="str" cm="1">
        <f t="array" ref="CW589">IF(OR(ISBLANK(CS589),ISBLANK(CT589)),"Incomplete",_xlfn.XLOOKUP(CS589&amp;CT589,VLOOKUP!$A$4:$A$250&amp;VLOOKUP!$B$4:$B$250,VLOOKUP!$D$4:$D$250,"0"))</f>
        <v>Incomplete</v>
      </c>
    </row>
    <row r="590" spans="1:101">
      <c r="A590" s="17" t="s">
        <v>1200</v>
      </c>
      <c r="B590" s="17" t="s">
        <v>301</v>
      </c>
      <c r="C590" s="17" t="s">
        <v>86</v>
      </c>
      <c r="D590" s="23">
        <v>40037</v>
      </c>
      <c r="F590" s="17">
        <v>10</v>
      </c>
      <c r="G590" s="17">
        <v>2025</v>
      </c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41" t="str">
        <f t="shared" ref="AY590:AY596" si="179">IF(OR(ISBLANK(U590), ISBLANK(AQ590)), "Incomplete", (60.7*AQ590)+(45.3*U590)-2055)</f>
        <v>Incomplete</v>
      </c>
      <c r="AZ590" s="20"/>
      <c r="BA590" s="20" t="str">
        <f t="shared" ref="BA590:BA596" si="180">IF(OR(ISBLANK(U590), ISBLANK(AS590)), "Incomplete", (60.7*AS590)+(45.3*U590)-2055)</f>
        <v>Incomplete</v>
      </c>
      <c r="BB590" s="20"/>
      <c r="BC590" s="20" t="str">
        <f t="shared" ref="BC590:BC596" si="181">IF(OR(ISBLANK(U590), ISBLANK(AU590)), "Incomplete", (60.7*AU590)+(45.3*U590)-2055)</f>
        <v>Incomplete</v>
      </c>
      <c r="BD590" s="20"/>
      <c r="BE590" s="20" t="str">
        <f t="shared" ref="BE590:BE596" si="182">IF(OR(ISBLANK(U590), ISBLANK(AW590)), "Incomplete", (60.7*AW590)+(45.3*U590)-2055)</f>
        <v>Incomplete</v>
      </c>
      <c r="BF590" s="20"/>
      <c r="BG590" s="20"/>
      <c r="BH590" s="20"/>
      <c r="BI590" s="20" t="str">
        <f>IF(OR(ISBLANK(BG590), ISBLANK(BH590)),"Incomplete",(SUM(BH590-BG590)))</f>
        <v>Incomplete</v>
      </c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91" t="str">
        <f t="shared" si="172"/>
        <v>Incomplete</v>
      </c>
      <c r="BX590" s="91" t="str">
        <f>_xlfn.XLOOKUP(BW590,'Normative data'!$V$3:$V$6,'Normative data'!$W$3:$W$6,"Not Found",-1)</f>
        <v>Very low risk</v>
      </c>
      <c r="BY590" s="91" t="str">
        <f t="shared" si="173"/>
        <v>Incomplete</v>
      </c>
      <c r="BZ590" s="91" t="str">
        <f>_xlfn.XLOOKUP(BY590,'Normative data'!$V$3:$V$6,'Normative data'!$W$3:$W$6,"Not Found",-1)</f>
        <v>Very low risk</v>
      </c>
      <c r="CA590" s="20"/>
      <c r="CC590" s="20"/>
      <c r="CE590" s="20"/>
      <c r="CG590" s="20"/>
      <c r="CH590" s="20" t="str">
        <f>_xlfn.XLOOKUP(CG590, 'Normative data'!$S$9:$S$15,'Normative data'!$T$9:$T$15, "Not Found", -1)</f>
        <v>not completed</v>
      </c>
      <c r="CI590" s="20"/>
      <c r="CJ590" s="20" t="str">
        <f>_xlfn.XLOOKUP(CI590, 'Normative data'!$S$9:$S$15, 'Normative data'!$T$9:$T$15, "Not Found", -1)</f>
        <v>not completed</v>
      </c>
      <c r="CK590" s="20" t="s">
        <v>477</v>
      </c>
      <c r="CL590" s="20" t="s">
        <v>697</v>
      </c>
      <c r="CN590" s="20" t="s">
        <v>882</v>
      </c>
      <c r="CO590" s="20" t="s">
        <v>883</v>
      </c>
      <c r="CQ590" s="20"/>
      <c r="CR590" s="20" t="str" cm="1">
        <f t="array" ref="CR590">IF(OR(ISBLANK(E590),ISBLANK(CQ590)),"Incomplete",_xlfn.XLOOKUP(CQ590,_xlfn.XLOOKUP(E590,'Normative data'!$Y$3:$Y$6,'Normative data'!$Z$3:$AG$6,,-1),'Normative data'!$Z$2:$AG$2,"Not Found",-1))</f>
        <v>Incomplete</v>
      </c>
      <c r="CS590" s="20"/>
      <c r="CT590" s="20"/>
      <c r="CU590" s="20" t="str" cm="1">
        <f t="array" ref="CU590">_xlfn.XLOOKUP(CS590&amp;CT590,(VLOOKUP!$A$3:$A$250)&amp;(VLOOKUP!$B$3:$B$250),VLOOKUP!$C$3:$C$250,"Incomplete",-1)</f>
        <v>Incomplete</v>
      </c>
      <c r="CV590" s="20" t="str" cm="1">
        <f t="array" ref="CV590">_xlfn.XLOOKUP(CU590, _xlfn.XLOOKUP(E590, 'Normative data'!$Y$11:$Y$14, 'Normative data'!$Z$11:$AG$14, ,-1), 'Normative data'!$Z$10:$AG$10, "Not Found", -1)</f>
        <v>Excellent</v>
      </c>
      <c r="CW590" s="20" t="str" cm="1">
        <f t="array" ref="CW590">IF(OR(ISBLANK(CS590),ISBLANK(CT590)),"Incomplete",_xlfn.XLOOKUP(CS590&amp;CT590,VLOOKUP!$A$4:$A$250&amp;VLOOKUP!$B$4:$B$250,VLOOKUP!$D$4:$D$250,"0"))</f>
        <v>Incomplete</v>
      </c>
    </row>
    <row r="591" spans="1:101">
      <c r="A591" s="18" t="s">
        <v>578</v>
      </c>
      <c r="B591" s="18" t="s">
        <v>581</v>
      </c>
      <c r="C591" s="17" t="s">
        <v>86</v>
      </c>
      <c r="D591" s="19">
        <v>40463</v>
      </c>
      <c r="F591" s="17">
        <v>9</v>
      </c>
      <c r="G591" s="17">
        <v>2025</v>
      </c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41" t="str">
        <f t="shared" si="179"/>
        <v>Incomplete</v>
      </c>
      <c r="AZ591" s="20"/>
      <c r="BA591" s="20" t="str">
        <f t="shared" si="180"/>
        <v>Incomplete</v>
      </c>
      <c r="BB591" s="20"/>
      <c r="BC591" s="20" t="str">
        <f t="shared" si="181"/>
        <v>Incomplete</v>
      </c>
      <c r="BD591" s="20"/>
      <c r="BE591" s="20" t="str">
        <f t="shared" si="182"/>
        <v>Incomplete</v>
      </c>
      <c r="BF591" s="20"/>
      <c r="BG591" s="20">
        <v>11</v>
      </c>
      <c r="BH591" s="20">
        <v>27.9</v>
      </c>
      <c r="BI591" s="20" t="e">
        <f>IF(OR(ISBLANK(#REF!), ISBLANK(#REF!)),"Incomplete",(SUM(#REF!-#REF!)))</f>
        <v>#REF!</v>
      </c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91" t="str">
        <f t="shared" si="172"/>
        <v>Incomplete</v>
      </c>
      <c r="BX591" s="91" t="str">
        <f>_xlfn.XLOOKUP(BW591,'Normative data'!$V$3:$V$6,'Normative data'!$W$3:$W$6,"Not Found",-1)</f>
        <v>Very low risk</v>
      </c>
      <c r="BY591" s="91" t="str">
        <f t="shared" si="173"/>
        <v>Incomplete</v>
      </c>
      <c r="BZ591" s="91" t="str">
        <f>_xlfn.XLOOKUP(BY591,'Normative data'!$V$3:$V$6,'Normative data'!$W$3:$W$6,"Not Found",-1)</f>
        <v>Very low risk</v>
      </c>
      <c r="CA591" s="20"/>
      <c r="CC591" s="20"/>
      <c r="CE591" s="20">
        <v>6</v>
      </c>
      <c r="CG591" s="20"/>
      <c r="CH591" s="20" t="str">
        <f>_xlfn.XLOOKUP(CG591, 'Normative data'!$S$9:$S$15,'Normative data'!$T$9:$T$15, "Not Found", -1)</f>
        <v>not completed</v>
      </c>
      <c r="CI591" s="20"/>
      <c r="CJ591" s="20" t="str">
        <f>_xlfn.XLOOKUP(CI591, 'Normative data'!$S$9:$S$15, 'Normative data'!$T$9:$T$15, "Not Found", -1)</f>
        <v>not completed</v>
      </c>
      <c r="CK591" s="21">
        <v>2.36</v>
      </c>
      <c r="CL591" s="21">
        <v>4.24</v>
      </c>
      <c r="CM591" s="21"/>
      <c r="CN591" s="21">
        <v>7.21</v>
      </c>
      <c r="CO591" s="21">
        <v>6.93</v>
      </c>
      <c r="CP591" s="21"/>
      <c r="CQ591" s="20"/>
      <c r="CR591" s="20" t="str" cm="1">
        <f t="array" ref="CR591">IF(OR(ISBLANK(E591),ISBLANK(CQ591)),"Incomplete",_xlfn.XLOOKUP(CQ591,_xlfn.XLOOKUP(E591,'Normative data'!$Y$3:$Y$6,'Normative data'!$Z$3:$AG$6,,-1),'Normative data'!$Z$2:$AG$2,"Not Found",-1))</f>
        <v>Incomplete</v>
      </c>
      <c r="CS591" s="20"/>
      <c r="CT591" s="20"/>
      <c r="CU591" s="20" t="str" cm="1">
        <f t="array" ref="CU591">_xlfn.XLOOKUP(CS591&amp;CT591,(VLOOKUP!$A$3:$A$250)&amp;(VLOOKUP!$B$3:$B$250),VLOOKUP!$C$3:$C$250,"Incomplete",-1)</f>
        <v>Incomplete</v>
      </c>
      <c r="CV591" s="20" t="str" cm="1">
        <f t="array" ref="CV591">_xlfn.XLOOKUP(CU591, _xlfn.XLOOKUP(E591, 'Normative data'!$Y$11:$Y$14, 'Normative data'!$Z$11:$AG$14, ,-1), 'Normative data'!$Z$10:$AG$10, "Not Found", -1)</f>
        <v>Excellent</v>
      </c>
      <c r="CW591" s="20" t="str" cm="1">
        <f t="array" ref="CW591">IF(OR(ISBLANK(CS591),ISBLANK(CT591)),"Incomplete",_xlfn.XLOOKUP(CS591&amp;CT591,VLOOKUP!$A$4:$A$250&amp;VLOOKUP!$B$4:$B$250,VLOOKUP!$D$4:$D$250,"0"))</f>
        <v>Incomplete</v>
      </c>
    </row>
    <row r="592" spans="1:101">
      <c r="A592" s="17" t="s">
        <v>578</v>
      </c>
      <c r="B592" s="17" t="s">
        <v>581</v>
      </c>
      <c r="C592" s="17" t="s">
        <v>86</v>
      </c>
      <c r="D592" s="19">
        <v>40463</v>
      </c>
      <c r="F592" s="17">
        <v>9</v>
      </c>
      <c r="G592" s="17">
        <v>2025</v>
      </c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41" t="str">
        <f t="shared" si="179"/>
        <v>Incomplete</v>
      </c>
      <c r="AZ592" s="20"/>
      <c r="BA592" s="20" t="str">
        <f t="shared" si="180"/>
        <v>Incomplete</v>
      </c>
      <c r="BB592" s="20"/>
      <c r="BC592" s="20" t="str">
        <f t="shared" si="181"/>
        <v>Incomplete</v>
      </c>
      <c r="BD592" s="20"/>
      <c r="BE592" s="20" t="str">
        <f t="shared" si="182"/>
        <v>Incomplete</v>
      </c>
      <c r="BF592" s="20"/>
      <c r="BG592" s="20"/>
      <c r="BH592" s="20"/>
      <c r="BI592" s="20" t="str">
        <f>IF(OR(ISBLANK(BG592), ISBLANK(BH592)),"Incomplete",(SUM(BH592-BG592)))</f>
        <v>Incomplete</v>
      </c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91" t="str">
        <f t="shared" si="172"/>
        <v>Incomplete</v>
      </c>
      <c r="BX592" s="91" t="str">
        <f>_xlfn.XLOOKUP(BW592,'Normative data'!$V$3:$V$6,'Normative data'!$W$3:$W$6,"Not Found",-1)</f>
        <v>Very low risk</v>
      </c>
      <c r="BY592" s="91" t="str">
        <f t="shared" si="173"/>
        <v>Incomplete</v>
      </c>
      <c r="BZ592" s="91" t="str">
        <f>_xlfn.XLOOKUP(BY592,'Normative data'!$V$3:$V$6,'Normative data'!$W$3:$W$6,"Not Found",-1)</f>
        <v>Very low risk</v>
      </c>
      <c r="CA592" s="20"/>
      <c r="CC592" s="20"/>
      <c r="CE592" s="20"/>
      <c r="CG592" s="20"/>
      <c r="CH592" s="20" t="str">
        <f>_xlfn.XLOOKUP(CG592, 'Normative data'!$S$9:$S$15,'Normative data'!$T$9:$T$15, "Not Found", -1)</f>
        <v>not completed</v>
      </c>
      <c r="CI592" s="20"/>
      <c r="CJ592" s="20" t="str">
        <f>_xlfn.XLOOKUP(CI592, 'Normative data'!$S$9:$S$15, 'Normative data'!$T$9:$T$15, "Not Found", -1)</f>
        <v>not completed</v>
      </c>
      <c r="CK592" s="20" t="s">
        <v>1201</v>
      </c>
      <c r="CL592" s="20" t="s">
        <v>817</v>
      </c>
      <c r="CN592" s="20" t="s">
        <v>1202</v>
      </c>
      <c r="CO592" s="20" t="s">
        <v>1203</v>
      </c>
      <c r="CQ592" s="20"/>
      <c r="CR592" s="20" t="str" cm="1">
        <f t="array" ref="CR592">IF(OR(ISBLANK(E592),ISBLANK(CQ592)),"Incomplete",_xlfn.XLOOKUP(CQ592,_xlfn.XLOOKUP(E592,'Normative data'!$Y$3:$Y$6,'Normative data'!$Z$3:$AG$6,,-1),'Normative data'!$Z$2:$AG$2,"Not Found",-1))</f>
        <v>Incomplete</v>
      </c>
      <c r="CS592" s="20"/>
      <c r="CT592" s="20"/>
      <c r="CU592" s="20" t="str" cm="1">
        <f t="array" ref="CU592">_xlfn.XLOOKUP(CS592&amp;CT592,(VLOOKUP!$A$3:$A$250)&amp;(VLOOKUP!$B$3:$B$250),VLOOKUP!$C$3:$C$250,"Incomplete",-1)</f>
        <v>Incomplete</v>
      </c>
      <c r="CV592" s="20" t="str" cm="1">
        <f t="array" ref="CV592">_xlfn.XLOOKUP(CU592, _xlfn.XLOOKUP(E592, 'Normative data'!$Y$11:$Y$14, 'Normative data'!$Z$11:$AG$14, ,-1), 'Normative data'!$Z$10:$AG$10, "Not Found", -1)</f>
        <v>Excellent</v>
      </c>
      <c r="CW592" s="20" t="str" cm="1">
        <f t="array" ref="CW592">IF(OR(ISBLANK(CS592),ISBLANK(CT592)),"Incomplete",_xlfn.XLOOKUP(CS592&amp;CT592,VLOOKUP!$A$4:$A$250&amp;VLOOKUP!$B$4:$B$250,VLOOKUP!$D$4:$D$250,"0"))</f>
        <v>Incomplete</v>
      </c>
    </row>
    <row r="593" spans="1:101">
      <c r="A593" s="17" t="s">
        <v>1204</v>
      </c>
      <c r="B593" s="17" t="s">
        <v>1205</v>
      </c>
      <c r="C593" s="17" t="s">
        <v>86</v>
      </c>
      <c r="D593" s="26"/>
      <c r="F593" s="20">
        <v>12</v>
      </c>
      <c r="G593" s="17">
        <v>2026</v>
      </c>
      <c r="I593" s="20">
        <v>2</v>
      </c>
      <c r="J593" s="20" t="s">
        <v>122</v>
      </c>
      <c r="K593" s="20" t="s">
        <v>95</v>
      </c>
      <c r="L593" s="20"/>
      <c r="S593" s="20"/>
      <c r="T593" s="20"/>
      <c r="AQ593" s="20"/>
      <c r="AR593" s="20"/>
      <c r="AS593" s="20"/>
      <c r="AT593" s="20"/>
      <c r="AU593" s="20"/>
      <c r="AV593" s="20"/>
      <c r="AW593" s="20"/>
      <c r="AX593" s="20"/>
      <c r="AY593" s="41" t="str">
        <f t="shared" si="179"/>
        <v>Incomplete</v>
      </c>
      <c r="BA593" s="20" t="str">
        <f t="shared" si="180"/>
        <v>Incomplete</v>
      </c>
      <c r="BC593" s="20" t="str">
        <f t="shared" si="181"/>
        <v>Incomplete</v>
      </c>
      <c r="BE593" s="20" t="str">
        <f t="shared" si="182"/>
        <v>Incomplete</v>
      </c>
      <c r="BH593" s="20"/>
      <c r="BI593" s="20" t="str">
        <f>IF(OR(ISBLANK(BG593), ISBLANK(BH593)),"Incomplete",(SUM(BH593-BG593)))</f>
        <v>Incomplete</v>
      </c>
      <c r="BJ593" s="20"/>
      <c r="BL593" s="20"/>
      <c r="BM593" s="20"/>
      <c r="BN593" s="20"/>
      <c r="BW593" s="91" t="str">
        <f t="shared" si="172"/>
        <v>Incomplete</v>
      </c>
      <c r="BX593" s="91" t="str">
        <f>_xlfn.XLOOKUP(BW593,'Normative data'!$V$3:$V$6,'Normative data'!$W$3:$W$6,"Not Found",-1)</f>
        <v>Very low risk</v>
      </c>
      <c r="BY593" s="91" t="str">
        <f t="shared" si="173"/>
        <v>Incomplete</v>
      </c>
      <c r="BZ593" s="91" t="str">
        <f>_xlfn.XLOOKUP(BY593,'Normative data'!$V$3:$V$6,'Normative data'!$W$3:$W$6,"Not Found",-1)</f>
        <v>Very low risk</v>
      </c>
      <c r="CG593" s="20"/>
      <c r="CH593" s="20" t="str">
        <f>_xlfn.XLOOKUP(CG593, 'Normative data'!$S$9:$S$15,'Normative data'!$T$9:$T$15, "Not Found", -1)</f>
        <v>not completed</v>
      </c>
      <c r="CI593" s="20"/>
      <c r="CJ593" s="20" t="str">
        <f>_xlfn.XLOOKUP(CI593, 'Normative data'!$S$9:$S$15, 'Normative data'!$T$9:$T$15, "Not Found", -1)</f>
        <v>not completed</v>
      </c>
      <c r="CK593" s="21"/>
      <c r="CL593" s="21"/>
      <c r="CM593" s="21"/>
      <c r="CN593" s="21"/>
      <c r="CO593" s="21"/>
      <c r="CR593" s="20" t="str" cm="1">
        <f t="array" ref="CR593">IF(OR(ISBLANK(E593),ISBLANK(CQ593)),"Incomplete",_xlfn.XLOOKUP(CQ593,_xlfn.XLOOKUP(E593,'Normative data'!$Y$3:$Y$6,'Normative data'!$Z$3:$AG$6,,-1),'Normative data'!$Z$2:$AG$2,"Not Found",-1))</f>
        <v>Incomplete</v>
      </c>
      <c r="CS593" s="20"/>
      <c r="CT593" s="20"/>
      <c r="CU593" s="20" t="str" cm="1">
        <f t="array" ref="CU593">_xlfn.XLOOKUP(CS593&amp;CT593,(VLOOKUP!$A$3:$A$250)&amp;(VLOOKUP!$B$3:$B$250),VLOOKUP!$C$3:$C$250,"Incomplete",-1)</f>
        <v>Incomplete</v>
      </c>
      <c r="CV593" s="20" t="str" cm="1">
        <f t="array" ref="CV593">_xlfn.XLOOKUP(CU593, _xlfn.XLOOKUP(E593, 'Normative data'!$Y$11:$Y$14, 'Normative data'!$Z$11:$AG$14, ,-1), 'Normative data'!$Z$10:$AG$10, "Not Found", -1)</f>
        <v>Excellent</v>
      </c>
      <c r="CW593" s="20" t="str" cm="1">
        <f t="array" ref="CW593">IF(OR(ISBLANK(CS593),ISBLANK(CT593)),"Incomplete",_xlfn.XLOOKUP(CS593&amp;CT593,VLOOKUP!$A$4:$A$250&amp;VLOOKUP!$B$4:$B$250,VLOOKUP!$D$4:$D$250,"0"))</f>
        <v>Incomplete</v>
      </c>
    </row>
    <row r="594" spans="1:101">
      <c r="A594" s="17" t="s">
        <v>976</v>
      </c>
      <c r="B594" s="17" t="s">
        <v>1206</v>
      </c>
      <c r="C594" s="17" t="s">
        <v>86</v>
      </c>
      <c r="D594" s="19">
        <v>40014</v>
      </c>
      <c r="F594" s="17">
        <v>10</v>
      </c>
      <c r="G594" s="17">
        <v>2025</v>
      </c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41" t="str">
        <f t="shared" si="179"/>
        <v>Incomplete</v>
      </c>
      <c r="AZ594" s="20"/>
      <c r="BA594" s="20" t="str">
        <f t="shared" si="180"/>
        <v>Incomplete</v>
      </c>
      <c r="BB594" s="20"/>
      <c r="BC594" s="20" t="str">
        <f t="shared" si="181"/>
        <v>Incomplete</v>
      </c>
      <c r="BD594" s="20"/>
      <c r="BE594" s="20" t="str">
        <f t="shared" si="182"/>
        <v>Incomplete</v>
      </c>
      <c r="BF594" s="20"/>
      <c r="BG594" s="20"/>
      <c r="BH594" s="20"/>
      <c r="BI594" s="20" t="str">
        <f>IF(OR(ISBLANK(BG594), ISBLANK(BH594)),"Incomplete",(SUM(BH594-BG594)))</f>
        <v>Incomplete</v>
      </c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91" t="str">
        <f t="shared" si="172"/>
        <v>Incomplete</v>
      </c>
      <c r="BX594" s="91" t="str">
        <f>_xlfn.XLOOKUP(BW594,'Normative data'!$V$3:$V$6,'Normative data'!$W$3:$W$6,"Not Found",-1)</f>
        <v>Very low risk</v>
      </c>
      <c r="BY594" s="91" t="str">
        <f t="shared" si="173"/>
        <v>Incomplete</v>
      </c>
      <c r="BZ594" s="91" t="str">
        <f>_xlfn.XLOOKUP(BY594,'Normative data'!$V$3:$V$6,'Normative data'!$W$3:$W$6,"Not Found",-1)</f>
        <v>Very low risk</v>
      </c>
      <c r="CA594" s="20"/>
      <c r="CC594" s="20"/>
      <c r="CE594" s="20"/>
      <c r="CG594" s="20"/>
      <c r="CH594" s="20" t="str">
        <f>_xlfn.XLOOKUP(CG594, 'Normative data'!$S$9:$S$15,'Normative data'!$T$9:$T$15, "Not Found", -1)</f>
        <v>not completed</v>
      </c>
      <c r="CI594" s="20"/>
      <c r="CJ594" s="20" t="str">
        <f>_xlfn.XLOOKUP(CI594, 'Normative data'!$S$9:$S$15, 'Normative data'!$T$9:$T$15, "Not Found", -1)</f>
        <v>not completed</v>
      </c>
      <c r="CK594" s="20" t="s">
        <v>1112</v>
      </c>
      <c r="CL594" s="20" t="s">
        <v>998</v>
      </c>
      <c r="CN594" s="20" t="s">
        <v>1207</v>
      </c>
      <c r="CO594" s="20" t="s">
        <v>500</v>
      </c>
      <c r="CQ594" s="20"/>
      <c r="CR594" s="20" t="str" cm="1">
        <f t="array" ref="CR594">IF(OR(ISBLANK(E594),ISBLANK(CQ594)),"Incomplete",_xlfn.XLOOKUP(CQ594,_xlfn.XLOOKUP(E594,'Normative data'!$Y$3:$Y$6,'Normative data'!$Z$3:$AG$6,,-1),'Normative data'!$Z$2:$AG$2,"Not Found",-1))</f>
        <v>Incomplete</v>
      </c>
      <c r="CS594" s="20"/>
      <c r="CT594" s="20"/>
      <c r="CU594" s="20" t="str" cm="1">
        <f t="array" ref="CU594">_xlfn.XLOOKUP(CS594&amp;CT594,(VLOOKUP!$A$3:$A$250)&amp;(VLOOKUP!$B$3:$B$250),VLOOKUP!$C$3:$C$250,"Incomplete",-1)</f>
        <v>Incomplete</v>
      </c>
      <c r="CV594" s="20" t="str" cm="1">
        <f t="array" ref="CV594">_xlfn.XLOOKUP(CU594, _xlfn.XLOOKUP(E594, 'Normative data'!$Y$11:$Y$14, 'Normative data'!$Z$11:$AG$14, ,-1), 'Normative data'!$Z$10:$AG$10, "Not Found", -1)</f>
        <v>Excellent</v>
      </c>
      <c r="CW594" s="20" t="str" cm="1">
        <f t="array" ref="CW594">IF(OR(ISBLANK(CS594),ISBLANK(CT594)),"Incomplete",_xlfn.XLOOKUP(CS594&amp;CT594,VLOOKUP!$A$4:$A$250&amp;VLOOKUP!$B$4:$B$250,VLOOKUP!$D$4:$D$250,"0"))</f>
        <v>Incomplete</v>
      </c>
    </row>
    <row r="595" spans="1:101">
      <c r="A595" s="18" t="s">
        <v>1208</v>
      </c>
      <c r="B595" s="18" t="s">
        <v>1209</v>
      </c>
      <c r="C595" s="17" t="s">
        <v>86</v>
      </c>
      <c r="D595" s="19">
        <v>40097</v>
      </c>
      <c r="F595" s="17">
        <v>10</v>
      </c>
      <c r="G595" s="17">
        <v>2025</v>
      </c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41" t="str">
        <f t="shared" si="179"/>
        <v>Incomplete</v>
      </c>
      <c r="AZ595" s="20"/>
      <c r="BA595" s="20" t="str">
        <f t="shared" si="180"/>
        <v>Incomplete</v>
      </c>
      <c r="BB595" s="20"/>
      <c r="BC595" s="20" t="str">
        <f t="shared" si="181"/>
        <v>Incomplete</v>
      </c>
      <c r="BD595" s="20"/>
      <c r="BE595" s="20" t="str">
        <f t="shared" si="182"/>
        <v>Incomplete</v>
      </c>
      <c r="BF595" s="20"/>
      <c r="BG595" s="20">
        <v>5.5</v>
      </c>
      <c r="BH595" s="20">
        <v>20</v>
      </c>
      <c r="BI595" s="20" t="e">
        <f>IF(OR(ISBLANK(#REF!), ISBLANK(#REF!)),"Incomplete",(SUM(#REF!-#REF!)))</f>
        <v>#REF!</v>
      </c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91" t="str">
        <f t="shared" si="172"/>
        <v>Incomplete</v>
      </c>
      <c r="BX595" s="91" t="str">
        <f>_xlfn.XLOOKUP(BW595,'Normative data'!$V$3:$V$6,'Normative data'!$W$3:$W$6,"Not Found",-1)</f>
        <v>Very low risk</v>
      </c>
      <c r="BY595" s="91" t="str">
        <f t="shared" si="173"/>
        <v>Incomplete</v>
      </c>
      <c r="BZ595" s="91" t="str">
        <f>_xlfn.XLOOKUP(BY595,'Normative data'!$V$3:$V$6,'Normative data'!$W$3:$W$6,"Not Found",-1)</f>
        <v>Very low risk</v>
      </c>
      <c r="CA595" s="20"/>
      <c r="CC595" s="20"/>
      <c r="CE595" s="20">
        <v>1</v>
      </c>
      <c r="CG595" s="20"/>
      <c r="CH595" s="20" t="str">
        <f>_xlfn.XLOOKUP(CG595, 'Normative data'!$S$9:$S$15,'Normative data'!$T$9:$T$15, "Not Found", -1)</f>
        <v>not completed</v>
      </c>
      <c r="CI595" s="20"/>
      <c r="CJ595" s="20" t="str">
        <f>_xlfn.XLOOKUP(CI595, 'Normative data'!$S$9:$S$15, 'Normative data'!$T$9:$T$15, "Not Found", -1)</f>
        <v>not completed</v>
      </c>
      <c r="CK595" s="21">
        <v>2.23</v>
      </c>
      <c r="CL595" s="21">
        <v>4.4800000000000004</v>
      </c>
      <c r="CM595" s="21"/>
      <c r="CN595" s="21">
        <v>7.06</v>
      </c>
      <c r="CO595" s="21">
        <v>7.08</v>
      </c>
      <c r="CP595" s="21"/>
      <c r="CQ595" s="20"/>
      <c r="CR595" s="20" t="str" cm="1">
        <f t="array" ref="CR595">IF(OR(ISBLANK(E595),ISBLANK(CQ595)),"Incomplete",_xlfn.XLOOKUP(CQ595,_xlfn.XLOOKUP(E595,'Normative data'!$Y$3:$Y$6,'Normative data'!$Z$3:$AG$6,,-1),'Normative data'!$Z$2:$AG$2,"Not Found",-1))</f>
        <v>Incomplete</v>
      </c>
      <c r="CS595" s="20"/>
      <c r="CT595" s="20"/>
      <c r="CU595" s="20" t="str" cm="1">
        <f t="array" ref="CU595">_xlfn.XLOOKUP(CS595&amp;CT595,(VLOOKUP!$A$3:$A$250)&amp;(VLOOKUP!$B$3:$B$250),VLOOKUP!$C$3:$C$250,"Incomplete",-1)</f>
        <v>Incomplete</v>
      </c>
      <c r="CV595" s="20" t="str" cm="1">
        <f t="array" ref="CV595">_xlfn.XLOOKUP(CU595, _xlfn.XLOOKUP(E595, 'Normative data'!$Y$11:$Y$14, 'Normative data'!$Z$11:$AG$14, ,-1), 'Normative data'!$Z$10:$AG$10, "Not Found", -1)</f>
        <v>Excellent</v>
      </c>
      <c r="CW595" s="20" t="str" cm="1">
        <f t="array" ref="CW595">IF(OR(ISBLANK(CS595),ISBLANK(CT595)),"Incomplete",_xlfn.XLOOKUP(CS595&amp;CT595,VLOOKUP!$A$4:$A$250&amp;VLOOKUP!$B$4:$B$250,VLOOKUP!$D$4:$D$250,"0"))</f>
        <v>Incomplete</v>
      </c>
    </row>
    <row r="596" spans="1:101">
      <c r="A596" s="22" t="s">
        <v>744</v>
      </c>
      <c r="B596" s="22" t="s">
        <v>743</v>
      </c>
      <c r="C596" s="17" t="s">
        <v>86</v>
      </c>
      <c r="D596" s="23">
        <v>40378</v>
      </c>
      <c r="F596" s="17">
        <v>9</v>
      </c>
      <c r="G596" s="17">
        <v>2025</v>
      </c>
      <c r="J596" s="17" t="s">
        <v>122</v>
      </c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41" t="str">
        <f t="shared" si="179"/>
        <v>Incomplete</v>
      </c>
      <c r="AZ596" s="20"/>
      <c r="BA596" s="20" t="str">
        <f t="shared" si="180"/>
        <v>Incomplete</v>
      </c>
      <c r="BB596" s="20"/>
      <c r="BC596" s="20" t="str">
        <f t="shared" si="181"/>
        <v>Incomplete</v>
      </c>
      <c r="BD596" s="20"/>
      <c r="BE596" s="20" t="str">
        <f t="shared" si="182"/>
        <v>Incomplete</v>
      </c>
      <c r="BF596" s="20"/>
      <c r="BG596" s="20">
        <v>20</v>
      </c>
      <c r="BH596" s="20">
        <v>56.5</v>
      </c>
      <c r="BI596" s="20">
        <f>IF(OR(ISBLANK(BG596), ISBLANK(BH596)),"Incomplete",(SUM(BH596-BG596)))</f>
        <v>36.5</v>
      </c>
      <c r="BJ596" s="20"/>
      <c r="BK596" s="20">
        <v>9</v>
      </c>
      <c r="BL596" s="20"/>
      <c r="BM596" s="20">
        <v>11</v>
      </c>
      <c r="BN596" s="20"/>
      <c r="BO596" s="20"/>
      <c r="BP596" s="20"/>
      <c r="BQ596" s="20"/>
      <c r="BR596" s="20"/>
      <c r="BS596" s="20"/>
      <c r="BT596" s="20"/>
      <c r="BU596" s="20"/>
      <c r="BV596" s="20"/>
      <c r="BW596" s="91" t="str">
        <f t="shared" si="172"/>
        <v>Incomplete</v>
      </c>
      <c r="BX596" s="91" t="str">
        <f>_xlfn.XLOOKUP(BW596,'Normative data'!$V$3:$V$6,'Normative data'!$W$3:$W$6,"Not Found",-1)</f>
        <v>Very low risk</v>
      </c>
      <c r="BY596" s="91" t="str">
        <f t="shared" si="173"/>
        <v>Incomplete</v>
      </c>
      <c r="BZ596" s="91" t="str">
        <f>_xlfn.XLOOKUP(BY596,'Normative data'!$V$3:$V$6,'Normative data'!$W$3:$W$6,"Not Found",-1)</f>
        <v>Very low risk</v>
      </c>
      <c r="CA596" s="20"/>
      <c r="CC596" s="20"/>
      <c r="CE596" s="20">
        <v>22</v>
      </c>
      <c r="CG596" s="20">
        <v>18.32</v>
      </c>
      <c r="CH596" s="20" t="e">
        <f>_xlfn.XLOOKUP(#REF!, 'Normative data'!$S$9:$S$15,'Normative data'!$T$9:$T$15, "Not Found", -1)</f>
        <v>#REF!</v>
      </c>
      <c r="CI596" s="20">
        <v>18.920000000000002</v>
      </c>
      <c r="CJ596" s="20" t="e">
        <f>_xlfn.XLOOKUP(#REF!, 'Normative data'!$S$9:$S$15, 'Normative data'!$T$9:$T$15, "Not Found", -1)</f>
        <v>#REF!</v>
      </c>
      <c r="CK596" s="24">
        <v>2.2000000000000002</v>
      </c>
      <c r="CL596" s="24">
        <v>4.55</v>
      </c>
      <c r="CM596" s="21"/>
      <c r="CN596" s="24">
        <v>7.07</v>
      </c>
      <c r="CO596" s="24">
        <v>7.07</v>
      </c>
      <c r="CP596" s="24"/>
      <c r="CQ596" s="20"/>
      <c r="CR596" s="20" t="str" cm="1">
        <f t="array" ref="CR596">IF(OR(ISBLANK(E596),ISBLANK(CQ596)),"Incomplete",_xlfn.XLOOKUP(CQ596,_xlfn.XLOOKUP(E596,'Normative data'!$Y$3:$Y$6,'Normative data'!$Z$3:$AG$6,,-1),'Normative data'!$Z$2:$AG$2,"Not Found",-1))</f>
        <v>Incomplete</v>
      </c>
      <c r="CS596" s="20"/>
      <c r="CT596" s="20"/>
      <c r="CU596" s="20" t="str" cm="1">
        <f t="array" ref="CU596">_xlfn.XLOOKUP(CS596&amp;CT596,(VLOOKUP!$A$3:$A$250)&amp;(VLOOKUP!$B$3:$B$250),VLOOKUP!$C$3:$C$250,"Incomplete",-1)</f>
        <v>Incomplete</v>
      </c>
      <c r="CV596" s="20" t="str" cm="1">
        <f t="array" ref="CV596">_xlfn.XLOOKUP(CU596, _xlfn.XLOOKUP(E596, 'Normative data'!$Y$11:$Y$14, 'Normative data'!$Z$11:$AG$14, ,-1), 'Normative data'!$Z$10:$AG$10, "Not Found", -1)</f>
        <v>Excellent</v>
      </c>
      <c r="CW596" s="20" t="str" cm="1">
        <f t="array" ref="CW596">IF(OR(ISBLANK(CS596),ISBLANK(CT596)),"Incomplete",_xlfn.XLOOKUP(CS596&amp;CT596,VLOOKUP!$A$4:$A$250&amp;VLOOKUP!$B$4:$B$250,VLOOKUP!$D$4:$D$250,"0"))</f>
        <v>Incomplete</v>
      </c>
    </row>
    <row r="597" spans="1:101">
      <c r="A597" s="17" t="s">
        <v>744</v>
      </c>
      <c r="B597" s="17" t="s">
        <v>743</v>
      </c>
      <c r="C597" s="17" t="s">
        <v>86</v>
      </c>
      <c r="D597" s="23">
        <v>40378</v>
      </c>
      <c r="G597" s="17">
        <v>2025</v>
      </c>
      <c r="J597" s="17" t="s">
        <v>122</v>
      </c>
      <c r="S597" s="20"/>
      <c r="T597" s="20" t="s">
        <v>1210</v>
      </c>
      <c r="U597" s="20" t="s">
        <v>1211</v>
      </c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>
        <v>17.100000000000001</v>
      </c>
      <c r="AR597" s="20">
        <v>0.38</v>
      </c>
      <c r="AS597" s="20">
        <v>21.4</v>
      </c>
      <c r="AT597" s="20">
        <v>0.41799999999999998</v>
      </c>
      <c r="AU597" s="20">
        <v>6.5</v>
      </c>
      <c r="AV597" s="20">
        <v>0.23100000000000001</v>
      </c>
      <c r="AW597" s="20">
        <v>10</v>
      </c>
      <c r="AX597" s="20">
        <v>0.28499999999999998</v>
      </c>
      <c r="AY597" s="41" t="e">
        <f>IF(OR(ISBLANK(#REF!), ISBLANK(AQ597)), "Incomplete", (60.7*AQ597)+(45.3*#REF!)-2055)</f>
        <v>#REF!</v>
      </c>
      <c r="AZ597" s="20"/>
      <c r="BA597" s="20" t="e">
        <f>IF(OR(ISBLANK(#REF!), ISBLANK(AS597)), "Incomplete", (60.7*AS597)+(45.3*#REF!)-2055)</f>
        <v>#REF!</v>
      </c>
      <c r="BB597" s="20"/>
      <c r="BC597" s="20" t="e">
        <f>IF(OR(ISBLANK(#REF!), ISBLANK(AU597)), "Incomplete", (60.7*AU597)+(45.3*#REF!)-2055)</f>
        <v>#REF!</v>
      </c>
      <c r="BD597" s="20"/>
      <c r="BE597" s="20" t="e">
        <f>IF(OR(ISBLANK(#REF!), ISBLANK(AW597)), "Incomplete", (60.7*AW597)+(45.3*#REF!)-2055)</f>
        <v>#REF!</v>
      </c>
      <c r="BF597" s="20"/>
      <c r="BG597" s="20"/>
      <c r="BH597" s="20"/>
      <c r="BI597" s="20" t="str">
        <f>IF(OR(ISBLANK(BG597), ISBLANK(BH597)),"Incomplete",(SUM(BH597-BG597)))</f>
        <v>Incomplete</v>
      </c>
      <c r="BJ597" s="20"/>
      <c r="BK597" s="20">
        <v>8</v>
      </c>
      <c r="BL597" s="20"/>
      <c r="BM597" s="20">
        <v>9</v>
      </c>
      <c r="BN597" s="20"/>
      <c r="BO597" s="20"/>
      <c r="BP597" s="20"/>
      <c r="BQ597" s="20"/>
      <c r="BR597" s="20"/>
      <c r="BS597" s="20"/>
      <c r="BT597" s="20"/>
      <c r="BU597" s="20"/>
      <c r="BV597" s="20"/>
      <c r="BW597" s="91" t="str">
        <f>IFERROR(SUM(BQ597+BR597+BS597)/(3*(#REF!-S597))*100, "Incomplete")</f>
        <v>Incomplete</v>
      </c>
      <c r="BX597" s="91" t="str">
        <f>_xlfn.XLOOKUP(BW597,'Normative data'!$V$3:$V$6,'Normative data'!$W$3:$W$6,"Not Found",-1)</f>
        <v>Very low risk</v>
      </c>
      <c r="BY597" s="91" t="str">
        <f>IFERROR(SUM(BT597+BU597+BV597)/(3*(#REF!-S597))*100, "Incomplete")</f>
        <v>Incomplete</v>
      </c>
      <c r="BZ597" s="91" t="str">
        <f>_xlfn.XLOOKUP(BY597,'Normative data'!$V$3:$V$6,'Normative data'!$W$3:$W$6,"Not Found",-1)</f>
        <v>Very low risk</v>
      </c>
      <c r="CA597" s="20"/>
      <c r="CC597" s="20"/>
      <c r="CE597" s="20"/>
      <c r="CG597" s="20">
        <v>19.2</v>
      </c>
      <c r="CH597" s="20" t="e">
        <f>_xlfn.XLOOKUP(#REF!, 'Normative data'!$S$9:$S$15,'Normative data'!$T$9:$T$15, "Not Found", -1)</f>
        <v>#REF!</v>
      </c>
      <c r="CI597" s="20">
        <v>18.829999999999998</v>
      </c>
      <c r="CJ597" s="20" t="e">
        <f>_xlfn.XLOOKUP(#REF!, 'Normative data'!$S$9:$S$15, 'Normative data'!$T$9:$T$15, "Not Found", -1)</f>
        <v>#REF!</v>
      </c>
      <c r="CK597" s="20" t="s">
        <v>116</v>
      </c>
      <c r="CL597" s="20" t="s">
        <v>117</v>
      </c>
      <c r="CM597" s="21"/>
      <c r="CN597" s="20" t="s">
        <v>736</v>
      </c>
      <c r="CO597" s="20" t="s">
        <v>737</v>
      </c>
      <c r="CQ597" s="20"/>
      <c r="CR597" s="20" t="str" cm="1">
        <f t="array" ref="CR597">IF(OR(ISBLANK(E597),ISBLANK(CQ597)),"Incomplete",_xlfn.XLOOKUP(CQ597,_xlfn.XLOOKUP(E597,'Normative data'!$Y$3:$Y$6,'Normative data'!$Z$3:$AG$6,,-1),'Normative data'!$Z$2:$AG$2,"Not Found",-1))</f>
        <v>Incomplete</v>
      </c>
      <c r="CS597" s="20"/>
      <c r="CT597" s="20"/>
      <c r="CU597" s="20" t="str" cm="1">
        <f t="array" ref="CU597">_xlfn.XLOOKUP(CS597&amp;CT597,(VLOOKUP!$A$3:$A$250)&amp;(VLOOKUP!$B$3:$B$250),VLOOKUP!$C$3:$C$250,"Incomplete",-1)</f>
        <v>Incomplete</v>
      </c>
      <c r="CV597" s="20" t="str" cm="1">
        <f t="array" ref="CV597">_xlfn.XLOOKUP(CU597, _xlfn.XLOOKUP(E597, 'Normative data'!$Y$11:$Y$14, 'Normative data'!$Z$11:$AG$14, ,-1), 'Normative data'!$Z$10:$AG$10, "Not Found", -1)</f>
        <v>Excellent</v>
      </c>
      <c r="CW597" s="20" t="str" cm="1">
        <f t="array" ref="CW597">IF(OR(ISBLANK(CS597),ISBLANK(CT597)),"Incomplete",_xlfn.XLOOKUP(CS597&amp;CT597,VLOOKUP!$A$4:$A$250&amp;VLOOKUP!$B$4:$B$250,VLOOKUP!$D$4:$D$250,"0"))</f>
        <v>Incomplete</v>
      </c>
    </row>
    <row r="598" spans="1:101">
      <c r="A598" s="17" t="s">
        <v>1212</v>
      </c>
      <c r="B598" s="17" t="s">
        <v>1213</v>
      </c>
      <c r="C598" s="17" t="s">
        <v>86</v>
      </c>
      <c r="D598" s="26">
        <v>40022</v>
      </c>
      <c r="F598" s="17">
        <v>10</v>
      </c>
      <c r="G598" s="17">
        <v>2025</v>
      </c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41" t="str">
        <f>IF(OR(ISBLANK(U598), ISBLANK(AQ598)), "Incomplete", (60.7*AQ598)+(45.3*U598)-2055)</f>
        <v>Incomplete</v>
      </c>
      <c r="AZ598" s="20"/>
      <c r="BA598" s="20" t="str">
        <f>IF(OR(ISBLANK(U598), ISBLANK(AS598)), "Incomplete", (60.7*AS598)+(45.3*U598)-2055)</f>
        <v>Incomplete</v>
      </c>
      <c r="BB598" s="20"/>
      <c r="BC598" s="20" t="str">
        <f>IF(OR(ISBLANK(U598), ISBLANK(AU598)), "Incomplete", (60.7*AU598)+(45.3*U598)-2055)</f>
        <v>Incomplete</v>
      </c>
      <c r="BD598" s="20"/>
      <c r="BE598" s="20" t="str">
        <f>IF(OR(ISBLANK(U598), ISBLANK(AW598)), "Incomplete", (60.7*AW598)+(45.3*U598)-2055)</f>
        <v>Incomplete</v>
      </c>
      <c r="BF598" s="20"/>
      <c r="BG598" s="20">
        <v>15</v>
      </c>
      <c r="BH598" s="20">
        <v>25</v>
      </c>
      <c r="BI598" s="20" t="e">
        <f>IF(OR(ISBLANK(#REF!), ISBLANK(#REF!)),"Incomplete",(SUM(#REF!-#REF!)))</f>
        <v>#REF!</v>
      </c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91" t="str">
        <f>IFERROR(SUM(BQ598+BR598+BS598)/(3*(T598-S598))*100, "Incomplete")</f>
        <v>Incomplete</v>
      </c>
      <c r="BX598" s="91" t="str">
        <f>_xlfn.XLOOKUP(BW598,'Normative data'!$V$3:$V$6,'Normative data'!$W$3:$W$6,"Not Found",-1)</f>
        <v>Very low risk</v>
      </c>
      <c r="BY598" s="91" t="str">
        <f>IFERROR(SUM(BT598+BU598+BV598)/(3*(T598-S598))*100, "Incomplete")</f>
        <v>Incomplete</v>
      </c>
      <c r="BZ598" s="91" t="str">
        <f>_xlfn.XLOOKUP(BY598,'Normative data'!$V$3:$V$6,'Normative data'!$W$3:$W$6,"Not Found",-1)</f>
        <v>Very low risk</v>
      </c>
      <c r="CA598" s="20"/>
      <c r="CC598" s="20"/>
      <c r="CE598" s="20"/>
      <c r="CG598" s="20"/>
      <c r="CH598" s="20" t="str">
        <f>_xlfn.XLOOKUP(CG598, 'Normative data'!$S$9:$S$15,'Normative data'!$T$9:$T$15, "Not Found", -1)</f>
        <v>not completed</v>
      </c>
      <c r="CI598" s="20"/>
      <c r="CJ598" s="20" t="str">
        <f>_xlfn.XLOOKUP(CI598, 'Normative data'!$S$9:$S$15, 'Normative data'!$T$9:$T$15, "Not Found", -1)</f>
        <v>not completed</v>
      </c>
      <c r="CK598" s="21">
        <v>2.36</v>
      </c>
      <c r="CL598" s="21">
        <v>4.24</v>
      </c>
      <c r="CM598" s="21"/>
      <c r="CN598" s="21">
        <v>7.55</v>
      </c>
      <c r="CO598" s="21">
        <v>6.62</v>
      </c>
      <c r="CP598" s="21"/>
      <c r="CQ598" s="20"/>
      <c r="CR598" s="20" t="str" cm="1">
        <f t="array" ref="CR598">IF(OR(ISBLANK(E598),ISBLANK(CQ598)),"Incomplete",_xlfn.XLOOKUP(CQ598,_xlfn.XLOOKUP(E598,'Normative data'!$Y$3:$Y$6,'Normative data'!$Z$3:$AG$6,,-1),'Normative data'!$Z$2:$AG$2,"Not Found",-1))</f>
        <v>Incomplete</v>
      </c>
      <c r="CS598" s="20"/>
      <c r="CT598" s="20"/>
      <c r="CU598" s="20" t="str" cm="1">
        <f t="array" ref="CU598">_xlfn.XLOOKUP(CS598&amp;CT598,(VLOOKUP!$A$3:$A$250)&amp;(VLOOKUP!$B$3:$B$250),VLOOKUP!$C$3:$C$250,"Incomplete",-1)</f>
        <v>Incomplete</v>
      </c>
      <c r="CV598" s="20" t="str" cm="1">
        <f t="array" ref="CV598">_xlfn.XLOOKUP(CU598, _xlfn.XLOOKUP(E598, 'Normative data'!$Y$11:$Y$14, 'Normative data'!$Z$11:$AG$14, ,-1), 'Normative data'!$Z$10:$AG$10, "Not Found", -1)</f>
        <v>Excellent</v>
      </c>
      <c r="CW598" s="20" t="str" cm="1">
        <f t="array" ref="CW598">IF(OR(ISBLANK(CS598),ISBLANK(CT598)),"Incomplete",_xlfn.XLOOKUP(CS598&amp;CT598,VLOOKUP!$A$4:$A$250&amp;VLOOKUP!$B$4:$B$250,VLOOKUP!$D$4:$D$250,"0"))</f>
        <v>Incomplete</v>
      </c>
    </row>
    <row r="599" spans="1:101">
      <c r="A599" s="17" t="s">
        <v>1212</v>
      </c>
      <c r="B599" s="17" t="s">
        <v>1213</v>
      </c>
      <c r="C599" s="17" t="s">
        <v>86</v>
      </c>
      <c r="D599" s="26">
        <v>40022</v>
      </c>
      <c r="F599" s="17">
        <v>10</v>
      </c>
      <c r="G599" s="17">
        <v>2025</v>
      </c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41" t="str">
        <f>IF(OR(ISBLANK(U599), ISBLANK(AQ599)), "Incomplete", (60.7*AQ599)+(45.3*U599)-2055)</f>
        <v>Incomplete</v>
      </c>
      <c r="AZ599" s="20"/>
      <c r="BA599" s="20" t="str">
        <f>IF(OR(ISBLANK(U599), ISBLANK(AS599)), "Incomplete", (60.7*AS599)+(45.3*U599)-2055)</f>
        <v>Incomplete</v>
      </c>
      <c r="BB599" s="20"/>
      <c r="BC599" s="20" t="str">
        <f>IF(OR(ISBLANK(U599), ISBLANK(AU599)), "Incomplete", (60.7*AU599)+(45.3*U599)-2055)</f>
        <v>Incomplete</v>
      </c>
      <c r="BD599" s="20"/>
      <c r="BE599" s="20" t="str">
        <f>IF(OR(ISBLANK(U599), ISBLANK(AW599)), "Incomplete", (60.7*AW599)+(45.3*U599)-2055)</f>
        <v>Incomplete</v>
      </c>
      <c r="BF599" s="20"/>
      <c r="BG599" s="20"/>
      <c r="BH599" s="20"/>
      <c r="BI599" s="20" t="str">
        <f>IF(OR(ISBLANK(BG599), ISBLANK(BH599)),"Incomplete",(SUM(BH599-BG599)))</f>
        <v>Incomplete</v>
      </c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91" t="str">
        <f>IFERROR(SUM(BQ599+BR599+BS599)/(3*(T599-S599))*100, "Incomplete")</f>
        <v>Incomplete</v>
      </c>
      <c r="BX599" s="91" t="str">
        <f>_xlfn.XLOOKUP(BW599,'Normative data'!$V$3:$V$6,'Normative data'!$W$3:$W$6,"Not Found",-1)</f>
        <v>Very low risk</v>
      </c>
      <c r="BY599" s="91" t="str">
        <f>IFERROR(SUM(BT599+BU599+BV599)/(3*(T599-S599))*100, "Incomplete")</f>
        <v>Incomplete</v>
      </c>
      <c r="BZ599" s="91" t="str">
        <f>_xlfn.XLOOKUP(BY599,'Normative data'!$V$3:$V$6,'Normative data'!$W$3:$W$6,"Not Found",-1)</f>
        <v>Very low risk</v>
      </c>
      <c r="CA599" s="20"/>
      <c r="CC599" s="20"/>
      <c r="CE599" s="20"/>
      <c r="CG599" s="20"/>
      <c r="CH599" s="20" t="str">
        <f>_xlfn.XLOOKUP(CG599, 'Normative data'!$S$9:$S$15,'Normative data'!$T$9:$T$15, "Not Found", -1)</f>
        <v>not completed</v>
      </c>
      <c r="CI599" s="20"/>
      <c r="CJ599" s="20" t="str">
        <f>_xlfn.XLOOKUP(CI599, 'Normative data'!$S$9:$S$15, 'Normative data'!$T$9:$T$15, "Not Found", -1)</f>
        <v>not completed</v>
      </c>
      <c r="CK599" s="21">
        <v>2.36</v>
      </c>
      <c r="CL599" s="21">
        <v>4.24</v>
      </c>
      <c r="CM599" s="21"/>
      <c r="CN599" s="21">
        <v>7.55</v>
      </c>
      <c r="CO599" s="21">
        <v>6.62</v>
      </c>
      <c r="CP599" s="21"/>
      <c r="CQ599" s="20"/>
      <c r="CR599" s="20" t="str" cm="1">
        <f t="array" ref="CR599">IF(OR(ISBLANK(E599),ISBLANK(CQ599)),"Incomplete",_xlfn.XLOOKUP(CQ599,_xlfn.XLOOKUP(E599,'Normative data'!$Y$3:$Y$6,'Normative data'!$Z$3:$AG$6,,-1),'Normative data'!$Z$2:$AG$2,"Not Found",-1))</f>
        <v>Incomplete</v>
      </c>
      <c r="CS599" s="20"/>
      <c r="CT599" s="20"/>
      <c r="CU599" s="20" t="str" cm="1">
        <f t="array" ref="CU599">_xlfn.XLOOKUP(CS599&amp;CT599,(VLOOKUP!$A$3:$A$250)&amp;(VLOOKUP!$B$3:$B$250),VLOOKUP!$C$3:$C$250,"Incomplete",-1)</f>
        <v>Incomplete</v>
      </c>
      <c r="CV599" s="20" t="str" cm="1">
        <f t="array" ref="CV599">_xlfn.XLOOKUP(CU599, _xlfn.XLOOKUP(E599, 'Normative data'!$Y$11:$Y$14, 'Normative data'!$Z$11:$AG$14, ,-1), 'Normative data'!$Z$10:$AG$10, "Not Found", -1)</f>
        <v>Excellent</v>
      </c>
      <c r="CW599" s="20" t="str" cm="1">
        <f t="array" ref="CW599">IF(OR(ISBLANK(CS599),ISBLANK(CT599)),"Incomplete",_xlfn.XLOOKUP(CS599&amp;CT599,VLOOKUP!$A$4:$A$250&amp;VLOOKUP!$B$4:$B$250,VLOOKUP!$D$4:$D$250,"0"))</f>
        <v>Incomplete</v>
      </c>
    </row>
    <row r="600" spans="1:101">
      <c r="A600" s="17" t="s">
        <v>1212</v>
      </c>
      <c r="B600" s="17" t="s">
        <v>1213</v>
      </c>
      <c r="C600" s="17" t="s">
        <v>86</v>
      </c>
      <c r="D600" s="26">
        <v>40022</v>
      </c>
      <c r="F600" s="17">
        <v>10</v>
      </c>
      <c r="G600" s="17">
        <v>2025</v>
      </c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41" t="str">
        <f>IF(OR(ISBLANK(U600), ISBLANK(AQ600)), "Incomplete", (60.7*AQ600)+(45.3*U600)-2055)</f>
        <v>Incomplete</v>
      </c>
      <c r="AZ600" s="20"/>
      <c r="BA600" s="20" t="str">
        <f>IF(OR(ISBLANK(U600), ISBLANK(AS600)), "Incomplete", (60.7*AS600)+(45.3*U600)-2055)</f>
        <v>Incomplete</v>
      </c>
      <c r="BB600" s="20"/>
      <c r="BC600" s="20" t="str">
        <f>IF(OR(ISBLANK(U600), ISBLANK(AU600)), "Incomplete", (60.7*AU600)+(45.3*U600)-2055)</f>
        <v>Incomplete</v>
      </c>
      <c r="BD600" s="20"/>
      <c r="BE600" s="20" t="str">
        <f>IF(OR(ISBLANK(U600), ISBLANK(AW600)), "Incomplete", (60.7*AW600)+(45.3*U600)-2055)</f>
        <v>Incomplete</v>
      </c>
      <c r="BF600" s="20"/>
      <c r="BG600" s="20"/>
      <c r="BH600" s="20"/>
      <c r="BI600" s="20" t="str">
        <f>IF(OR(ISBLANK(BG600), ISBLANK(BH600)),"Incomplete",(SUM(BH600-BG600)))</f>
        <v>Incomplete</v>
      </c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91" t="str">
        <f>IFERROR(SUM(BQ600+BR600+BS600)/(3*(T600-S600))*100, "Incomplete")</f>
        <v>Incomplete</v>
      </c>
      <c r="BX600" s="91" t="str">
        <f>_xlfn.XLOOKUP(BW600,'Normative data'!$V$3:$V$6,'Normative data'!$W$3:$W$6,"Not Found",-1)</f>
        <v>Very low risk</v>
      </c>
      <c r="BY600" s="91" t="str">
        <f>IFERROR(SUM(BT600+BU600+BV600)/(3*(T600-S600))*100, "Incomplete")</f>
        <v>Incomplete</v>
      </c>
      <c r="BZ600" s="91" t="str">
        <f>_xlfn.XLOOKUP(BY600,'Normative data'!$V$3:$V$6,'Normative data'!$W$3:$W$6,"Not Found",-1)</f>
        <v>Very low risk</v>
      </c>
      <c r="CA600" s="20"/>
      <c r="CC600" s="20"/>
      <c r="CE600" s="20"/>
      <c r="CG600" s="20"/>
      <c r="CH600" s="20" t="str">
        <f>_xlfn.XLOOKUP(CG600, 'Normative data'!$S$9:$S$15,'Normative data'!$T$9:$T$15, "Not Found", -1)</f>
        <v>not completed</v>
      </c>
      <c r="CI600" s="20"/>
      <c r="CJ600" s="20" t="str">
        <f>_xlfn.XLOOKUP(CI600, 'Normative data'!$S$9:$S$15, 'Normative data'!$T$9:$T$15, "Not Found", -1)</f>
        <v>not completed</v>
      </c>
      <c r="CK600" s="20" t="s">
        <v>513</v>
      </c>
      <c r="CL600" s="20" t="s">
        <v>1214</v>
      </c>
      <c r="CN600" s="20" t="s">
        <v>909</v>
      </c>
      <c r="CO600" s="20" t="s">
        <v>662</v>
      </c>
      <c r="CQ600" s="20"/>
      <c r="CR600" s="20" t="str" cm="1">
        <f t="array" ref="CR600">IF(OR(ISBLANK(E600),ISBLANK(CQ600)),"Incomplete",_xlfn.XLOOKUP(CQ600,_xlfn.XLOOKUP(E600,'Normative data'!$Y$3:$Y$6,'Normative data'!$Z$3:$AG$6,,-1),'Normative data'!$Z$2:$AG$2,"Not Found",-1))</f>
        <v>Incomplete</v>
      </c>
      <c r="CS600" s="20"/>
      <c r="CT600" s="20"/>
      <c r="CU600" s="20" t="str" cm="1">
        <f t="array" ref="CU600">_xlfn.XLOOKUP(CS600&amp;CT600,(VLOOKUP!$A$3:$A$250)&amp;(VLOOKUP!$B$3:$B$250),VLOOKUP!$C$3:$C$250,"Incomplete",-1)</f>
        <v>Incomplete</v>
      </c>
      <c r="CV600" s="20" t="str" cm="1">
        <f t="array" ref="CV600">_xlfn.XLOOKUP(CU600, _xlfn.XLOOKUP(E600, 'Normative data'!$Y$11:$Y$14, 'Normative data'!$Z$11:$AG$14, ,-1), 'Normative data'!$Z$10:$AG$10, "Not Found", -1)</f>
        <v>Excellent</v>
      </c>
      <c r="CW600" s="20" t="str" cm="1">
        <f t="array" ref="CW600">IF(OR(ISBLANK(CS600),ISBLANK(CT600)),"Incomplete",_xlfn.XLOOKUP(CS600&amp;CT600,VLOOKUP!$A$4:$A$250&amp;VLOOKUP!$B$4:$B$250,VLOOKUP!$D$4:$D$250,"0"))</f>
        <v>Incomplete</v>
      </c>
    </row>
    <row r="601" spans="1:101">
      <c r="A601" s="17" t="s">
        <v>1215</v>
      </c>
      <c r="B601" s="17" t="s">
        <v>1216</v>
      </c>
      <c r="C601" s="17" t="s">
        <v>86</v>
      </c>
      <c r="D601" s="26">
        <v>39766</v>
      </c>
      <c r="E601" s="17">
        <v>17.399999999999999</v>
      </c>
      <c r="F601" s="20" t="s">
        <v>110</v>
      </c>
      <c r="G601" s="17">
        <v>2026</v>
      </c>
      <c r="I601" s="20">
        <v>2</v>
      </c>
      <c r="J601" s="20"/>
      <c r="K601" s="20"/>
      <c r="L601" s="20"/>
      <c r="S601" s="20">
        <v>91.7</v>
      </c>
      <c r="T601" s="20">
        <v>175.5</v>
      </c>
      <c r="U601" s="17">
        <v>75.2</v>
      </c>
      <c r="V601" s="17">
        <v>42.6</v>
      </c>
      <c r="W601" s="17">
        <v>16.8</v>
      </c>
      <c r="X601" s="17">
        <v>58.4</v>
      </c>
      <c r="Y601" s="17">
        <v>32.9</v>
      </c>
      <c r="Z601" s="17">
        <v>24.4</v>
      </c>
      <c r="AA601" s="17">
        <v>22.4</v>
      </c>
      <c r="AB601" s="17">
        <v>9.18</v>
      </c>
      <c r="AC601" s="17">
        <v>115.2</v>
      </c>
      <c r="AD601" s="17">
        <v>9.0399999999999991</v>
      </c>
      <c r="AE601" s="17">
        <v>113.4</v>
      </c>
      <c r="AF601" s="17">
        <v>2.6</v>
      </c>
      <c r="AG601" s="17">
        <v>90.2</v>
      </c>
      <c r="AH601" s="17">
        <v>2.5</v>
      </c>
      <c r="AI601" s="17">
        <v>89.2</v>
      </c>
      <c r="AJ601" s="17">
        <v>364</v>
      </c>
      <c r="AK601" s="17">
        <v>271.7</v>
      </c>
      <c r="AL601" s="17">
        <v>229.3</v>
      </c>
      <c r="AM601" s="17">
        <v>236.3</v>
      </c>
      <c r="AN601" s="17">
        <v>121</v>
      </c>
      <c r="AO601" s="17">
        <v>0.86</v>
      </c>
      <c r="AP601" s="17">
        <v>7.9</v>
      </c>
      <c r="AY601" s="41" t="str">
        <f>IF(OR(ISBLANK(U601), ISBLANK(AQ601)), "Incomplete", (60.7*AQ601)+(45.3*U601)-2055)</f>
        <v>Incomplete</v>
      </c>
      <c r="BA601" s="20" t="str">
        <f>IF(OR(ISBLANK(U601), ISBLANK(AS601)), "Incomplete", (60.7*AS601)+(45.3*U601)-2055)</f>
        <v>Incomplete</v>
      </c>
      <c r="BC601" s="20" t="str">
        <f>IF(OR(ISBLANK(U601), ISBLANK(AU601)), "Incomplete", (60.7*AU601)+(45.3*U601)-2055)</f>
        <v>Incomplete</v>
      </c>
      <c r="BE601" s="20" t="str">
        <f>IF(OR(ISBLANK(U601), ISBLANK(AW601)), "Incomplete", (60.7*AW601)+(45.3*U601)-2055)</f>
        <v>Incomplete</v>
      </c>
      <c r="BG601" s="17">
        <v>4.5999999999999996</v>
      </c>
      <c r="BH601" s="17">
        <v>45.1</v>
      </c>
      <c r="BI601" s="20">
        <f>IF(OR(ISBLANK(BG601), ISBLANK(BH601)),"Incomplete",(SUM(BH601-BG601)))</f>
        <v>40.5</v>
      </c>
      <c r="BJ601" s="20"/>
      <c r="BL601" s="20"/>
      <c r="BN601" s="20"/>
      <c r="BQ601" s="17">
        <v>83</v>
      </c>
      <c r="BR601" s="17">
        <v>91</v>
      </c>
      <c r="BS601" s="17">
        <v>82</v>
      </c>
      <c r="BT601" s="17">
        <v>80</v>
      </c>
      <c r="BU601" s="17">
        <v>87</v>
      </c>
      <c r="BV601" s="17">
        <v>8</v>
      </c>
      <c r="BW601" s="91">
        <f>IFERROR(SUM(BQ601+BR601+BS601)/(3*(T601-S601))*100, "Incomplete")</f>
        <v>101.82975338106604</v>
      </c>
      <c r="BX601" s="91" t="str">
        <f>_xlfn.XLOOKUP(BW601,'Normative data'!$V$3:$V$6,'Normative data'!$W$3:$W$6,"Not Found",-1)</f>
        <v>Low risk</v>
      </c>
      <c r="BY601" s="91">
        <f>IFERROR(SUM(BT601+BU601+BV601)/(3*(T601-S601))*100, "Incomplete")</f>
        <v>69.610182975338105</v>
      </c>
      <c r="BZ601" s="91" t="str">
        <f>_xlfn.XLOOKUP(BY601,'Normative data'!$V$3:$V$6,'Normative data'!$W$3:$W$6,"Not Found",-1)</f>
        <v>High risk</v>
      </c>
      <c r="CG601" s="17">
        <v>17.88</v>
      </c>
      <c r="CH601" s="20" t="str">
        <f>_xlfn.XLOOKUP(CG601, 'Normative data'!$S$9:$S$15,'Normative data'!$T$9:$T$15, "Not Found", -1)</f>
        <v>Above Average</v>
      </c>
      <c r="CI601" s="17">
        <v>18.350000000000001</v>
      </c>
      <c r="CJ601" s="20" t="str">
        <f>_xlfn.XLOOKUP(CI601, 'Normative data'!$S$9:$S$15, 'Normative data'!$T$9:$T$15, "Not Found", -1)</f>
        <v>Average</v>
      </c>
      <c r="CK601" s="21"/>
      <c r="CL601" s="21"/>
      <c r="CM601" s="21"/>
      <c r="CN601" s="21"/>
      <c r="CO601" s="21"/>
      <c r="CR601" s="20" t="str" cm="1">
        <f t="array" ref="CR601">IF(OR(ISBLANK(E601),ISBLANK(CQ601)),"Incomplete",_xlfn.XLOOKUP(CQ601,_xlfn.XLOOKUP(E601,'Normative data'!$Y$3:$Y$6,'Normative data'!$Z$3:$AG$6,,-1),'Normative data'!$Z$2:$AG$2,"Not Found",-1))</f>
        <v>Incomplete</v>
      </c>
      <c r="CS601" s="20"/>
      <c r="CT601" s="20"/>
      <c r="CU601" s="20" t="str" cm="1">
        <f t="array" ref="CU601">_xlfn.XLOOKUP(CS601&amp;CT601,(VLOOKUP!$A$3:$A$250)&amp;(VLOOKUP!$B$3:$B$250),VLOOKUP!$C$3:$C$250,"Incomplete",-1)</f>
        <v>Incomplete</v>
      </c>
      <c r="CV601" s="20" t="str" cm="1">
        <f t="array" ref="CV601">_xlfn.XLOOKUP(CU601, _xlfn.XLOOKUP(E601, 'Normative data'!$Y$11:$Y$14, 'Normative data'!$Z$11:$AG$14, ,-1), 'Normative data'!$Z$10:$AG$10, "Not Found", -1)</f>
        <v>Excellent</v>
      </c>
      <c r="CW601" s="20" t="str" cm="1">
        <f t="array" ref="CW601">IF(OR(ISBLANK(CS601),ISBLANK(CT601)),"Incomplete",_xlfn.XLOOKUP(CS601&amp;CT601,VLOOKUP!$A$4:$A$250&amp;VLOOKUP!$B$4:$B$250,VLOOKUP!$D$4:$D$250,"0"))</f>
        <v>Incomplete</v>
      </c>
    </row>
    <row r="602" spans="1:101">
      <c r="A602" s="17" t="s">
        <v>1217</v>
      </c>
      <c r="B602" s="17" t="s">
        <v>1218</v>
      </c>
      <c r="C602" s="17" t="s">
        <v>86</v>
      </c>
      <c r="D602" s="26"/>
      <c r="G602" s="17">
        <v>2025</v>
      </c>
      <c r="J602" s="17" t="s">
        <v>122</v>
      </c>
      <c r="S602" s="20"/>
      <c r="T602" s="20" t="s">
        <v>1219</v>
      </c>
      <c r="U602" s="20" t="s">
        <v>326</v>
      </c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>
        <v>23.9</v>
      </c>
      <c r="AR602" s="20">
        <v>0.44700000000000001</v>
      </c>
      <c r="AS602" s="20">
        <v>27.5</v>
      </c>
      <c r="AT602" s="20">
        <v>0.47399999999999998</v>
      </c>
      <c r="AU602" s="20">
        <v>16.2</v>
      </c>
      <c r="AV602" s="20">
        <v>0.36599999999999999</v>
      </c>
      <c r="AW602" s="20">
        <v>15.5</v>
      </c>
      <c r="AX602" s="20">
        <v>0.35599999999999998</v>
      </c>
      <c r="AY602" s="41" t="e">
        <f>IF(OR(ISBLANK(#REF!), ISBLANK(AQ602)), "Incomplete", (60.7*AQ602)+(45.3*#REF!)-2055)</f>
        <v>#REF!</v>
      </c>
      <c r="AZ602" s="20"/>
      <c r="BA602" s="20" t="e">
        <f>IF(OR(ISBLANK(#REF!), ISBLANK(AS602)), "Incomplete", (60.7*AS602)+(45.3*#REF!)-2055)</f>
        <v>#REF!</v>
      </c>
      <c r="BB602" s="20"/>
      <c r="BC602" s="20" t="e">
        <f>IF(OR(ISBLANK(#REF!), ISBLANK(AU602)), "Incomplete", (60.7*AU602)+(45.3*#REF!)-2055)</f>
        <v>#REF!</v>
      </c>
      <c r="BD602" s="20"/>
      <c r="BE602" s="20" t="e">
        <f>IF(OR(ISBLANK(#REF!), ISBLANK(AW602)), "Incomplete", (60.7*AW602)+(45.3*#REF!)-2055)</f>
        <v>#REF!</v>
      </c>
      <c r="BF602" s="20"/>
      <c r="BG602" s="20">
        <v>16.2</v>
      </c>
      <c r="BH602" s="20">
        <v>37.799999999999997</v>
      </c>
      <c r="BI602" s="20" t="e">
        <f>IF(OR(ISBLANK(#REF!), ISBLANK(#REF!)),"Incomplete",(SUM(#REF!-#REF!)))</f>
        <v>#REF!</v>
      </c>
      <c r="BJ602" s="20"/>
      <c r="BK602" s="20">
        <v>7</v>
      </c>
      <c r="BL602" s="20"/>
      <c r="BM602" s="20">
        <v>7</v>
      </c>
      <c r="BN602" s="20"/>
      <c r="BO602" s="20"/>
      <c r="BP602" s="20"/>
      <c r="BQ602" s="20"/>
      <c r="BR602" s="20"/>
      <c r="BS602" s="20"/>
      <c r="BT602" s="20"/>
      <c r="BU602" s="20"/>
      <c r="BV602" s="20"/>
      <c r="BW602" s="91" t="str">
        <f>IFERROR(SUM(BQ602+BR602+BS602)/(3*(#REF!-S602))*100, "Incomplete")</f>
        <v>Incomplete</v>
      </c>
      <c r="BX602" s="91" t="str">
        <f>_xlfn.XLOOKUP(BW602,'Normative data'!$V$3:$V$6,'Normative data'!$W$3:$W$6,"Not Found",-1)</f>
        <v>Very low risk</v>
      </c>
      <c r="BY602" s="91" t="str">
        <f>IFERROR(SUM(BT602+BU602+BV602)/(3*(#REF!-S602))*100, "Incomplete")</f>
        <v>Incomplete</v>
      </c>
      <c r="BZ602" s="91" t="str">
        <f>_xlfn.XLOOKUP(BY602,'Normative data'!$V$3:$V$6,'Normative data'!$W$3:$W$6,"Not Found",-1)</f>
        <v>Very low risk</v>
      </c>
      <c r="CA602" s="20"/>
      <c r="CC602" s="20"/>
      <c r="CE602" s="20">
        <v>14</v>
      </c>
      <c r="CG602" s="20">
        <v>17.239999999999998</v>
      </c>
      <c r="CH602" s="20" t="e">
        <f>_xlfn.XLOOKUP(#REF!, 'Normative data'!$S$9:$S$15,'Normative data'!$T$9:$T$15, "Not Found", -1)</f>
        <v>#REF!</v>
      </c>
      <c r="CI602" s="20">
        <v>17.14</v>
      </c>
      <c r="CJ602" s="20" t="e">
        <f>_xlfn.XLOOKUP(#REF!, 'Normative data'!$S$9:$S$15, 'Normative data'!$T$9:$T$15, "Not Found", -1)</f>
        <v>#REF!</v>
      </c>
      <c r="CK602" s="20" t="s">
        <v>304</v>
      </c>
      <c r="CL602" s="20" t="s">
        <v>290</v>
      </c>
      <c r="CM602" s="21"/>
      <c r="CN602" s="20" t="s">
        <v>1220</v>
      </c>
      <c r="CO602" s="20" t="s">
        <v>1221</v>
      </c>
      <c r="CQ602" s="20"/>
      <c r="CR602" s="20" t="str" cm="1">
        <f t="array" ref="CR602">IF(OR(ISBLANK(E602),ISBLANK(CQ602)),"Incomplete",_xlfn.XLOOKUP(CQ602,_xlfn.XLOOKUP(E602,'Normative data'!$Y$3:$Y$6,'Normative data'!$Z$3:$AG$6,,-1),'Normative data'!$Z$2:$AG$2,"Not Found",-1))</f>
        <v>Incomplete</v>
      </c>
      <c r="CS602" s="20"/>
      <c r="CT602" s="20"/>
      <c r="CU602" s="20" t="str" cm="1">
        <f t="array" ref="CU602">_xlfn.XLOOKUP(CS602&amp;CT602,(VLOOKUP!$A$3:$A$250)&amp;(VLOOKUP!$B$3:$B$250),VLOOKUP!$C$3:$C$250,"Incomplete",-1)</f>
        <v>Incomplete</v>
      </c>
      <c r="CV602" s="20" t="str" cm="1">
        <f t="array" ref="CV602">_xlfn.XLOOKUP(CU602, _xlfn.XLOOKUP(E602, 'Normative data'!$Y$11:$Y$14, 'Normative data'!$Z$11:$AG$14, ,-1), 'Normative data'!$Z$10:$AG$10, "Not Found", -1)</f>
        <v>Excellent</v>
      </c>
      <c r="CW602" s="20" t="str" cm="1">
        <f t="array" ref="CW602">IF(OR(ISBLANK(CS602),ISBLANK(CT602)),"Incomplete",_xlfn.XLOOKUP(CS602&amp;CT602,VLOOKUP!$A$4:$A$250&amp;VLOOKUP!$B$4:$B$250,VLOOKUP!$D$4:$D$250,"0"))</f>
        <v>Incomplete</v>
      </c>
    </row>
    <row r="603" spans="1:101">
      <c r="A603" s="17" t="s">
        <v>873</v>
      </c>
      <c r="B603" s="17" t="s">
        <v>872</v>
      </c>
      <c r="C603" s="17" t="s">
        <v>86</v>
      </c>
      <c r="D603" s="26"/>
      <c r="F603" s="17">
        <v>10</v>
      </c>
      <c r="G603" s="17">
        <v>2025</v>
      </c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41" t="str">
        <f t="shared" ref="AY603:AY624" si="183">IF(OR(ISBLANK(U603), ISBLANK(AQ603)), "Incomplete", (60.7*AQ603)+(45.3*U603)-2055)</f>
        <v>Incomplete</v>
      </c>
      <c r="AZ603" s="20"/>
      <c r="BA603" s="20" t="str">
        <f t="shared" ref="BA603:BA624" si="184">IF(OR(ISBLANK(U603), ISBLANK(AS603)), "Incomplete", (60.7*AS603)+(45.3*U603)-2055)</f>
        <v>Incomplete</v>
      </c>
      <c r="BB603" s="20"/>
      <c r="BC603" s="20" t="str">
        <f t="shared" ref="BC603:BC624" si="185">IF(OR(ISBLANK(U603), ISBLANK(AU603)), "Incomplete", (60.7*AU603)+(45.3*U603)-2055)</f>
        <v>Incomplete</v>
      </c>
      <c r="BD603" s="20"/>
      <c r="BE603" s="20" t="str">
        <f t="shared" ref="BE603:BE624" si="186">IF(OR(ISBLANK(U603), ISBLANK(AW603)), "Incomplete", (60.7*AW603)+(45.3*U603)-2055)</f>
        <v>Incomplete</v>
      </c>
      <c r="BF603" s="20"/>
      <c r="BG603" s="20"/>
      <c r="BH603" s="20"/>
      <c r="BI603" s="20" t="str">
        <f>IF(OR(ISBLANK(BG603), ISBLANK(BH603)),"Incomplete",(SUM(BH603-BG603)))</f>
        <v>Incomplete</v>
      </c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91" t="str">
        <f t="shared" ref="BW603:BW624" si="187">IFERROR(SUM(BQ603+BR603+BS603)/(3*(T603-S603))*100, "Incomplete")</f>
        <v>Incomplete</v>
      </c>
      <c r="BX603" s="91" t="str">
        <f>_xlfn.XLOOKUP(BW603,'Normative data'!$V$3:$V$6,'Normative data'!$W$3:$W$6,"Not Found",-1)</f>
        <v>Very low risk</v>
      </c>
      <c r="BY603" s="91" t="str">
        <f t="shared" ref="BY603:BY624" si="188">IFERROR(SUM(BT603+BU603+BV603)/(3*(T603-S603))*100, "Incomplete")</f>
        <v>Incomplete</v>
      </c>
      <c r="BZ603" s="91" t="str">
        <f>_xlfn.XLOOKUP(BY603,'Normative data'!$V$3:$V$6,'Normative data'!$W$3:$W$6,"Not Found",-1)</f>
        <v>Very low risk</v>
      </c>
      <c r="CA603" s="20"/>
      <c r="CC603" s="20"/>
      <c r="CE603" s="20"/>
      <c r="CG603" s="20"/>
      <c r="CH603" s="20" t="str">
        <f>_xlfn.XLOOKUP(CG603, 'Normative data'!$S$9:$S$15,'Normative data'!$T$9:$T$15, "Not Found", -1)</f>
        <v>not completed</v>
      </c>
      <c r="CI603" s="20"/>
      <c r="CJ603" s="20" t="str">
        <f>_xlfn.XLOOKUP(CI603, 'Normative data'!$S$9:$S$15, 'Normative data'!$T$9:$T$15, "Not Found", -1)</f>
        <v>not completed</v>
      </c>
      <c r="CK603" s="20" t="s">
        <v>817</v>
      </c>
      <c r="CL603" s="20" t="s">
        <v>818</v>
      </c>
      <c r="CN603" s="20" t="s">
        <v>1075</v>
      </c>
      <c r="CO603" s="20" t="s">
        <v>1076</v>
      </c>
      <c r="CQ603" s="20"/>
      <c r="CR603" s="20" t="str" cm="1">
        <f t="array" ref="CR603">IF(OR(ISBLANK(E603),ISBLANK(CQ603)),"Incomplete",_xlfn.XLOOKUP(CQ603,_xlfn.XLOOKUP(E603,'Normative data'!$Y$3:$Y$6,'Normative data'!$Z$3:$AG$6,,-1),'Normative data'!$Z$2:$AG$2,"Not Found",-1))</f>
        <v>Incomplete</v>
      </c>
      <c r="CS603" s="20"/>
      <c r="CT603" s="20"/>
      <c r="CU603" s="20" t="str" cm="1">
        <f t="array" ref="CU603">_xlfn.XLOOKUP(CS603&amp;CT603,(VLOOKUP!$A$3:$A$250)&amp;(VLOOKUP!$B$3:$B$250),VLOOKUP!$C$3:$C$250,"Incomplete",-1)</f>
        <v>Incomplete</v>
      </c>
      <c r="CV603" s="20" t="str" cm="1">
        <f t="array" ref="CV603">_xlfn.XLOOKUP(CU603, _xlfn.XLOOKUP(E603, 'Normative data'!$Y$11:$Y$14, 'Normative data'!$Z$11:$AG$14, ,-1), 'Normative data'!$Z$10:$AG$10, "Not Found", -1)</f>
        <v>Excellent</v>
      </c>
      <c r="CW603" s="20" t="str" cm="1">
        <f t="array" ref="CW603">IF(OR(ISBLANK(CS603),ISBLANK(CT603)),"Incomplete",_xlfn.XLOOKUP(CS603&amp;CT603,VLOOKUP!$A$4:$A$250&amp;VLOOKUP!$B$4:$B$250,VLOOKUP!$D$4:$D$250,"0"))</f>
        <v>Incomplete</v>
      </c>
    </row>
    <row r="604" spans="1:101">
      <c r="A604" s="17" t="s">
        <v>353</v>
      </c>
      <c r="B604" s="17" t="s">
        <v>1222</v>
      </c>
      <c r="C604" s="17" t="s">
        <v>86</v>
      </c>
      <c r="D604" s="26">
        <v>40185</v>
      </c>
      <c r="F604" s="20" t="s">
        <v>178</v>
      </c>
      <c r="G604" s="17">
        <v>2026</v>
      </c>
      <c r="I604" s="20">
        <v>2</v>
      </c>
      <c r="J604" s="20"/>
      <c r="K604" s="20"/>
      <c r="L604" s="20"/>
      <c r="S604" s="20">
        <v>88.1</v>
      </c>
      <c r="T604" s="20">
        <v>166.5</v>
      </c>
      <c r="AQ604" s="20"/>
      <c r="AR604" s="20"/>
      <c r="AS604" s="20"/>
      <c r="AT604" s="20"/>
      <c r="AU604" s="20"/>
      <c r="AV604" s="20"/>
      <c r="AW604" s="20"/>
      <c r="AX604" s="20"/>
      <c r="AY604" s="41" t="str">
        <f t="shared" si="183"/>
        <v>Incomplete</v>
      </c>
      <c r="BA604" s="20" t="str">
        <f t="shared" si="184"/>
        <v>Incomplete</v>
      </c>
      <c r="BC604" s="20" t="str">
        <f t="shared" si="185"/>
        <v>Incomplete</v>
      </c>
      <c r="BE604" s="20" t="str">
        <f t="shared" si="186"/>
        <v>Incomplete</v>
      </c>
      <c r="BG604" s="17">
        <v>15</v>
      </c>
      <c r="BH604" s="17">
        <v>35</v>
      </c>
      <c r="BI604" s="20">
        <f>IF(OR(ISBLANK(BG604), ISBLANK(BH604)),"Incomplete",(SUM(BH604-BG604)))</f>
        <v>20</v>
      </c>
      <c r="BJ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91">
        <f t="shared" si="187"/>
        <v>0</v>
      </c>
      <c r="BX604" s="91" t="str">
        <f>_xlfn.XLOOKUP(BW604,'Normative data'!$V$3:$V$6,'Normative data'!$W$3:$W$6,"Not Found",-1)</f>
        <v>Not completed</v>
      </c>
      <c r="BY604" s="91">
        <f t="shared" si="188"/>
        <v>0</v>
      </c>
      <c r="BZ604" s="91" t="str">
        <f>_xlfn.XLOOKUP(BY604,'Normative data'!$V$3:$V$6,'Normative data'!$W$3:$W$6,"Not Found",-1)</f>
        <v>Not completed</v>
      </c>
      <c r="CA604" s="17">
        <v>15</v>
      </c>
      <c r="CC604" s="20"/>
      <c r="CE604" s="17">
        <v>13</v>
      </c>
      <c r="CG604" s="20"/>
      <c r="CH604" s="20" t="str">
        <f>_xlfn.XLOOKUP(CG604, 'Normative data'!$S$9:$S$15,'Normative data'!$T$9:$T$15, "Not Found", -1)</f>
        <v>not completed</v>
      </c>
      <c r="CI604" s="20"/>
      <c r="CJ604" s="20" t="str">
        <f>_xlfn.XLOOKUP(CI604, 'Normative data'!$S$9:$S$15, 'Normative data'!$T$9:$T$15, "Not Found", -1)</f>
        <v>not completed</v>
      </c>
      <c r="CK604" s="17">
        <v>2.16</v>
      </c>
      <c r="CL604" s="17">
        <v>4.93</v>
      </c>
      <c r="CN604" s="17">
        <v>6.62</v>
      </c>
      <c r="CO604" s="17">
        <v>7.55</v>
      </c>
      <c r="CR604" s="20" t="str" cm="1">
        <f t="array" ref="CR604">IF(OR(ISBLANK(E604),ISBLANK(CQ604)),"Incomplete",_xlfn.XLOOKUP(CQ604,_xlfn.XLOOKUP(E604,'Normative data'!$Y$3:$Y$6,'Normative data'!$Z$3:$AG$6,,-1),'Normative data'!$Z$2:$AG$2,"Not Found",-1))</f>
        <v>Incomplete</v>
      </c>
      <c r="CS604" s="20"/>
      <c r="CT604" s="20"/>
      <c r="CU604" s="20" t="str" cm="1">
        <f t="array" ref="CU604">_xlfn.XLOOKUP(CS604&amp;CT604,(VLOOKUP!$A$3:$A$250)&amp;(VLOOKUP!$B$3:$B$250),VLOOKUP!$C$3:$C$250,"Incomplete",-1)</f>
        <v>Incomplete</v>
      </c>
      <c r="CV604" s="20" t="str" cm="1">
        <f t="array" ref="CV604">_xlfn.XLOOKUP(CU604, _xlfn.XLOOKUP(E604, 'Normative data'!$Y$11:$Y$14, 'Normative data'!$Z$11:$AG$14, ,-1), 'Normative data'!$Z$10:$AG$10, "Not Found", -1)</f>
        <v>Excellent</v>
      </c>
      <c r="CW604" s="20" t="str" cm="1">
        <f t="array" ref="CW604">IF(OR(ISBLANK(CS604),ISBLANK(CT604)),"Incomplete",_xlfn.XLOOKUP(CS604&amp;CT604,VLOOKUP!$A$4:$A$250&amp;VLOOKUP!$B$4:$B$250,VLOOKUP!$D$4:$D$250,"0"))</f>
        <v>Incomplete</v>
      </c>
    </row>
    <row r="605" spans="1:101">
      <c r="A605" s="17" t="s">
        <v>1223</v>
      </c>
      <c r="B605" s="17" t="s">
        <v>1222</v>
      </c>
      <c r="C605" s="17" t="s">
        <v>86</v>
      </c>
      <c r="D605" s="26"/>
      <c r="F605" s="20" t="s">
        <v>110</v>
      </c>
      <c r="G605" s="17">
        <v>2026</v>
      </c>
      <c r="I605" s="20">
        <v>2</v>
      </c>
      <c r="J605" s="20" t="s">
        <v>122</v>
      </c>
      <c r="K605" s="20" t="s">
        <v>228</v>
      </c>
      <c r="L605" s="20"/>
      <c r="S605" s="20">
        <v>83.4</v>
      </c>
      <c r="T605" s="20">
        <v>153.69999999999999</v>
      </c>
      <c r="AY605" s="41" t="str">
        <f t="shared" si="183"/>
        <v>Incomplete</v>
      </c>
      <c r="BA605" s="20" t="str">
        <f t="shared" si="184"/>
        <v>Incomplete</v>
      </c>
      <c r="BC605" s="20" t="str">
        <f t="shared" si="185"/>
        <v>Incomplete</v>
      </c>
      <c r="BE605" s="20" t="str">
        <f t="shared" si="186"/>
        <v>Incomplete</v>
      </c>
      <c r="BG605" s="17">
        <v>15.7</v>
      </c>
      <c r="BH605" s="17">
        <v>46.4</v>
      </c>
      <c r="BI605" s="20">
        <f>IF(OR(ISBLANK(BG605), ISBLANK(BH605)),"Incomplete",(SUM(BH605-BG605)))</f>
        <v>30.7</v>
      </c>
      <c r="BJ605" s="20"/>
      <c r="BL605" s="20"/>
      <c r="BN605" s="20"/>
      <c r="BQ605" s="17">
        <v>68</v>
      </c>
      <c r="BR605" s="17">
        <v>68</v>
      </c>
      <c r="BS605" s="17">
        <v>70</v>
      </c>
      <c r="BT605" s="17">
        <v>74</v>
      </c>
      <c r="BU605" s="17">
        <v>73</v>
      </c>
      <c r="BV605" s="17">
        <v>71</v>
      </c>
      <c r="BW605" s="91">
        <f t="shared" si="187"/>
        <v>97.676623992413496</v>
      </c>
      <c r="BX605" s="91" t="str">
        <f>_xlfn.XLOOKUP(BW605,'Normative data'!$V$3:$V$6,'Normative data'!$W$3:$W$6,"Not Found",-1)</f>
        <v>Low risk</v>
      </c>
      <c r="BY605" s="91">
        <f t="shared" si="188"/>
        <v>103.36652441915601</v>
      </c>
      <c r="BZ605" s="91" t="str">
        <f>_xlfn.XLOOKUP(BY605,'Normative data'!$V$3:$V$6,'Normative data'!$W$3:$W$6,"Not Found",-1)</f>
        <v>Low risk</v>
      </c>
      <c r="CG605" s="17">
        <v>18.59</v>
      </c>
      <c r="CH605" s="20" t="str">
        <f>_xlfn.XLOOKUP(CG605, 'Normative data'!$S$9:$S$15,'Normative data'!$T$9:$T$15, "Not Found", -1)</f>
        <v>Average</v>
      </c>
      <c r="CI605" s="17">
        <v>18.54</v>
      </c>
      <c r="CJ605" s="20" t="str">
        <f>_xlfn.XLOOKUP(CI605, 'Normative data'!$S$9:$S$15, 'Normative data'!$T$9:$T$15, "Not Found", -1)</f>
        <v>Average</v>
      </c>
      <c r="CK605" s="21"/>
      <c r="CL605" s="21"/>
      <c r="CM605" s="21"/>
      <c r="CN605" s="21"/>
      <c r="CO605" s="21"/>
      <c r="CR605" s="20" t="str" cm="1">
        <f t="array" ref="CR605">IF(OR(ISBLANK(E605),ISBLANK(CQ605)),"Incomplete",_xlfn.XLOOKUP(CQ605,_xlfn.XLOOKUP(E605,'Normative data'!$Y$3:$Y$6,'Normative data'!$Z$3:$AG$6,,-1),'Normative data'!$Z$2:$AG$2,"Not Found",-1))</f>
        <v>Incomplete</v>
      </c>
      <c r="CS605" s="20"/>
      <c r="CT605" s="20"/>
      <c r="CU605" s="20" t="str" cm="1">
        <f t="array" ref="CU605">_xlfn.XLOOKUP(CS605&amp;CT605,(VLOOKUP!$A$3:$A$250)&amp;(VLOOKUP!$B$3:$B$250),VLOOKUP!$C$3:$C$250,"Incomplete",-1)</f>
        <v>Incomplete</v>
      </c>
      <c r="CV605" s="20" t="str" cm="1">
        <f t="array" ref="CV605">_xlfn.XLOOKUP(CU605, _xlfn.XLOOKUP(E605, 'Normative data'!$Y$11:$Y$14, 'Normative data'!$Z$11:$AG$14, ,-1), 'Normative data'!$Z$10:$AG$10, "Not Found", -1)</f>
        <v>Excellent</v>
      </c>
      <c r="CW605" s="20" t="str" cm="1">
        <f t="array" ref="CW605">IF(OR(ISBLANK(CS605),ISBLANK(CT605)),"Incomplete",_xlfn.XLOOKUP(CS605&amp;CT605,VLOOKUP!$A$4:$A$250&amp;VLOOKUP!$B$4:$B$250,VLOOKUP!$D$4:$D$250,"0"))</f>
        <v>Incomplete</v>
      </c>
    </row>
    <row r="606" spans="1:101" ht="13.9" customHeight="1">
      <c r="A606" s="22" t="s">
        <v>566</v>
      </c>
      <c r="B606" s="22" t="s">
        <v>565</v>
      </c>
      <c r="C606" s="17" t="s">
        <v>86</v>
      </c>
      <c r="D606" s="23">
        <v>40716</v>
      </c>
      <c r="F606" s="17">
        <v>8</v>
      </c>
      <c r="G606" s="17">
        <v>2025</v>
      </c>
      <c r="J606" s="17" t="s">
        <v>122</v>
      </c>
      <c r="S606" s="20"/>
      <c r="T606" s="20">
        <v>157</v>
      </c>
      <c r="U606" s="20">
        <v>49.1</v>
      </c>
      <c r="V606" s="20"/>
      <c r="W606" s="20">
        <v>6.3</v>
      </c>
      <c r="X606" s="20">
        <f>SUM(T606-W606)</f>
        <v>150.69999999999999</v>
      </c>
      <c r="Y606" s="20">
        <v>23.7</v>
      </c>
      <c r="Z606" s="20">
        <v>19.899999999999999</v>
      </c>
      <c r="AA606" s="20">
        <v>12.8</v>
      </c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41" t="str">
        <f t="shared" si="183"/>
        <v>Incomplete</v>
      </c>
      <c r="AZ606" s="20"/>
      <c r="BA606" s="20" t="str">
        <f t="shared" si="184"/>
        <v>Incomplete</v>
      </c>
      <c r="BB606" s="20"/>
      <c r="BC606" s="20" t="str">
        <f t="shared" si="185"/>
        <v>Incomplete</v>
      </c>
      <c r="BD606" s="20"/>
      <c r="BE606" s="20" t="str">
        <f t="shared" si="186"/>
        <v>Incomplete</v>
      </c>
      <c r="BF606" s="20"/>
      <c r="BG606" s="20">
        <v>15.5</v>
      </c>
      <c r="BH606" s="20">
        <v>41.8</v>
      </c>
      <c r="BI606" s="20" t="e">
        <f>IF(OR(ISBLANK(#REF!), ISBLANK(#REF!)),"Incomplete",(SUM(#REF!-#REF!)))</f>
        <v>#REF!</v>
      </c>
      <c r="BJ606" s="20"/>
      <c r="BK606" s="20">
        <v>8</v>
      </c>
      <c r="BL606" s="20"/>
      <c r="BM606" s="20">
        <v>8</v>
      </c>
      <c r="BN606" s="20"/>
      <c r="BO606" s="20"/>
      <c r="BP606" s="20"/>
      <c r="BQ606" s="20"/>
      <c r="BR606" s="20"/>
      <c r="BS606" s="20"/>
      <c r="BT606" s="20"/>
      <c r="BU606" s="20"/>
      <c r="BV606" s="20"/>
      <c r="BW606" s="91">
        <f t="shared" si="187"/>
        <v>0</v>
      </c>
      <c r="BX606" s="91" t="str">
        <f>_xlfn.XLOOKUP(BW606,'Normative data'!$V$3:$V$6,'Normative data'!$W$3:$W$6,"Not Found",-1)</f>
        <v>Not completed</v>
      </c>
      <c r="BY606" s="91">
        <f t="shared" si="188"/>
        <v>0</v>
      </c>
      <c r="BZ606" s="91" t="str">
        <f>_xlfn.XLOOKUP(BY606,'Normative data'!$V$3:$V$6,'Normative data'!$W$3:$W$6,"Not Found",-1)</f>
        <v>Not completed</v>
      </c>
      <c r="CA606" s="20"/>
      <c r="CC606" s="20"/>
      <c r="CE606" s="20">
        <v>29</v>
      </c>
      <c r="CG606" s="20">
        <v>17.149999999999999</v>
      </c>
      <c r="CH606" s="20" t="e">
        <f>_xlfn.XLOOKUP(#REF!, 'Normative data'!$S$9:$S$15,'Normative data'!$T$9:$T$15, "Not Found", -1)</f>
        <v>#REF!</v>
      </c>
      <c r="CI606" s="20">
        <v>16.62</v>
      </c>
      <c r="CJ606" s="20" t="e">
        <f>_xlfn.XLOOKUP(#REF!, 'Normative data'!$S$9:$S$15, 'Normative data'!$T$9:$T$15, "Not Found", -1)</f>
        <v>#REF!</v>
      </c>
      <c r="CK606" s="24">
        <v>2.2599999999999998</v>
      </c>
      <c r="CL606" s="24">
        <v>4.42</v>
      </c>
      <c r="CM606" s="21"/>
      <c r="CN606" s="24">
        <v>6.5</v>
      </c>
      <c r="CO606" s="24">
        <v>7.69</v>
      </c>
      <c r="CP606" s="24"/>
      <c r="CQ606" s="20"/>
      <c r="CR606" s="20" t="str" cm="1">
        <f t="array" ref="CR606">IF(OR(ISBLANK(E606),ISBLANK(CQ606)),"Incomplete",_xlfn.XLOOKUP(CQ606,_xlfn.XLOOKUP(E606,'Normative data'!$Y$3:$Y$6,'Normative data'!$Z$3:$AG$6,,-1),'Normative data'!$Z$2:$AG$2,"Not Found",-1))</f>
        <v>Incomplete</v>
      </c>
      <c r="CS606" s="20"/>
      <c r="CT606" s="20"/>
      <c r="CU606" s="20" t="str" cm="1">
        <f t="array" ref="CU606">_xlfn.XLOOKUP(CS606&amp;CT606,(VLOOKUP!$A$3:$A$250)&amp;(VLOOKUP!$B$3:$B$250),VLOOKUP!$C$3:$C$250,"Incomplete",-1)</f>
        <v>Incomplete</v>
      </c>
      <c r="CV606" s="20" t="str" cm="1">
        <f t="array" ref="CV606">_xlfn.XLOOKUP(CU606, _xlfn.XLOOKUP(E606, 'Normative data'!$Y$11:$Y$14, 'Normative data'!$Z$11:$AG$14, ,-1), 'Normative data'!$Z$10:$AG$10, "Not Found", -1)</f>
        <v>Excellent</v>
      </c>
      <c r="CW606" s="20" t="str" cm="1">
        <f t="array" ref="CW606">IF(OR(ISBLANK(CS606),ISBLANK(CT606)),"Incomplete",_xlfn.XLOOKUP(CS606&amp;CT606,VLOOKUP!$A$4:$A$250&amp;VLOOKUP!$B$4:$B$250,VLOOKUP!$D$4:$D$250,"0"))</f>
        <v>Incomplete</v>
      </c>
    </row>
    <row r="607" spans="1:101">
      <c r="A607" s="17" t="s">
        <v>566</v>
      </c>
      <c r="B607" s="17" t="s">
        <v>565</v>
      </c>
      <c r="C607" s="17" t="s">
        <v>86</v>
      </c>
      <c r="D607" s="23">
        <v>40716</v>
      </c>
      <c r="G607" s="17">
        <v>2025</v>
      </c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41" t="str">
        <f t="shared" si="183"/>
        <v>Incomplete</v>
      </c>
      <c r="AZ607" s="20"/>
      <c r="BA607" s="20" t="str">
        <f t="shared" si="184"/>
        <v>Incomplete</v>
      </c>
      <c r="BB607" s="20"/>
      <c r="BC607" s="20" t="str">
        <f t="shared" si="185"/>
        <v>Incomplete</v>
      </c>
      <c r="BD607" s="20"/>
      <c r="BE607" s="20" t="str">
        <f t="shared" si="186"/>
        <v>Incomplete</v>
      </c>
      <c r="BF607" s="20"/>
      <c r="BG607" s="20"/>
      <c r="BH607" s="20"/>
      <c r="BI607" s="20" t="str">
        <f t="shared" ref="BI607:BI614" si="189">IF(OR(ISBLANK(BG607), ISBLANK(BH607)),"Incomplete",(SUM(BH607-BG607)))</f>
        <v>Incomplete</v>
      </c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91" t="str">
        <f t="shared" si="187"/>
        <v>Incomplete</v>
      </c>
      <c r="BX607" s="91" t="str">
        <f>_xlfn.XLOOKUP(BW607,'Normative data'!$V$3:$V$6,'Normative data'!$W$3:$W$6,"Not Found",-1)</f>
        <v>Very low risk</v>
      </c>
      <c r="BY607" s="91" t="str">
        <f t="shared" si="188"/>
        <v>Incomplete</v>
      </c>
      <c r="BZ607" s="91" t="str">
        <f>_xlfn.XLOOKUP(BY607,'Normative data'!$V$3:$V$6,'Normative data'!$W$3:$W$6,"Not Found",-1)</f>
        <v>Very low risk</v>
      </c>
      <c r="CA607" s="20"/>
      <c r="CC607" s="20"/>
      <c r="CE607" s="20"/>
      <c r="CG607" s="20">
        <v>16.97</v>
      </c>
      <c r="CH607" s="20" t="str">
        <f>_xlfn.XLOOKUP(CG607, 'Normative data'!$S$9:$S$15,'Normative data'!$T$9:$T$15, "Not Found", -1)</f>
        <v>Above Average</v>
      </c>
      <c r="CI607" s="20">
        <v>16.260000000000002</v>
      </c>
      <c r="CJ607" s="20" t="str">
        <f>_xlfn.XLOOKUP(CI607, 'Normative data'!$S$9:$S$15, 'Normative data'!$T$9:$T$15, "Not Found", -1)</f>
        <v>Excellent</v>
      </c>
      <c r="CK607" s="21"/>
      <c r="CL607" s="21"/>
      <c r="CM607" s="21"/>
      <c r="CN607" s="21"/>
      <c r="CO607" s="21"/>
      <c r="CQ607" s="20"/>
      <c r="CR607" s="20" t="str" cm="1">
        <f t="array" ref="CR607">IF(OR(ISBLANK(E607),ISBLANK(CQ607)),"Incomplete",_xlfn.XLOOKUP(CQ607,_xlfn.XLOOKUP(E607,'Normative data'!$Y$3:$Y$6,'Normative data'!$Z$3:$AG$6,,-1),'Normative data'!$Z$2:$AG$2,"Not Found",-1))</f>
        <v>Incomplete</v>
      </c>
      <c r="CS607" s="20"/>
      <c r="CT607" s="20"/>
      <c r="CU607" s="20" t="str" cm="1">
        <f t="array" ref="CU607">_xlfn.XLOOKUP(CS607&amp;CT607,(VLOOKUP!$A$3:$A$250)&amp;(VLOOKUP!$B$3:$B$250),VLOOKUP!$C$3:$C$250,"Incomplete",-1)</f>
        <v>Incomplete</v>
      </c>
      <c r="CV607" s="20" t="str" cm="1">
        <f t="array" ref="CV607">_xlfn.XLOOKUP(CU607, _xlfn.XLOOKUP(E607, 'Normative data'!$Y$11:$Y$14, 'Normative data'!$Z$11:$AG$14, ,-1), 'Normative data'!$Z$10:$AG$10, "Not Found", -1)</f>
        <v>Excellent</v>
      </c>
      <c r="CW607" s="20" t="str" cm="1">
        <f t="array" ref="CW607">IF(OR(ISBLANK(CS607),ISBLANK(CT607)),"Incomplete",_xlfn.XLOOKUP(CS607&amp;CT607,VLOOKUP!$A$4:$A$250&amp;VLOOKUP!$B$4:$B$250,VLOOKUP!$D$4:$D$250,"0"))</f>
        <v>Incomplete</v>
      </c>
    </row>
    <row r="608" spans="1:101">
      <c r="A608" s="17" t="s">
        <v>1224</v>
      </c>
      <c r="B608" s="38" t="s">
        <v>1225</v>
      </c>
      <c r="C608" s="17" t="s">
        <v>86</v>
      </c>
      <c r="D608" s="23">
        <v>40716</v>
      </c>
      <c r="G608" s="17">
        <v>2026</v>
      </c>
      <c r="H608" s="20" t="s">
        <v>114</v>
      </c>
      <c r="I608" s="17">
        <v>1</v>
      </c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 t="s">
        <v>1226</v>
      </c>
      <c r="AR608" s="20" t="s">
        <v>1227</v>
      </c>
      <c r="AS608" s="20" t="s">
        <v>1228</v>
      </c>
      <c r="AT608" s="20" t="s">
        <v>1229</v>
      </c>
      <c r="AU608" s="20" t="s">
        <v>1103</v>
      </c>
      <c r="AV608" s="20" t="s">
        <v>1104</v>
      </c>
      <c r="AW608" s="20" t="s">
        <v>1230</v>
      </c>
      <c r="AX608" s="20" t="s">
        <v>1231</v>
      </c>
      <c r="AY608" s="41" t="str">
        <f t="shared" si="183"/>
        <v>Incomplete</v>
      </c>
      <c r="AZ608" s="20"/>
      <c r="BA608" s="20" t="str">
        <f t="shared" si="184"/>
        <v>Incomplete</v>
      </c>
      <c r="BB608" s="20"/>
      <c r="BC608" s="20" t="str">
        <f t="shared" si="185"/>
        <v>Incomplete</v>
      </c>
      <c r="BD608" s="20"/>
      <c r="BE608" s="20" t="str">
        <f t="shared" si="186"/>
        <v>Incomplete</v>
      </c>
      <c r="BF608" s="20"/>
      <c r="BG608" s="20" t="s">
        <v>463</v>
      </c>
      <c r="BH608" s="20" t="s">
        <v>1232</v>
      </c>
      <c r="BI608" s="20" t="e">
        <f t="shared" si="189"/>
        <v>#VALUE!</v>
      </c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91" t="str">
        <f t="shared" si="187"/>
        <v>Incomplete</v>
      </c>
      <c r="BX608" s="91" t="str">
        <f>_xlfn.XLOOKUP(BW608,'Normative data'!$V$3:$V$6,'Normative data'!$W$3:$W$6,"Not Found",-1)</f>
        <v>Very low risk</v>
      </c>
      <c r="BY608" s="91" t="str">
        <f t="shared" si="188"/>
        <v>Incomplete</v>
      </c>
      <c r="BZ608" s="91" t="str">
        <f>_xlfn.XLOOKUP(BY608,'Normative data'!$V$3:$V$6,'Normative data'!$W$3:$W$6,"Not Found",-1)</f>
        <v>Very low risk</v>
      </c>
      <c r="CA608" s="20"/>
      <c r="CC608" s="20">
        <v>50</v>
      </c>
      <c r="CE608" s="20">
        <v>34</v>
      </c>
      <c r="CG608" s="20" t="s">
        <v>1233</v>
      </c>
      <c r="CH608" s="20" t="str">
        <f>_xlfn.XLOOKUP(CG608, 'Normative data'!$S$9:$S$15,'Normative data'!$T$9:$T$15, "Not Found", -1)</f>
        <v>Poor</v>
      </c>
      <c r="CI608" s="20" t="s">
        <v>1234</v>
      </c>
      <c r="CJ608" s="20" t="str">
        <f>_xlfn.XLOOKUP(CI608, 'Normative data'!$S$9:$S$15, 'Normative data'!$T$9:$T$15, "Not Found", -1)</f>
        <v>Poor</v>
      </c>
      <c r="CK608" s="20">
        <v>2.16</v>
      </c>
      <c r="CL608" s="20">
        <v>1.63</v>
      </c>
      <c r="CN608" s="20">
        <v>6.61</v>
      </c>
      <c r="CO608" s="20">
        <v>7.56</v>
      </c>
      <c r="CQ608" s="20" t="s">
        <v>1235</v>
      </c>
      <c r="CR608" s="20" t="str" cm="1">
        <f t="array" ref="CR608">IF(OR(ISBLANK(E608),ISBLANK(CQ608)),"Incomplete",_xlfn.XLOOKUP(CQ608,_xlfn.XLOOKUP(E608,'Normative data'!$Y$3:$Y$6,'Normative data'!$Z$3:$AG$6,,-1),'Normative data'!$Z$2:$AG$2,"Not Found",-1))</f>
        <v>Incomplete</v>
      </c>
      <c r="CS608" s="20">
        <v>16</v>
      </c>
      <c r="CT608" s="20">
        <v>11</v>
      </c>
      <c r="CU608" s="20" cm="1">
        <f t="array" ref="CU608">_xlfn.XLOOKUP(CS608&amp;CT608,(VLOOKUP!$A$3:$A$250)&amp;(VLOOKUP!$B$3:$B$250),VLOOKUP!$C$3:$C$250,"Incomplete",-1)</f>
        <v>3360</v>
      </c>
      <c r="CV608" s="20" t="str" cm="1">
        <f t="array" ref="CV608">_xlfn.XLOOKUP(CU608, _xlfn.XLOOKUP(E608, 'Normative data'!$Y$11:$Y$14, 'Normative data'!$Z$11:$AG$14, ,-1), 'Normative data'!$Z$10:$AG$10, "Not Found", -1)</f>
        <v>Excellent</v>
      </c>
      <c r="CW608" s="20" cm="1">
        <f t="array" ref="CW608">IF(OR(ISBLANK(CS608),ISBLANK(CT608)),"Incomplete",_xlfn.XLOOKUP(CS608&amp;CT608,VLOOKUP!$A$4:$A$250&amp;VLOOKUP!$B$4:$B$250,VLOOKUP!$D$4:$D$250,"0"))</f>
        <v>70</v>
      </c>
    </row>
    <row r="609" spans="1:101">
      <c r="A609" s="17" t="s">
        <v>1236</v>
      </c>
      <c r="B609" s="17" t="s">
        <v>1237</v>
      </c>
      <c r="C609" s="17" t="s">
        <v>86</v>
      </c>
      <c r="D609" s="26">
        <v>40956</v>
      </c>
      <c r="E609" s="17">
        <v>14.2</v>
      </c>
      <c r="F609" s="20" t="s">
        <v>157</v>
      </c>
      <c r="G609" s="17">
        <v>2026</v>
      </c>
      <c r="I609" s="20">
        <v>2</v>
      </c>
      <c r="J609" s="20"/>
      <c r="K609" s="20"/>
      <c r="L609" s="20"/>
      <c r="S609" s="20"/>
      <c r="T609" s="20">
        <v>179.9</v>
      </c>
      <c r="U609" s="17">
        <v>72.400000000000006</v>
      </c>
      <c r="V609" s="17">
        <v>40.700000000000003</v>
      </c>
      <c r="W609" s="17">
        <v>16.8</v>
      </c>
      <c r="X609" s="17">
        <v>55.6</v>
      </c>
      <c r="Y609" s="17">
        <v>30.9</v>
      </c>
      <c r="Z609" s="17">
        <v>22.4</v>
      </c>
      <c r="AA609" s="17">
        <v>23.2</v>
      </c>
      <c r="AB609" s="17">
        <v>8.6</v>
      </c>
      <c r="AC609" s="17">
        <v>105.6</v>
      </c>
      <c r="AD609" s="17">
        <v>8.5500000000000007</v>
      </c>
      <c r="AE609" s="17">
        <v>105</v>
      </c>
      <c r="AF609" s="17">
        <v>2.2999999999999998</v>
      </c>
      <c r="AG609" s="17">
        <v>77.8</v>
      </c>
      <c r="AH609" s="17">
        <v>2.2999999999999998</v>
      </c>
      <c r="AI609" s="17">
        <v>77.599999999999994</v>
      </c>
      <c r="AJ609" s="17">
        <v>316.2</v>
      </c>
      <c r="AK609" s="17">
        <v>320.5</v>
      </c>
      <c r="AL609" s="17">
        <v>284.60000000000002</v>
      </c>
      <c r="AM609" s="17">
        <v>288.3</v>
      </c>
      <c r="AN609" s="17">
        <v>131</v>
      </c>
      <c r="AO609" s="17">
        <v>0.96</v>
      </c>
      <c r="AP609" s="17">
        <v>7.2</v>
      </c>
      <c r="AQ609" s="20"/>
      <c r="AR609" s="20"/>
      <c r="AS609" s="20"/>
      <c r="AT609" s="20"/>
      <c r="AU609" s="20"/>
      <c r="AV609" s="20"/>
      <c r="AW609" s="20"/>
      <c r="AX609" s="20"/>
      <c r="AY609" s="41" t="str">
        <f t="shared" si="183"/>
        <v>Incomplete</v>
      </c>
      <c r="BA609" s="20" t="str">
        <f t="shared" si="184"/>
        <v>Incomplete</v>
      </c>
      <c r="BC609" s="20" t="str">
        <f t="shared" si="185"/>
        <v>Incomplete</v>
      </c>
      <c r="BE609" s="20" t="str">
        <f t="shared" si="186"/>
        <v>Incomplete</v>
      </c>
      <c r="BH609" s="17">
        <v>49.7</v>
      </c>
      <c r="BI609" s="20" t="str">
        <f t="shared" si="189"/>
        <v>Incomplete</v>
      </c>
      <c r="BJ609" s="20"/>
      <c r="BK609" s="17">
        <v>7.5</v>
      </c>
      <c r="BL609" s="20"/>
      <c r="BM609" s="17">
        <v>6</v>
      </c>
      <c r="BN609" s="20"/>
      <c r="BQ609" s="17">
        <v>90</v>
      </c>
      <c r="BR609" s="17">
        <v>90</v>
      </c>
      <c r="BS609" s="17">
        <v>85</v>
      </c>
      <c r="BT609" s="17">
        <v>85</v>
      </c>
      <c r="BU609" s="17">
        <v>85</v>
      </c>
      <c r="BV609" s="17">
        <v>80</v>
      </c>
      <c r="BW609" s="91">
        <f t="shared" si="187"/>
        <v>49.101352603298125</v>
      </c>
      <c r="BX609" s="91" t="str">
        <f>_xlfn.XLOOKUP(BW609,'Normative data'!$V$3:$V$6,'Normative data'!$W$3:$W$6,"Not Found",-1)</f>
        <v>High risk</v>
      </c>
      <c r="BY609" s="91">
        <f t="shared" si="188"/>
        <v>46.322030757828422</v>
      </c>
      <c r="BZ609" s="91" t="str">
        <f>_xlfn.XLOOKUP(BY609,'Normative data'!$V$3:$V$6,'Normative data'!$W$3:$W$6,"Not Found",-1)</f>
        <v>High risk</v>
      </c>
      <c r="CA609" s="20"/>
      <c r="CC609" s="20"/>
      <c r="CE609" s="20"/>
      <c r="CG609" s="20"/>
      <c r="CH609" s="20" t="str">
        <f>_xlfn.XLOOKUP(CG609, 'Normative data'!$S$9:$S$15,'Normative data'!$T$9:$T$15, "Not Found", -1)</f>
        <v>not completed</v>
      </c>
      <c r="CI609" s="20"/>
      <c r="CJ609" s="20" t="str">
        <f>_xlfn.XLOOKUP(CI609, 'Normative data'!$S$9:$S$15, 'Normative data'!$T$9:$T$15, "Not Found", -1)</f>
        <v>not completed</v>
      </c>
      <c r="CK609" s="21"/>
      <c r="CL609" s="21"/>
      <c r="CM609" s="21"/>
      <c r="CN609" s="21"/>
      <c r="CO609" s="21"/>
      <c r="CR609" s="20" t="str" cm="1">
        <f t="array" ref="CR609">IF(OR(ISBLANK(E609),ISBLANK(CQ609)),"Incomplete",_xlfn.XLOOKUP(CQ609,_xlfn.XLOOKUP(E609,'Normative data'!$Y$3:$Y$6,'Normative data'!$Z$3:$AG$6,,-1),'Normative data'!$Z$2:$AG$2,"Not Found",-1))</f>
        <v>Incomplete</v>
      </c>
      <c r="CS609" s="20"/>
      <c r="CT609" s="20"/>
      <c r="CU609" s="20" t="str" cm="1">
        <f t="array" ref="CU609">_xlfn.XLOOKUP(CS609&amp;CT609,(VLOOKUP!$A$3:$A$250)&amp;(VLOOKUP!$B$3:$B$250),VLOOKUP!$C$3:$C$250,"Incomplete",-1)</f>
        <v>Incomplete</v>
      </c>
      <c r="CV609" s="20" t="str" cm="1">
        <f t="array" ref="CV609">_xlfn.XLOOKUP(CU609, _xlfn.XLOOKUP(E609, 'Normative data'!$Y$11:$Y$14, 'Normative data'!$Z$11:$AG$14, ,-1), 'Normative data'!$Z$10:$AG$10, "Not Found", -1)</f>
        <v>Excellent</v>
      </c>
      <c r="CW609" s="20" t="str" cm="1">
        <f t="array" ref="CW609">IF(OR(ISBLANK(CS609),ISBLANK(CT609)),"Incomplete",_xlfn.XLOOKUP(CS609&amp;CT609,VLOOKUP!$A$4:$A$250&amp;VLOOKUP!$B$4:$B$250,VLOOKUP!$D$4:$D$250,"0"))</f>
        <v>Incomplete</v>
      </c>
    </row>
    <row r="610" spans="1:101">
      <c r="A610" s="17" t="s">
        <v>1036</v>
      </c>
      <c r="B610" s="17" t="s">
        <v>1237</v>
      </c>
      <c r="C610" s="17" t="s">
        <v>86</v>
      </c>
      <c r="D610" s="26">
        <v>40390</v>
      </c>
      <c r="E610" s="17">
        <v>15.9</v>
      </c>
      <c r="F610" s="20" t="s">
        <v>99</v>
      </c>
      <c r="G610" s="17">
        <v>2026</v>
      </c>
      <c r="I610" s="20">
        <v>2</v>
      </c>
      <c r="J610" s="20" t="s">
        <v>100</v>
      </c>
      <c r="K610" s="20" t="s">
        <v>297</v>
      </c>
      <c r="L610" s="20" t="s">
        <v>224</v>
      </c>
      <c r="S610" s="20">
        <v>81.099999999999994</v>
      </c>
      <c r="T610" s="20">
        <v>150.80000000000001</v>
      </c>
      <c r="U610" s="17">
        <v>54.4</v>
      </c>
      <c r="V610" s="17">
        <v>26.8</v>
      </c>
      <c r="W610" s="17">
        <v>17.7</v>
      </c>
      <c r="X610" s="17">
        <v>36.700000000000003</v>
      </c>
      <c r="Y610" s="17">
        <v>19.899999999999999</v>
      </c>
      <c r="Z610" s="17">
        <v>23.8</v>
      </c>
      <c r="AA610" s="17">
        <v>32.6</v>
      </c>
      <c r="AB610" s="17">
        <v>5.3</v>
      </c>
      <c r="AC610" s="17">
        <v>98.7</v>
      </c>
      <c r="AD610" s="17">
        <v>5.32</v>
      </c>
      <c r="AE610" s="17">
        <v>99.1</v>
      </c>
      <c r="AF610" s="17">
        <v>2.8</v>
      </c>
      <c r="AG610" s="17">
        <v>172.4</v>
      </c>
      <c r="AH610" s="17">
        <v>2.8</v>
      </c>
      <c r="AI610" s="17">
        <v>172.4</v>
      </c>
      <c r="AJ610" s="17">
        <v>304.5</v>
      </c>
      <c r="AK610" s="17">
        <v>301.39999999999998</v>
      </c>
      <c r="AL610" s="17">
        <v>267.89999999999998</v>
      </c>
      <c r="AM610" s="17">
        <v>264.89999999999998</v>
      </c>
      <c r="AN610" s="17">
        <v>64</v>
      </c>
      <c r="AO610" s="17">
        <v>0.84</v>
      </c>
      <c r="AP610" s="17">
        <v>6.2</v>
      </c>
      <c r="AQ610" s="17">
        <v>30.3</v>
      </c>
      <c r="AR610" s="17">
        <v>0.497</v>
      </c>
      <c r="AS610" s="17">
        <v>31.9</v>
      </c>
      <c r="AT610" s="17">
        <v>0.51</v>
      </c>
      <c r="AU610" s="17">
        <v>20.3</v>
      </c>
      <c r="AV610" s="17">
        <v>0.40699999999999997</v>
      </c>
      <c r="AW610" s="17">
        <v>22.8</v>
      </c>
      <c r="AX610" s="17">
        <v>0.43099999999999999</v>
      </c>
      <c r="AY610" s="41">
        <f t="shared" si="183"/>
        <v>2248.5299999999997</v>
      </c>
      <c r="BA610" s="20">
        <f t="shared" si="184"/>
        <v>2345.6499999999996</v>
      </c>
      <c r="BC610" s="20">
        <f t="shared" si="185"/>
        <v>1641.5299999999997</v>
      </c>
      <c r="BE610" s="20">
        <f t="shared" si="186"/>
        <v>1793.2799999999997</v>
      </c>
      <c r="BG610" s="17">
        <v>21</v>
      </c>
      <c r="BH610" s="17">
        <v>58.4</v>
      </c>
      <c r="BI610" s="20">
        <f t="shared" si="189"/>
        <v>37.4</v>
      </c>
      <c r="BJ610" s="20"/>
      <c r="BK610" s="17">
        <v>7</v>
      </c>
      <c r="BL610" s="20"/>
      <c r="BM610" s="17">
        <v>7</v>
      </c>
      <c r="BN610" s="20"/>
      <c r="BO610" s="17">
        <v>51.5</v>
      </c>
      <c r="BP610" s="17">
        <v>51.5</v>
      </c>
      <c r="BQ610" s="17">
        <v>60</v>
      </c>
      <c r="BR610" s="17">
        <v>74</v>
      </c>
      <c r="BS610" s="17">
        <v>74</v>
      </c>
      <c r="BT610" s="17">
        <v>64</v>
      </c>
      <c r="BU610" s="17">
        <v>79</v>
      </c>
      <c r="BV610" s="17">
        <v>76</v>
      </c>
      <c r="BW610" s="91">
        <f t="shared" si="187"/>
        <v>99.473935915829728</v>
      </c>
      <c r="BX610" s="91" t="str">
        <f>_xlfn.XLOOKUP(BW610,'Normative data'!$V$3:$V$6,'Normative data'!$W$3:$W$6,"Not Found",-1)</f>
        <v>Low risk</v>
      </c>
      <c r="BY610" s="91">
        <f t="shared" si="188"/>
        <v>104.73457675753227</v>
      </c>
      <c r="BZ610" s="91" t="str">
        <f>_xlfn.XLOOKUP(BY610,'Normative data'!$V$3:$V$6,'Normative data'!$W$3:$W$6,"Not Found",-1)</f>
        <v>Low risk</v>
      </c>
      <c r="CA610" s="17">
        <v>52</v>
      </c>
      <c r="CC610" s="20"/>
      <c r="CE610" s="17">
        <v>30</v>
      </c>
      <c r="CG610" s="17">
        <v>17.79</v>
      </c>
      <c r="CH610" s="20" t="str">
        <f>_xlfn.XLOOKUP(CG610, 'Normative data'!$S$9:$S$15,'Normative data'!$T$9:$T$15, "Not Found", -1)</f>
        <v>Above Average</v>
      </c>
      <c r="CI610" s="17">
        <v>17.170000000000002</v>
      </c>
      <c r="CJ610" s="20" t="str">
        <f>_xlfn.XLOOKUP(CI610, 'Normative data'!$S$9:$S$15, 'Normative data'!$T$9:$T$15, "Not Found", -1)</f>
        <v>Above Average</v>
      </c>
      <c r="CK610" s="17">
        <v>2.2200000000000002</v>
      </c>
      <c r="CL610" s="17">
        <v>4.3</v>
      </c>
      <c r="CN610" s="17">
        <v>6.73</v>
      </c>
      <c r="CO610" s="17">
        <v>7.43</v>
      </c>
      <c r="CQ610" s="17">
        <v>7.3</v>
      </c>
      <c r="CR610" s="20" t="str" cm="1">
        <f t="array" ref="CR610">IF(OR(ISBLANK(E610),ISBLANK(CQ610)),"Incomplete",_xlfn.XLOOKUP(CQ610,_xlfn.XLOOKUP(E610,'Normative data'!$Y$3:$Y$6,'Normative data'!$Z$3:$AG$6,,-1),'Normative data'!$Z$2:$AG$2,"Not Found",-1))</f>
        <v>Average</v>
      </c>
      <c r="CS610" s="20">
        <v>7</v>
      </c>
      <c r="CT610" s="20">
        <v>3</v>
      </c>
      <c r="CU610" s="20" cm="1">
        <f t="array" ref="CU610">_xlfn.XLOOKUP(CS610&amp;CT610,(VLOOKUP!$A$3:$A$250)&amp;(VLOOKUP!$B$3:$B$250),VLOOKUP!$C$3:$C$250,"Incomplete",-1)</f>
        <v>1080</v>
      </c>
      <c r="CV610" s="20" t="str" cm="1">
        <f t="array" ref="CV610">_xlfn.XLOOKUP(CU610, _xlfn.XLOOKUP(E610, 'Normative data'!$Y$11:$Y$14, 'Normative data'!$Z$11:$AG$14, ,-1), 'Normative data'!$Z$10:$AG$10, "Not Found", -1)</f>
        <v>Average</v>
      </c>
      <c r="CW610" s="20" cm="1">
        <f t="array" ref="CW610">IF(OR(ISBLANK(CS610),ISBLANK(CT610)),"Incomplete",_xlfn.XLOOKUP(CS610&amp;CT610,VLOOKUP!$A$4:$A$250&amp;VLOOKUP!$B$4:$B$250,VLOOKUP!$D$4:$D$250,"0"))</f>
        <v>37</v>
      </c>
    </row>
    <row r="611" spans="1:101" ht="13.9" customHeight="1">
      <c r="A611" s="17" t="s">
        <v>1238</v>
      </c>
      <c r="B611" s="17" t="s">
        <v>1237</v>
      </c>
      <c r="C611" s="17" t="s">
        <v>86</v>
      </c>
      <c r="D611" s="26">
        <v>40301</v>
      </c>
      <c r="E611" s="17">
        <v>16.100000000000001</v>
      </c>
      <c r="F611" s="20" t="s">
        <v>162</v>
      </c>
      <c r="G611" s="17">
        <v>2026</v>
      </c>
      <c r="I611" s="20">
        <v>2</v>
      </c>
      <c r="J611" s="20" t="s">
        <v>100</v>
      </c>
      <c r="K611" s="20" t="s">
        <v>105</v>
      </c>
      <c r="L611" s="20"/>
      <c r="S611" s="20">
        <v>86</v>
      </c>
      <c r="T611" s="20">
        <v>169.9</v>
      </c>
      <c r="U611" s="17">
        <v>48.7</v>
      </c>
      <c r="V611" s="17">
        <v>28.6</v>
      </c>
      <c r="W611" s="17">
        <v>9.6</v>
      </c>
      <c r="X611" s="17">
        <v>39.1</v>
      </c>
      <c r="Y611" s="17">
        <v>21.1</v>
      </c>
      <c r="Z611" s="17">
        <v>17.100000000000001</v>
      </c>
      <c r="AA611" s="17">
        <v>19.7</v>
      </c>
      <c r="AB611" s="17">
        <v>6.28</v>
      </c>
      <c r="AC611" s="17">
        <v>111.5</v>
      </c>
      <c r="AD611" s="17">
        <v>6.23</v>
      </c>
      <c r="AE611" s="17">
        <v>110.7</v>
      </c>
      <c r="AF611" s="17">
        <v>1.7</v>
      </c>
      <c r="AG611" s="17">
        <v>63.3</v>
      </c>
      <c r="AH611" s="17">
        <v>1.7</v>
      </c>
      <c r="AI611" s="17">
        <v>63.2</v>
      </c>
      <c r="AJ611" s="17">
        <v>369.4</v>
      </c>
      <c r="AK611" s="17">
        <v>377.1</v>
      </c>
      <c r="AL611" s="17">
        <v>333.3</v>
      </c>
      <c r="AM611" s="17">
        <v>340.5</v>
      </c>
      <c r="AN611" s="17">
        <v>90</v>
      </c>
      <c r="AO611" s="17">
        <v>0.83</v>
      </c>
      <c r="AP611" s="17">
        <v>5.6</v>
      </c>
      <c r="AY611" s="41" t="str">
        <f t="shared" si="183"/>
        <v>Incomplete</v>
      </c>
      <c r="BA611" s="20" t="str">
        <f t="shared" si="184"/>
        <v>Incomplete</v>
      </c>
      <c r="BC611" s="20" t="str">
        <f t="shared" si="185"/>
        <v>Incomplete</v>
      </c>
      <c r="BE611" s="20" t="str">
        <f t="shared" si="186"/>
        <v>Incomplete</v>
      </c>
      <c r="BH611" s="20"/>
      <c r="BI611" s="20" t="str">
        <f t="shared" si="189"/>
        <v>Incomplete</v>
      </c>
      <c r="BJ611" s="20"/>
      <c r="BK611" s="17">
        <v>13</v>
      </c>
      <c r="BL611" s="20"/>
      <c r="BM611" s="17">
        <v>15</v>
      </c>
      <c r="BN611" s="20"/>
      <c r="BW611" s="91">
        <f t="shared" si="187"/>
        <v>0</v>
      </c>
      <c r="BX611" s="91" t="str">
        <f>_xlfn.XLOOKUP(BW611,'Normative data'!$V$3:$V$6,'Normative data'!$W$3:$W$6,"Not Found",-1)</f>
        <v>Not completed</v>
      </c>
      <c r="BY611" s="91">
        <f t="shared" si="188"/>
        <v>0</v>
      </c>
      <c r="BZ611" s="91" t="str">
        <f>_xlfn.XLOOKUP(BY611,'Normative data'!$V$3:$V$6,'Normative data'!$W$3:$W$6,"Not Found",-1)</f>
        <v>Not completed</v>
      </c>
      <c r="CA611" s="20"/>
      <c r="CC611" s="20"/>
      <c r="CE611" s="17">
        <v>5</v>
      </c>
      <c r="CG611" s="17">
        <v>17.78</v>
      </c>
      <c r="CH611" s="20" t="str">
        <f>_xlfn.XLOOKUP(CG611, 'Normative data'!$S$9:$S$15,'Normative data'!$T$9:$T$15, "Not Found", -1)</f>
        <v>Above Average</v>
      </c>
      <c r="CI611" s="17">
        <v>17.66</v>
      </c>
      <c r="CJ611" s="20" t="str">
        <f>_xlfn.XLOOKUP(CI611, 'Normative data'!$S$9:$S$15, 'Normative data'!$T$9:$T$15, "Not Found", -1)</f>
        <v>Above Average</v>
      </c>
      <c r="CK611" s="17">
        <v>2.16</v>
      </c>
      <c r="CL611" s="17">
        <v>4.63</v>
      </c>
      <c r="CN611" s="17">
        <v>6.7</v>
      </c>
      <c r="CO611" s="17">
        <v>7.46</v>
      </c>
      <c r="CR611" s="20" t="str" cm="1">
        <f t="array" ref="CR611">IF(OR(ISBLANK(E611),ISBLANK(CQ611)),"Incomplete",_xlfn.XLOOKUP(CQ611,_xlfn.XLOOKUP(E611,'Normative data'!$Y$3:$Y$6,'Normative data'!$Z$3:$AG$6,,-1),'Normative data'!$Z$2:$AG$2,"Not Found",-1))</f>
        <v>Incomplete</v>
      </c>
      <c r="CS611" s="20"/>
      <c r="CT611" s="20"/>
      <c r="CU611" s="20" t="str" cm="1">
        <f t="array" ref="CU611">_xlfn.XLOOKUP(CS611&amp;CT611,(VLOOKUP!$A$3:$A$250)&amp;(VLOOKUP!$B$3:$B$250),VLOOKUP!$C$3:$C$250,"Incomplete",-1)</f>
        <v>Incomplete</v>
      </c>
      <c r="CV611" s="20" t="str" cm="1">
        <f t="array" ref="CV611">_xlfn.XLOOKUP(CU611, _xlfn.XLOOKUP(E611, 'Normative data'!$Y$11:$Y$14, 'Normative data'!$Z$11:$AG$14, ,-1), 'Normative data'!$Z$10:$AG$10, "Not Found", -1)</f>
        <v>Excellent</v>
      </c>
      <c r="CW611" s="20" t="str" cm="1">
        <f t="array" ref="CW611">IF(OR(ISBLANK(CS611),ISBLANK(CT611)),"Incomplete",_xlfn.XLOOKUP(CS611&amp;CT611,VLOOKUP!$A$4:$A$250&amp;VLOOKUP!$B$4:$B$250,VLOOKUP!$D$4:$D$250,"0"))</f>
        <v>Incomplete</v>
      </c>
    </row>
    <row r="612" spans="1:101">
      <c r="A612" s="17" t="s">
        <v>770</v>
      </c>
      <c r="B612" s="17" t="s">
        <v>1237</v>
      </c>
      <c r="C612" s="17" t="s">
        <v>86</v>
      </c>
      <c r="D612" s="26">
        <v>40227</v>
      </c>
      <c r="E612" s="17">
        <v>16.3</v>
      </c>
      <c r="F612" s="20" t="s">
        <v>186</v>
      </c>
      <c r="G612" s="17">
        <v>2026</v>
      </c>
      <c r="I612" s="20">
        <v>2</v>
      </c>
      <c r="J612" s="20" t="s">
        <v>122</v>
      </c>
      <c r="K612" s="20" t="s">
        <v>297</v>
      </c>
      <c r="L612" s="20" t="s">
        <v>567</v>
      </c>
      <c r="S612" s="20">
        <v>79.5</v>
      </c>
      <c r="T612" s="20">
        <v>153</v>
      </c>
      <c r="U612" s="17">
        <v>40.700000000000003</v>
      </c>
      <c r="V612" s="17">
        <v>25.6</v>
      </c>
      <c r="W612" s="17">
        <v>5.7</v>
      </c>
      <c r="X612" s="17">
        <v>35</v>
      </c>
      <c r="Y612" s="17">
        <v>18.899999999999999</v>
      </c>
      <c r="Z612" s="17">
        <v>17.399999999999999</v>
      </c>
      <c r="AA612" s="17">
        <v>14.1</v>
      </c>
      <c r="AB612" s="17">
        <v>5.0599999999999996</v>
      </c>
      <c r="AC612" s="17">
        <v>104.9</v>
      </c>
      <c r="AD612" s="17">
        <v>5.14</v>
      </c>
      <c r="AE612" s="17">
        <v>106.5</v>
      </c>
      <c r="AF612" s="17">
        <v>1.1000000000000001</v>
      </c>
      <c r="AG612" s="17">
        <v>67.599999999999994</v>
      </c>
      <c r="AH612" s="17">
        <v>1.2</v>
      </c>
      <c r="AI612" s="17">
        <v>68.099999999999994</v>
      </c>
      <c r="AJ612" s="17">
        <v>380.1</v>
      </c>
      <c r="AK612" s="17">
        <v>366.8</v>
      </c>
      <c r="AL612" s="17">
        <v>331.3</v>
      </c>
      <c r="AM612" s="17">
        <v>320.7</v>
      </c>
      <c r="AN612" s="17">
        <v>74</v>
      </c>
      <c r="AO612" s="17">
        <v>0.79</v>
      </c>
      <c r="AP612" s="17">
        <v>5.7</v>
      </c>
      <c r="AQ612" s="17">
        <v>19.5</v>
      </c>
      <c r="AR612" s="17">
        <v>0.39900000000000002</v>
      </c>
      <c r="AS612" s="17">
        <v>20.7</v>
      </c>
      <c r="AT612" s="17">
        <v>0.41099999999999998</v>
      </c>
      <c r="AU612" s="17">
        <v>10.4</v>
      </c>
      <c r="AV612" s="17">
        <v>0.29099999999999998</v>
      </c>
      <c r="AW612" s="17">
        <v>8.9</v>
      </c>
      <c r="AX612" s="17">
        <v>0.26900000000000002</v>
      </c>
      <c r="AY612" s="41">
        <f t="shared" si="183"/>
        <v>972.36000000000013</v>
      </c>
      <c r="BA612" s="20">
        <f t="shared" si="184"/>
        <v>1045.1999999999998</v>
      </c>
      <c r="BC612" s="20">
        <f t="shared" si="185"/>
        <v>419.99000000000024</v>
      </c>
      <c r="BE612" s="20">
        <f t="shared" si="186"/>
        <v>328.94000000000005</v>
      </c>
      <c r="BG612" s="17">
        <v>21.5</v>
      </c>
      <c r="BH612" s="17">
        <v>40</v>
      </c>
      <c r="BI612" s="20">
        <f t="shared" si="189"/>
        <v>18.5</v>
      </c>
      <c r="BJ612" s="20"/>
      <c r="BK612" s="17">
        <v>6</v>
      </c>
      <c r="BL612" s="20"/>
      <c r="BM612" s="17">
        <v>6</v>
      </c>
      <c r="BN612" s="20"/>
      <c r="BO612" s="17">
        <v>40</v>
      </c>
      <c r="BP612" s="17">
        <v>40.5</v>
      </c>
      <c r="BQ612" s="17">
        <v>70</v>
      </c>
      <c r="BR612" s="17">
        <v>70</v>
      </c>
      <c r="BS612" s="17">
        <v>64</v>
      </c>
      <c r="BT612" s="17">
        <v>71</v>
      </c>
      <c r="BU612" s="17">
        <v>65</v>
      </c>
      <c r="BV612" s="17">
        <v>70</v>
      </c>
      <c r="BW612" s="91">
        <f t="shared" si="187"/>
        <v>92.517006802721085</v>
      </c>
      <c r="BX612" s="91" t="str">
        <f>_xlfn.XLOOKUP(BW612,'Normative data'!$V$3:$V$6,'Normative data'!$W$3:$W$6,"Not Found",-1)</f>
        <v>High risk</v>
      </c>
      <c r="BY612" s="91">
        <f t="shared" si="188"/>
        <v>93.424036281179141</v>
      </c>
      <c r="BZ612" s="91" t="str">
        <f>_xlfn.XLOOKUP(BY612,'Normative data'!$V$3:$V$6,'Normative data'!$W$3:$W$6,"Not Found",-1)</f>
        <v>High risk</v>
      </c>
      <c r="CA612" s="17">
        <v>27</v>
      </c>
      <c r="CC612" s="20"/>
      <c r="CE612" s="17">
        <v>12</v>
      </c>
      <c r="CG612" s="17">
        <v>18.3</v>
      </c>
      <c r="CH612" s="20" t="str">
        <f>_xlfn.XLOOKUP(CG612, 'Normative data'!$S$9:$S$15,'Normative data'!$T$9:$T$15, "Not Found", -1)</f>
        <v>Average</v>
      </c>
      <c r="CI612" s="17">
        <v>18</v>
      </c>
      <c r="CJ612" s="20" t="str">
        <f>_xlfn.XLOOKUP(CI612, 'Normative data'!$S$9:$S$15, 'Normative data'!$T$9:$T$15, "Not Found", -1)</f>
        <v>Average</v>
      </c>
      <c r="CK612" s="21"/>
      <c r="CL612" s="21"/>
      <c r="CM612" s="21"/>
      <c r="CN612" s="21"/>
      <c r="CO612" s="21"/>
      <c r="CQ612" s="17">
        <v>11.6</v>
      </c>
      <c r="CR612" s="20" t="str" cm="1">
        <f t="array" ref="CR612">IF(OR(ISBLANK(E612),ISBLANK(CQ612)),"Incomplete",_xlfn.XLOOKUP(CQ612,_xlfn.XLOOKUP(E612,'Normative data'!$Y$3:$Y$6,'Normative data'!$Z$3:$AG$6,,-1),'Normative data'!$Z$2:$AG$2,"Not Found",-1))</f>
        <v>Excellent</v>
      </c>
      <c r="CS612" s="20">
        <v>11</v>
      </c>
      <c r="CT612" s="20">
        <v>6</v>
      </c>
      <c r="CU612" s="20" cm="1">
        <f t="array" ref="CU612">_xlfn.XLOOKUP(CS612&amp;CT612,(VLOOKUP!$A$3:$A$250)&amp;(VLOOKUP!$B$3:$B$250),VLOOKUP!$C$3:$C$250,"Incomplete",-1)</f>
        <v>2000</v>
      </c>
      <c r="CV612" s="20" t="str" cm="1">
        <f t="array" ref="CV612">_xlfn.XLOOKUP(CU612, _xlfn.XLOOKUP(E612, 'Normative data'!$Y$11:$Y$14, 'Normative data'!$Z$11:$AG$14, ,-1), 'Normative data'!$Z$10:$AG$10, "Not Found", -1)</f>
        <v xml:space="preserve">Good </v>
      </c>
      <c r="CW612" s="20" cm="1">
        <f t="array" ref="CW612">IF(OR(ISBLANK(CS612),ISBLANK(CT612)),"Incomplete",_xlfn.XLOOKUP(CS612&amp;CT612,VLOOKUP!$A$4:$A$250&amp;VLOOKUP!$B$4:$B$250,VLOOKUP!$D$4:$D$250,"0"))</f>
        <v>52</v>
      </c>
    </row>
    <row r="613" spans="1:101">
      <c r="A613" s="17" t="s">
        <v>1239</v>
      </c>
      <c r="B613" s="17" t="s">
        <v>1237</v>
      </c>
      <c r="C613" s="17" t="s">
        <v>86</v>
      </c>
      <c r="D613" s="20"/>
      <c r="F613" s="20" t="s">
        <v>157</v>
      </c>
      <c r="G613" s="17">
        <v>2026</v>
      </c>
      <c r="I613" s="20">
        <v>2</v>
      </c>
      <c r="J613" s="20" t="s">
        <v>100</v>
      </c>
      <c r="K613" s="20" t="s">
        <v>158</v>
      </c>
      <c r="L613" s="20"/>
      <c r="S613" s="20">
        <v>84.6</v>
      </c>
      <c r="T613" s="20">
        <v>157.1</v>
      </c>
      <c r="AY613" s="41" t="str">
        <f t="shared" si="183"/>
        <v>Incomplete</v>
      </c>
      <c r="BA613" s="20" t="str">
        <f t="shared" si="184"/>
        <v>Incomplete</v>
      </c>
      <c r="BC613" s="20" t="str">
        <f t="shared" si="185"/>
        <v>Incomplete</v>
      </c>
      <c r="BE613" s="20" t="str">
        <f t="shared" si="186"/>
        <v>Incomplete</v>
      </c>
      <c r="BH613" s="17">
        <v>52</v>
      </c>
      <c r="BI613" s="20" t="str">
        <f t="shared" si="189"/>
        <v>Incomplete</v>
      </c>
      <c r="BJ613" s="20"/>
      <c r="BK613" s="17">
        <v>5</v>
      </c>
      <c r="BL613" s="20"/>
      <c r="BM613" s="17">
        <v>6</v>
      </c>
      <c r="BN613" s="20"/>
      <c r="BQ613" s="17">
        <v>64</v>
      </c>
      <c r="BR613" s="17">
        <v>78</v>
      </c>
      <c r="BS613" s="17">
        <v>67</v>
      </c>
      <c r="BT613" s="17">
        <v>64</v>
      </c>
      <c r="BU613" s="17">
        <v>68</v>
      </c>
      <c r="BV613" s="17">
        <v>70</v>
      </c>
      <c r="BW613" s="91">
        <f t="shared" si="187"/>
        <v>96.091954022988503</v>
      </c>
      <c r="BX613" s="91" t="str">
        <f>_xlfn.XLOOKUP(BW613,'Normative data'!$V$3:$V$6,'Normative data'!$W$3:$W$6,"Not Found",-1)</f>
        <v>Low risk</v>
      </c>
      <c r="BY613" s="91">
        <f t="shared" si="188"/>
        <v>92.873563218390814</v>
      </c>
      <c r="BZ613" s="91" t="str">
        <f>_xlfn.XLOOKUP(BY613,'Normative data'!$V$3:$V$6,'Normative data'!$W$3:$W$6,"Not Found",-1)</f>
        <v>High risk</v>
      </c>
      <c r="CG613" s="20"/>
      <c r="CH613" s="20" t="str">
        <f>_xlfn.XLOOKUP(CG613, 'Normative data'!$S$9:$S$15,'Normative data'!$T$9:$T$15, "Not Found", -1)</f>
        <v>not completed</v>
      </c>
      <c r="CI613" s="20"/>
      <c r="CJ613" s="20" t="str">
        <f>_xlfn.XLOOKUP(CI613, 'Normative data'!$S$9:$S$15, 'Normative data'!$T$9:$T$15, "Not Found", -1)</f>
        <v>not completed</v>
      </c>
      <c r="CK613" s="17">
        <v>2.17</v>
      </c>
      <c r="CL613" s="17">
        <v>4.6100000000000003</v>
      </c>
      <c r="CN613" s="17">
        <v>6.51</v>
      </c>
      <c r="CO613" s="17">
        <v>7.68</v>
      </c>
      <c r="CR613" s="20" t="str" cm="1">
        <f t="array" ref="CR613">IF(OR(ISBLANK(E613),ISBLANK(CQ613)),"Incomplete",_xlfn.XLOOKUP(CQ613,_xlfn.XLOOKUP(E613,'Normative data'!$Y$3:$Y$6,'Normative data'!$Z$3:$AG$6,,-1),'Normative data'!$Z$2:$AG$2,"Not Found",-1))</f>
        <v>Incomplete</v>
      </c>
      <c r="CS613" s="20"/>
      <c r="CT613" s="20"/>
      <c r="CU613" s="20" t="str" cm="1">
        <f t="array" ref="CU613">_xlfn.XLOOKUP(CS613&amp;CT613,(VLOOKUP!$A$3:$A$250)&amp;(VLOOKUP!$B$3:$B$250),VLOOKUP!$C$3:$C$250,"Incomplete",-1)</f>
        <v>Incomplete</v>
      </c>
      <c r="CV613" s="20" t="str" cm="1">
        <f t="array" ref="CV613">_xlfn.XLOOKUP(CU613, _xlfn.XLOOKUP(E613, 'Normative data'!$Y$11:$Y$14, 'Normative data'!$Z$11:$AG$14, ,-1), 'Normative data'!$Z$10:$AG$10, "Not Found", -1)</f>
        <v>Excellent</v>
      </c>
      <c r="CW613" s="20" t="str" cm="1">
        <f t="array" ref="CW613">IF(OR(ISBLANK(CS613),ISBLANK(CT613)),"Incomplete",_xlfn.XLOOKUP(CS613&amp;CT613,VLOOKUP!$A$4:$A$250&amp;VLOOKUP!$B$4:$B$250,VLOOKUP!$D$4:$D$250,"0"))</f>
        <v>Incomplete</v>
      </c>
    </row>
    <row r="614" spans="1:101">
      <c r="A614" s="17" t="s">
        <v>257</v>
      </c>
      <c r="B614" s="17" t="s">
        <v>256</v>
      </c>
      <c r="C614" s="17" t="s">
        <v>86</v>
      </c>
      <c r="D614" s="26">
        <v>40305</v>
      </c>
      <c r="F614" s="20" t="s">
        <v>178</v>
      </c>
      <c r="G614" s="17">
        <v>2026</v>
      </c>
      <c r="I614" s="20">
        <v>2</v>
      </c>
      <c r="J614" s="20"/>
      <c r="K614" s="20"/>
      <c r="L614" s="20"/>
      <c r="S614" s="20"/>
      <c r="T614" s="20"/>
      <c r="AQ614" s="20"/>
      <c r="AR614" s="20"/>
      <c r="AS614" s="20"/>
      <c r="AT614" s="20"/>
      <c r="AU614" s="20"/>
      <c r="AV614" s="20"/>
      <c r="AW614" s="20"/>
      <c r="AX614" s="20"/>
      <c r="AY614" s="41" t="str">
        <f t="shared" si="183"/>
        <v>Incomplete</v>
      </c>
      <c r="BA614" s="20" t="str">
        <f t="shared" si="184"/>
        <v>Incomplete</v>
      </c>
      <c r="BC614" s="20" t="str">
        <f t="shared" si="185"/>
        <v>Incomplete</v>
      </c>
      <c r="BE614" s="20" t="str">
        <f t="shared" si="186"/>
        <v>Incomplete</v>
      </c>
      <c r="BH614" s="20"/>
      <c r="BI614" s="20" t="str">
        <f t="shared" si="189"/>
        <v>Incomplete</v>
      </c>
      <c r="BJ614" s="20"/>
      <c r="BK614" s="17">
        <v>13</v>
      </c>
      <c r="BL614" s="20"/>
      <c r="BM614" s="17">
        <v>11.5</v>
      </c>
      <c r="BN614" s="20"/>
      <c r="BO614" s="20"/>
      <c r="BP614" s="20"/>
      <c r="BQ614" s="20"/>
      <c r="BR614" s="20"/>
      <c r="BS614" s="20"/>
      <c r="BT614" s="20"/>
      <c r="BU614" s="20"/>
      <c r="BV614" s="20"/>
      <c r="BW614" s="91" t="str">
        <f t="shared" si="187"/>
        <v>Incomplete</v>
      </c>
      <c r="BX614" s="91" t="str">
        <f>_xlfn.XLOOKUP(BW614,'Normative data'!$V$3:$V$6,'Normative data'!$W$3:$W$6,"Not Found",-1)</f>
        <v>Very low risk</v>
      </c>
      <c r="BY614" s="91" t="str">
        <f t="shared" si="188"/>
        <v>Incomplete</v>
      </c>
      <c r="BZ614" s="91" t="str">
        <f>_xlfn.XLOOKUP(BY614,'Normative data'!$V$3:$V$6,'Normative data'!$W$3:$W$6,"Not Found",-1)</f>
        <v>Very low risk</v>
      </c>
      <c r="CA614" s="17">
        <v>15</v>
      </c>
      <c r="CC614" s="20"/>
      <c r="CE614" s="17">
        <v>6</v>
      </c>
      <c r="CG614" s="20"/>
      <c r="CH614" s="20" t="str">
        <f>_xlfn.XLOOKUP(CG614, 'Normative data'!$S$9:$S$15,'Normative data'!$T$9:$T$15, "Not Found", -1)</f>
        <v>not completed</v>
      </c>
      <c r="CI614" s="20"/>
      <c r="CJ614" s="20" t="str">
        <f>_xlfn.XLOOKUP(CI614, 'Normative data'!$S$9:$S$15, 'Normative data'!$T$9:$T$15, "Not Found", -1)</f>
        <v>not completed</v>
      </c>
      <c r="CK614" s="17">
        <v>2.33</v>
      </c>
      <c r="CL614" s="17">
        <v>4.29</v>
      </c>
      <c r="CN614" s="17">
        <v>7.58</v>
      </c>
      <c r="CO614" s="17">
        <v>6.6</v>
      </c>
      <c r="CR614" s="20" t="str" cm="1">
        <f t="array" ref="CR614">IF(OR(ISBLANK(E614),ISBLANK(CQ614)),"Incomplete",_xlfn.XLOOKUP(CQ614,_xlfn.XLOOKUP(E614,'Normative data'!$Y$3:$Y$6,'Normative data'!$Z$3:$AG$6,,-1),'Normative data'!$Z$2:$AG$2,"Not Found",-1))</f>
        <v>Incomplete</v>
      </c>
      <c r="CS614" s="20"/>
      <c r="CT614" s="20"/>
      <c r="CU614" s="20" t="str" cm="1">
        <f t="array" ref="CU614">_xlfn.XLOOKUP(CS614&amp;CT614,(VLOOKUP!$A$3:$A$250)&amp;(VLOOKUP!$B$3:$B$250),VLOOKUP!$C$3:$C$250,"Incomplete",-1)</f>
        <v>Incomplete</v>
      </c>
      <c r="CV614" s="20" t="str" cm="1">
        <f t="array" ref="CV614">_xlfn.XLOOKUP(CU614, _xlfn.XLOOKUP(E614, 'Normative data'!$Y$11:$Y$14, 'Normative data'!$Z$11:$AG$14, ,-1), 'Normative data'!$Z$10:$AG$10, "Not Found", -1)</f>
        <v>Excellent</v>
      </c>
      <c r="CW614" s="20" t="str" cm="1">
        <f t="array" ref="CW614">IF(OR(ISBLANK(CS614),ISBLANK(CT614)),"Incomplete",_xlfn.XLOOKUP(CS614&amp;CT614,VLOOKUP!$A$4:$A$250&amp;VLOOKUP!$B$4:$B$250,VLOOKUP!$D$4:$D$250,"0"))</f>
        <v>Incomplete</v>
      </c>
    </row>
    <row r="615" spans="1:101">
      <c r="A615" s="18" t="s">
        <v>976</v>
      </c>
      <c r="B615" s="18" t="s">
        <v>975</v>
      </c>
      <c r="C615" s="17" t="s">
        <v>86</v>
      </c>
      <c r="D615" s="19">
        <v>40014</v>
      </c>
      <c r="F615" s="17">
        <v>10</v>
      </c>
      <c r="G615" s="17">
        <v>2025</v>
      </c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41" t="str">
        <f t="shared" si="183"/>
        <v>Incomplete</v>
      </c>
      <c r="AZ615" s="20"/>
      <c r="BA615" s="20" t="str">
        <f t="shared" si="184"/>
        <v>Incomplete</v>
      </c>
      <c r="BB615" s="20"/>
      <c r="BC615" s="20" t="str">
        <f t="shared" si="185"/>
        <v>Incomplete</v>
      </c>
      <c r="BD615" s="20"/>
      <c r="BE615" s="20" t="str">
        <f t="shared" si="186"/>
        <v>Incomplete</v>
      </c>
      <c r="BF615" s="20"/>
      <c r="BG615" s="20">
        <v>13.5</v>
      </c>
      <c r="BH615" s="20">
        <v>31.5</v>
      </c>
      <c r="BI615" s="20" t="e">
        <f>IF(OR(ISBLANK(#REF!), ISBLANK(#REF!)),"Incomplete",(SUM(#REF!-#REF!)))</f>
        <v>#REF!</v>
      </c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91" t="str">
        <f t="shared" si="187"/>
        <v>Incomplete</v>
      </c>
      <c r="BX615" s="91" t="str">
        <f>_xlfn.XLOOKUP(BW615,'Normative data'!$V$3:$V$6,'Normative data'!$W$3:$W$6,"Not Found",-1)</f>
        <v>Very low risk</v>
      </c>
      <c r="BY615" s="91" t="str">
        <f t="shared" si="188"/>
        <v>Incomplete</v>
      </c>
      <c r="BZ615" s="91" t="str">
        <f>_xlfn.XLOOKUP(BY615,'Normative data'!$V$3:$V$6,'Normative data'!$W$3:$W$6,"Not Found",-1)</f>
        <v>Very low risk</v>
      </c>
      <c r="CA615" s="20"/>
      <c r="CC615" s="20"/>
      <c r="CE615" s="20">
        <v>1</v>
      </c>
      <c r="CG615" s="20"/>
      <c r="CH615" s="20" t="str">
        <f>_xlfn.XLOOKUP(CG615, 'Normative data'!$S$9:$S$15,'Normative data'!$T$9:$T$15, "Not Found", -1)</f>
        <v>not completed</v>
      </c>
      <c r="CI615" s="20"/>
      <c r="CJ615" s="20" t="str">
        <f>_xlfn.XLOOKUP(CI615, 'Normative data'!$S$9:$S$15, 'Normative data'!$T$9:$T$15, "Not Found", -1)</f>
        <v>not completed</v>
      </c>
      <c r="CK615" s="21">
        <v>2.31</v>
      </c>
      <c r="CL615" s="21">
        <v>4.33</v>
      </c>
      <c r="CM615" s="21"/>
      <c r="CN615" s="21">
        <v>7.27</v>
      </c>
      <c r="CO615" s="21">
        <v>6.88</v>
      </c>
      <c r="CP615" s="21"/>
      <c r="CQ615" s="20"/>
      <c r="CR615" s="20" t="str" cm="1">
        <f t="array" ref="CR615">IF(OR(ISBLANK(E615),ISBLANK(CQ615)),"Incomplete",_xlfn.XLOOKUP(CQ615,_xlfn.XLOOKUP(E615,'Normative data'!$Y$3:$Y$6,'Normative data'!$Z$3:$AG$6,,-1),'Normative data'!$Z$2:$AG$2,"Not Found",-1))</f>
        <v>Incomplete</v>
      </c>
      <c r="CS615" s="20"/>
      <c r="CT615" s="20"/>
      <c r="CU615" s="20" t="str" cm="1">
        <f t="array" ref="CU615">_xlfn.XLOOKUP(CS615&amp;CT615,(VLOOKUP!$A$3:$A$250)&amp;(VLOOKUP!$B$3:$B$250),VLOOKUP!$C$3:$C$250,"Incomplete",-1)</f>
        <v>Incomplete</v>
      </c>
      <c r="CV615" s="20" t="str" cm="1">
        <f t="array" ref="CV615">_xlfn.XLOOKUP(CU615, _xlfn.XLOOKUP(E615, 'Normative data'!$Y$11:$Y$14, 'Normative data'!$Z$11:$AG$14, ,-1), 'Normative data'!$Z$10:$AG$10, "Not Found", -1)</f>
        <v>Excellent</v>
      </c>
      <c r="CW615" s="20" t="str" cm="1">
        <f t="array" ref="CW615">IF(OR(ISBLANK(CS615),ISBLANK(CT615)),"Incomplete",_xlfn.XLOOKUP(CS615&amp;CT615,VLOOKUP!$A$4:$A$250&amp;VLOOKUP!$B$4:$B$250,VLOOKUP!$D$4:$D$250,"0"))</f>
        <v>Incomplete</v>
      </c>
    </row>
    <row r="616" spans="1:101">
      <c r="A616" s="17" t="s">
        <v>1030</v>
      </c>
      <c r="B616" s="17" t="s">
        <v>1029</v>
      </c>
      <c r="C616" s="17" t="s">
        <v>86</v>
      </c>
      <c r="D616" s="26">
        <v>40630</v>
      </c>
      <c r="F616" s="20" t="s">
        <v>217</v>
      </c>
      <c r="G616" s="17">
        <v>2026</v>
      </c>
      <c r="I616" s="20">
        <v>2</v>
      </c>
      <c r="J616" s="20" t="s">
        <v>100</v>
      </c>
      <c r="K616" s="20" t="s">
        <v>297</v>
      </c>
      <c r="L616" s="20" t="s">
        <v>298</v>
      </c>
      <c r="S616" s="20">
        <v>84.6</v>
      </c>
      <c r="T616" s="20">
        <v>164.2</v>
      </c>
      <c r="U616" s="17">
        <v>66.099999999999994</v>
      </c>
      <c r="V616" s="17">
        <v>33.9</v>
      </c>
      <c r="W616" s="17">
        <v>19.8</v>
      </c>
      <c r="X616" s="17">
        <v>46.3</v>
      </c>
      <c r="Y616" s="17">
        <v>25.7</v>
      </c>
      <c r="Z616" s="17">
        <v>24.5</v>
      </c>
      <c r="AA616" s="17">
        <v>29.9</v>
      </c>
      <c r="AB616" s="17">
        <v>6.83</v>
      </c>
      <c r="AC616" s="17">
        <v>97.8</v>
      </c>
      <c r="AD616" s="17">
        <v>6.8</v>
      </c>
      <c r="AE616" s="17">
        <v>97.3</v>
      </c>
      <c r="AF616" s="17">
        <v>2.8</v>
      </c>
      <c r="AG616" s="17">
        <v>113.7</v>
      </c>
      <c r="AH616" s="17">
        <v>2.8</v>
      </c>
      <c r="AI616" s="17">
        <v>113.7</v>
      </c>
      <c r="AJ616" s="17">
        <v>311.7</v>
      </c>
      <c r="AK616" s="17">
        <v>315.10000000000002</v>
      </c>
      <c r="AL616" s="17">
        <v>273.39999999999998</v>
      </c>
      <c r="AM616" s="17">
        <v>275.39999999999998</v>
      </c>
      <c r="AN616" s="17">
        <v>90</v>
      </c>
      <c r="AQ616" s="20"/>
      <c r="AR616" s="20"/>
      <c r="AS616" s="20"/>
      <c r="AT616" s="20"/>
      <c r="AU616" s="20"/>
      <c r="AV616" s="20"/>
      <c r="AW616" s="20"/>
      <c r="AX616" s="20"/>
      <c r="AY616" s="41" t="str">
        <f t="shared" si="183"/>
        <v>Incomplete</v>
      </c>
      <c r="BA616" s="20" t="str">
        <f t="shared" si="184"/>
        <v>Incomplete</v>
      </c>
      <c r="BC616" s="20" t="str">
        <f t="shared" si="185"/>
        <v>Incomplete</v>
      </c>
      <c r="BE616" s="20" t="str">
        <f t="shared" si="186"/>
        <v>Incomplete</v>
      </c>
      <c r="BG616" s="17">
        <v>10.5</v>
      </c>
      <c r="BH616" s="17">
        <v>54.5</v>
      </c>
      <c r="BI616" s="20">
        <f>IF(OR(ISBLANK(BG616), ISBLANK(BH616)),"Incomplete",(SUM(BH616-BG616)))</f>
        <v>44</v>
      </c>
      <c r="BJ616" s="20"/>
      <c r="BK616" s="17">
        <v>7</v>
      </c>
      <c r="BL616" s="20"/>
      <c r="BM616" s="17">
        <v>2</v>
      </c>
      <c r="BN616" s="20"/>
      <c r="BO616" s="17">
        <v>54.5</v>
      </c>
      <c r="BP616" s="17">
        <v>54.5</v>
      </c>
      <c r="BQ616" s="17">
        <v>88</v>
      </c>
      <c r="BR616" s="17">
        <v>68</v>
      </c>
      <c r="BS616" s="17">
        <v>81</v>
      </c>
      <c r="BT616" s="17">
        <v>67</v>
      </c>
      <c r="BU616" s="17">
        <v>60</v>
      </c>
      <c r="BV616" s="17">
        <v>66</v>
      </c>
      <c r="BW616" s="91">
        <f t="shared" si="187"/>
        <v>99.246231155778901</v>
      </c>
      <c r="BX616" s="91" t="str">
        <f>_xlfn.XLOOKUP(BW616,'Normative data'!$V$3:$V$6,'Normative data'!$W$3:$W$6,"Not Found",-1)</f>
        <v>Low risk</v>
      </c>
      <c r="BY616" s="91">
        <f t="shared" si="188"/>
        <v>80.820770519262979</v>
      </c>
      <c r="BZ616" s="91" t="str">
        <f>_xlfn.XLOOKUP(BY616,'Normative data'!$V$3:$V$6,'Normative data'!$W$3:$W$6,"Not Found",-1)</f>
        <v>High risk</v>
      </c>
      <c r="CA616" s="17">
        <v>30</v>
      </c>
      <c r="CC616" s="20"/>
      <c r="CE616" s="17">
        <v>10</v>
      </c>
      <c r="CG616" s="17">
        <v>19.05</v>
      </c>
      <c r="CH616" s="20" t="str">
        <f>_xlfn.XLOOKUP(CG616, 'Normative data'!$S$9:$S$15,'Normative data'!$T$9:$T$15, "Not Found", -1)</f>
        <v>Average</v>
      </c>
      <c r="CI616" s="17">
        <v>18.53</v>
      </c>
      <c r="CJ616" s="20" t="str">
        <f>_xlfn.XLOOKUP(CI616, 'Normative data'!$S$9:$S$15, 'Normative data'!$T$9:$T$15, "Not Found", -1)</f>
        <v>Average</v>
      </c>
      <c r="CK616" s="17">
        <v>2.31</v>
      </c>
      <c r="CL616" s="17">
        <v>4.33</v>
      </c>
      <c r="CN616" s="17">
        <v>7.04</v>
      </c>
      <c r="CO616" s="17">
        <v>7.1</v>
      </c>
      <c r="CQ616" s="17">
        <v>6</v>
      </c>
      <c r="CR616" s="20" t="str" cm="1">
        <f t="array" ref="CR616">IF(OR(ISBLANK(E616),ISBLANK(CQ616)),"Incomplete",_xlfn.XLOOKUP(CQ616,_xlfn.XLOOKUP(E616,'Normative data'!$Y$3:$Y$6,'Normative data'!$Z$3:$AG$6,,-1),'Normative data'!$Z$2:$AG$2,"Not Found",-1))</f>
        <v>Incomplete</v>
      </c>
      <c r="CS616" s="20">
        <v>6</v>
      </c>
      <c r="CT616" s="20">
        <v>1</v>
      </c>
      <c r="CU616" s="20" cm="1">
        <f t="array" ref="CU616">_xlfn.XLOOKUP(CS616&amp;CT616,(VLOOKUP!$A$3:$A$250)&amp;(VLOOKUP!$B$3:$B$250),VLOOKUP!$C$3:$C$250,"Incomplete",-1)</f>
        <v>840</v>
      </c>
      <c r="CV616" s="20" t="str" cm="1">
        <f t="array" ref="CV616">_xlfn.XLOOKUP(CU616, _xlfn.XLOOKUP(E616, 'Normative data'!$Y$11:$Y$14, 'Normative data'!$Z$11:$AG$14, ,-1), 'Normative data'!$Z$10:$AG$10, "Not Found", -1)</f>
        <v xml:space="preserve">Fair </v>
      </c>
      <c r="CW616" s="20" cm="1">
        <f t="array" ref="CW616">IF(OR(ISBLANK(CS616),ISBLANK(CT616)),"Incomplete",_xlfn.XLOOKUP(CS616&amp;CT616,VLOOKUP!$A$4:$A$250&amp;VLOOKUP!$B$4:$B$250,VLOOKUP!$D$4:$D$250,"0"))</f>
        <v>33</v>
      </c>
    </row>
    <row r="617" spans="1:101">
      <c r="A617" s="18" t="s">
        <v>600</v>
      </c>
      <c r="B617" s="18" t="s">
        <v>1240</v>
      </c>
      <c r="C617" s="17" t="s">
        <v>86</v>
      </c>
      <c r="D617" s="19">
        <v>39493</v>
      </c>
      <c r="F617" s="17">
        <v>11</v>
      </c>
      <c r="G617" s="17">
        <v>2025</v>
      </c>
      <c r="J617" s="17" t="s">
        <v>122</v>
      </c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41" t="str">
        <f t="shared" si="183"/>
        <v>Incomplete</v>
      </c>
      <c r="AZ617" s="20"/>
      <c r="BA617" s="20" t="str">
        <f t="shared" si="184"/>
        <v>Incomplete</v>
      </c>
      <c r="BB617" s="20"/>
      <c r="BC617" s="20" t="str">
        <f t="shared" si="185"/>
        <v>Incomplete</v>
      </c>
      <c r="BD617" s="20"/>
      <c r="BE617" s="20" t="str">
        <f t="shared" si="186"/>
        <v>Incomplete</v>
      </c>
      <c r="BF617" s="20"/>
      <c r="BG617" s="20">
        <v>15.5</v>
      </c>
      <c r="BH617" s="20">
        <v>32.5</v>
      </c>
      <c r="BI617" s="20" t="e">
        <f>IF(OR(ISBLANK(#REF!), ISBLANK(#REF!)),"Incomplete",(SUM(#REF!-#REF!)))</f>
        <v>#REF!</v>
      </c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91" t="str">
        <f t="shared" si="187"/>
        <v>Incomplete</v>
      </c>
      <c r="BX617" s="91" t="str">
        <f>_xlfn.XLOOKUP(BW617,'Normative data'!$V$3:$V$6,'Normative data'!$W$3:$W$6,"Not Found",-1)</f>
        <v>Very low risk</v>
      </c>
      <c r="BY617" s="91" t="str">
        <f t="shared" si="188"/>
        <v>Incomplete</v>
      </c>
      <c r="BZ617" s="91" t="str">
        <f>_xlfn.XLOOKUP(BY617,'Normative data'!$V$3:$V$6,'Normative data'!$W$3:$W$6,"Not Found",-1)</f>
        <v>Very low risk</v>
      </c>
      <c r="CA617" s="20"/>
      <c r="CC617" s="20"/>
      <c r="CE617" s="20">
        <v>23</v>
      </c>
      <c r="CG617" s="20">
        <v>17.850000000000001</v>
      </c>
      <c r="CH617" s="20" t="str">
        <f>_xlfn.XLOOKUP(CG617, 'Normative data'!$S$9:$S$15,'Normative data'!$T$9:$T$15, "Not Found", -1)</f>
        <v>Above Average</v>
      </c>
      <c r="CI617" s="20">
        <v>17.760000000000002</v>
      </c>
      <c r="CJ617" s="20" t="str">
        <f>_xlfn.XLOOKUP(CI617, 'Normative data'!$S$9:$S$15, 'Normative data'!$T$9:$T$15, "Not Found", -1)</f>
        <v>Above Average</v>
      </c>
      <c r="CK617" s="21">
        <v>2.29</v>
      </c>
      <c r="CL617" s="21">
        <v>4.37</v>
      </c>
      <c r="CM617" s="21"/>
      <c r="CN617" s="21">
        <v>6.69</v>
      </c>
      <c r="CO617" s="21">
        <v>7.47</v>
      </c>
      <c r="CQ617" s="20"/>
      <c r="CR617" s="20" t="str" cm="1">
        <f t="array" ref="CR617">IF(OR(ISBLANK(E617),ISBLANK(CQ617)),"Incomplete",_xlfn.XLOOKUP(CQ617,_xlfn.XLOOKUP(E617,'Normative data'!$Y$3:$Y$6,'Normative data'!$Z$3:$AG$6,,-1),'Normative data'!$Z$2:$AG$2,"Not Found",-1))</f>
        <v>Incomplete</v>
      </c>
      <c r="CS617" s="20"/>
      <c r="CT617" s="20"/>
      <c r="CU617" s="20" t="str" cm="1">
        <f t="array" ref="CU617">_xlfn.XLOOKUP(CS617&amp;CT617,(VLOOKUP!$A$3:$A$250)&amp;(VLOOKUP!$B$3:$B$250),VLOOKUP!$C$3:$C$250,"Incomplete",-1)</f>
        <v>Incomplete</v>
      </c>
      <c r="CV617" s="20" t="str" cm="1">
        <f t="array" ref="CV617">_xlfn.XLOOKUP(CU617, _xlfn.XLOOKUP(E617, 'Normative data'!$Y$11:$Y$14, 'Normative data'!$Z$11:$AG$14, ,-1), 'Normative data'!$Z$10:$AG$10, "Not Found", -1)</f>
        <v>Excellent</v>
      </c>
      <c r="CW617" s="20" t="str" cm="1">
        <f t="array" ref="CW617">IF(OR(ISBLANK(CS617),ISBLANK(CT617)),"Incomplete",_xlfn.XLOOKUP(CS617&amp;CT617,VLOOKUP!$A$4:$A$250&amp;VLOOKUP!$B$4:$B$250,VLOOKUP!$D$4:$D$250,"0"))</f>
        <v>Incomplete</v>
      </c>
    </row>
    <row r="618" spans="1:101">
      <c r="A618" s="17" t="s">
        <v>419</v>
      </c>
      <c r="B618" s="17" t="s">
        <v>421</v>
      </c>
      <c r="C618" s="17" t="s">
        <v>86</v>
      </c>
      <c r="D618" s="26">
        <v>39996</v>
      </c>
      <c r="F618" s="20" t="s">
        <v>192</v>
      </c>
      <c r="G618" s="17">
        <v>2026</v>
      </c>
      <c r="I618" s="20">
        <v>2</v>
      </c>
      <c r="J618" s="20" t="s">
        <v>88</v>
      </c>
      <c r="K618" s="20" t="s">
        <v>101</v>
      </c>
      <c r="L618" s="20"/>
      <c r="S618" s="20">
        <v>85.9</v>
      </c>
      <c r="T618" s="20">
        <v>171.8</v>
      </c>
      <c r="U618" s="17">
        <v>59.7</v>
      </c>
      <c r="V618" s="17">
        <v>34.200000000000003</v>
      </c>
      <c r="W618" s="17">
        <v>12.9</v>
      </c>
      <c r="X618" s="17">
        <v>46.8</v>
      </c>
      <c r="Y618" s="17">
        <v>25.8</v>
      </c>
      <c r="Z618" s="17">
        <v>20.2</v>
      </c>
      <c r="AA618" s="17">
        <v>21.6</v>
      </c>
      <c r="AB618" s="17">
        <v>7.52</v>
      </c>
      <c r="AC618" s="17">
        <v>108.9</v>
      </c>
      <c r="AD618" s="17">
        <v>7.48</v>
      </c>
      <c r="AE618" s="17">
        <v>108.4</v>
      </c>
      <c r="AF618" s="17">
        <v>2.1</v>
      </c>
      <c r="AG618" s="17">
        <v>76.900000000000006</v>
      </c>
      <c r="AH618" s="17">
        <v>2.1</v>
      </c>
      <c r="AI618" s="17">
        <v>76.599999999999994</v>
      </c>
      <c r="AJ618" s="17">
        <v>306</v>
      </c>
      <c r="AK618" s="17">
        <v>308.60000000000002</v>
      </c>
      <c r="AL618" s="17">
        <v>271.5</v>
      </c>
      <c r="AM618" s="17">
        <v>274.60000000000002</v>
      </c>
      <c r="AN618" s="17">
        <v>105</v>
      </c>
      <c r="AO618" s="17">
        <v>0.84</v>
      </c>
      <c r="AP618" s="17">
        <v>6.6</v>
      </c>
      <c r="AQ618" s="17">
        <v>22.9</v>
      </c>
      <c r="AR618" s="17">
        <v>0.42299999999999999</v>
      </c>
      <c r="AS618" s="17">
        <v>26.3</v>
      </c>
      <c r="AT618" s="17">
        <v>0.46300000000000002</v>
      </c>
      <c r="AU618" s="17">
        <v>14.4</v>
      </c>
      <c r="AV618" s="17">
        <v>0.34300000000000003</v>
      </c>
      <c r="AW618" s="17">
        <v>14.4</v>
      </c>
      <c r="AX618" s="17">
        <v>0.34300000000000003</v>
      </c>
      <c r="AY618" s="41">
        <f t="shared" si="183"/>
        <v>2039.4399999999996</v>
      </c>
      <c r="BA618" s="20">
        <f t="shared" si="184"/>
        <v>2245.8199999999997</v>
      </c>
      <c r="BC618" s="20">
        <f t="shared" si="185"/>
        <v>1523.4899999999998</v>
      </c>
      <c r="BE618" s="20">
        <f t="shared" si="186"/>
        <v>1523.4899999999998</v>
      </c>
      <c r="BG618" s="17">
        <v>9.6</v>
      </c>
      <c r="BH618" s="17">
        <v>42.8</v>
      </c>
      <c r="BI618" s="20">
        <f>IF(OR(ISBLANK(BG618), ISBLANK(BH618)),"Incomplete",(SUM(BH618-BG618)))</f>
        <v>33.199999999999996</v>
      </c>
      <c r="BJ618" s="20"/>
      <c r="BK618" s="17">
        <v>13</v>
      </c>
      <c r="BL618" s="20"/>
      <c r="BM618" s="17">
        <v>13</v>
      </c>
      <c r="BN618" s="20"/>
      <c r="BO618" s="17">
        <v>49</v>
      </c>
      <c r="BP618" s="17">
        <v>46.5</v>
      </c>
      <c r="BQ618" s="17">
        <v>79</v>
      </c>
      <c r="BR618" s="17">
        <v>84</v>
      </c>
      <c r="BS618" s="17">
        <v>88</v>
      </c>
      <c r="BT618" s="17">
        <v>79</v>
      </c>
      <c r="BU618" s="17">
        <v>90</v>
      </c>
      <c r="BV618" s="17">
        <v>88</v>
      </c>
      <c r="BW618" s="91">
        <f t="shared" si="187"/>
        <v>97.40007760962358</v>
      </c>
      <c r="BX618" s="91" t="str">
        <f>_xlfn.XLOOKUP(BW618,'Normative data'!$V$3:$V$6,'Normative data'!$W$3:$W$6,"Not Found",-1)</f>
        <v>Low risk</v>
      </c>
      <c r="BY618" s="91">
        <f t="shared" si="188"/>
        <v>99.728366317423351</v>
      </c>
      <c r="BZ618" s="91" t="str">
        <f>_xlfn.XLOOKUP(BY618,'Normative data'!$V$3:$V$6,'Normative data'!$W$3:$W$6,"Not Found",-1)</f>
        <v>Low risk</v>
      </c>
      <c r="CA618" s="17">
        <v>29</v>
      </c>
      <c r="CC618" s="20"/>
      <c r="CE618" s="17">
        <v>10</v>
      </c>
      <c r="CG618" s="17">
        <v>19.55</v>
      </c>
      <c r="CH618" s="20" t="str">
        <f>_xlfn.XLOOKUP(CG618, 'Normative data'!$S$9:$S$15,'Normative data'!$T$9:$T$15, "Not Found", -1)</f>
        <v>Average</v>
      </c>
      <c r="CI618" s="17">
        <v>17.649999999999999</v>
      </c>
      <c r="CJ618" s="20" t="str">
        <f>_xlfn.XLOOKUP(CI618, 'Normative data'!$S$9:$S$15, 'Normative data'!$T$9:$T$15, "Not Found", -1)</f>
        <v>Above Average</v>
      </c>
      <c r="CK618" s="21"/>
      <c r="CL618" s="21"/>
      <c r="CM618" s="21"/>
      <c r="CN618" s="21"/>
      <c r="CO618" s="21"/>
      <c r="CP618" s="126"/>
      <c r="CQ618" s="113">
        <v>8.1</v>
      </c>
      <c r="CR618" s="20" t="str" cm="1">
        <f t="array" ref="CR618">IF(OR(ISBLANK(E618),ISBLANK(CQ618)),"Incomplete",_xlfn.XLOOKUP(CQ618,_xlfn.XLOOKUP(E618,'Normative data'!$Y$3:$Y$6,'Normative data'!$Z$3:$AG$6,,-1),'Normative data'!$Z$2:$AG$2,"Not Found",-1))</f>
        <v>Incomplete</v>
      </c>
      <c r="CS618" s="20">
        <v>8</v>
      </c>
      <c r="CT618" s="20">
        <v>1</v>
      </c>
      <c r="CU618" s="20" cm="1">
        <f t="array" ref="CU618">_xlfn.XLOOKUP(CS618&amp;CT618,(VLOOKUP!$A$3:$A$250)&amp;(VLOOKUP!$B$3:$B$250),VLOOKUP!$C$3:$C$250,"Incomplete",-1)</f>
        <v>1240</v>
      </c>
      <c r="CV618" s="20" t="str" cm="1">
        <f t="array" ref="CV618">_xlfn.XLOOKUP(CU618, _xlfn.XLOOKUP(E618, 'Normative data'!$Y$11:$Y$14, 'Normative data'!$Z$11:$AG$14, ,-1), 'Normative data'!$Z$10:$AG$10, "Not Found", -1)</f>
        <v>Average</v>
      </c>
      <c r="CW618" s="20" cm="1">
        <f t="array" ref="CW618">IF(OR(ISBLANK(CS618),ISBLANK(CT618)),"Incomplete",_xlfn.XLOOKUP(CS618&amp;CT618,VLOOKUP!$A$4:$A$250&amp;VLOOKUP!$B$4:$B$250,VLOOKUP!$D$4:$D$250,"0"))</f>
        <v>40</v>
      </c>
    </row>
    <row r="619" spans="1:101">
      <c r="A619" s="17" t="s">
        <v>1241</v>
      </c>
      <c r="B619" s="17" t="s">
        <v>1242</v>
      </c>
      <c r="C619" s="17" t="s">
        <v>86</v>
      </c>
      <c r="D619" s="26"/>
      <c r="F619" s="17">
        <v>10</v>
      </c>
      <c r="G619" s="17">
        <v>2025</v>
      </c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41" t="str">
        <f t="shared" si="183"/>
        <v>Incomplete</v>
      </c>
      <c r="AZ619" s="20"/>
      <c r="BA619" s="20" t="str">
        <f t="shared" si="184"/>
        <v>Incomplete</v>
      </c>
      <c r="BB619" s="20"/>
      <c r="BC619" s="20" t="str">
        <f t="shared" si="185"/>
        <v>Incomplete</v>
      </c>
      <c r="BD619" s="20"/>
      <c r="BE619" s="20" t="str">
        <f t="shared" si="186"/>
        <v>Incomplete</v>
      </c>
      <c r="BF619" s="20"/>
      <c r="BG619" s="20">
        <v>10.5</v>
      </c>
      <c r="BH619" s="20">
        <v>32.200000000000003</v>
      </c>
      <c r="BI619" s="20">
        <f>IF(OR(ISBLANK(BG619), ISBLANK(BH619)),"Incomplete",(SUM(BH619-BG619)))</f>
        <v>21.700000000000003</v>
      </c>
      <c r="BJ619" s="20"/>
      <c r="BK619" s="20">
        <v>11</v>
      </c>
      <c r="BL619" s="20"/>
      <c r="BM619" s="20">
        <v>11</v>
      </c>
      <c r="BN619" s="20"/>
      <c r="BO619" s="20"/>
      <c r="BP619" s="20"/>
      <c r="BQ619" s="20"/>
      <c r="BR619" s="20"/>
      <c r="BS619" s="20"/>
      <c r="BT619" s="20"/>
      <c r="BU619" s="20"/>
      <c r="BV619" s="20"/>
      <c r="BW619" s="91" t="str">
        <f t="shared" si="187"/>
        <v>Incomplete</v>
      </c>
      <c r="BX619" s="91" t="str">
        <f>_xlfn.XLOOKUP(BW619,'Normative data'!$V$3:$V$6,'Normative data'!$W$3:$W$6,"Not Found",-1)</f>
        <v>Very low risk</v>
      </c>
      <c r="BY619" s="91" t="str">
        <f t="shared" si="188"/>
        <v>Incomplete</v>
      </c>
      <c r="BZ619" s="91" t="str">
        <f>_xlfn.XLOOKUP(BY619,'Normative data'!$V$3:$V$6,'Normative data'!$W$3:$W$6,"Not Found",-1)</f>
        <v>Very low risk</v>
      </c>
      <c r="CA619" s="20"/>
      <c r="CC619" s="20"/>
      <c r="CE619" s="20"/>
      <c r="CG619" s="20"/>
      <c r="CH619" s="20" t="str">
        <f>_xlfn.XLOOKUP(CG619, 'Normative data'!$S$9:$S$15,'Normative data'!$T$9:$T$15, "Not Found", -1)</f>
        <v>not completed</v>
      </c>
      <c r="CI619" s="20"/>
      <c r="CJ619" s="20" t="str">
        <f>_xlfn.XLOOKUP(CI619, 'Normative data'!$S$9:$S$15, 'Normative data'!$T$9:$T$15, "Not Found", -1)</f>
        <v>not completed</v>
      </c>
      <c r="CK619" s="20" t="s">
        <v>205</v>
      </c>
      <c r="CL619" s="20" t="s">
        <v>354</v>
      </c>
      <c r="CM619" s="21"/>
      <c r="CN619" s="20" t="s">
        <v>483</v>
      </c>
      <c r="CO619" s="20" t="s">
        <v>482</v>
      </c>
      <c r="CQ619" s="20"/>
      <c r="CR619" s="20" t="str" cm="1">
        <f t="array" ref="CR619">IF(OR(ISBLANK(E619),ISBLANK(CQ619)),"Incomplete",_xlfn.XLOOKUP(CQ619,_xlfn.XLOOKUP(E619,'Normative data'!$Y$3:$Y$6,'Normative data'!$Z$3:$AG$6,,-1),'Normative data'!$Z$2:$AG$2,"Not Found",-1))</f>
        <v>Incomplete</v>
      </c>
      <c r="CS619" s="20"/>
      <c r="CT619" s="20"/>
      <c r="CU619" s="20" t="str" cm="1">
        <f t="array" ref="CU619">_xlfn.XLOOKUP(CS619&amp;CT619,(VLOOKUP!$A$3:$A$250)&amp;(VLOOKUP!$B$3:$B$250),VLOOKUP!$C$3:$C$250,"Incomplete",-1)</f>
        <v>Incomplete</v>
      </c>
      <c r="CV619" s="20" t="str" cm="1">
        <f t="array" ref="CV619">_xlfn.XLOOKUP(CU619, _xlfn.XLOOKUP(E619, 'Normative data'!$Y$11:$Y$14, 'Normative data'!$Z$11:$AG$14, ,-1), 'Normative data'!$Z$10:$AG$10, "Not Found", -1)</f>
        <v>Excellent</v>
      </c>
      <c r="CW619" s="20" t="str" cm="1">
        <f t="array" ref="CW619">IF(OR(ISBLANK(CS619),ISBLANK(CT619)),"Incomplete",_xlfn.XLOOKUP(CS619&amp;CT619,VLOOKUP!$A$4:$A$250&amp;VLOOKUP!$B$4:$B$250,VLOOKUP!$D$4:$D$250,"0"))</f>
        <v>Incomplete</v>
      </c>
    </row>
    <row r="620" spans="1:101">
      <c r="A620" s="22" t="s">
        <v>645</v>
      </c>
      <c r="B620" s="22" t="s">
        <v>1243</v>
      </c>
      <c r="C620" s="17" t="s">
        <v>86</v>
      </c>
      <c r="D620" s="23">
        <v>39337</v>
      </c>
      <c r="F620" s="17">
        <v>11</v>
      </c>
      <c r="G620" s="17">
        <v>2025</v>
      </c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41" t="str">
        <f t="shared" si="183"/>
        <v>Incomplete</v>
      </c>
      <c r="AZ620" s="20"/>
      <c r="BA620" s="20" t="str">
        <f t="shared" si="184"/>
        <v>Incomplete</v>
      </c>
      <c r="BB620" s="20"/>
      <c r="BC620" s="20" t="str">
        <f t="shared" si="185"/>
        <v>Incomplete</v>
      </c>
      <c r="BD620" s="20"/>
      <c r="BE620" s="20" t="str">
        <f t="shared" si="186"/>
        <v>Incomplete</v>
      </c>
      <c r="BF620" s="20"/>
      <c r="BG620" s="20">
        <v>12.3</v>
      </c>
      <c r="BH620" s="20">
        <v>36</v>
      </c>
      <c r="BI620" s="20">
        <f>IF(OR(ISBLANK(BG620), ISBLANK(BH620)),"Incomplete",(SUM(BH620-BG620)))</f>
        <v>23.7</v>
      </c>
      <c r="BJ620" s="20"/>
      <c r="BK620" s="20">
        <v>9</v>
      </c>
      <c r="BL620" s="20"/>
      <c r="BM620" s="20">
        <v>11</v>
      </c>
      <c r="BN620" s="20"/>
      <c r="BO620" s="20"/>
      <c r="BP620" s="20"/>
      <c r="BQ620" s="20"/>
      <c r="BR620" s="20"/>
      <c r="BS620" s="20"/>
      <c r="BT620" s="20"/>
      <c r="BU620" s="20"/>
      <c r="BV620" s="20"/>
      <c r="BW620" s="91" t="str">
        <f t="shared" si="187"/>
        <v>Incomplete</v>
      </c>
      <c r="BX620" s="91" t="str">
        <f>_xlfn.XLOOKUP(BW620,'Normative data'!$V$3:$V$6,'Normative data'!$W$3:$W$6,"Not Found",-1)</f>
        <v>Very low risk</v>
      </c>
      <c r="BY620" s="91" t="str">
        <f t="shared" si="188"/>
        <v>Incomplete</v>
      </c>
      <c r="BZ620" s="91" t="str">
        <f>_xlfn.XLOOKUP(BY620,'Normative data'!$V$3:$V$6,'Normative data'!$W$3:$W$6,"Not Found",-1)</f>
        <v>Very low risk</v>
      </c>
      <c r="CA620" s="20"/>
      <c r="CC620" s="20"/>
      <c r="CE620" s="20"/>
      <c r="CG620" s="20"/>
      <c r="CH620" s="20" t="str">
        <f>_xlfn.XLOOKUP(CG620, 'Normative data'!$S$9:$S$15,'Normative data'!$T$9:$T$15, "Not Found", -1)</f>
        <v>not completed</v>
      </c>
      <c r="CI620" s="20"/>
      <c r="CJ620" s="20" t="str">
        <f>_xlfn.XLOOKUP(CI620, 'Normative data'!$S$9:$S$15, 'Normative data'!$T$9:$T$15, "Not Found", -1)</f>
        <v>not completed</v>
      </c>
      <c r="CK620" s="24">
        <v>2.36</v>
      </c>
      <c r="CL620" s="24">
        <v>4.24</v>
      </c>
      <c r="CM620" s="21"/>
      <c r="CN620" s="24">
        <v>6.73</v>
      </c>
      <c r="CO620" s="24">
        <v>7.43</v>
      </c>
      <c r="CP620" s="24"/>
      <c r="CQ620" s="20"/>
      <c r="CR620" s="20" t="str" cm="1">
        <f t="array" ref="CR620">IF(OR(ISBLANK(E620),ISBLANK(CQ620)),"Incomplete",_xlfn.XLOOKUP(CQ620,_xlfn.XLOOKUP(E620,'Normative data'!$Y$3:$Y$6,'Normative data'!$Z$3:$AG$6,,-1),'Normative data'!$Z$2:$AG$2,"Not Found",-1))</f>
        <v>Incomplete</v>
      </c>
      <c r="CS620" s="20"/>
      <c r="CT620" s="20"/>
      <c r="CU620" s="20" t="str" cm="1">
        <f t="array" ref="CU620">_xlfn.XLOOKUP(CS620&amp;CT620,(VLOOKUP!$A$3:$A$250)&amp;(VLOOKUP!$B$3:$B$250),VLOOKUP!$C$3:$C$250,"Incomplete",-1)</f>
        <v>Incomplete</v>
      </c>
      <c r="CV620" s="20" t="str" cm="1">
        <f t="array" ref="CV620">_xlfn.XLOOKUP(CU620, _xlfn.XLOOKUP(E620, 'Normative data'!$Y$11:$Y$14, 'Normative data'!$Z$11:$AG$14, ,-1), 'Normative data'!$Z$10:$AG$10, "Not Found", -1)</f>
        <v>Excellent</v>
      </c>
      <c r="CW620" s="20" t="str" cm="1">
        <f t="array" ref="CW620">IF(OR(ISBLANK(CS620),ISBLANK(CT620)),"Incomplete",_xlfn.XLOOKUP(CS620&amp;CT620,VLOOKUP!$A$4:$A$250&amp;VLOOKUP!$B$4:$B$250,VLOOKUP!$D$4:$D$250,"0"))</f>
        <v>Incomplete</v>
      </c>
    </row>
    <row r="621" spans="1:101">
      <c r="A621" s="18" t="s">
        <v>231</v>
      </c>
      <c r="B621" s="18" t="s">
        <v>232</v>
      </c>
      <c r="C621" s="17" t="s">
        <v>86</v>
      </c>
      <c r="D621" s="19">
        <v>40516</v>
      </c>
      <c r="F621" s="17">
        <v>9</v>
      </c>
      <c r="G621" s="17">
        <v>2025</v>
      </c>
      <c r="S621" s="20"/>
      <c r="T621" s="20">
        <v>173</v>
      </c>
      <c r="U621" s="20">
        <v>53.5</v>
      </c>
      <c r="V621" s="20"/>
      <c r="W621" s="20">
        <v>6.4</v>
      </c>
      <c r="X621" s="20">
        <f>SUM(T621-W621)</f>
        <v>166.6</v>
      </c>
      <c r="Y621" s="20">
        <v>26.1</v>
      </c>
      <c r="Z621" s="20">
        <v>17.899999999999999</v>
      </c>
      <c r="AA621" s="20">
        <v>12</v>
      </c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41" t="str">
        <f t="shared" si="183"/>
        <v>Incomplete</v>
      </c>
      <c r="AZ621" s="20"/>
      <c r="BA621" s="20" t="str">
        <f t="shared" si="184"/>
        <v>Incomplete</v>
      </c>
      <c r="BB621" s="20"/>
      <c r="BC621" s="20" t="str">
        <f t="shared" si="185"/>
        <v>Incomplete</v>
      </c>
      <c r="BD621" s="20"/>
      <c r="BE621" s="20" t="str">
        <f t="shared" si="186"/>
        <v>Incomplete</v>
      </c>
      <c r="BF621" s="20"/>
      <c r="BG621" s="20">
        <v>7</v>
      </c>
      <c r="BH621" s="20">
        <v>22.5</v>
      </c>
      <c r="BI621" s="20" t="e">
        <f>IF(OR(ISBLANK(#REF!), ISBLANK(#REF!)),"Incomplete",(SUM(#REF!-#REF!)))</f>
        <v>#REF!</v>
      </c>
      <c r="BJ621" s="20"/>
      <c r="BK621" s="20">
        <v>7</v>
      </c>
      <c r="BL621" s="20"/>
      <c r="BM621" s="20">
        <v>7</v>
      </c>
      <c r="BN621" s="20"/>
      <c r="BO621" s="20"/>
      <c r="BP621" s="20"/>
      <c r="BQ621" s="20"/>
      <c r="BR621" s="20"/>
      <c r="BS621" s="20"/>
      <c r="BT621" s="20"/>
      <c r="BU621" s="20"/>
      <c r="BV621" s="20"/>
      <c r="BW621" s="91">
        <f t="shared" si="187"/>
        <v>0</v>
      </c>
      <c r="BX621" s="91" t="str">
        <f>_xlfn.XLOOKUP(BW621,'Normative data'!$V$3:$V$6,'Normative data'!$W$3:$W$6,"Not Found",-1)</f>
        <v>Not completed</v>
      </c>
      <c r="BY621" s="91">
        <f t="shared" si="188"/>
        <v>0</v>
      </c>
      <c r="BZ621" s="91" t="str">
        <f>_xlfn.XLOOKUP(BY621,'Normative data'!$V$3:$V$6,'Normative data'!$W$3:$W$6,"Not Found",-1)</f>
        <v>Not completed</v>
      </c>
      <c r="CA621" s="20"/>
      <c r="CC621" s="20"/>
      <c r="CE621" s="20">
        <v>28</v>
      </c>
      <c r="CG621" s="20"/>
      <c r="CH621" s="20" t="str">
        <f>_xlfn.XLOOKUP(CG621, 'Normative data'!$S$9:$S$15,'Normative data'!$T$9:$T$15, "Not Found", -1)</f>
        <v>not completed</v>
      </c>
      <c r="CI621" s="20"/>
      <c r="CJ621" s="20" t="str">
        <f>_xlfn.XLOOKUP(CI621, 'Normative data'!$S$9:$S$15, 'Normative data'!$T$9:$T$15, "Not Found", -1)</f>
        <v>not completed</v>
      </c>
      <c r="CK621" s="21">
        <v>2.16</v>
      </c>
      <c r="CL621" s="21">
        <v>4.63</v>
      </c>
      <c r="CM621" s="21"/>
      <c r="CN621" s="21">
        <v>6.48</v>
      </c>
      <c r="CO621" s="21">
        <v>7.22</v>
      </c>
      <c r="CP621" s="21"/>
      <c r="CQ621" s="20"/>
      <c r="CR621" s="20" t="str" cm="1">
        <f t="array" ref="CR621">IF(OR(ISBLANK(E621),ISBLANK(CQ621)),"Incomplete",_xlfn.XLOOKUP(CQ621,_xlfn.XLOOKUP(E621,'Normative data'!$Y$3:$Y$6,'Normative data'!$Z$3:$AG$6,,-1),'Normative data'!$Z$2:$AG$2,"Not Found",-1))</f>
        <v>Incomplete</v>
      </c>
      <c r="CS621" s="20"/>
      <c r="CT621" s="20"/>
      <c r="CU621" s="20" t="str" cm="1">
        <f t="array" ref="CU621">_xlfn.XLOOKUP(CS621&amp;CT621,(VLOOKUP!$A$3:$A$250)&amp;(VLOOKUP!$B$3:$B$250),VLOOKUP!$C$3:$C$250,"Incomplete",-1)</f>
        <v>Incomplete</v>
      </c>
      <c r="CV621" s="20" t="str" cm="1">
        <f t="array" ref="CV621">_xlfn.XLOOKUP(CU621, _xlfn.XLOOKUP(E621, 'Normative data'!$Y$11:$Y$14, 'Normative data'!$Z$11:$AG$14, ,-1), 'Normative data'!$Z$10:$AG$10, "Not Found", -1)</f>
        <v>Excellent</v>
      </c>
      <c r="CW621" s="20" t="str" cm="1">
        <f t="array" ref="CW621">IF(OR(ISBLANK(CS621),ISBLANK(CT621)),"Incomplete",_xlfn.XLOOKUP(CS621&amp;CT621,VLOOKUP!$A$4:$A$250&amp;VLOOKUP!$B$4:$B$250,VLOOKUP!$D$4:$D$250,"0"))</f>
        <v>Incomplete</v>
      </c>
    </row>
    <row r="622" spans="1:101">
      <c r="A622" s="17" t="s">
        <v>1244</v>
      </c>
      <c r="B622" s="17" t="s">
        <v>1245</v>
      </c>
      <c r="C622" s="17" t="s">
        <v>86</v>
      </c>
      <c r="D622" s="26">
        <v>40317</v>
      </c>
      <c r="F622" s="20" t="s">
        <v>186</v>
      </c>
      <c r="G622" s="17">
        <v>2026</v>
      </c>
      <c r="I622" s="20">
        <v>2</v>
      </c>
      <c r="J622" s="20" t="s">
        <v>100</v>
      </c>
      <c r="K622" s="20" t="s">
        <v>105</v>
      </c>
      <c r="L622" s="20"/>
      <c r="S622" s="20"/>
      <c r="T622" s="20"/>
      <c r="AY622" s="41" t="str">
        <f t="shared" si="183"/>
        <v>Incomplete</v>
      </c>
      <c r="BA622" s="20" t="str">
        <f t="shared" si="184"/>
        <v>Incomplete</v>
      </c>
      <c r="BC622" s="20" t="str">
        <f t="shared" si="185"/>
        <v>Incomplete</v>
      </c>
      <c r="BE622" s="20" t="str">
        <f t="shared" si="186"/>
        <v>Incomplete</v>
      </c>
      <c r="BH622" s="20"/>
      <c r="BI622" s="20" t="str">
        <f>IF(OR(ISBLANK(BG622), ISBLANK(BH622)),"Incomplete",(SUM(BH622-BG622)))</f>
        <v>Incomplete</v>
      </c>
      <c r="BJ622" s="20"/>
      <c r="BK622" s="17">
        <v>2.5</v>
      </c>
      <c r="BL622" s="20"/>
      <c r="BM622" s="17">
        <v>7</v>
      </c>
      <c r="BN622" s="20"/>
      <c r="BW622" s="91" t="str">
        <f t="shared" si="187"/>
        <v>Incomplete</v>
      </c>
      <c r="BX622" s="91" t="str">
        <f>_xlfn.XLOOKUP(BW622,'Normative data'!$V$3:$V$6,'Normative data'!$W$3:$W$6,"Not Found",-1)</f>
        <v>Very low risk</v>
      </c>
      <c r="BY622" s="91" t="str">
        <f t="shared" si="188"/>
        <v>Incomplete</v>
      </c>
      <c r="BZ622" s="91" t="str">
        <f>_xlfn.XLOOKUP(BY622,'Normative data'!$V$3:$V$6,'Normative data'!$W$3:$W$6,"Not Found",-1)</f>
        <v>Very low risk</v>
      </c>
      <c r="CA622" s="20"/>
      <c r="CC622" s="20"/>
      <c r="CE622" s="17">
        <v>42</v>
      </c>
      <c r="CG622" s="17">
        <v>18.05</v>
      </c>
      <c r="CH622" s="20" t="str">
        <f>_xlfn.XLOOKUP(CG622, 'Normative data'!$S$9:$S$15,'Normative data'!$T$9:$T$15, "Not Found", -1)</f>
        <v>Average</v>
      </c>
      <c r="CI622" s="17">
        <v>17.66</v>
      </c>
      <c r="CJ622" s="20" t="str">
        <f>_xlfn.XLOOKUP(CI622, 'Normative data'!$S$9:$S$15, 'Normative data'!$T$9:$T$15, "Not Found", -1)</f>
        <v>Above Average</v>
      </c>
      <c r="CK622" s="17">
        <v>2.13</v>
      </c>
      <c r="CL622" s="17">
        <v>4.6900000000000004</v>
      </c>
      <c r="CN622" s="17">
        <v>6.4</v>
      </c>
      <c r="CO622" s="17">
        <v>7.81</v>
      </c>
      <c r="CQ622" s="17">
        <v>7.6</v>
      </c>
      <c r="CR622" s="20" t="str" cm="1">
        <f t="array" ref="CR622">IF(OR(ISBLANK(E622),ISBLANK(CQ622)),"Incomplete",_xlfn.XLOOKUP(CQ622,_xlfn.XLOOKUP(E622,'Normative data'!$Y$3:$Y$6,'Normative data'!$Z$3:$AG$6,,-1),'Normative data'!$Z$2:$AG$2,"Not Found",-1))</f>
        <v>Incomplete</v>
      </c>
      <c r="CS622" s="20">
        <v>7</v>
      </c>
      <c r="CT622" s="20">
        <v>6</v>
      </c>
      <c r="CU622" s="20" cm="1">
        <f t="array" ref="CU622">_xlfn.XLOOKUP(CS622&amp;CT622,(VLOOKUP!$A$3:$A$250)&amp;(VLOOKUP!$B$3:$B$250),VLOOKUP!$C$3:$C$250,"Incomplete",-1)</f>
        <v>1140</v>
      </c>
      <c r="CV622" s="20" t="str" cm="1">
        <f t="array" ref="CV622">_xlfn.XLOOKUP(CU622, _xlfn.XLOOKUP(E622, 'Normative data'!$Y$11:$Y$14, 'Normative data'!$Z$11:$AG$14, ,-1), 'Normative data'!$Z$10:$AG$10, "Not Found", -1)</f>
        <v>Average</v>
      </c>
      <c r="CW622" s="20" cm="1">
        <f t="array" ref="CW622">IF(OR(ISBLANK(CS622),ISBLANK(CT622)),"Incomplete",_xlfn.XLOOKUP(CS622&amp;CT622,VLOOKUP!$A$4:$A$250&amp;VLOOKUP!$B$4:$B$250,VLOOKUP!$D$4:$D$250,"0"))</f>
        <v>38</v>
      </c>
    </row>
    <row r="623" spans="1:101">
      <c r="A623" s="17" t="s">
        <v>1246</v>
      </c>
      <c r="B623" s="17" t="s">
        <v>1247</v>
      </c>
      <c r="C623" s="17" t="s">
        <v>86</v>
      </c>
      <c r="D623" s="26">
        <v>40505</v>
      </c>
      <c r="F623" s="20" t="s">
        <v>99</v>
      </c>
      <c r="G623" s="17">
        <v>2026</v>
      </c>
      <c r="I623" s="20">
        <v>2</v>
      </c>
      <c r="J623" s="20"/>
      <c r="K623" s="20"/>
      <c r="L623" s="20"/>
      <c r="S623" s="20"/>
      <c r="T623" s="20"/>
      <c r="AQ623" s="20"/>
      <c r="AR623" s="20"/>
      <c r="AS623" s="20"/>
      <c r="AT623" s="20"/>
      <c r="AU623" s="20"/>
      <c r="AV623" s="20"/>
      <c r="AW623" s="20"/>
      <c r="AX623" s="20"/>
      <c r="AY623" s="41" t="str">
        <f t="shared" si="183"/>
        <v>Incomplete</v>
      </c>
      <c r="BA623" s="20" t="str">
        <f t="shared" si="184"/>
        <v>Incomplete</v>
      </c>
      <c r="BC623" s="20" t="str">
        <f t="shared" si="185"/>
        <v>Incomplete</v>
      </c>
      <c r="BE623" s="20" t="str">
        <f t="shared" si="186"/>
        <v>Incomplete</v>
      </c>
      <c r="BH623" s="20"/>
      <c r="BI623" s="20" t="str">
        <f>IF(OR(ISBLANK(BG623), ISBLANK(BH623)),"Incomplete",(SUM(BH623-BG623)))</f>
        <v>Incomplete</v>
      </c>
      <c r="BJ623" s="20"/>
      <c r="BL623" s="20"/>
      <c r="BM623" s="20"/>
      <c r="BN623" s="20"/>
      <c r="BW623" s="91" t="str">
        <f t="shared" si="187"/>
        <v>Incomplete</v>
      </c>
      <c r="BX623" s="91" t="str">
        <f>_xlfn.XLOOKUP(BW623,'Normative data'!$V$3:$V$6,'Normative data'!$W$3:$W$6,"Not Found",-1)</f>
        <v>Very low risk</v>
      </c>
      <c r="BY623" s="91" t="str">
        <f t="shared" si="188"/>
        <v>Incomplete</v>
      </c>
      <c r="BZ623" s="91" t="str">
        <f>_xlfn.XLOOKUP(BY623,'Normative data'!$V$3:$V$6,'Normative data'!$W$3:$W$6,"Not Found",-1)</f>
        <v>Very low risk</v>
      </c>
      <c r="CA623" s="20"/>
      <c r="CC623" s="20"/>
      <c r="CE623" s="17">
        <v>10</v>
      </c>
      <c r="CG623" s="17">
        <v>20.36</v>
      </c>
      <c r="CH623" s="20" t="str">
        <f>_xlfn.XLOOKUP(CG623, 'Normative data'!$S$9:$S$15,'Normative data'!$T$9:$T$15, "Not Found", -1)</f>
        <v>Average</v>
      </c>
      <c r="CI623" s="17">
        <v>20.25</v>
      </c>
      <c r="CJ623" s="20" t="str">
        <f>_xlfn.XLOOKUP(CI623, 'Normative data'!$S$9:$S$15, 'Normative data'!$T$9:$T$15, "Not Found", -1)</f>
        <v>Average</v>
      </c>
      <c r="CK623" s="17">
        <v>2.39</v>
      </c>
      <c r="CL623" s="17">
        <v>4.18</v>
      </c>
      <c r="CN623" s="17">
        <v>7.82</v>
      </c>
      <c r="CO623" s="17">
        <v>6.39</v>
      </c>
      <c r="CQ623" s="17">
        <v>4.5999999999999996</v>
      </c>
      <c r="CR623" s="20" t="str" cm="1">
        <f t="array" ref="CR623">IF(OR(ISBLANK(E623),ISBLANK(CQ623)),"Incomplete",_xlfn.XLOOKUP(CQ623,_xlfn.XLOOKUP(E623,'Normative data'!$Y$3:$Y$6,'Normative data'!$Z$3:$AG$6,,-1),'Normative data'!$Z$2:$AG$2,"Not Found",-1))</f>
        <v>Incomplete</v>
      </c>
      <c r="CS623" s="20">
        <v>4</v>
      </c>
      <c r="CT623" s="20">
        <v>6</v>
      </c>
      <c r="CU623" s="20" cm="1">
        <f t="array" ref="CU623">_xlfn.XLOOKUP(CS623&amp;CT623,(VLOOKUP!$A$3:$A$250)&amp;(VLOOKUP!$B$3:$B$250),VLOOKUP!$C$3:$C$250,"Incomplete",-1)</f>
        <v>580</v>
      </c>
      <c r="CV623" s="20" t="str" cm="1">
        <f t="array" ref="CV623">_xlfn.XLOOKUP(CU623, _xlfn.XLOOKUP(E623, 'Normative data'!$Y$11:$Y$14, 'Normative data'!$Z$11:$AG$14, ,-1), 'Normative data'!$Z$10:$AG$10, "Not Found", -1)</f>
        <v xml:space="preserve">Poor </v>
      </c>
      <c r="CW623" s="20" cm="1">
        <f t="array" ref="CW623">IF(OR(ISBLANK(CS623),ISBLANK(CT623)),"Incomplete",_xlfn.XLOOKUP(CS623&amp;CT623,VLOOKUP!$A$4:$A$250&amp;VLOOKUP!$B$4:$B$250,VLOOKUP!$D$4:$D$250,"0"))</f>
        <v>28</v>
      </c>
    </row>
    <row r="624" spans="1:101">
      <c r="A624" s="18" t="s">
        <v>877</v>
      </c>
      <c r="B624" s="18" t="s">
        <v>1017</v>
      </c>
      <c r="C624" s="17" t="s">
        <v>86</v>
      </c>
      <c r="D624" s="19">
        <v>40634</v>
      </c>
      <c r="F624" s="17">
        <v>8</v>
      </c>
      <c r="G624" s="17">
        <v>2025</v>
      </c>
      <c r="J624" s="17" t="s">
        <v>122</v>
      </c>
      <c r="S624" s="20"/>
      <c r="T624" s="20">
        <v>163</v>
      </c>
      <c r="U624" s="20">
        <v>57</v>
      </c>
      <c r="V624" s="20"/>
      <c r="W624" s="20">
        <v>15.8</v>
      </c>
      <c r="X624" s="20">
        <f>SUM(T624-W624)</f>
        <v>147.19999999999999</v>
      </c>
      <c r="Y624" s="20">
        <v>22.5</v>
      </c>
      <c r="Z624" s="20">
        <v>21.5</v>
      </c>
      <c r="AA624" s="20">
        <v>27.7</v>
      </c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41" t="str">
        <f t="shared" si="183"/>
        <v>Incomplete</v>
      </c>
      <c r="AZ624" s="20"/>
      <c r="BA624" s="20" t="str">
        <f t="shared" si="184"/>
        <v>Incomplete</v>
      </c>
      <c r="BB624" s="20"/>
      <c r="BC624" s="20" t="str">
        <f t="shared" si="185"/>
        <v>Incomplete</v>
      </c>
      <c r="BD624" s="20"/>
      <c r="BE624" s="20" t="str">
        <f t="shared" si="186"/>
        <v>Incomplete</v>
      </c>
      <c r="BF624" s="20"/>
      <c r="BG624" s="20">
        <v>18</v>
      </c>
      <c r="BH624" s="20">
        <v>29</v>
      </c>
      <c r="BI624" s="20" t="e">
        <f>IF(OR(ISBLANK(#REF!), ISBLANK(#REF!)),"Incomplete",(SUM(#REF!-#REF!)))</f>
        <v>#REF!</v>
      </c>
      <c r="BJ624" s="20"/>
      <c r="BK624" s="20">
        <v>4</v>
      </c>
      <c r="BL624" s="20"/>
      <c r="BM624" s="20">
        <v>2</v>
      </c>
      <c r="BN624" s="20"/>
      <c r="BO624" s="20"/>
      <c r="BP624" s="20"/>
      <c r="BQ624" s="20"/>
      <c r="BR624" s="20"/>
      <c r="BS624" s="20"/>
      <c r="BT624" s="20"/>
      <c r="BU624" s="20"/>
      <c r="BV624" s="20"/>
      <c r="BW624" s="91">
        <f t="shared" si="187"/>
        <v>0</v>
      </c>
      <c r="BX624" s="91" t="str">
        <f>_xlfn.XLOOKUP(BW624,'Normative data'!$V$3:$V$6,'Normative data'!$W$3:$W$6,"Not Found",-1)</f>
        <v>Not completed</v>
      </c>
      <c r="BY624" s="91">
        <f t="shared" si="188"/>
        <v>0</v>
      </c>
      <c r="BZ624" s="91" t="str">
        <f>_xlfn.XLOOKUP(BY624,'Normative data'!$V$3:$V$6,'Normative data'!$W$3:$W$6,"Not Found",-1)</f>
        <v>Not completed</v>
      </c>
      <c r="CA624" s="20"/>
      <c r="CC624" s="20"/>
      <c r="CE624" s="20">
        <v>25</v>
      </c>
      <c r="CG624" s="20">
        <v>19.489999999999998</v>
      </c>
      <c r="CH624" s="20" t="e">
        <f>_xlfn.XLOOKUP(#REF!, 'Normative data'!$S$9:$S$15,'Normative data'!$T$9:$T$15, "Not Found", -1)</f>
        <v>#REF!</v>
      </c>
      <c r="CI624" s="20">
        <v>19.54</v>
      </c>
      <c r="CJ624" s="20" t="e">
        <f>_xlfn.XLOOKUP(#REF!, 'Normative data'!$S$9:$S$15, 'Normative data'!$T$9:$T$15, "Not Found", -1)</f>
        <v>#REF!</v>
      </c>
      <c r="CK624" s="21">
        <v>2.36</v>
      </c>
      <c r="CL624" s="21">
        <v>4.24</v>
      </c>
      <c r="CM624" s="21"/>
      <c r="CN624" s="21">
        <v>7.15</v>
      </c>
      <c r="CO624" s="21">
        <v>6.99</v>
      </c>
      <c r="CP624" s="21"/>
      <c r="CQ624" s="20"/>
      <c r="CR624" s="20" t="str" cm="1">
        <f t="array" ref="CR624">IF(OR(ISBLANK(E624),ISBLANK(CQ624)),"Incomplete",_xlfn.XLOOKUP(CQ624,_xlfn.XLOOKUP(E624,'Normative data'!$Y$3:$Y$6,'Normative data'!$Z$3:$AG$6,,-1),'Normative data'!$Z$2:$AG$2,"Not Found",-1))</f>
        <v>Incomplete</v>
      </c>
      <c r="CS624" s="20"/>
      <c r="CT624" s="20"/>
      <c r="CU624" s="20" t="str" cm="1">
        <f t="array" ref="CU624">_xlfn.XLOOKUP(CS624&amp;CT624,(VLOOKUP!$A$3:$A$250)&amp;(VLOOKUP!$B$3:$B$250),VLOOKUP!$C$3:$C$250,"Incomplete",-1)</f>
        <v>Incomplete</v>
      </c>
      <c r="CV624" s="20" t="str" cm="1">
        <f t="array" ref="CV624">_xlfn.XLOOKUP(CU624, _xlfn.XLOOKUP(E624, 'Normative data'!$Y$11:$Y$14, 'Normative data'!$Z$11:$AG$14, ,-1), 'Normative data'!$Z$10:$AG$10, "Not Found", -1)</f>
        <v>Excellent</v>
      </c>
      <c r="CW624" s="20" t="str" cm="1">
        <f t="array" ref="CW624">IF(OR(ISBLANK(CS624),ISBLANK(CT624)),"Incomplete",_xlfn.XLOOKUP(CS624&amp;CT624,VLOOKUP!$A$4:$A$250&amp;VLOOKUP!$B$4:$B$250,VLOOKUP!$D$4:$D$250,"0"))</f>
        <v>Incomplete</v>
      </c>
    </row>
    <row r="625" spans="1:101">
      <c r="A625" s="18" t="s">
        <v>877</v>
      </c>
      <c r="B625" s="18" t="s">
        <v>1017</v>
      </c>
      <c r="C625" s="17" t="s">
        <v>86</v>
      </c>
      <c r="D625" s="19">
        <v>40634</v>
      </c>
      <c r="F625" s="17">
        <v>8</v>
      </c>
      <c r="G625" s="17">
        <v>2025</v>
      </c>
      <c r="S625" s="20"/>
      <c r="T625" s="20" t="s">
        <v>1248</v>
      </c>
      <c r="U625" s="20" t="s">
        <v>1249</v>
      </c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41" t="str">
        <f>IF(OR(ISBLANK(#REF!), ISBLANK(AQ625)), "Incomplete", (60.7*AQ625)+(45.3*#REF!)-2055)</f>
        <v>Incomplete</v>
      </c>
      <c r="AZ625" s="20"/>
      <c r="BA625" s="20" t="str">
        <f>IF(OR(ISBLANK(#REF!), ISBLANK(AS625)), "Incomplete", (60.7*AS625)+(45.3*#REF!)-2055)</f>
        <v>Incomplete</v>
      </c>
      <c r="BB625" s="20"/>
      <c r="BC625" s="20" t="str">
        <f>IF(OR(ISBLANK(#REF!), ISBLANK(AU625)), "Incomplete", (60.7*AU625)+(45.3*#REF!)-2055)</f>
        <v>Incomplete</v>
      </c>
      <c r="BD625" s="20"/>
      <c r="BE625" s="20" t="str">
        <f>IF(OR(ISBLANK(#REF!), ISBLANK(AW625)), "Incomplete", (60.7*AW625)+(45.3*#REF!)-2055)</f>
        <v>Incomplete</v>
      </c>
      <c r="BF625" s="20"/>
      <c r="BI625" s="20">
        <f>IF(OR(ISBLANK(BG624), ISBLANK(BH624)),"Incomplete",(SUM(BH624-BG624)))</f>
        <v>11</v>
      </c>
      <c r="BJ625" s="20"/>
      <c r="BK625" s="20">
        <v>1</v>
      </c>
      <c r="BL625" s="20"/>
      <c r="BM625" s="20">
        <v>1</v>
      </c>
      <c r="BN625" s="20"/>
      <c r="BO625" s="20"/>
      <c r="BP625" s="20"/>
      <c r="BQ625" s="20"/>
      <c r="BR625" s="20"/>
      <c r="BS625" s="20"/>
      <c r="BT625" s="20"/>
      <c r="BU625" s="20"/>
      <c r="BV625" s="20"/>
      <c r="BW625" s="91" t="str">
        <f>IFERROR(SUM(BQ625+BR625+BS625)/(3*(#REF!-S625))*100, "Incomplete")</f>
        <v>Incomplete</v>
      </c>
      <c r="BX625" s="91" t="str">
        <f>_xlfn.XLOOKUP(BW625,'Normative data'!$V$3:$V$6,'Normative data'!$W$3:$W$6,"Not Found",-1)</f>
        <v>Very low risk</v>
      </c>
      <c r="BY625" s="91" t="str">
        <f>IFERROR(SUM(BT625+BU625+BV625)/(3*(#REF!-S625))*100, "Incomplete")</f>
        <v>Incomplete</v>
      </c>
      <c r="BZ625" s="91" t="str">
        <f>_xlfn.XLOOKUP(BY625,'Normative data'!$V$3:$V$6,'Normative data'!$W$3:$W$6,"Not Found",-1)</f>
        <v>Very low risk</v>
      </c>
      <c r="CA625" s="20"/>
      <c r="CC625" s="20"/>
      <c r="CE625" s="20"/>
      <c r="CG625" s="20">
        <v>18.77</v>
      </c>
      <c r="CH625" s="20" t="e">
        <f>_xlfn.XLOOKUP(#REF!, 'Normative data'!$S$9:$S$15,'Normative data'!$T$9:$T$15, "Not Found", -1)</f>
        <v>#REF!</v>
      </c>
      <c r="CI625" s="20">
        <v>18.399999999999999</v>
      </c>
      <c r="CJ625" s="20" t="e">
        <f>_xlfn.XLOOKUP(#REF!, 'Normative data'!$S$9:$S$15, 'Normative data'!$T$9:$T$15, "Not Found", -1)</f>
        <v>#REF!</v>
      </c>
      <c r="CK625" s="21"/>
      <c r="CL625" s="21"/>
      <c r="CM625" s="21"/>
      <c r="CN625" s="21"/>
      <c r="CO625" s="21"/>
      <c r="CP625" s="21"/>
      <c r="CQ625" s="20"/>
      <c r="CR625" s="20" t="str" cm="1">
        <f t="array" ref="CR625">IF(OR(ISBLANK(E625),ISBLANK(CQ625)),"Incomplete",_xlfn.XLOOKUP(CQ625,_xlfn.XLOOKUP(E625,'Normative data'!$Y$3:$Y$6,'Normative data'!$Z$3:$AG$6,,-1),'Normative data'!$Z$2:$AG$2,"Not Found",-1))</f>
        <v>Incomplete</v>
      </c>
      <c r="CS625" s="20"/>
      <c r="CT625" s="20"/>
      <c r="CU625" s="20" t="str" cm="1">
        <f t="array" ref="CU625">_xlfn.XLOOKUP(CS625&amp;CT625,(VLOOKUP!$A$3:$A$250)&amp;(VLOOKUP!$B$3:$B$250),VLOOKUP!$C$3:$C$250,"Incomplete",-1)</f>
        <v>Incomplete</v>
      </c>
      <c r="CV625" s="20" t="str" cm="1">
        <f t="array" ref="CV625">_xlfn.XLOOKUP(CU625, _xlfn.XLOOKUP(E625, 'Normative data'!$Y$11:$Y$14, 'Normative data'!$Z$11:$AG$14, ,-1), 'Normative data'!$Z$10:$AG$10, "Not Found", -1)</f>
        <v>Excellent</v>
      </c>
      <c r="CW625" s="20" t="str" cm="1">
        <f t="array" ref="CW625">IF(OR(ISBLANK(CS625),ISBLANK(CT625)),"Incomplete",_xlfn.XLOOKUP(CS625&amp;CT625,VLOOKUP!$A$4:$A$250&amp;VLOOKUP!$B$4:$B$250,VLOOKUP!$D$4:$D$250,"0"))</f>
        <v>Incomplete</v>
      </c>
    </row>
    <row r="626" spans="1:101">
      <c r="A626" s="22" t="s">
        <v>976</v>
      </c>
      <c r="B626" s="22" t="s">
        <v>977</v>
      </c>
      <c r="C626" s="17" t="s">
        <v>86</v>
      </c>
      <c r="D626" s="23">
        <v>39553</v>
      </c>
      <c r="F626" s="17">
        <v>11</v>
      </c>
      <c r="G626" s="17">
        <v>2025</v>
      </c>
      <c r="J626" s="17" t="s">
        <v>122</v>
      </c>
      <c r="S626" s="20"/>
      <c r="T626" s="20">
        <v>163.5</v>
      </c>
      <c r="U626" s="20">
        <v>55.5</v>
      </c>
      <c r="V626" s="20"/>
      <c r="W626" s="20">
        <v>10.1</v>
      </c>
      <c r="X626" s="20">
        <f>SUM(T626-W626)</f>
        <v>153.4</v>
      </c>
      <c r="Y626" s="20">
        <v>25.5</v>
      </c>
      <c r="Z626" s="20">
        <v>20.8</v>
      </c>
      <c r="AA626" s="20">
        <v>18.2</v>
      </c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>
        <v>35</v>
      </c>
      <c r="AR626" s="20">
        <v>0.53400000000000003</v>
      </c>
      <c r="AS626" s="20">
        <v>35.299999999999997</v>
      </c>
      <c r="AT626" s="20">
        <v>0.53700000000000003</v>
      </c>
      <c r="AU626" s="20">
        <v>22.2</v>
      </c>
      <c r="AV626" s="20">
        <v>0.42599999999999999</v>
      </c>
      <c r="AW626" s="20">
        <v>20.5</v>
      </c>
      <c r="AX626" s="20">
        <v>0.40899999999999997</v>
      </c>
      <c r="AY626" s="41">
        <f>IF(OR(ISBLANK(U626), ISBLANK(AQ626)), "Incomplete", (60.7*AQ626)+(45.3*U626)-2055)</f>
        <v>2583.6499999999996</v>
      </c>
      <c r="AZ626" s="20"/>
      <c r="BA626" s="20">
        <f>IF(OR(ISBLANK(U626), ISBLANK(AS626)), "Incomplete", (60.7*AS626)+(45.3*U626)-2055)</f>
        <v>2601.8599999999997</v>
      </c>
      <c r="BB626" s="20"/>
      <c r="BC626" s="20">
        <f>IF(OR(ISBLANK(U626), ISBLANK(AU626)), "Incomplete", (60.7*AU626)+(45.3*U626)-2055)</f>
        <v>1806.6899999999996</v>
      </c>
      <c r="BD626" s="20"/>
      <c r="BE626" s="20">
        <f>IF(OR(ISBLANK(U626), ISBLANK(AW626)), "Incomplete", (60.7*AW626)+(45.3*U626)-2055)</f>
        <v>1703.5</v>
      </c>
      <c r="BF626" s="20"/>
      <c r="BG626" s="20">
        <v>12</v>
      </c>
      <c r="BH626" s="20">
        <v>33</v>
      </c>
      <c r="BI626" s="20" t="e">
        <f>IF(OR(ISBLANK(#REF!), ISBLANK(#REF!)),"Incomplete",(SUM(#REF!-#REF!)))</f>
        <v>#REF!</v>
      </c>
      <c r="BJ626" s="20"/>
      <c r="BK626" s="20">
        <v>6</v>
      </c>
      <c r="BL626" s="20"/>
      <c r="BM626" s="20">
        <v>7</v>
      </c>
      <c r="BN626" s="20"/>
      <c r="BO626" s="20"/>
      <c r="BP626" s="20"/>
      <c r="BQ626" s="20"/>
      <c r="BR626" s="20"/>
      <c r="BS626" s="20"/>
      <c r="BT626" s="20"/>
      <c r="BU626" s="20"/>
      <c r="BV626" s="20"/>
      <c r="BW626" s="91">
        <f>IFERROR(SUM(BQ626+BR626+BS626)/(3*(T626-S626))*100, "Incomplete")</f>
        <v>0</v>
      </c>
      <c r="BX626" s="91" t="str">
        <f>_xlfn.XLOOKUP(BW626,'Normative data'!$V$3:$V$6,'Normative data'!$W$3:$W$6,"Not Found",-1)</f>
        <v>Not completed</v>
      </c>
      <c r="BY626" s="91">
        <f>IFERROR(SUM(BT626+BU626+BV626)/(3*(T626-S626))*100, "Incomplete")</f>
        <v>0</v>
      </c>
      <c r="BZ626" s="91" t="str">
        <f>_xlfn.XLOOKUP(BY626,'Normative data'!$V$3:$V$6,'Normative data'!$W$3:$W$6,"Not Found",-1)</f>
        <v>Not completed</v>
      </c>
      <c r="CA626" s="20"/>
      <c r="CC626" s="20"/>
      <c r="CE626" s="20"/>
      <c r="CG626" s="20">
        <v>17.34</v>
      </c>
      <c r="CH626" s="20" t="e">
        <f>_xlfn.XLOOKUP(#REF!, 'Normative data'!$S$9:$S$15,'Normative data'!$T$9:$T$15, "Not Found", -1)</f>
        <v>#REF!</v>
      </c>
      <c r="CI626" s="20">
        <v>17.59</v>
      </c>
      <c r="CJ626" s="20" t="e">
        <f>_xlfn.XLOOKUP(#REF!, 'Normative data'!$S$9:$S$15, 'Normative data'!$T$9:$T$15, "Not Found", -1)</f>
        <v>#REF!</v>
      </c>
      <c r="CK626" s="24">
        <v>2.2400000000000002</v>
      </c>
      <c r="CL626" s="24">
        <v>4.46</v>
      </c>
      <c r="CM626" s="21"/>
      <c r="CN626" s="24">
        <v>6.54</v>
      </c>
      <c r="CO626" s="24">
        <v>7.65</v>
      </c>
      <c r="CQ626" s="20"/>
      <c r="CR626" s="20" t="str" cm="1">
        <f t="array" ref="CR626">IF(OR(ISBLANK(E626),ISBLANK(CQ626)),"Incomplete",_xlfn.XLOOKUP(CQ626,_xlfn.XLOOKUP(E626,'Normative data'!$Y$3:$Y$6,'Normative data'!$Z$3:$AG$6,,-1),'Normative data'!$Z$2:$AG$2,"Not Found",-1))</f>
        <v>Incomplete</v>
      </c>
      <c r="CS626" s="20"/>
      <c r="CT626" s="20"/>
      <c r="CU626" s="20" t="str" cm="1">
        <f t="array" ref="CU626">_xlfn.XLOOKUP(CS626&amp;CT626,(VLOOKUP!$A$3:$A$250)&amp;(VLOOKUP!$B$3:$B$250),VLOOKUP!$C$3:$C$250,"Incomplete",-1)</f>
        <v>Incomplete</v>
      </c>
      <c r="CV626" s="20" t="str" cm="1">
        <f t="array" ref="CV626">_xlfn.XLOOKUP(CU626, _xlfn.XLOOKUP(E626, 'Normative data'!$Y$11:$Y$14, 'Normative data'!$Z$11:$AG$14, ,-1), 'Normative data'!$Z$10:$AG$10, "Not Found", -1)</f>
        <v>Excellent</v>
      </c>
      <c r="CW626" s="20" t="str" cm="1">
        <f t="array" ref="CW626">IF(OR(ISBLANK(CS626),ISBLANK(CT626)),"Incomplete",_xlfn.XLOOKUP(CS626&amp;CT626,VLOOKUP!$A$4:$A$250&amp;VLOOKUP!$B$4:$B$250,VLOOKUP!$D$4:$D$250,"0"))</f>
        <v>Incomplete</v>
      </c>
    </row>
    <row r="627" spans="1:101">
      <c r="A627" s="22" t="s">
        <v>976</v>
      </c>
      <c r="B627" s="22" t="s">
        <v>977</v>
      </c>
      <c r="C627" s="17" t="s">
        <v>86</v>
      </c>
      <c r="D627" s="23">
        <v>39553</v>
      </c>
      <c r="F627" s="17">
        <v>11</v>
      </c>
      <c r="G627" s="17">
        <v>2025</v>
      </c>
      <c r="J627" s="17" t="s">
        <v>122</v>
      </c>
      <c r="S627" s="20"/>
      <c r="T627" s="20">
        <v>164</v>
      </c>
      <c r="U627" s="20" t="s">
        <v>1250</v>
      </c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41" t="str">
        <f>IF(OR(ISBLANK(#REF!), ISBLANK(AQ627)), "Incomplete", (60.7*AQ627)+(45.3*#REF!)-2055)</f>
        <v>Incomplete</v>
      </c>
      <c r="AZ627" s="20"/>
      <c r="BA627" s="20" t="str">
        <f>IF(OR(ISBLANK(#REF!), ISBLANK(AS627)), "Incomplete", (60.7*AS627)+(45.3*#REF!)-2055)</f>
        <v>Incomplete</v>
      </c>
      <c r="BB627" s="20"/>
      <c r="BC627" s="20" t="str">
        <f>IF(OR(ISBLANK(#REF!), ISBLANK(AU627)), "Incomplete", (60.7*AU627)+(45.3*#REF!)-2055)</f>
        <v>Incomplete</v>
      </c>
      <c r="BD627" s="20"/>
      <c r="BE627" s="20" t="str">
        <f>IF(OR(ISBLANK(#REF!), ISBLANK(AW627)), "Incomplete", (60.7*AW627)+(45.3*#REF!)-2055)</f>
        <v>Incomplete</v>
      </c>
      <c r="BF627" s="20"/>
      <c r="BI627" s="20">
        <f>IF(OR(ISBLANK(BG626), ISBLANK(BH626)),"Incomplete",(SUM(BH626-BG626)))</f>
        <v>21</v>
      </c>
      <c r="BJ627" s="20"/>
      <c r="BL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91" t="str">
        <f>IFERROR(SUM(BQ627+BR627+BS627)/(3*(#REF!-S627))*100, "Incomplete")</f>
        <v>Incomplete</v>
      </c>
      <c r="BX627" s="91" t="str">
        <f>_xlfn.XLOOKUP(BW627,'Normative data'!$V$3:$V$6,'Normative data'!$W$3:$W$6,"Not Found",-1)</f>
        <v>Very low risk</v>
      </c>
      <c r="BY627" s="91" t="str">
        <f>IFERROR(SUM(BT627+BU627+BV627)/(3*(#REF!-S627))*100, "Incomplete")</f>
        <v>Incomplete</v>
      </c>
      <c r="BZ627" s="91" t="str">
        <f>_xlfn.XLOOKUP(BY627,'Normative data'!$V$3:$V$6,'Normative data'!$W$3:$W$6,"Not Found",-1)</f>
        <v>Very low risk</v>
      </c>
      <c r="CA627" s="20"/>
      <c r="CC627" s="20"/>
      <c r="CE627" s="20">
        <v>20</v>
      </c>
      <c r="CG627" s="20">
        <v>17.63</v>
      </c>
      <c r="CH627" s="20" t="e">
        <f>_xlfn.XLOOKUP(#REF!, 'Normative data'!$S$9:$S$15,'Normative data'!$T$9:$T$15, "Not Found", -1)</f>
        <v>#REF!</v>
      </c>
      <c r="CI627" s="20">
        <v>18.16</v>
      </c>
      <c r="CJ627" s="20" t="e">
        <f>_xlfn.XLOOKUP(#REF!, 'Normative data'!$S$9:$S$15, 'Normative data'!$T$9:$T$15, "Not Found", -1)</f>
        <v>#REF!</v>
      </c>
      <c r="CK627" s="20" t="s">
        <v>133</v>
      </c>
      <c r="CL627" s="20" t="s">
        <v>1251</v>
      </c>
      <c r="CM627" s="21"/>
      <c r="CN627" s="20" t="s">
        <v>617</v>
      </c>
      <c r="CO627" s="20" t="s">
        <v>618</v>
      </c>
      <c r="CP627" s="24"/>
      <c r="CQ627" s="20"/>
      <c r="CR627" s="20" t="str" cm="1">
        <f t="array" ref="CR627">IF(OR(ISBLANK(E627),ISBLANK(CQ627)),"Incomplete",_xlfn.XLOOKUP(CQ627,_xlfn.XLOOKUP(E627,'Normative data'!$Y$3:$Y$6,'Normative data'!$Z$3:$AG$6,,-1),'Normative data'!$Z$2:$AG$2,"Not Found",-1))</f>
        <v>Incomplete</v>
      </c>
      <c r="CS627" s="20"/>
      <c r="CT627" s="20"/>
      <c r="CU627" s="20" t="str" cm="1">
        <f t="array" ref="CU627">_xlfn.XLOOKUP(CS627&amp;CT627,(VLOOKUP!$A$3:$A$250)&amp;(VLOOKUP!$B$3:$B$250),VLOOKUP!$C$3:$C$250,"Incomplete",-1)</f>
        <v>Incomplete</v>
      </c>
      <c r="CV627" s="20" t="str" cm="1">
        <f t="array" ref="CV627">_xlfn.XLOOKUP(CU627, _xlfn.XLOOKUP(E627, 'Normative data'!$Y$11:$Y$14, 'Normative data'!$Z$11:$AG$14, ,-1), 'Normative data'!$Z$10:$AG$10, "Not Found", -1)</f>
        <v>Excellent</v>
      </c>
      <c r="CW627" s="20" t="str" cm="1">
        <f t="array" ref="CW627">IF(OR(ISBLANK(CS627),ISBLANK(CT627)),"Incomplete",_xlfn.XLOOKUP(CS627&amp;CT627,VLOOKUP!$A$4:$A$250&amp;VLOOKUP!$B$4:$B$250,VLOOKUP!$D$4:$D$250,"0"))</f>
        <v>Incomplete</v>
      </c>
    </row>
    <row r="628" spans="1:101">
      <c r="A628" s="17" t="s">
        <v>1252</v>
      </c>
      <c r="B628" s="17" t="s">
        <v>977</v>
      </c>
      <c r="C628" s="17" t="s">
        <v>86</v>
      </c>
      <c r="D628" s="23">
        <v>39553</v>
      </c>
      <c r="G628" s="17">
        <v>2026</v>
      </c>
      <c r="H628" s="20" t="s">
        <v>114</v>
      </c>
      <c r="I628" s="17">
        <v>1</v>
      </c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30">
        <v>23.4</v>
      </c>
      <c r="AR628" s="30">
        <v>0.437</v>
      </c>
      <c r="AS628" s="30">
        <v>26.8</v>
      </c>
      <c r="AT628" s="30">
        <v>0.46800000000000003</v>
      </c>
      <c r="AU628" s="30">
        <v>14.7</v>
      </c>
      <c r="AV628" s="30">
        <v>0.34599999999999997</v>
      </c>
      <c r="AW628" s="30">
        <v>14.7</v>
      </c>
      <c r="AX628" s="30">
        <v>0.34599999999999997</v>
      </c>
      <c r="AY628" s="41" t="str">
        <f>IF(OR(ISBLANK(U628), ISBLANK(AQ628)), "Incomplete", (60.7*AQ628)+(45.3*U628)-2055)</f>
        <v>Incomplete</v>
      </c>
      <c r="AZ628" s="20"/>
      <c r="BA628" s="20" t="str">
        <f>IF(OR(ISBLANK(U628), ISBLANK(AS628)), "Incomplete", (60.7*AS628)+(45.3*U628)-2055)</f>
        <v>Incomplete</v>
      </c>
      <c r="BB628" s="20"/>
      <c r="BC628" s="20" t="str">
        <f>IF(OR(ISBLANK(U628), ISBLANK(AU628)), "Incomplete", (60.7*AU628)+(45.3*U628)-2055)</f>
        <v>Incomplete</v>
      </c>
      <c r="BD628" s="20"/>
      <c r="BE628" s="20" t="str">
        <f>IF(OR(ISBLANK(U628), ISBLANK(AW628)), "Incomplete", (60.7*AW628)+(45.3*U628)-2055)</f>
        <v>Incomplete</v>
      </c>
      <c r="BF628" s="20"/>
      <c r="BG628" s="30">
        <v>12</v>
      </c>
      <c r="BH628" s="30">
        <v>43.5</v>
      </c>
      <c r="BI628" s="20">
        <f>IF(OR(ISBLANK(BG628), ISBLANK(BH628)),"Incomplete",(SUM(BH628-BG628)))</f>
        <v>31.5</v>
      </c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91" t="str">
        <f>IFERROR(SUM(BQ628+BR628+BS628)/(3*(T628-S628))*100, "Incomplete")</f>
        <v>Incomplete</v>
      </c>
      <c r="BX628" s="91" t="str">
        <f>_xlfn.XLOOKUP(BW628,'Normative data'!$V$3:$V$6,'Normative data'!$W$3:$W$6,"Not Found",-1)</f>
        <v>Very low risk</v>
      </c>
      <c r="BY628" s="91" t="str">
        <f>IFERROR(SUM(BT628+BU628+BV628)/(3*(T628-S628))*100, "Incomplete")</f>
        <v>Incomplete</v>
      </c>
      <c r="BZ628" s="91" t="str">
        <f>_xlfn.XLOOKUP(BY628,'Normative data'!$V$3:$V$6,'Normative data'!$W$3:$W$6,"Not Found",-1)</f>
        <v>Very low risk</v>
      </c>
      <c r="CA628" s="20"/>
      <c r="CC628" s="30">
        <v>8</v>
      </c>
      <c r="CD628" s="30"/>
      <c r="CE628" s="30">
        <v>17</v>
      </c>
      <c r="CF628" s="30"/>
      <c r="CG628" s="30">
        <v>18.829999999999998</v>
      </c>
      <c r="CH628" s="20" t="str">
        <f>_xlfn.XLOOKUP(CG628, 'Normative data'!$S$9:$S$15,'Normative data'!$T$9:$T$15, "Not Found", -1)</f>
        <v>Average</v>
      </c>
      <c r="CI628" s="30">
        <v>18.98</v>
      </c>
      <c r="CJ628" s="20" t="str">
        <f>_xlfn.XLOOKUP(CI628, 'Normative data'!$S$9:$S$15, 'Normative data'!$T$9:$T$15, "Not Found", -1)</f>
        <v>Average</v>
      </c>
      <c r="CK628" s="30">
        <v>2.15</v>
      </c>
      <c r="CL628" s="30">
        <v>4.8499999999999996</v>
      </c>
      <c r="CM628" s="30"/>
      <c r="CN628" s="30">
        <v>6.78</v>
      </c>
      <c r="CO628" s="30">
        <v>7.37</v>
      </c>
      <c r="CP628" s="30"/>
      <c r="CQ628" s="20"/>
      <c r="CR628" s="20" t="str" cm="1">
        <f t="array" ref="CR628">IF(OR(ISBLANK(E628),ISBLANK(CQ628)),"Incomplete",_xlfn.XLOOKUP(CQ628,_xlfn.XLOOKUP(E628,'Normative data'!$Y$3:$Y$6,'Normative data'!$Z$3:$AG$6,,-1),'Normative data'!$Z$2:$AG$2,"Not Found",-1))</f>
        <v>Incomplete</v>
      </c>
      <c r="CS628" s="20"/>
      <c r="CT628" s="20"/>
      <c r="CU628" s="20" t="str" cm="1">
        <f t="array" ref="CU628">_xlfn.XLOOKUP(CS628&amp;CT628,(VLOOKUP!$A$3:$A$250)&amp;(VLOOKUP!$B$3:$B$250),VLOOKUP!$C$3:$C$250,"Incomplete",-1)</f>
        <v>Incomplete</v>
      </c>
      <c r="CV628" s="20" t="str" cm="1">
        <f t="array" ref="CV628">_xlfn.XLOOKUP(CU628, _xlfn.XLOOKUP(E628, 'Normative data'!$Y$11:$Y$14, 'Normative data'!$Z$11:$AG$14, ,-1), 'Normative data'!$Z$10:$AG$10, "Not Found", -1)</f>
        <v>Excellent</v>
      </c>
      <c r="CW628" s="20" t="str" cm="1">
        <f t="array" ref="CW628">IF(OR(ISBLANK(CS628),ISBLANK(CT628)),"Incomplete",_xlfn.XLOOKUP(CS628&amp;CT628,VLOOKUP!$A$4:$A$250&amp;VLOOKUP!$B$4:$B$250,VLOOKUP!$D$4:$D$250,"0"))</f>
        <v>Incomplete</v>
      </c>
    </row>
    <row r="629" spans="1:101">
      <c r="A629" s="22" t="s">
        <v>1253</v>
      </c>
      <c r="B629" s="22" t="s">
        <v>977</v>
      </c>
      <c r="C629" s="17" t="s">
        <v>86</v>
      </c>
      <c r="D629" s="23">
        <v>40450</v>
      </c>
      <c r="F629" s="17">
        <v>9</v>
      </c>
      <c r="G629" s="17">
        <v>2025</v>
      </c>
      <c r="J629" s="17" t="s">
        <v>122</v>
      </c>
      <c r="S629" s="20"/>
      <c r="T629" s="20">
        <v>174.1</v>
      </c>
      <c r="U629" s="20">
        <v>66.8</v>
      </c>
      <c r="V629" s="20"/>
      <c r="W629" s="20">
        <v>16.899999999999999</v>
      </c>
      <c r="X629" s="20">
        <f>SUM(T629-W629)</f>
        <v>157.19999999999999</v>
      </c>
      <c r="Y629" s="20">
        <v>27.8</v>
      </c>
      <c r="Z629" s="20">
        <v>22</v>
      </c>
      <c r="AA629" s="20">
        <v>25.2</v>
      </c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41" t="str">
        <f>IF(OR(ISBLANK(U629), ISBLANK(AQ629)), "Incomplete", (60.7*AQ629)+(45.3*U629)-2055)</f>
        <v>Incomplete</v>
      </c>
      <c r="AZ629" s="20"/>
      <c r="BA629" s="20" t="str">
        <f>IF(OR(ISBLANK(U629), ISBLANK(AS629)), "Incomplete", (60.7*AS629)+(45.3*U629)-2055)</f>
        <v>Incomplete</v>
      </c>
      <c r="BB629" s="20"/>
      <c r="BC629" s="20" t="str">
        <f>IF(OR(ISBLANK(U629), ISBLANK(AU629)), "Incomplete", (60.7*AU629)+(45.3*U629)-2055)</f>
        <v>Incomplete</v>
      </c>
      <c r="BD629" s="20"/>
      <c r="BE629" s="20" t="str">
        <f>IF(OR(ISBLANK(U629), ISBLANK(AW629)), "Incomplete", (60.7*AW629)+(45.3*U629)-2055)</f>
        <v>Incomplete</v>
      </c>
      <c r="BF629" s="20"/>
      <c r="BG629" s="20">
        <v>17</v>
      </c>
      <c r="BH629" s="20">
        <v>18.7</v>
      </c>
      <c r="BI629" s="20" t="e">
        <f>IF(OR(ISBLANK(#REF!), ISBLANK(#REF!)),"Incomplete",(SUM(#REF!-#REF!)))</f>
        <v>#REF!</v>
      </c>
      <c r="BJ629" s="20"/>
      <c r="BK629" s="20">
        <v>6</v>
      </c>
      <c r="BL629" s="20"/>
      <c r="BM629" s="20">
        <v>7</v>
      </c>
      <c r="BN629" s="20"/>
      <c r="BO629" s="20"/>
      <c r="BP629" s="20"/>
      <c r="BQ629" s="20"/>
      <c r="BR629" s="20"/>
      <c r="BS629" s="20"/>
      <c r="BT629" s="20"/>
      <c r="BU629" s="20"/>
      <c r="BV629" s="20"/>
      <c r="BW629" s="91">
        <f>IFERROR(SUM(BQ629+BR629+BS629)/(3*(T629-S629))*100, "Incomplete")</f>
        <v>0</v>
      </c>
      <c r="BX629" s="91" t="str">
        <f>_xlfn.XLOOKUP(BW629,'Normative data'!$V$3:$V$6,'Normative data'!$W$3:$W$6,"Not Found",-1)</f>
        <v>Not completed</v>
      </c>
      <c r="BY629" s="91">
        <f>IFERROR(SUM(BT629+BU629+BV629)/(3*(T629-S629))*100, "Incomplete")</f>
        <v>0</v>
      </c>
      <c r="BZ629" s="91" t="str">
        <f>_xlfn.XLOOKUP(BY629,'Normative data'!$V$3:$V$6,'Normative data'!$W$3:$W$6,"Not Found",-1)</f>
        <v>Not completed</v>
      </c>
      <c r="CA629" s="20"/>
      <c r="CC629" s="20"/>
      <c r="CE629" s="20">
        <v>10</v>
      </c>
      <c r="CG629" s="20">
        <v>17.690000000000001</v>
      </c>
      <c r="CH629" s="20" t="e">
        <f>_xlfn.XLOOKUP(#REF!, 'Normative data'!$S$9:$S$15,'Normative data'!$T$9:$T$15, "Not Found", -1)</f>
        <v>#REF!</v>
      </c>
      <c r="CI629" s="20">
        <v>17.86</v>
      </c>
      <c r="CJ629" s="20" t="e">
        <f>_xlfn.XLOOKUP(#REF!, 'Normative data'!$S$9:$S$15, 'Normative data'!$T$9:$T$15, "Not Found", -1)</f>
        <v>#REF!</v>
      </c>
      <c r="CK629" s="24">
        <v>2.4700000000000002</v>
      </c>
      <c r="CL629" s="24">
        <v>4.05</v>
      </c>
      <c r="CM629" s="21"/>
      <c r="CN629" s="24">
        <v>7.36</v>
      </c>
      <c r="CO629" s="24">
        <v>6.79</v>
      </c>
      <c r="CP629" s="24"/>
      <c r="CQ629" s="20"/>
      <c r="CR629" s="20" t="str" cm="1">
        <f t="array" ref="CR629">IF(OR(ISBLANK(E629),ISBLANK(CQ629)),"Incomplete",_xlfn.XLOOKUP(CQ629,_xlfn.XLOOKUP(E629,'Normative data'!$Y$3:$Y$6,'Normative data'!$Z$3:$AG$6,,-1),'Normative data'!$Z$2:$AG$2,"Not Found",-1))</f>
        <v>Incomplete</v>
      </c>
      <c r="CS629" s="20"/>
      <c r="CT629" s="20"/>
      <c r="CU629" s="20" t="str" cm="1">
        <f t="array" ref="CU629">_xlfn.XLOOKUP(CS629&amp;CT629,(VLOOKUP!$A$3:$A$250)&amp;(VLOOKUP!$B$3:$B$250),VLOOKUP!$C$3:$C$250,"Incomplete",-1)</f>
        <v>Incomplete</v>
      </c>
      <c r="CV629" s="20" t="str" cm="1">
        <f t="array" ref="CV629">_xlfn.XLOOKUP(CU629, _xlfn.XLOOKUP(E629, 'Normative data'!$Y$11:$Y$14, 'Normative data'!$Z$11:$AG$14, ,-1), 'Normative data'!$Z$10:$AG$10, "Not Found", -1)</f>
        <v>Excellent</v>
      </c>
      <c r="CW629" s="20" t="str" cm="1">
        <f t="array" ref="CW629">IF(OR(ISBLANK(CS629),ISBLANK(CT629)),"Incomplete",_xlfn.XLOOKUP(CS629&amp;CT629,VLOOKUP!$A$4:$A$250&amp;VLOOKUP!$B$4:$B$250,VLOOKUP!$D$4:$D$250,"0"))</f>
        <v>Incomplete</v>
      </c>
    </row>
    <row r="630" spans="1:101">
      <c r="A630" s="17" t="s">
        <v>1253</v>
      </c>
      <c r="B630" s="17" t="s">
        <v>977</v>
      </c>
      <c r="C630" s="17" t="s">
        <v>86</v>
      </c>
      <c r="D630" s="23">
        <v>40450</v>
      </c>
      <c r="G630" s="17">
        <v>2025</v>
      </c>
      <c r="J630" s="17" t="s">
        <v>122</v>
      </c>
      <c r="S630" s="20"/>
      <c r="T630" s="20" t="s">
        <v>1254</v>
      </c>
      <c r="U630" s="20">
        <v>69</v>
      </c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>
        <v>23.4</v>
      </c>
      <c r="AR630" s="20">
        <v>0.41199999999999998</v>
      </c>
      <c r="AS630" s="20">
        <v>25.6</v>
      </c>
      <c r="AT630" s="20">
        <v>0.45700000000000002</v>
      </c>
      <c r="AU630" s="20">
        <v>10.5</v>
      </c>
      <c r="AV630" s="20">
        <v>0.29299999999999998</v>
      </c>
      <c r="AW630" s="20">
        <v>12.6</v>
      </c>
      <c r="AX630" s="20">
        <v>0.32</v>
      </c>
      <c r="AY630" s="41" t="e">
        <f>IF(OR(ISBLANK(#REF!), ISBLANK(AQ630)), "Incomplete", (60.7*AQ630)+(45.3*#REF!)-2055)</f>
        <v>#REF!</v>
      </c>
      <c r="AZ630" s="20"/>
      <c r="BA630" s="20" t="e">
        <f>IF(OR(ISBLANK(#REF!), ISBLANK(AS630)), "Incomplete", (60.7*AS630)+(45.3*#REF!)-2055)</f>
        <v>#REF!</v>
      </c>
      <c r="BB630" s="20"/>
      <c r="BC630" s="20" t="e">
        <f>IF(OR(ISBLANK(#REF!), ISBLANK(AU630)), "Incomplete", (60.7*AU630)+(45.3*#REF!)-2055)</f>
        <v>#REF!</v>
      </c>
      <c r="BD630" s="20"/>
      <c r="BE630" s="20" t="e">
        <f>IF(OR(ISBLANK(#REF!), ISBLANK(AW630)), "Incomplete", (60.7*AW630)+(45.3*#REF!)-2055)</f>
        <v>#REF!</v>
      </c>
      <c r="BF630" s="20"/>
      <c r="BG630" s="20"/>
      <c r="BH630" s="20"/>
      <c r="BI630" s="20" t="str">
        <f t="shared" ref="BI630:BI666" si="190">IF(OR(ISBLANK(BG630), ISBLANK(BH630)),"Incomplete",(SUM(BH630-BG630)))</f>
        <v>Incomplete</v>
      </c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91" t="str">
        <f>IFERROR(SUM(BQ630+BR630+BS630)/(3*(#REF!-S630))*100, "Incomplete")</f>
        <v>Incomplete</v>
      </c>
      <c r="BX630" s="91" t="str">
        <f>_xlfn.XLOOKUP(BW630,'Normative data'!$V$3:$V$6,'Normative data'!$W$3:$W$6,"Not Found",-1)</f>
        <v>Very low risk</v>
      </c>
      <c r="BY630" s="91" t="str">
        <f>IFERROR(SUM(BT630+BU630+BV630)/(3*(#REF!-S630))*100, "Incomplete")</f>
        <v>Incomplete</v>
      </c>
      <c r="BZ630" s="91" t="str">
        <f>_xlfn.XLOOKUP(BY630,'Normative data'!$V$3:$V$6,'Normative data'!$W$3:$W$6,"Not Found",-1)</f>
        <v>Very low risk</v>
      </c>
      <c r="CA630" s="20"/>
      <c r="CC630" s="20"/>
      <c r="CE630" s="20"/>
      <c r="CG630" s="20"/>
      <c r="CH630" s="20" t="str">
        <f>_xlfn.XLOOKUP(CG630, 'Normative data'!$S$9:$S$15,'Normative data'!$T$9:$T$15, "Not Found", -1)</f>
        <v>not completed</v>
      </c>
      <c r="CI630" s="20"/>
      <c r="CJ630" s="20" t="str">
        <f>_xlfn.XLOOKUP(CI630, 'Normative data'!$S$9:$S$15, 'Normative data'!$T$9:$T$15, "Not Found", -1)</f>
        <v>not completed</v>
      </c>
      <c r="CK630" s="20" t="s">
        <v>660</v>
      </c>
      <c r="CL630" s="20" t="s">
        <v>661</v>
      </c>
      <c r="CM630" s="21"/>
      <c r="CN630" s="20" t="s">
        <v>1255</v>
      </c>
      <c r="CO630" s="20" t="s">
        <v>1256</v>
      </c>
      <c r="CQ630" s="20"/>
      <c r="CR630" s="20" t="str" cm="1">
        <f t="array" ref="CR630">IF(OR(ISBLANK(E630),ISBLANK(CQ630)),"Incomplete",_xlfn.XLOOKUP(CQ630,_xlfn.XLOOKUP(E630,'Normative data'!$Y$3:$Y$6,'Normative data'!$Z$3:$AG$6,,-1),'Normative data'!$Z$2:$AG$2,"Not Found",-1))</f>
        <v>Incomplete</v>
      </c>
      <c r="CS630" s="20"/>
      <c r="CT630" s="20"/>
      <c r="CU630" s="20" t="str" cm="1">
        <f t="array" ref="CU630">_xlfn.XLOOKUP(CS630&amp;CT630,(VLOOKUP!$A$3:$A$250)&amp;(VLOOKUP!$B$3:$B$250),VLOOKUP!$C$3:$C$250,"Incomplete",-1)</f>
        <v>Incomplete</v>
      </c>
      <c r="CV630" s="20" t="str" cm="1">
        <f t="array" ref="CV630">_xlfn.XLOOKUP(CU630, _xlfn.XLOOKUP(E630, 'Normative data'!$Y$11:$Y$14, 'Normative data'!$Z$11:$AG$14, ,-1), 'Normative data'!$Z$10:$AG$10, "Not Found", -1)</f>
        <v>Excellent</v>
      </c>
      <c r="CW630" s="20" t="str" cm="1">
        <f t="array" ref="CW630">IF(OR(ISBLANK(CS630),ISBLANK(CT630)),"Incomplete",_xlfn.XLOOKUP(CS630&amp;CT630,VLOOKUP!$A$4:$A$250&amp;VLOOKUP!$B$4:$B$250,VLOOKUP!$D$4:$D$250,"0"))</f>
        <v>Incomplete</v>
      </c>
    </row>
    <row r="631" spans="1:101">
      <c r="A631" s="17" t="s">
        <v>1253</v>
      </c>
      <c r="B631" s="17" t="s">
        <v>977</v>
      </c>
      <c r="C631" s="17" t="s">
        <v>86</v>
      </c>
      <c r="D631" s="23">
        <v>40450</v>
      </c>
      <c r="G631" s="17">
        <v>2025</v>
      </c>
      <c r="J631" s="17" t="s">
        <v>122</v>
      </c>
      <c r="S631" s="20"/>
      <c r="T631" s="20" t="s">
        <v>202</v>
      </c>
      <c r="U631" s="20">
        <v>67</v>
      </c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 t="s">
        <v>607</v>
      </c>
      <c r="AT631" s="20" t="s">
        <v>608</v>
      </c>
      <c r="AU631" s="20" t="s">
        <v>844</v>
      </c>
      <c r="AV631" s="20" t="s">
        <v>845</v>
      </c>
      <c r="AW631" s="20" t="s">
        <v>1257</v>
      </c>
      <c r="AX631" s="20" t="s">
        <v>1258</v>
      </c>
      <c r="AY631" s="41" t="str">
        <f>IF(OR(ISBLANK(#REF!), ISBLANK(AQ631)), "Incomplete", (60.7*AQ631)+(45.3*#REF!)-2055)</f>
        <v>Incomplete</v>
      </c>
      <c r="AZ631" s="20"/>
      <c r="BA631" s="20" t="e">
        <f>IF(OR(ISBLANK(#REF!), ISBLANK(AS631)), "Incomplete", (60.7*AS631)+(45.3*#REF!)-2055)</f>
        <v>#VALUE!</v>
      </c>
      <c r="BB631" s="20"/>
      <c r="BC631" s="20" t="e">
        <f>IF(OR(ISBLANK(#REF!), ISBLANK(AU631)), "Incomplete", (60.7*AU631)+(45.3*#REF!)-2055)</f>
        <v>#VALUE!</v>
      </c>
      <c r="BD631" s="20"/>
      <c r="BE631" s="20" t="e">
        <f>IF(OR(ISBLANK(#REF!), ISBLANK(AW631)), "Incomplete", (60.7*AW631)+(45.3*#REF!)-2055)</f>
        <v>#VALUE!</v>
      </c>
      <c r="BF631" s="20"/>
      <c r="BG631" s="20"/>
      <c r="BH631" s="20"/>
      <c r="BI631" s="20" t="str">
        <f t="shared" si="190"/>
        <v>Incomplete</v>
      </c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91" t="str">
        <f>IFERROR(SUM(BQ631+BR631+BS631)/(3*(#REF!-S631))*100, "Incomplete")</f>
        <v>Incomplete</v>
      </c>
      <c r="BX631" s="91" t="str">
        <f>_xlfn.XLOOKUP(BW631,'Normative data'!$V$3:$V$6,'Normative data'!$W$3:$W$6,"Not Found",-1)</f>
        <v>Very low risk</v>
      </c>
      <c r="BY631" s="91" t="str">
        <f>IFERROR(SUM(BT631+BU631+BV631)/(3*(#REF!-S631))*100, "Incomplete")</f>
        <v>Incomplete</v>
      </c>
      <c r="BZ631" s="91" t="str">
        <f>_xlfn.XLOOKUP(BY631,'Normative data'!$V$3:$V$6,'Normative data'!$W$3:$W$6,"Not Found",-1)</f>
        <v>Very low risk</v>
      </c>
      <c r="CA631" s="20"/>
      <c r="CC631" s="20"/>
      <c r="CE631" s="20"/>
      <c r="CG631" s="20">
        <v>18.98</v>
      </c>
      <c r="CH631" s="20" t="e">
        <f>_xlfn.XLOOKUP(#REF!, 'Normative data'!$S$9:$S$15,'Normative data'!$T$9:$T$15, "Not Found", -1)</f>
        <v>#REF!</v>
      </c>
      <c r="CI631" s="20">
        <v>18.38</v>
      </c>
      <c r="CJ631" s="20" t="e">
        <f>_xlfn.XLOOKUP(#REF!, 'Normative data'!$S$9:$S$15, 'Normative data'!$T$9:$T$15, "Not Found", -1)</f>
        <v>#REF!</v>
      </c>
      <c r="CK631" s="20" t="s">
        <v>289</v>
      </c>
      <c r="CL631" s="20" t="s">
        <v>134</v>
      </c>
      <c r="CN631" s="20" t="s">
        <v>499</v>
      </c>
      <c r="CO631" s="20" t="s">
        <v>338</v>
      </c>
      <c r="CQ631" s="20"/>
      <c r="CR631" s="20" t="str" cm="1">
        <f t="array" ref="CR631">IF(OR(ISBLANK(E631),ISBLANK(CQ631)),"Incomplete",_xlfn.XLOOKUP(CQ631,_xlfn.XLOOKUP(E631,'Normative data'!$Y$3:$Y$6,'Normative data'!$Z$3:$AG$6,,-1),'Normative data'!$Z$2:$AG$2,"Not Found",-1))</f>
        <v>Incomplete</v>
      </c>
      <c r="CS631" s="20"/>
      <c r="CT631" s="20"/>
      <c r="CU631" s="20" t="str" cm="1">
        <f t="array" ref="CU631">_xlfn.XLOOKUP(CS631&amp;CT631,(VLOOKUP!$A$3:$A$250)&amp;(VLOOKUP!$B$3:$B$250),VLOOKUP!$C$3:$C$250,"Incomplete",-1)</f>
        <v>Incomplete</v>
      </c>
      <c r="CV631" s="20" t="str" cm="1">
        <f t="array" ref="CV631">_xlfn.XLOOKUP(CU631, _xlfn.XLOOKUP(E631, 'Normative data'!$Y$11:$Y$14, 'Normative data'!$Z$11:$AG$14, ,-1), 'Normative data'!$Z$10:$AG$10, "Not Found", -1)</f>
        <v>Excellent</v>
      </c>
      <c r="CW631" s="20" t="str" cm="1">
        <f t="array" ref="CW631">IF(OR(ISBLANK(CS631),ISBLANK(CT631)),"Incomplete",_xlfn.XLOOKUP(CS631&amp;CT631,VLOOKUP!$A$4:$A$250&amp;VLOOKUP!$B$4:$B$250,VLOOKUP!$D$4:$D$250,"0"))</f>
        <v>Incomplete</v>
      </c>
    </row>
    <row r="632" spans="1:101">
      <c r="A632" s="17" t="s">
        <v>1259</v>
      </c>
      <c r="B632" s="17" t="s">
        <v>977</v>
      </c>
      <c r="C632" s="17" t="s">
        <v>86</v>
      </c>
      <c r="D632" s="23">
        <v>40450</v>
      </c>
      <c r="G632" s="17">
        <v>2026</v>
      </c>
      <c r="H632" s="20" t="s">
        <v>114</v>
      </c>
      <c r="I632" s="17">
        <v>1</v>
      </c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>
        <v>19.3</v>
      </c>
      <c r="AR632" s="20">
        <v>0.39700000000000002</v>
      </c>
      <c r="AS632" s="20">
        <v>23.6</v>
      </c>
      <c r="AT632" s="20">
        <v>0.439</v>
      </c>
      <c r="AU632" s="20">
        <v>11.5</v>
      </c>
      <c r="AV632" s="20">
        <v>0.30599999999999999</v>
      </c>
      <c r="AW632" s="20">
        <v>14.8</v>
      </c>
      <c r="AX632" s="20">
        <v>0.34699999999999998</v>
      </c>
      <c r="AY632" s="41" t="str">
        <f t="shared" ref="AY632:AY649" si="191">IF(OR(ISBLANK(U632), ISBLANK(AQ632)), "Incomplete", (60.7*AQ632)+(45.3*U632)-2055)</f>
        <v>Incomplete</v>
      </c>
      <c r="AZ632" s="20"/>
      <c r="BA632" s="20" t="str">
        <f t="shared" ref="BA632:BA649" si="192">IF(OR(ISBLANK(U632), ISBLANK(AS632)), "Incomplete", (60.7*AS632)+(45.3*U632)-2055)</f>
        <v>Incomplete</v>
      </c>
      <c r="BB632" s="20"/>
      <c r="BC632" s="20" t="str">
        <f t="shared" ref="BC632:BC649" si="193">IF(OR(ISBLANK(U632), ISBLANK(AU632)), "Incomplete", (60.7*AU632)+(45.3*U632)-2055)</f>
        <v>Incomplete</v>
      </c>
      <c r="BD632" s="20"/>
      <c r="BE632" s="20" t="str">
        <f t="shared" ref="BE632:BE649" si="194">IF(OR(ISBLANK(U632), ISBLANK(AW632)), "Incomplete", (60.7*AW632)+(45.3*U632)-2055)</f>
        <v>Incomplete</v>
      </c>
      <c r="BF632" s="20"/>
      <c r="BG632" s="20">
        <v>9.5</v>
      </c>
      <c r="BH632" s="20">
        <v>28</v>
      </c>
      <c r="BI632" s="20">
        <f t="shared" si="190"/>
        <v>18.5</v>
      </c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91" t="str">
        <f t="shared" ref="BW632:BW649" si="195">IFERROR(SUM(BQ632+BR632+BS632)/(3*(T632-S632))*100, "Incomplete")</f>
        <v>Incomplete</v>
      </c>
      <c r="BX632" s="91" t="str">
        <f>_xlfn.XLOOKUP(BW632,'Normative data'!$V$3:$V$6,'Normative data'!$W$3:$W$6,"Not Found",-1)</f>
        <v>Very low risk</v>
      </c>
      <c r="BY632" s="91" t="str">
        <f t="shared" ref="BY632:BY649" si="196">IFERROR(SUM(BT632+BU632+BV632)/(3*(T632-S632))*100, "Incomplete")</f>
        <v>Incomplete</v>
      </c>
      <c r="BZ632" s="91" t="str">
        <f>_xlfn.XLOOKUP(BY632,'Normative data'!$V$3:$V$6,'Normative data'!$W$3:$W$6,"Not Found",-1)</f>
        <v>Very low risk</v>
      </c>
      <c r="CA632" s="20"/>
      <c r="CC632" s="20">
        <v>23</v>
      </c>
      <c r="CE632" s="20">
        <v>5</v>
      </c>
      <c r="CG632" s="20"/>
      <c r="CH632" s="20" t="str">
        <f>_xlfn.XLOOKUP(CG632, 'Normative data'!$S$9:$S$15,'Normative data'!$T$9:$T$15, "Not Found", -1)</f>
        <v>not completed</v>
      </c>
      <c r="CI632" s="20"/>
      <c r="CJ632" s="20" t="str">
        <f>_xlfn.XLOOKUP(CI632, 'Normative data'!$S$9:$S$15, 'Normative data'!$T$9:$T$15, "Not Found", -1)</f>
        <v>not completed</v>
      </c>
      <c r="CK632" s="20">
        <v>2.46</v>
      </c>
      <c r="CL632" s="20">
        <v>4.07</v>
      </c>
      <c r="CN632" s="20">
        <v>7.51</v>
      </c>
      <c r="CO632" s="20">
        <v>6.66</v>
      </c>
      <c r="CQ632" s="20">
        <v>8.6</v>
      </c>
      <c r="CR632" s="20" t="str" cm="1">
        <f t="array" ref="CR632">IF(OR(ISBLANK(E632),ISBLANK(CQ632)),"Incomplete",_xlfn.XLOOKUP(CQ632,_xlfn.XLOOKUP(E632,'Normative data'!$Y$3:$Y$6,'Normative data'!$Z$3:$AG$6,,-1),'Normative data'!$Z$2:$AG$2,"Not Found",-1))</f>
        <v>Incomplete</v>
      </c>
      <c r="CS632" s="20">
        <v>8</v>
      </c>
      <c r="CT632" s="20">
        <v>6</v>
      </c>
      <c r="CU632" s="20" cm="1">
        <f t="array" ref="CU632">_xlfn.XLOOKUP(CS632&amp;CT632,(VLOOKUP!$A$3:$A$250)&amp;(VLOOKUP!$B$3:$B$250),VLOOKUP!$C$3:$C$250,"Incomplete",-1)</f>
        <v>1340</v>
      </c>
      <c r="CV632" s="20" t="str" cm="1">
        <f t="array" ref="CV632">_xlfn.XLOOKUP(CU632, _xlfn.XLOOKUP(E632, 'Normative data'!$Y$11:$Y$14, 'Normative data'!$Z$11:$AG$14, ,-1), 'Normative data'!$Z$10:$AG$10, "Not Found", -1)</f>
        <v>Average</v>
      </c>
      <c r="CW632" s="20" cm="1">
        <f t="array" ref="CW632">IF(OR(ISBLANK(CS632),ISBLANK(CT632)),"Incomplete",_xlfn.XLOOKUP(CS632&amp;CT632,VLOOKUP!$A$4:$A$250&amp;VLOOKUP!$B$4:$B$250,VLOOKUP!$D$4:$D$250,"0"))</f>
        <v>42</v>
      </c>
    </row>
    <row r="633" spans="1:101" ht="14.45" customHeight="1">
      <c r="A633" s="17" t="s">
        <v>1259</v>
      </c>
      <c r="B633" s="17" t="s">
        <v>977</v>
      </c>
      <c r="C633" s="17" t="s">
        <v>86</v>
      </c>
      <c r="D633" s="23">
        <v>40450</v>
      </c>
      <c r="G633" s="17">
        <v>2026</v>
      </c>
      <c r="H633" s="20" t="s">
        <v>114</v>
      </c>
      <c r="I633" s="17">
        <v>1</v>
      </c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>
        <v>25.4</v>
      </c>
      <c r="AR633" s="20">
        <v>0.45500000000000002</v>
      </c>
      <c r="AS633" s="20">
        <v>28</v>
      </c>
      <c r="AT633" s="20">
        <v>0.47799999999999998</v>
      </c>
      <c r="AU633" s="20">
        <v>13.2</v>
      </c>
      <c r="AV633" s="20">
        <v>0.32800000000000001</v>
      </c>
      <c r="AW633" s="20">
        <v>15.7</v>
      </c>
      <c r="AX633" s="20">
        <v>0.35799999999999998</v>
      </c>
      <c r="AY633" s="41" t="str">
        <f t="shared" si="191"/>
        <v>Incomplete</v>
      </c>
      <c r="AZ633" s="20"/>
      <c r="BA633" s="20" t="str">
        <f t="shared" si="192"/>
        <v>Incomplete</v>
      </c>
      <c r="BB633" s="20"/>
      <c r="BC633" s="20" t="str">
        <f t="shared" si="193"/>
        <v>Incomplete</v>
      </c>
      <c r="BD633" s="20"/>
      <c r="BE633" s="20" t="str">
        <f t="shared" si="194"/>
        <v>Incomplete</v>
      </c>
      <c r="BF633" s="20"/>
      <c r="BG633" s="20" t="s">
        <v>1260</v>
      </c>
      <c r="BH633" s="20">
        <v>27</v>
      </c>
      <c r="BI633" s="20" t="e">
        <f t="shared" si="190"/>
        <v>#VALUE!</v>
      </c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91" t="str">
        <f t="shared" si="195"/>
        <v>Incomplete</v>
      </c>
      <c r="BX633" s="91" t="str">
        <f>_xlfn.XLOOKUP(BW633,'Normative data'!$V$3:$V$6,'Normative data'!$W$3:$W$6,"Not Found",-1)</f>
        <v>Very low risk</v>
      </c>
      <c r="BY633" s="91" t="str">
        <f t="shared" si="196"/>
        <v>Incomplete</v>
      </c>
      <c r="BZ633" s="91" t="str">
        <f>_xlfn.XLOOKUP(BY633,'Normative data'!$V$3:$V$6,'Normative data'!$W$3:$W$6,"Not Found",-1)</f>
        <v>Very low risk</v>
      </c>
      <c r="CA633" s="20"/>
      <c r="CC633" s="20">
        <v>16</v>
      </c>
      <c r="CE633" s="20">
        <v>10</v>
      </c>
      <c r="CG633" s="20"/>
      <c r="CH633" s="20" t="str">
        <f>_xlfn.XLOOKUP(CG633, 'Normative data'!$S$9:$S$15,'Normative data'!$T$9:$T$15, "Not Found", -1)</f>
        <v>not completed</v>
      </c>
      <c r="CI633" s="20"/>
      <c r="CJ633" s="20" t="str">
        <f>_xlfn.XLOOKUP(CI633, 'Normative data'!$S$9:$S$15, 'Normative data'!$T$9:$T$15, "Not Found", -1)</f>
        <v>not completed</v>
      </c>
      <c r="CK633" s="20" t="s">
        <v>660</v>
      </c>
      <c r="CL633" s="20" t="s">
        <v>661</v>
      </c>
      <c r="CN633" s="20" t="s">
        <v>1255</v>
      </c>
      <c r="CO633" s="20" t="s">
        <v>1256</v>
      </c>
      <c r="CQ633" s="20"/>
      <c r="CR633" s="20" t="str" cm="1">
        <f t="array" ref="CR633">IF(OR(ISBLANK(E633),ISBLANK(CQ633)),"Incomplete",_xlfn.XLOOKUP(CQ633,_xlfn.XLOOKUP(E633,'Normative data'!$Y$3:$Y$6,'Normative data'!$Z$3:$AG$6,,-1),'Normative data'!$Z$2:$AG$2,"Not Found",-1))</f>
        <v>Incomplete</v>
      </c>
      <c r="CS633" s="20"/>
      <c r="CT633" s="20"/>
      <c r="CU633" s="20" t="str" cm="1">
        <f t="array" ref="CU633">_xlfn.XLOOKUP(CS633&amp;CT633,(VLOOKUP!$A$3:$A$250)&amp;(VLOOKUP!$B$3:$B$250),VLOOKUP!$C$3:$C$250,"Incomplete",-1)</f>
        <v>Incomplete</v>
      </c>
      <c r="CV633" s="20" t="str" cm="1">
        <f t="array" ref="CV633">_xlfn.XLOOKUP(CU633, _xlfn.XLOOKUP(E633, 'Normative data'!$Y$11:$Y$14, 'Normative data'!$Z$11:$AG$14, ,-1), 'Normative data'!$Z$10:$AG$10, "Not Found", -1)</f>
        <v>Excellent</v>
      </c>
      <c r="CW633" s="20" t="str" cm="1">
        <f t="array" ref="CW633">IF(OR(ISBLANK(CS633),ISBLANK(CT633)),"Incomplete",_xlfn.XLOOKUP(CS633&amp;CT633,VLOOKUP!$A$4:$A$250&amp;VLOOKUP!$B$4:$B$250,VLOOKUP!$D$4:$D$250,"0"))</f>
        <v>Incomplete</v>
      </c>
    </row>
    <row r="634" spans="1:101">
      <c r="A634" s="17" t="s">
        <v>1261</v>
      </c>
      <c r="B634" s="17" t="s">
        <v>1262</v>
      </c>
      <c r="C634" s="17" t="s">
        <v>86</v>
      </c>
      <c r="D634" s="26"/>
      <c r="F634" s="20" t="s">
        <v>186</v>
      </c>
      <c r="G634" s="17">
        <v>2026</v>
      </c>
      <c r="I634" s="20">
        <v>2</v>
      </c>
      <c r="J634" s="20" t="s">
        <v>88</v>
      </c>
      <c r="K634" s="20" t="s">
        <v>556</v>
      </c>
      <c r="L634" s="20"/>
      <c r="S634" s="20"/>
      <c r="T634" s="20"/>
      <c r="AY634" s="41" t="str">
        <f t="shared" si="191"/>
        <v>Incomplete</v>
      </c>
      <c r="BA634" s="20" t="str">
        <f t="shared" si="192"/>
        <v>Incomplete</v>
      </c>
      <c r="BC634" s="20" t="str">
        <f t="shared" si="193"/>
        <v>Incomplete</v>
      </c>
      <c r="BE634" s="20" t="str">
        <f t="shared" si="194"/>
        <v>Incomplete</v>
      </c>
      <c r="BH634" s="20"/>
      <c r="BI634" s="20" t="str">
        <f t="shared" si="190"/>
        <v>Incomplete</v>
      </c>
      <c r="BJ634" s="20"/>
      <c r="BL634" s="20"/>
      <c r="BN634" s="20"/>
      <c r="BW634" s="91" t="str">
        <f t="shared" si="195"/>
        <v>Incomplete</v>
      </c>
      <c r="BX634" s="91" t="str">
        <f>_xlfn.XLOOKUP(BW634,'Normative data'!$V$3:$V$6,'Normative data'!$W$3:$W$6,"Not Found",-1)</f>
        <v>Very low risk</v>
      </c>
      <c r="BY634" s="91" t="str">
        <f t="shared" si="196"/>
        <v>Incomplete</v>
      </c>
      <c r="BZ634" s="91" t="str">
        <f>_xlfn.XLOOKUP(BY634,'Normative data'!$V$3:$V$6,'Normative data'!$W$3:$W$6,"Not Found",-1)</f>
        <v>Very low risk</v>
      </c>
      <c r="CA634" s="17">
        <v>20</v>
      </c>
      <c r="CC634" s="20"/>
      <c r="CE634" s="17">
        <v>10</v>
      </c>
      <c r="CH634" s="20" t="str">
        <f>_xlfn.XLOOKUP(CG634, 'Normative data'!$S$9:$S$15,'Normative data'!$T$9:$T$15, "Not Found", -1)</f>
        <v>not completed</v>
      </c>
      <c r="CJ634" s="20" t="str">
        <f>_xlfn.XLOOKUP(CI634, 'Normative data'!$S$9:$S$15, 'Normative data'!$T$9:$T$15, "Not Found", -1)</f>
        <v>not completed</v>
      </c>
      <c r="CK634" s="17">
        <v>2.09</v>
      </c>
      <c r="CL634" s="17">
        <v>4.78</v>
      </c>
      <c r="CN634" s="17">
        <v>6.65</v>
      </c>
      <c r="CO634" s="17">
        <v>7.52</v>
      </c>
      <c r="CR634" s="20" t="str" cm="1">
        <f t="array" ref="CR634">IF(OR(ISBLANK(E634),ISBLANK(CQ634)),"Incomplete",_xlfn.XLOOKUP(CQ634,_xlfn.XLOOKUP(E634,'Normative data'!$Y$3:$Y$6,'Normative data'!$Z$3:$AG$6,,-1),'Normative data'!$Z$2:$AG$2,"Not Found",-1))</f>
        <v>Incomplete</v>
      </c>
      <c r="CS634" s="20"/>
      <c r="CT634" s="20"/>
      <c r="CU634" s="20" t="str" cm="1">
        <f t="array" ref="CU634">_xlfn.XLOOKUP(CS634&amp;CT634,(VLOOKUP!$A$3:$A$250)&amp;(VLOOKUP!$B$3:$B$250),VLOOKUP!$C$3:$C$250,"Incomplete",-1)</f>
        <v>Incomplete</v>
      </c>
      <c r="CV634" s="20" t="str" cm="1">
        <f t="array" ref="CV634">_xlfn.XLOOKUP(CU634, _xlfn.XLOOKUP(E634, 'Normative data'!$Y$11:$Y$14, 'Normative data'!$Z$11:$AG$14, ,-1), 'Normative data'!$Z$10:$AG$10, "Not Found", -1)</f>
        <v>Excellent</v>
      </c>
      <c r="CW634" s="20" t="str" cm="1">
        <f t="array" ref="CW634">IF(OR(ISBLANK(CS634),ISBLANK(CT634)),"Incomplete",_xlfn.XLOOKUP(CS634&amp;CT634,VLOOKUP!$A$4:$A$250&amp;VLOOKUP!$B$4:$B$250,VLOOKUP!$D$4:$D$250,"0"))</f>
        <v>Incomplete</v>
      </c>
    </row>
    <row r="635" spans="1:101">
      <c r="A635" s="17" t="s">
        <v>724</v>
      </c>
      <c r="B635" s="17" t="s">
        <v>723</v>
      </c>
      <c r="C635" s="17" t="s">
        <v>86</v>
      </c>
      <c r="D635" s="26">
        <v>40652</v>
      </c>
      <c r="E635" s="17">
        <v>15</v>
      </c>
      <c r="F635" s="20" t="s">
        <v>217</v>
      </c>
      <c r="G635" s="17">
        <v>2026</v>
      </c>
      <c r="I635" s="20">
        <v>2</v>
      </c>
      <c r="J635" s="20" t="s">
        <v>100</v>
      </c>
      <c r="K635" s="20" t="s">
        <v>173</v>
      </c>
      <c r="L635" s="20"/>
      <c r="S635" s="20">
        <v>84.1</v>
      </c>
      <c r="T635" s="20">
        <v>163.5</v>
      </c>
      <c r="U635" s="17">
        <v>53.4</v>
      </c>
      <c r="V635" s="17">
        <v>31.4</v>
      </c>
      <c r="W635" s="17">
        <v>10.6</v>
      </c>
      <c r="X635" s="17">
        <v>42.8</v>
      </c>
      <c r="Y635" s="17">
        <v>23.5</v>
      </c>
      <c r="Z635" s="17">
        <v>20</v>
      </c>
      <c r="AA635" s="17">
        <v>19.8</v>
      </c>
      <c r="AB635" s="17">
        <v>6.28</v>
      </c>
      <c r="AC635" s="17">
        <v>101.7</v>
      </c>
      <c r="AD635" s="17">
        <v>6.43</v>
      </c>
      <c r="AE635" s="17">
        <v>104.2</v>
      </c>
      <c r="AF635" s="17">
        <v>1.7</v>
      </c>
      <c r="AG635" s="17">
        <v>69.3</v>
      </c>
      <c r="AH635" s="17">
        <v>1.7</v>
      </c>
      <c r="AI635" s="17">
        <v>69.7</v>
      </c>
      <c r="AJ635" s="17">
        <v>335.7</v>
      </c>
      <c r="AK635" s="17">
        <v>316.2</v>
      </c>
      <c r="AL635" s="17">
        <v>297.8</v>
      </c>
      <c r="AM635" s="17">
        <v>283.10000000000002</v>
      </c>
      <c r="AN635" s="17">
        <v>98</v>
      </c>
      <c r="AO635" s="17">
        <v>0.84</v>
      </c>
      <c r="AP635" s="17">
        <v>6.3</v>
      </c>
      <c r="AQ635" s="20"/>
      <c r="AR635" s="20"/>
      <c r="AS635" s="20"/>
      <c r="AT635" s="20"/>
      <c r="AU635" s="20"/>
      <c r="AV635" s="20"/>
      <c r="AW635" s="20"/>
      <c r="AX635" s="20"/>
      <c r="AY635" s="41" t="str">
        <f t="shared" si="191"/>
        <v>Incomplete</v>
      </c>
      <c r="BA635" s="20" t="str">
        <f t="shared" si="192"/>
        <v>Incomplete</v>
      </c>
      <c r="BC635" s="20" t="str">
        <f t="shared" si="193"/>
        <v>Incomplete</v>
      </c>
      <c r="BE635" s="20" t="str">
        <f t="shared" si="194"/>
        <v>Incomplete</v>
      </c>
      <c r="BG635" s="17">
        <v>14</v>
      </c>
      <c r="BH635" s="17">
        <v>24.5</v>
      </c>
      <c r="BI635" s="20">
        <f t="shared" si="190"/>
        <v>10.5</v>
      </c>
      <c r="BJ635" s="20"/>
      <c r="BK635" s="17">
        <v>5.5</v>
      </c>
      <c r="BL635" s="20"/>
      <c r="BM635" s="17">
        <v>5.5</v>
      </c>
      <c r="BN635" s="20"/>
      <c r="BO635" s="17">
        <v>47</v>
      </c>
      <c r="BP635" s="17">
        <v>48.5</v>
      </c>
      <c r="BQ635" s="17">
        <v>71</v>
      </c>
      <c r="BR635" s="17">
        <v>88</v>
      </c>
      <c r="BS635" s="17">
        <v>66</v>
      </c>
      <c r="BT635" s="17">
        <v>82</v>
      </c>
      <c r="BU635" s="17">
        <v>80</v>
      </c>
      <c r="BV635" s="17">
        <v>71</v>
      </c>
      <c r="BW635" s="91">
        <f t="shared" si="195"/>
        <v>94.458438287153641</v>
      </c>
      <c r="BX635" s="91" t="str">
        <f>_xlfn.XLOOKUP(BW635,'Normative data'!$V$3:$V$6,'Normative data'!$W$3:$W$6,"Not Found",-1)</f>
        <v>High risk</v>
      </c>
      <c r="BY635" s="91">
        <f t="shared" si="196"/>
        <v>97.816960537363556</v>
      </c>
      <c r="BZ635" s="91" t="str">
        <f>_xlfn.XLOOKUP(BY635,'Normative data'!$V$3:$V$6,'Normative data'!$W$3:$W$6,"Not Found",-1)</f>
        <v>Low risk</v>
      </c>
      <c r="CG635" s="17">
        <v>20.190000000000001</v>
      </c>
      <c r="CH635" s="20" t="str">
        <f>_xlfn.XLOOKUP(CG635, 'Normative data'!$S$9:$S$15,'Normative data'!$T$9:$T$15, "Not Found", -1)</f>
        <v>Average</v>
      </c>
      <c r="CI635" s="17">
        <v>19.489999999999998</v>
      </c>
      <c r="CJ635" s="20" t="str">
        <f>_xlfn.XLOOKUP(CI635, 'Normative data'!$S$9:$S$15, 'Normative data'!$T$9:$T$15, "Not Found", -1)</f>
        <v>Average</v>
      </c>
      <c r="CK635" s="21"/>
      <c r="CL635" s="21"/>
      <c r="CM635" s="21"/>
      <c r="CN635" s="21"/>
      <c r="CO635" s="21"/>
      <c r="CR635" s="20" t="str" cm="1">
        <f t="array" ref="CR635">IF(OR(ISBLANK(E635),ISBLANK(CQ635)),"Incomplete",_xlfn.XLOOKUP(CQ635,_xlfn.XLOOKUP(E635,'Normative data'!$Y$3:$Y$6,'Normative data'!$Z$3:$AG$6,,-1),'Normative data'!$Z$2:$AG$2,"Not Found",-1))</f>
        <v>Incomplete</v>
      </c>
      <c r="CS635" s="20"/>
      <c r="CT635" s="20"/>
      <c r="CU635" s="20" t="str" cm="1">
        <f t="array" ref="CU635">_xlfn.XLOOKUP(CS635&amp;CT635,(VLOOKUP!$A$3:$A$250)&amp;(VLOOKUP!$B$3:$B$250),VLOOKUP!$C$3:$C$250,"Incomplete",-1)</f>
        <v>Incomplete</v>
      </c>
      <c r="CV635" s="20" t="str" cm="1">
        <f t="array" ref="CV635">_xlfn.XLOOKUP(CU635, _xlfn.XLOOKUP(E635, 'Normative data'!$Y$11:$Y$14, 'Normative data'!$Z$11:$AG$14, ,-1), 'Normative data'!$Z$10:$AG$10, "Not Found", -1)</f>
        <v>Excellent</v>
      </c>
      <c r="CW635" s="20" t="str" cm="1">
        <f t="array" ref="CW635">IF(OR(ISBLANK(CS635),ISBLANK(CT635)),"Incomplete",_xlfn.XLOOKUP(CS635&amp;CT635,VLOOKUP!$A$4:$A$250&amp;VLOOKUP!$B$4:$B$250,VLOOKUP!$D$4:$D$250,"0"))</f>
        <v>Incomplete</v>
      </c>
    </row>
    <row r="636" spans="1:101">
      <c r="A636" s="17" t="s">
        <v>1263</v>
      </c>
      <c r="B636" s="17" t="s">
        <v>723</v>
      </c>
      <c r="C636" s="17" t="s">
        <v>86</v>
      </c>
      <c r="D636" s="26">
        <v>41004</v>
      </c>
      <c r="E636" s="17">
        <v>14</v>
      </c>
      <c r="F636" s="20" t="s">
        <v>251</v>
      </c>
      <c r="G636" s="17">
        <v>2026</v>
      </c>
      <c r="I636" s="20">
        <v>2</v>
      </c>
      <c r="J636" s="20" t="s">
        <v>88</v>
      </c>
      <c r="K636" s="20" t="s">
        <v>170</v>
      </c>
      <c r="L636" s="20"/>
      <c r="S636" s="20">
        <v>84.9</v>
      </c>
      <c r="T636" s="20">
        <v>168.3</v>
      </c>
      <c r="U636" s="17">
        <v>57.6</v>
      </c>
      <c r="V636" s="17">
        <v>33.799999999999997</v>
      </c>
      <c r="W636" s="17">
        <v>11.2</v>
      </c>
      <c r="X636" s="17">
        <v>46.4</v>
      </c>
      <c r="Y636" s="17">
        <v>25.5</v>
      </c>
      <c r="Z636" s="17">
        <v>20.3</v>
      </c>
      <c r="AA636" s="17">
        <v>19.5</v>
      </c>
      <c r="AB636" s="17">
        <v>7.16</v>
      </c>
      <c r="AC636" s="17">
        <v>107.6</v>
      </c>
      <c r="AD636" s="17">
        <v>7.1</v>
      </c>
      <c r="AE636" s="17">
        <v>106.7</v>
      </c>
      <c r="AF636" s="17">
        <v>1.9</v>
      </c>
      <c r="AG636" s="17">
        <v>71</v>
      </c>
      <c r="AH636" s="17">
        <v>1.8</v>
      </c>
      <c r="AI636" s="17">
        <v>70.7</v>
      </c>
      <c r="AJ636" s="17">
        <v>303.60000000000002</v>
      </c>
      <c r="AK636" s="17">
        <v>308.60000000000002</v>
      </c>
      <c r="AL636" s="17">
        <v>268.39999999999998</v>
      </c>
      <c r="AM636" s="17">
        <v>273.3</v>
      </c>
      <c r="AN636" s="17">
        <v>102</v>
      </c>
      <c r="AO636" s="17">
        <v>0.81</v>
      </c>
      <c r="AP636" s="17">
        <v>6.5</v>
      </c>
      <c r="AQ636" s="17">
        <v>24.9</v>
      </c>
      <c r="AR636" s="17">
        <v>0.45100000000000001</v>
      </c>
      <c r="AS636" s="17">
        <v>29.2</v>
      </c>
      <c r="AT636" s="17">
        <v>0.48799999999999999</v>
      </c>
      <c r="AU636" s="17">
        <v>14.9</v>
      </c>
      <c r="AV636" s="17">
        <v>0.34899999999999998</v>
      </c>
      <c r="AW636" s="17">
        <v>17.2</v>
      </c>
      <c r="AX636" s="17">
        <v>0.375</v>
      </c>
      <c r="AY636" s="41">
        <f t="shared" si="191"/>
        <v>2065.71</v>
      </c>
      <c r="BA636" s="20">
        <f t="shared" si="192"/>
        <v>2326.7199999999993</v>
      </c>
      <c r="BC636" s="20">
        <f t="shared" si="193"/>
        <v>1458.71</v>
      </c>
      <c r="BE636" s="20">
        <f t="shared" si="194"/>
        <v>1598.3199999999997</v>
      </c>
      <c r="BG636" s="17">
        <v>15</v>
      </c>
      <c r="BH636" s="17">
        <v>33.6</v>
      </c>
      <c r="BI636" s="20">
        <f t="shared" si="190"/>
        <v>18.600000000000001</v>
      </c>
      <c r="BJ636" s="20"/>
      <c r="BK636" s="17">
        <v>7.6</v>
      </c>
      <c r="BL636" s="20"/>
      <c r="BM636" s="17">
        <v>7.9</v>
      </c>
      <c r="BN636" s="20"/>
      <c r="BO636" s="17">
        <v>43.6</v>
      </c>
      <c r="BP636" s="17">
        <v>45.8</v>
      </c>
      <c r="BQ636" s="17">
        <v>78</v>
      </c>
      <c r="BR636" s="17">
        <v>77</v>
      </c>
      <c r="BS636" s="17">
        <v>78</v>
      </c>
      <c r="BT636" s="17">
        <v>77</v>
      </c>
      <c r="BU636" s="17">
        <v>79</v>
      </c>
      <c r="BV636" s="17">
        <v>81</v>
      </c>
      <c r="BW636" s="91">
        <f t="shared" si="195"/>
        <v>93.125499600319742</v>
      </c>
      <c r="BX636" s="91" t="str">
        <f>_xlfn.XLOOKUP(BW636,'Normative data'!$V$3:$V$6,'Normative data'!$W$3:$W$6,"Not Found",-1)</f>
        <v>High risk</v>
      </c>
      <c r="BY636" s="91">
        <f t="shared" si="196"/>
        <v>94.724220623501182</v>
      </c>
      <c r="BZ636" s="91" t="str">
        <f>_xlfn.XLOOKUP(BY636,'Normative data'!$V$3:$V$6,'Normative data'!$W$3:$W$6,"Not Found",-1)</f>
        <v>High risk</v>
      </c>
      <c r="CA636" s="17">
        <v>48</v>
      </c>
      <c r="CC636" s="20"/>
      <c r="CE636" s="17">
        <v>2</v>
      </c>
      <c r="CG636" s="17">
        <v>17.29</v>
      </c>
      <c r="CH636" s="20" t="str">
        <f>_xlfn.XLOOKUP(CG636, 'Normative data'!$S$9:$S$15,'Normative data'!$T$9:$T$15, "Not Found", -1)</f>
        <v>Above Average</v>
      </c>
      <c r="CI636" s="17">
        <v>16.97</v>
      </c>
      <c r="CJ636" s="20" t="str">
        <f>_xlfn.XLOOKUP(CI636, 'Normative data'!$S$9:$S$15, 'Normative data'!$T$9:$T$15, "Not Found", -1)</f>
        <v>Above Average</v>
      </c>
      <c r="CK636" s="17">
        <v>2.1</v>
      </c>
      <c r="CL636" s="17">
        <v>4.76</v>
      </c>
      <c r="CN636" s="17">
        <v>6.49</v>
      </c>
      <c r="CO636" s="17">
        <v>7.7</v>
      </c>
      <c r="CQ636" s="17">
        <v>7.9</v>
      </c>
      <c r="CR636" s="20" t="str" cm="1">
        <f t="array" ref="CR636">IF(OR(ISBLANK(E636),ISBLANK(CQ636)),"Incomplete",_xlfn.XLOOKUP(CQ636,_xlfn.XLOOKUP(E636,'Normative data'!$Y$3:$Y$6,'Normative data'!$Z$3:$AG$6,,-1),'Normative data'!$Z$2:$AG$2,"Not Found",-1))</f>
        <v>Good</v>
      </c>
      <c r="CS636" s="20">
        <v>7</v>
      </c>
      <c r="CT636" s="20">
        <v>9</v>
      </c>
      <c r="CU636" s="20" cm="1">
        <f t="array" ref="CU636">_xlfn.XLOOKUP(CS636&amp;CT636,(VLOOKUP!$A$3:$A$250)&amp;(VLOOKUP!$B$3:$B$250),VLOOKUP!$C$3:$C$250,"Incomplete",-1)</f>
        <v>1200</v>
      </c>
      <c r="CV636" s="20" t="str" cm="1">
        <f t="array" ref="CV636">_xlfn.XLOOKUP(CU636, _xlfn.XLOOKUP(E636, 'Normative data'!$Y$11:$Y$14, 'Normative data'!$Z$11:$AG$14, ,-1), 'Normative data'!$Z$10:$AG$10, "Not Found", -1)</f>
        <v>Average</v>
      </c>
      <c r="CW636" s="20" cm="1">
        <f t="array" ref="CW636">IF(OR(ISBLANK(CS636),ISBLANK(CT636)),"Incomplete",_xlfn.XLOOKUP(CS636&amp;CT636,VLOOKUP!$A$4:$A$250&amp;VLOOKUP!$B$4:$B$250,VLOOKUP!$D$4:$D$250,"0"))</f>
        <v>40</v>
      </c>
    </row>
    <row r="637" spans="1:101">
      <c r="A637" s="17" t="s">
        <v>1264</v>
      </c>
      <c r="B637" s="17" t="s">
        <v>1265</v>
      </c>
      <c r="C637" s="17" t="s">
        <v>86</v>
      </c>
      <c r="D637" s="26">
        <v>41057</v>
      </c>
      <c r="E637" s="17">
        <v>13.9</v>
      </c>
      <c r="F637" s="20" t="s">
        <v>251</v>
      </c>
      <c r="G637" s="17">
        <v>2026</v>
      </c>
      <c r="I637" s="20">
        <v>2</v>
      </c>
      <c r="J637" s="20"/>
      <c r="K637" s="20"/>
      <c r="L637" s="20"/>
      <c r="S637" s="20"/>
      <c r="T637" s="20">
        <v>164.3</v>
      </c>
      <c r="U637" s="17">
        <v>76</v>
      </c>
      <c r="V637" s="17">
        <v>38.200000000000003</v>
      </c>
      <c r="W637" s="17">
        <v>23.6</v>
      </c>
      <c r="X637" s="17">
        <v>52.4</v>
      </c>
      <c r="Y637" s="17">
        <v>29.4</v>
      </c>
      <c r="Z637" s="17">
        <v>28.2</v>
      </c>
      <c r="AA637" s="17">
        <v>31.1</v>
      </c>
      <c r="AB637" s="17">
        <v>7.73</v>
      </c>
      <c r="AC637" s="17">
        <v>105.4</v>
      </c>
      <c r="AD637" s="17">
        <v>7.5</v>
      </c>
      <c r="AE637" s="17">
        <v>102.3</v>
      </c>
      <c r="AF637" s="17">
        <v>3.4</v>
      </c>
      <c r="AG637" s="17">
        <v>135.4</v>
      </c>
      <c r="AH637" s="17">
        <v>3.3</v>
      </c>
      <c r="AI637" s="17">
        <v>134</v>
      </c>
      <c r="AJ637" s="17">
        <v>262</v>
      </c>
      <c r="AK637" s="17">
        <v>278.3</v>
      </c>
      <c r="AL637" s="17">
        <v>225.2</v>
      </c>
      <c r="AM637" s="17">
        <v>238.6</v>
      </c>
      <c r="AN637" s="17">
        <v>84</v>
      </c>
      <c r="AO637" s="17">
        <v>0.92</v>
      </c>
      <c r="AP637" s="17">
        <v>7.7</v>
      </c>
      <c r="AY637" s="41" t="str">
        <f t="shared" si="191"/>
        <v>Incomplete</v>
      </c>
      <c r="BA637" s="20" t="str">
        <f t="shared" si="192"/>
        <v>Incomplete</v>
      </c>
      <c r="BC637" s="20" t="str">
        <f t="shared" si="193"/>
        <v>Incomplete</v>
      </c>
      <c r="BE637" s="20" t="str">
        <f t="shared" si="194"/>
        <v>Incomplete</v>
      </c>
      <c r="BH637" s="17">
        <v>32.4</v>
      </c>
      <c r="BI637" s="20" t="str">
        <f t="shared" si="190"/>
        <v>Incomplete</v>
      </c>
      <c r="BJ637" s="20"/>
      <c r="BK637" s="17">
        <v>7</v>
      </c>
      <c r="BL637" s="20"/>
      <c r="BM637" s="17">
        <v>7</v>
      </c>
      <c r="BN637" s="20"/>
      <c r="BW637" s="91">
        <f t="shared" si="195"/>
        <v>0</v>
      </c>
      <c r="BX637" s="91" t="str">
        <f>_xlfn.XLOOKUP(BW637,'Normative data'!$V$3:$V$6,'Normative data'!$W$3:$W$6,"Not Found",-1)</f>
        <v>Not completed</v>
      </c>
      <c r="BY637" s="91">
        <f t="shared" si="196"/>
        <v>0</v>
      </c>
      <c r="BZ637" s="91" t="str">
        <f>_xlfn.XLOOKUP(BY637,'Normative data'!$V$3:$V$6,'Normative data'!$W$3:$W$6,"Not Found",-1)</f>
        <v>Not completed</v>
      </c>
      <c r="CG637" s="17">
        <v>18.28</v>
      </c>
      <c r="CH637" s="20" t="str">
        <f>_xlfn.XLOOKUP(CG637, 'Normative data'!$S$9:$S$15,'Normative data'!$T$9:$T$15, "Not Found", -1)</f>
        <v>Average</v>
      </c>
      <c r="CI637" s="17">
        <v>18.260000000000002</v>
      </c>
      <c r="CJ637" s="20" t="str">
        <f>_xlfn.XLOOKUP(CI637, 'Normative data'!$S$9:$S$15, 'Normative data'!$T$9:$T$15, "Not Found", -1)</f>
        <v>Average</v>
      </c>
      <c r="CK637" s="17">
        <v>2.19</v>
      </c>
      <c r="CL637" s="17">
        <v>4.57</v>
      </c>
      <c r="CN637" s="17">
        <v>7.03</v>
      </c>
      <c r="CO637" s="17">
        <v>7.19</v>
      </c>
      <c r="CQ637" s="17">
        <v>7.1</v>
      </c>
      <c r="CR637" s="20" t="str" cm="1">
        <f t="array" ref="CR637">IF(OR(ISBLANK(E637),ISBLANK(CQ637)),"Incomplete",_xlfn.XLOOKUP(CQ637,_xlfn.XLOOKUP(E637,'Normative data'!$Y$3:$Y$6,'Normative data'!$Z$3:$AG$6,,-1),'Normative data'!$Z$2:$AG$2,"Not Found",-1))</f>
        <v>Good</v>
      </c>
      <c r="CS637" s="20">
        <v>7</v>
      </c>
      <c r="CT637" s="20">
        <v>1</v>
      </c>
      <c r="CU637" s="20" cm="1">
        <f t="array" ref="CU637">_xlfn.XLOOKUP(CS637&amp;CT637,(VLOOKUP!$A$3:$A$250)&amp;(VLOOKUP!$B$3:$B$250),VLOOKUP!$C$3:$C$250,"Incomplete",-1)</f>
        <v>1040</v>
      </c>
      <c r="CV637" s="20" t="str" cm="1">
        <f t="array" ref="CV637">_xlfn.XLOOKUP(CU637, _xlfn.XLOOKUP(E637, 'Normative data'!$Y$11:$Y$14, 'Normative data'!$Z$11:$AG$14, ,-1), 'Normative data'!$Z$10:$AG$10, "Not Found", -1)</f>
        <v xml:space="preserve">Good </v>
      </c>
      <c r="CW637" s="20" cm="1">
        <f t="array" ref="CW637">IF(OR(ISBLANK(CS637),ISBLANK(CT637)),"Incomplete",_xlfn.XLOOKUP(CS637&amp;CT637,VLOOKUP!$A$4:$A$250&amp;VLOOKUP!$B$4:$B$250,VLOOKUP!$D$4:$D$250,"0"))</f>
        <v>37</v>
      </c>
    </row>
    <row r="638" spans="1:101">
      <c r="A638" s="17" t="s">
        <v>432</v>
      </c>
      <c r="B638" s="17" t="s">
        <v>431</v>
      </c>
      <c r="C638" s="17" t="s">
        <v>86</v>
      </c>
      <c r="D638" s="26"/>
      <c r="F638" s="20" t="s">
        <v>192</v>
      </c>
      <c r="G638" s="17">
        <v>2026</v>
      </c>
      <c r="I638" s="20">
        <v>2</v>
      </c>
      <c r="J638" s="20"/>
      <c r="K638" s="20"/>
      <c r="L638" s="20"/>
      <c r="S638" s="20">
        <v>82.4</v>
      </c>
      <c r="T638" s="20">
        <v>158.19999999999999</v>
      </c>
      <c r="AQ638" s="20"/>
      <c r="AR638" s="20"/>
      <c r="AS638" s="20"/>
      <c r="AT638" s="20"/>
      <c r="AU638" s="20"/>
      <c r="AV638" s="20"/>
      <c r="AW638" s="20"/>
      <c r="AX638" s="20"/>
      <c r="AY638" s="41" t="str">
        <f t="shared" si="191"/>
        <v>Incomplete</v>
      </c>
      <c r="BA638" s="20" t="str">
        <f t="shared" si="192"/>
        <v>Incomplete</v>
      </c>
      <c r="BC638" s="20" t="str">
        <f t="shared" si="193"/>
        <v>Incomplete</v>
      </c>
      <c r="BE638" s="20" t="str">
        <f t="shared" si="194"/>
        <v>Incomplete</v>
      </c>
      <c r="BG638" s="17">
        <v>15.1</v>
      </c>
      <c r="BH638" s="17">
        <v>45.5</v>
      </c>
      <c r="BI638" s="20">
        <f t="shared" si="190"/>
        <v>30.4</v>
      </c>
      <c r="BJ638" s="20"/>
      <c r="BK638" s="17">
        <v>6</v>
      </c>
      <c r="BL638" s="20"/>
      <c r="BM638" s="17">
        <v>9.5</v>
      </c>
      <c r="BN638" s="20"/>
      <c r="BO638" s="17">
        <v>51</v>
      </c>
      <c r="BP638" s="17">
        <v>53</v>
      </c>
      <c r="BQ638" s="17">
        <v>74</v>
      </c>
      <c r="BR638" s="17">
        <v>77</v>
      </c>
      <c r="BS638" s="17">
        <v>78</v>
      </c>
      <c r="BT638" s="17">
        <v>78</v>
      </c>
      <c r="BU638" s="17">
        <v>70</v>
      </c>
      <c r="BV638" s="17">
        <v>83</v>
      </c>
      <c r="BW638" s="91">
        <f t="shared" si="195"/>
        <v>100.70360598065086</v>
      </c>
      <c r="BX638" s="91" t="str">
        <f>_xlfn.XLOOKUP(BW638,'Normative data'!$V$3:$V$6,'Normative data'!$W$3:$W$6,"Not Found",-1)</f>
        <v>Low risk</v>
      </c>
      <c r="BY638" s="91">
        <f t="shared" si="196"/>
        <v>101.5831134564644</v>
      </c>
      <c r="BZ638" s="91" t="str">
        <f>_xlfn.XLOOKUP(BY638,'Normative data'!$V$3:$V$6,'Normative data'!$W$3:$W$6,"Not Found",-1)</f>
        <v>Low risk</v>
      </c>
      <c r="CA638" s="20"/>
      <c r="CC638" s="20"/>
      <c r="CE638" s="20"/>
      <c r="CG638" s="20"/>
      <c r="CH638" s="20" t="str">
        <f>_xlfn.XLOOKUP(CG638, 'Normative data'!$S$9:$S$15,'Normative data'!$T$9:$T$15, "Not Found", -1)</f>
        <v>not completed</v>
      </c>
      <c r="CI638" s="20"/>
      <c r="CJ638" s="20" t="str">
        <f>_xlfn.XLOOKUP(CI638, 'Normative data'!$S$9:$S$15, 'Normative data'!$T$9:$T$15, "Not Found", -1)</f>
        <v>not completed</v>
      </c>
      <c r="CK638" s="21"/>
      <c r="CL638" s="21"/>
      <c r="CM638" s="21"/>
      <c r="CN638" s="21"/>
      <c r="CO638" s="21"/>
      <c r="CQ638" s="17">
        <v>6.1</v>
      </c>
      <c r="CR638" s="20" t="str" cm="1">
        <f t="array" ref="CR638">IF(OR(ISBLANK(E638),ISBLANK(CQ638)),"Incomplete",_xlfn.XLOOKUP(CQ638,_xlfn.XLOOKUP(E638,'Normative data'!$Y$3:$Y$6,'Normative data'!$Z$3:$AG$6,,-1),'Normative data'!$Z$2:$AG$2,"Not Found",-1))</f>
        <v>Incomplete</v>
      </c>
      <c r="CS638" s="20">
        <v>6</v>
      </c>
      <c r="CT638" s="20">
        <v>1</v>
      </c>
      <c r="CU638" s="20" cm="1">
        <f t="array" ref="CU638">_xlfn.XLOOKUP(CS638&amp;CT638,(VLOOKUP!$A$3:$A$250)&amp;(VLOOKUP!$B$3:$B$250),VLOOKUP!$C$3:$C$250,"Incomplete",-1)</f>
        <v>840</v>
      </c>
      <c r="CV638" s="20" t="str" cm="1">
        <f t="array" ref="CV638">_xlfn.XLOOKUP(CU638, _xlfn.XLOOKUP(E638, 'Normative data'!$Y$11:$Y$14, 'Normative data'!$Z$11:$AG$14, ,-1), 'Normative data'!$Z$10:$AG$10, "Not Found", -1)</f>
        <v xml:space="preserve">Fair </v>
      </c>
      <c r="CW638" s="20" cm="1">
        <f t="array" ref="CW638">IF(OR(ISBLANK(CS638),ISBLANK(CT638)),"Incomplete",_xlfn.XLOOKUP(CS638&amp;CT638,VLOOKUP!$A$4:$A$250&amp;VLOOKUP!$B$4:$B$250,VLOOKUP!$D$4:$D$250,"0"))</f>
        <v>33</v>
      </c>
    </row>
    <row r="639" spans="1:101">
      <c r="A639" s="17" t="s">
        <v>671</v>
      </c>
      <c r="B639" s="17" t="s">
        <v>431</v>
      </c>
      <c r="C639" s="17" t="s">
        <v>86</v>
      </c>
      <c r="D639" s="26">
        <v>40635</v>
      </c>
      <c r="E639" s="17">
        <v>15.2</v>
      </c>
      <c r="F639" s="20" t="s">
        <v>154</v>
      </c>
      <c r="G639" s="17">
        <v>2026</v>
      </c>
      <c r="I639" s="20">
        <v>2</v>
      </c>
      <c r="J639" s="20" t="s">
        <v>88</v>
      </c>
      <c r="K639" s="20" t="s">
        <v>194</v>
      </c>
      <c r="L639" s="20"/>
      <c r="S639" s="20">
        <v>89.4</v>
      </c>
      <c r="T639" s="20">
        <v>165.5</v>
      </c>
      <c r="U639" s="17">
        <v>56.7</v>
      </c>
      <c r="V639" s="17">
        <v>31.4</v>
      </c>
      <c r="W639" s="17">
        <v>13.7</v>
      </c>
      <c r="X639" s="17">
        <v>43</v>
      </c>
      <c r="Y639" s="17">
        <v>23.7</v>
      </c>
      <c r="Z639" s="17">
        <v>20.7</v>
      </c>
      <c r="AA639" s="17">
        <v>24.1</v>
      </c>
      <c r="AB639" s="17">
        <v>6.58</v>
      </c>
      <c r="AC639" s="17">
        <v>100.4</v>
      </c>
      <c r="AD639" s="17">
        <v>6.51</v>
      </c>
      <c r="AE639" s="17">
        <v>99.3</v>
      </c>
      <c r="AF639" s="17">
        <v>2.1</v>
      </c>
      <c r="AG639" s="17">
        <v>84.1</v>
      </c>
      <c r="AH639" s="17">
        <v>2.1</v>
      </c>
      <c r="AI639" s="17">
        <v>83.4</v>
      </c>
      <c r="AJ639" s="17">
        <v>343.1</v>
      </c>
      <c r="AK639" s="17">
        <v>351.9</v>
      </c>
      <c r="AL639" s="17">
        <v>299.10000000000002</v>
      </c>
      <c r="AM639" s="17">
        <v>309</v>
      </c>
      <c r="AN639" s="17">
        <v>103</v>
      </c>
      <c r="AO639" s="17">
        <v>0.87</v>
      </c>
      <c r="AP639" s="17">
        <v>6.3</v>
      </c>
      <c r="AQ639" s="17">
        <v>18.5</v>
      </c>
      <c r="AR639" s="17">
        <v>0.38900000000000001</v>
      </c>
      <c r="AS639" s="17">
        <v>24.6</v>
      </c>
      <c r="AT639" s="17">
        <v>0.44800000000000001</v>
      </c>
      <c r="AU639" s="17">
        <v>10.6</v>
      </c>
      <c r="AV639" s="17">
        <v>0.29399999999999998</v>
      </c>
      <c r="AW639" s="17">
        <v>15.4</v>
      </c>
      <c r="AX639" s="17">
        <v>0.35399999999999998</v>
      </c>
      <c r="AY639" s="41">
        <f t="shared" si="191"/>
        <v>1636.46</v>
      </c>
      <c r="BA639" s="20">
        <f t="shared" si="192"/>
        <v>2006.73</v>
      </c>
      <c r="BC639" s="20">
        <f t="shared" si="193"/>
        <v>1156.9299999999998</v>
      </c>
      <c r="BE639" s="20">
        <f t="shared" si="194"/>
        <v>1448.29</v>
      </c>
      <c r="BG639" s="17">
        <v>18</v>
      </c>
      <c r="BH639" s="17">
        <v>53</v>
      </c>
      <c r="BI639" s="20">
        <f t="shared" si="190"/>
        <v>35</v>
      </c>
      <c r="BJ639" s="20"/>
      <c r="BK639" s="17">
        <v>5.7</v>
      </c>
      <c r="BL639" s="20"/>
      <c r="BM639" s="17">
        <v>6.2</v>
      </c>
      <c r="BN639" s="20"/>
      <c r="BO639" s="17">
        <v>45.7</v>
      </c>
      <c r="BP639" s="17">
        <v>45</v>
      </c>
      <c r="BQ639" s="17">
        <v>74</v>
      </c>
      <c r="BR639" s="17">
        <v>80</v>
      </c>
      <c r="BS639" s="17">
        <v>85</v>
      </c>
      <c r="BT639" s="17">
        <v>73</v>
      </c>
      <c r="BU639" s="17">
        <v>75</v>
      </c>
      <c r="BV639" s="17">
        <v>80</v>
      </c>
      <c r="BW639" s="91">
        <f t="shared" si="195"/>
        <v>104.68681559351731</v>
      </c>
      <c r="BX639" s="91" t="str">
        <f>_xlfn.XLOOKUP(BW639,'Normative data'!$V$3:$V$6,'Normative data'!$W$3:$W$6,"Not Found",-1)</f>
        <v>Low risk</v>
      </c>
      <c r="BY639" s="91">
        <f t="shared" si="196"/>
        <v>99.868593955321955</v>
      </c>
      <c r="BZ639" s="91" t="str">
        <f>_xlfn.XLOOKUP(BY639,'Normative data'!$V$3:$V$6,'Normative data'!$W$3:$W$6,"Not Found",-1)</f>
        <v>Low risk</v>
      </c>
      <c r="CA639" s="20"/>
      <c r="CC639" s="20"/>
      <c r="CE639" s="17">
        <v>11</v>
      </c>
      <c r="CG639" s="17">
        <v>20.45</v>
      </c>
      <c r="CH639" s="20" t="str">
        <f>_xlfn.XLOOKUP(CG639, 'Normative data'!$S$9:$S$15,'Normative data'!$T$9:$T$15, "Not Found", -1)</f>
        <v>Average</v>
      </c>
      <c r="CI639" s="17">
        <v>18.32</v>
      </c>
      <c r="CJ639" s="20" t="str">
        <f>_xlfn.XLOOKUP(CI639, 'Normative data'!$S$9:$S$15, 'Normative data'!$T$9:$T$15, "Not Found", -1)</f>
        <v>Average</v>
      </c>
      <c r="CK639" s="17">
        <v>2.12</v>
      </c>
      <c r="CL639" s="17">
        <v>4.72</v>
      </c>
      <c r="CN639" s="17">
        <v>6.41</v>
      </c>
      <c r="CO639" s="17">
        <v>7.8</v>
      </c>
      <c r="CQ639" s="17">
        <v>6.1</v>
      </c>
      <c r="CR639" s="20" t="str" cm="1">
        <f t="array" ref="CR639">IF(OR(ISBLANK(E639),ISBLANK(CQ639)),"Incomplete",_xlfn.XLOOKUP(CQ639,_xlfn.XLOOKUP(E639,'Normative data'!$Y$3:$Y$6,'Normative data'!$Z$3:$AG$6,,-1),'Normative data'!$Z$2:$AG$2,"Not Found",-1))</f>
        <v>Fair</v>
      </c>
      <c r="CS639" s="20">
        <v>6</v>
      </c>
      <c r="CT639" s="20">
        <v>1</v>
      </c>
      <c r="CU639" s="20" cm="1">
        <f t="array" ref="CU639">_xlfn.XLOOKUP(CS639&amp;CT639,(VLOOKUP!$A$3:$A$250)&amp;(VLOOKUP!$B$3:$B$250),VLOOKUP!$C$3:$C$250,"Incomplete",-1)</f>
        <v>840</v>
      </c>
      <c r="CV639" s="20" t="str" cm="1">
        <f t="array" ref="CV639">_xlfn.XLOOKUP(CU639, _xlfn.XLOOKUP(E639, 'Normative data'!$Y$11:$Y$14, 'Normative data'!$Z$11:$AG$14, ,-1), 'Normative data'!$Z$10:$AG$10, "Not Found", -1)</f>
        <v xml:space="preserve">Fair </v>
      </c>
      <c r="CW639" s="20" cm="1">
        <f t="array" ref="CW639">IF(OR(ISBLANK(CS639),ISBLANK(CT639)),"Incomplete",_xlfn.XLOOKUP(CS639&amp;CT639,VLOOKUP!$A$4:$A$250&amp;VLOOKUP!$B$4:$B$250,VLOOKUP!$D$4:$D$250,"0"))</f>
        <v>33</v>
      </c>
    </row>
    <row r="640" spans="1:101">
      <c r="A640" s="17" t="s">
        <v>1266</v>
      </c>
      <c r="B640" s="17" t="s">
        <v>431</v>
      </c>
      <c r="C640" s="17" t="s">
        <v>86</v>
      </c>
      <c r="D640" s="26"/>
      <c r="F640" s="20" t="s">
        <v>251</v>
      </c>
      <c r="G640" s="17">
        <v>2026</v>
      </c>
      <c r="I640" s="20">
        <v>2</v>
      </c>
      <c r="J640" s="20" t="s">
        <v>100</v>
      </c>
      <c r="K640" s="20" t="s">
        <v>108</v>
      </c>
      <c r="L640" s="20"/>
      <c r="S640" s="20">
        <v>75.599999999999994</v>
      </c>
      <c r="T640" s="20">
        <v>154</v>
      </c>
      <c r="AQ640" s="20"/>
      <c r="AR640" s="20"/>
      <c r="AS640" s="20"/>
      <c r="AT640" s="20"/>
      <c r="AU640" s="20"/>
      <c r="AV640" s="20"/>
      <c r="AW640" s="20"/>
      <c r="AX640" s="20"/>
      <c r="AY640" s="41" t="str">
        <f t="shared" si="191"/>
        <v>Incomplete</v>
      </c>
      <c r="BA640" s="20" t="str">
        <f t="shared" si="192"/>
        <v>Incomplete</v>
      </c>
      <c r="BC640" s="20" t="str">
        <f t="shared" si="193"/>
        <v>Incomplete</v>
      </c>
      <c r="BE640" s="20" t="str">
        <f t="shared" si="194"/>
        <v>Incomplete</v>
      </c>
      <c r="BH640" s="17">
        <v>29.3</v>
      </c>
      <c r="BI640" s="20" t="str">
        <f t="shared" si="190"/>
        <v>Incomplete</v>
      </c>
      <c r="BJ640" s="20"/>
      <c r="BK640" s="17">
        <v>8.8000000000000007</v>
      </c>
      <c r="BL640" s="20"/>
      <c r="BM640" s="17">
        <v>10.4</v>
      </c>
      <c r="BN640" s="20"/>
      <c r="BW640" s="91">
        <f t="shared" si="195"/>
        <v>0</v>
      </c>
      <c r="BX640" s="91" t="str">
        <f>_xlfn.XLOOKUP(BW640,'Normative data'!$V$3:$V$6,'Normative data'!$W$3:$W$6,"Not Found",-1)</f>
        <v>Not completed</v>
      </c>
      <c r="BY640" s="91">
        <f t="shared" si="196"/>
        <v>0</v>
      </c>
      <c r="BZ640" s="91" t="str">
        <f>_xlfn.XLOOKUP(BY640,'Normative data'!$V$3:$V$6,'Normative data'!$W$3:$W$6,"Not Found",-1)</f>
        <v>Not completed</v>
      </c>
      <c r="CG640" s="17">
        <v>19.440000000000001</v>
      </c>
      <c r="CH640" s="20" t="str">
        <f>_xlfn.XLOOKUP(CG640, 'Normative data'!$S$9:$S$15,'Normative data'!$T$9:$T$15, "Not Found", -1)</f>
        <v>Average</v>
      </c>
      <c r="CI640" s="17">
        <v>19.239999999999998</v>
      </c>
      <c r="CJ640" s="20" t="str">
        <f>_xlfn.XLOOKUP(CI640, 'Normative data'!$S$9:$S$15, 'Normative data'!$T$9:$T$15, "Not Found", -1)</f>
        <v>Average</v>
      </c>
      <c r="CK640" s="17">
        <v>2.2799999999999998</v>
      </c>
      <c r="CL640" s="17">
        <v>4.3899999999999997</v>
      </c>
      <c r="CN640" s="17">
        <v>7.81</v>
      </c>
      <c r="CO640" s="17">
        <v>6.4</v>
      </c>
      <c r="CR640" s="20" t="str" cm="1">
        <f t="array" ref="CR640">IF(OR(ISBLANK(E640),ISBLANK(CQ640)),"Incomplete",_xlfn.XLOOKUP(CQ640,_xlfn.XLOOKUP(E640,'Normative data'!$Y$3:$Y$6,'Normative data'!$Z$3:$AG$6,,-1),'Normative data'!$Z$2:$AG$2,"Not Found",-1))</f>
        <v>Incomplete</v>
      </c>
      <c r="CS640" s="20"/>
      <c r="CT640" s="20"/>
      <c r="CU640" s="20" t="str" cm="1">
        <f t="array" ref="CU640">_xlfn.XLOOKUP(CS640&amp;CT640,(VLOOKUP!$A$3:$A$250)&amp;(VLOOKUP!$B$3:$B$250),VLOOKUP!$C$3:$C$250,"Incomplete",-1)</f>
        <v>Incomplete</v>
      </c>
      <c r="CV640" s="20" t="str" cm="1">
        <f t="array" ref="CV640">_xlfn.XLOOKUP(CU640, _xlfn.XLOOKUP(E640, 'Normative data'!$Y$11:$Y$14, 'Normative data'!$Z$11:$AG$14, ,-1), 'Normative data'!$Z$10:$AG$10, "Not Found", -1)</f>
        <v>Excellent</v>
      </c>
      <c r="CW640" s="20" t="str" cm="1">
        <f t="array" ref="CW640">IF(OR(ISBLANK(CS640),ISBLANK(CT640)),"Incomplete",_xlfn.XLOOKUP(CS640&amp;CT640,VLOOKUP!$A$4:$A$250&amp;VLOOKUP!$B$4:$B$250,VLOOKUP!$D$4:$D$250,"0"))</f>
        <v>Incomplete</v>
      </c>
    </row>
    <row r="641" spans="1:101">
      <c r="A641" s="17" t="s">
        <v>1267</v>
      </c>
      <c r="B641" s="17" t="s">
        <v>431</v>
      </c>
      <c r="C641" s="17" t="s">
        <v>86</v>
      </c>
      <c r="D641" s="26"/>
      <c r="F641" s="20" t="s">
        <v>110</v>
      </c>
      <c r="G641" s="17">
        <v>2026</v>
      </c>
      <c r="I641" s="20">
        <v>2</v>
      </c>
      <c r="J641" s="20" t="s">
        <v>122</v>
      </c>
      <c r="K641" s="20" t="s">
        <v>228</v>
      </c>
      <c r="L641" s="20"/>
      <c r="S641" s="20">
        <v>87.1</v>
      </c>
      <c r="T641" s="20">
        <v>165.3</v>
      </c>
      <c r="AY641" s="41" t="str">
        <f t="shared" si="191"/>
        <v>Incomplete</v>
      </c>
      <c r="BA641" s="20" t="str">
        <f t="shared" si="192"/>
        <v>Incomplete</v>
      </c>
      <c r="BC641" s="20" t="str">
        <f t="shared" si="193"/>
        <v>Incomplete</v>
      </c>
      <c r="BE641" s="20" t="str">
        <f t="shared" si="194"/>
        <v>Incomplete</v>
      </c>
      <c r="BG641" s="17">
        <v>11.3</v>
      </c>
      <c r="BH641" s="17">
        <v>53.2</v>
      </c>
      <c r="BI641" s="20">
        <f t="shared" si="190"/>
        <v>41.900000000000006</v>
      </c>
      <c r="BJ641" s="20"/>
      <c r="BL641" s="20"/>
      <c r="BM641" s="20"/>
      <c r="BN641" s="20"/>
      <c r="BQ641" s="17">
        <v>77</v>
      </c>
      <c r="BR641" s="17">
        <v>89</v>
      </c>
      <c r="BS641" s="17">
        <v>88</v>
      </c>
      <c r="BT641" s="17">
        <v>78</v>
      </c>
      <c r="BU641" s="17">
        <v>89</v>
      </c>
      <c r="BV641" s="17">
        <v>80</v>
      </c>
      <c r="BW641" s="91">
        <f t="shared" si="195"/>
        <v>108.26939471440748</v>
      </c>
      <c r="BX641" s="91" t="str">
        <f>_xlfn.XLOOKUP(BW641,'Normative data'!$V$3:$V$6,'Normative data'!$W$3:$W$6,"Not Found",-1)</f>
        <v>Low risk</v>
      </c>
      <c r="BY641" s="91">
        <f t="shared" si="196"/>
        <v>105.28559249786869</v>
      </c>
      <c r="BZ641" s="91" t="str">
        <f>_xlfn.XLOOKUP(BY641,'Normative data'!$V$3:$V$6,'Normative data'!$W$3:$W$6,"Not Found",-1)</f>
        <v>Low risk</v>
      </c>
      <c r="CG641" s="17">
        <v>18.18</v>
      </c>
      <c r="CH641" s="20" t="str">
        <f>_xlfn.XLOOKUP(CG641, 'Normative data'!$S$9:$S$15,'Normative data'!$T$9:$T$15, "Not Found", -1)</f>
        <v>Average</v>
      </c>
      <c r="CI641" s="17">
        <v>17.98</v>
      </c>
      <c r="CJ641" s="20" t="str">
        <f>_xlfn.XLOOKUP(CI641, 'Normative data'!$S$9:$S$15, 'Normative data'!$T$9:$T$15, "Not Found", -1)</f>
        <v>Above Average</v>
      </c>
      <c r="CK641" s="21"/>
      <c r="CL641" s="21"/>
      <c r="CM641" s="21"/>
      <c r="CN641" s="21"/>
      <c r="CO641" s="21"/>
      <c r="CR641" s="20" t="str" cm="1">
        <f t="array" ref="CR641">IF(OR(ISBLANK(E641),ISBLANK(CQ641)),"Incomplete",_xlfn.XLOOKUP(CQ641,_xlfn.XLOOKUP(E641,'Normative data'!$Y$3:$Y$6,'Normative data'!$Z$3:$AG$6,,-1),'Normative data'!$Z$2:$AG$2,"Not Found",-1))</f>
        <v>Incomplete</v>
      </c>
      <c r="CS641" s="20"/>
      <c r="CT641" s="20"/>
      <c r="CU641" s="20" t="str" cm="1">
        <f t="array" ref="CU641">_xlfn.XLOOKUP(CS641&amp;CT641,(VLOOKUP!$A$3:$A$250)&amp;(VLOOKUP!$B$3:$B$250),VLOOKUP!$C$3:$C$250,"Incomplete",-1)</f>
        <v>Incomplete</v>
      </c>
      <c r="CV641" s="20" t="str" cm="1">
        <f t="array" ref="CV641">_xlfn.XLOOKUP(CU641, _xlfn.XLOOKUP(E641, 'Normative data'!$Y$11:$Y$14, 'Normative data'!$Z$11:$AG$14, ,-1), 'Normative data'!$Z$10:$AG$10, "Not Found", -1)</f>
        <v>Excellent</v>
      </c>
      <c r="CW641" s="20" t="str" cm="1">
        <f t="array" ref="CW641">IF(OR(ISBLANK(CS641),ISBLANK(CT641)),"Incomplete",_xlfn.XLOOKUP(CS641&amp;CT641,VLOOKUP!$A$4:$A$250&amp;VLOOKUP!$B$4:$B$250,VLOOKUP!$D$4:$D$250,"0"))</f>
        <v>Incomplete</v>
      </c>
    </row>
    <row r="642" spans="1:101">
      <c r="A642" s="17" t="s">
        <v>1268</v>
      </c>
      <c r="B642" s="17" t="s">
        <v>431</v>
      </c>
      <c r="C642" s="17" t="s">
        <v>86</v>
      </c>
      <c r="D642" s="26"/>
      <c r="F642" s="20" t="s">
        <v>110</v>
      </c>
      <c r="G642" s="17">
        <v>2026</v>
      </c>
      <c r="I642" s="20">
        <v>2</v>
      </c>
      <c r="J642" s="20" t="s">
        <v>88</v>
      </c>
      <c r="K642" s="20" t="s">
        <v>1269</v>
      </c>
      <c r="L642" s="20"/>
      <c r="S642" s="20">
        <v>88.9</v>
      </c>
      <c r="T642" s="20">
        <v>163.5</v>
      </c>
      <c r="AY642" s="41" t="str">
        <f t="shared" si="191"/>
        <v>Incomplete</v>
      </c>
      <c r="BA642" s="20" t="str">
        <f t="shared" si="192"/>
        <v>Incomplete</v>
      </c>
      <c r="BC642" s="20" t="str">
        <f t="shared" si="193"/>
        <v>Incomplete</v>
      </c>
      <c r="BE642" s="20" t="str">
        <f t="shared" si="194"/>
        <v>Incomplete</v>
      </c>
      <c r="BG642" s="17">
        <v>9.3000000000000007</v>
      </c>
      <c r="BH642" s="17">
        <v>41.4</v>
      </c>
      <c r="BI642" s="20">
        <f t="shared" si="190"/>
        <v>32.099999999999994</v>
      </c>
      <c r="BJ642" s="20"/>
      <c r="BL642" s="20"/>
      <c r="BN642" s="20"/>
      <c r="BQ642" s="17">
        <v>74</v>
      </c>
      <c r="BR642" s="17">
        <v>82</v>
      </c>
      <c r="BS642" s="17">
        <v>81</v>
      </c>
      <c r="BT642" s="17">
        <v>71</v>
      </c>
      <c r="BU642" s="17">
        <v>78</v>
      </c>
      <c r="BV642" s="17">
        <v>71</v>
      </c>
      <c r="BW642" s="91">
        <f t="shared" si="195"/>
        <v>105.89812332439679</v>
      </c>
      <c r="BX642" s="91" t="str">
        <f>_xlfn.XLOOKUP(BW642,'Normative data'!$V$3:$V$6,'Normative data'!$W$3:$W$6,"Not Found",-1)</f>
        <v>Low risk</v>
      </c>
      <c r="BY642" s="91">
        <f t="shared" si="196"/>
        <v>98.30205540661305</v>
      </c>
      <c r="BZ642" s="91" t="str">
        <f>_xlfn.XLOOKUP(BY642,'Normative data'!$V$3:$V$6,'Normative data'!$W$3:$W$6,"Not Found",-1)</f>
        <v>Low risk</v>
      </c>
      <c r="CG642" s="17">
        <v>18.47</v>
      </c>
      <c r="CH642" s="20" t="str">
        <f>_xlfn.XLOOKUP(CG642, 'Normative data'!$S$9:$S$15,'Normative data'!$T$9:$T$15, "Not Found", -1)</f>
        <v>Average</v>
      </c>
      <c r="CI642" s="17">
        <v>19.23</v>
      </c>
      <c r="CJ642" s="20" t="str">
        <f>_xlfn.XLOOKUP(CI642, 'Normative data'!$S$9:$S$15, 'Normative data'!$T$9:$T$15, "Not Found", -1)</f>
        <v>Average</v>
      </c>
      <c r="CK642" s="21"/>
      <c r="CL642" s="21"/>
      <c r="CM642" s="21"/>
      <c r="CN642" s="21"/>
      <c r="CO642" s="21"/>
      <c r="CR642" s="20" t="str" cm="1">
        <f t="array" ref="CR642">IF(OR(ISBLANK(E642),ISBLANK(CQ642)),"Incomplete",_xlfn.XLOOKUP(CQ642,_xlfn.XLOOKUP(E642,'Normative data'!$Y$3:$Y$6,'Normative data'!$Z$3:$AG$6,,-1),'Normative data'!$Z$2:$AG$2,"Not Found",-1))</f>
        <v>Incomplete</v>
      </c>
      <c r="CS642" s="20"/>
      <c r="CT642" s="20"/>
      <c r="CU642" s="20" t="str" cm="1">
        <f t="array" ref="CU642">_xlfn.XLOOKUP(CS642&amp;CT642,(VLOOKUP!$A$3:$A$250)&amp;(VLOOKUP!$B$3:$B$250),VLOOKUP!$C$3:$C$250,"Incomplete",-1)</f>
        <v>Incomplete</v>
      </c>
      <c r="CV642" s="20" t="str" cm="1">
        <f t="array" ref="CV642">_xlfn.XLOOKUP(CU642, _xlfn.XLOOKUP(E642, 'Normative data'!$Y$11:$Y$14, 'Normative data'!$Z$11:$AG$14, ,-1), 'Normative data'!$Z$10:$AG$10, "Not Found", -1)</f>
        <v>Excellent</v>
      </c>
      <c r="CW642" s="20" t="str" cm="1">
        <f t="array" ref="CW642">IF(OR(ISBLANK(CS642),ISBLANK(CT642)),"Incomplete",_xlfn.XLOOKUP(CS642&amp;CT642,VLOOKUP!$A$4:$A$250&amp;VLOOKUP!$B$4:$B$250,VLOOKUP!$D$4:$D$250,"0"))</f>
        <v>Incomplete</v>
      </c>
    </row>
    <row r="643" spans="1:101">
      <c r="A643" s="17" t="s">
        <v>1270</v>
      </c>
      <c r="B643" s="17" t="s">
        <v>1271</v>
      </c>
      <c r="C643" s="17" t="s">
        <v>86</v>
      </c>
      <c r="D643" s="98">
        <v>41040</v>
      </c>
      <c r="E643" s="17">
        <v>14.1</v>
      </c>
      <c r="F643" s="20" t="s">
        <v>97</v>
      </c>
      <c r="G643" s="17">
        <v>2026</v>
      </c>
      <c r="I643" s="20">
        <v>2</v>
      </c>
      <c r="J643" s="20"/>
      <c r="K643" s="20"/>
      <c r="L643" s="20"/>
      <c r="S643" s="20">
        <v>75.2</v>
      </c>
      <c r="T643" s="20">
        <v>163.4</v>
      </c>
      <c r="U643" s="17">
        <v>57.1</v>
      </c>
      <c r="V643" s="17">
        <v>26.7</v>
      </c>
      <c r="W643" s="17">
        <v>20.5</v>
      </c>
      <c r="X643" s="17">
        <v>36.6</v>
      </c>
      <c r="Y643" s="17">
        <v>19.3</v>
      </c>
      <c r="Z643" s="17">
        <v>21.4</v>
      </c>
      <c r="AA643" s="17">
        <v>35.799999999999997</v>
      </c>
      <c r="AB643" s="17">
        <v>5.76</v>
      </c>
      <c r="AC643" s="17">
        <v>87.3</v>
      </c>
      <c r="AD643" s="17">
        <v>5.73</v>
      </c>
      <c r="AE643" s="17">
        <v>86.9</v>
      </c>
      <c r="AF643" s="17">
        <v>3.6</v>
      </c>
      <c r="AG643" s="17">
        <v>144.9</v>
      </c>
      <c r="AH643" s="17">
        <v>3.5</v>
      </c>
      <c r="AI643" s="17">
        <v>144.1</v>
      </c>
      <c r="AJ643" s="17">
        <v>306.8</v>
      </c>
      <c r="AK643" s="17">
        <v>308.39999999999998</v>
      </c>
      <c r="AL643" s="17">
        <v>281.5</v>
      </c>
      <c r="AM643" s="17">
        <v>285.3</v>
      </c>
      <c r="AN643" s="17">
        <v>90</v>
      </c>
      <c r="AY643" s="41" t="str">
        <f t="shared" si="191"/>
        <v>Incomplete</v>
      </c>
      <c r="BA643" s="20" t="str">
        <f t="shared" si="192"/>
        <v>Incomplete</v>
      </c>
      <c r="BC643" s="20" t="str">
        <f t="shared" si="193"/>
        <v>Incomplete</v>
      </c>
      <c r="BE643" s="20" t="str">
        <f t="shared" si="194"/>
        <v>Incomplete</v>
      </c>
      <c r="BG643" s="17">
        <v>13.4</v>
      </c>
      <c r="BH643" s="17">
        <v>33.700000000000003</v>
      </c>
      <c r="BI643" s="20">
        <f t="shared" si="190"/>
        <v>20.300000000000004</v>
      </c>
      <c r="BJ643" s="20"/>
      <c r="BK643" s="17">
        <v>6</v>
      </c>
      <c r="BL643" s="20"/>
      <c r="BM643" s="17">
        <v>7.5</v>
      </c>
      <c r="BN643" s="20"/>
      <c r="BO643" s="17">
        <v>49.5</v>
      </c>
      <c r="BP643" s="17">
        <v>48.5</v>
      </c>
      <c r="BQ643" s="17">
        <v>71</v>
      </c>
      <c r="BR643" s="17">
        <v>61</v>
      </c>
      <c r="BS643" s="17">
        <v>52</v>
      </c>
      <c r="BT643" s="17">
        <v>78</v>
      </c>
      <c r="BU643" s="17">
        <v>65</v>
      </c>
      <c r="BV643" s="17">
        <v>61</v>
      </c>
      <c r="BW643" s="91">
        <f t="shared" si="195"/>
        <v>69.538926681783821</v>
      </c>
      <c r="BX643" s="91" t="str">
        <f>_xlfn.XLOOKUP(BW643,'Normative data'!$V$3:$V$6,'Normative data'!$W$3:$W$6,"Not Found",-1)</f>
        <v>High risk</v>
      </c>
      <c r="BY643" s="91">
        <f t="shared" si="196"/>
        <v>77.097505668934232</v>
      </c>
      <c r="BZ643" s="91" t="str">
        <f>_xlfn.XLOOKUP(BY643,'Normative data'!$V$3:$V$6,'Normative data'!$W$3:$W$6,"Not Found",-1)</f>
        <v>High risk</v>
      </c>
      <c r="CA643" s="17">
        <v>17</v>
      </c>
      <c r="CC643" s="20"/>
      <c r="CE643" s="17">
        <v>1</v>
      </c>
      <c r="CG643" s="17">
        <v>21.71</v>
      </c>
      <c r="CH643" s="20" t="str">
        <f>_xlfn.XLOOKUP(CG643, 'Normative data'!$S$9:$S$15,'Normative data'!$T$9:$T$15, "Not Found", -1)</f>
        <v>Average</v>
      </c>
      <c r="CI643" s="17">
        <v>21.07</v>
      </c>
      <c r="CJ643" s="20" t="str">
        <f>_xlfn.XLOOKUP(CI643, 'Normative data'!$S$9:$S$15, 'Normative data'!$T$9:$T$15, "Not Found", -1)</f>
        <v>Average</v>
      </c>
      <c r="CK643" s="17">
        <v>2.36</v>
      </c>
      <c r="CL643" s="17">
        <v>4.24</v>
      </c>
      <c r="CN643" s="17">
        <v>8.0500000000000007</v>
      </c>
      <c r="CO643" s="17">
        <v>6.21</v>
      </c>
      <c r="CR643" s="20" t="str" cm="1">
        <f t="array" ref="CR643">IF(OR(ISBLANK(E643),ISBLANK(CQ643)),"Incomplete",_xlfn.XLOOKUP(CQ643,_xlfn.XLOOKUP(E643,'Normative data'!$Y$3:$Y$6,'Normative data'!$Z$3:$AG$6,,-1),'Normative data'!$Z$2:$AG$2,"Not Found",-1))</f>
        <v>Incomplete</v>
      </c>
      <c r="CS643" s="20"/>
      <c r="CT643" s="20"/>
      <c r="CU643" s="20" t="str" cm="1">
        <f t="array" ref="CU643">_xlfn.XLOOKUP(CS643&amp;CT643,(VLOOKUP!$A$3:$A$250)&amp;(VLOOKUP!$B$3:$B$250),VLOOKUP!$C$3:$C$250,"Incomplete",-1)</f>
        <v>Incomplete</v>
      </c>
      <c r="CV643" s="20" t="str" cm="1">
        <f t="array" ref="CV643">_xlfn.XLOOKUP(CU643, _xlfn.XLOOKUP(E643, 'Normative data'!$Y$11:$Y$14, 'Normative data'!$Z$11:$AG$14, ,-1), 'Normative data'!$Z$10:$AG$10, "Not Found", -1)</f>
        <v>Excellent</v>
      </c>
      <c r="CW643" s="20" t="str" cm="1">
        <f t="array" ref="CW643">IF(OR(ISBLANK(CS643),ISBLANK(CT643)),"Incomplete",_xlfn.XLOOKUP(CS643&amp;CT643,VLOOKUP!$A$4:$A$250&amp;VLOOKUP!$B$4:$B$250,VLOOKUP!$D$4:$D$250,"0"))</f>
        <v>Incomplete</v>
      </c>
    </row>
    <row r="644" spans="1:101">
      <c r="A644" s="17" t="s">
        <v>1272</v>
      </c>
      <c r="B644" s="17" t="s">
        <v>1273</v>
      </c>
      <c r="C644" s="17" t="s">
        <v>86</v>
      </c>
      <c r="D644" s="26"/>
      <c r="F644" s="20" t="s">
        <v>162</v>
      </c>
      <c r="G644" s="17">
        <v>2026</v>
      </c>
      <c r="I644" s="20">
        <v>2</v>
      </c>
      <c r="J644" s="20"/>
      <c r="K644" s="20"/>
      <c r="L644" s="20"/>
      <c r="S644" s="20">
        <v>86.5</v>
      </c>
      <c r="T644" s="20">
        <v>169.6</v>
      </c>
      <c r="AY644" s="41" t="str">
        <f t="shared" si="191"/>
        <v>Incomplete</v>
      </c>
      <c r="BA644" s="20" t="str">
        <f t="shared" si="192"/>
        <v>Incomplete</v>
      </c>
      <c r="BC644" s="20" t="str">
        <f t="shared" si="193"/>
        <v>Incomplete</v>
      </c>
      <c r="BE644" s="20" t="str">
        <f t="shared" si="194"/>
        <v>Incomplete</v>
      </c>
      <c r="BH644" s="20"/>
      <c r="BI644" s="20" t="str">
        <f t="shared" si="190"/>
        <v>Incomplete</v>
      </c>
      <c r="BJ644" s="20"/>
      <c r="BL644" s="20"/>
      <c r="BM644" s="20"/>
      <c r="BN644" s="20"/>
      <c r="BW644" s="91">
        <f t="shared" si="195"/>
        <v>0</v>
      </c>
      <c r="BX644" s="91" t="str">
        <f>_xlfn.XLOOKUP(BW644,'Normative data'!$V$3:$V$6,'Normative data'!$W$3:$W$6,"Not Found",-1)</f>
        <v>Not completed</v>
      </c>
      <c r="BY644" s="91">
        <f t="shared" si="196"/>
        <v>0</v>
      </c>
      <c r="BZ644" s="91" t="str">
        <f>_xlfn.XLOOKUP(BY644,'Normative data'!$V$3:$V$6,'Normative data'!$W$3:$W$6,"Not Found",-1)</f>
        <v>Not completed</v>
      </c>
      <c r="CG644" s="20"/>
      <c r="CH644" s="20" t="str">
        <f>_xlfn.XLOOKUP(CG644, 'Normative data'!$S$9:$S$15,'Normative data'!$T$9:$T$15, "Not Found", -1)</f>
        <v>not completed</v>
      </c>
      <c r="CI644" s="20"/>
      <c r="CJ644" s="20" t="str">
        <f>_xlfn.XLOOKUP(CI644, 'Normative data'!$S$9:$S$15, 'Normative data'!$T$9:$T$15, "Not Found", -1)</f>
        <v>not completed</v>
      </c>
      <c r="CK644" s="21"/>
      <c r="CL644" s="21"/>
      <c r="CM644" s="21"/>
      <c r="CN644" s="21"/>
      <c r="CO644" s="21"/>
      <c r="CR644" s="20" t="str" cm="1">
        <f t="array" ref="CR644">IF(OR(ISBLANK(E644),ISBLANK(CQ644)),"Incomplete",_xlfn.XLOOKUP(CQ644,_xlfn.XLOOKUP(E644,'Normative data'!$Y$3:$Y$6,'Normative data'!$Z$3:$AG$6,,-1),'Normative data'!$Z$2:$AG$2,"Not Found",-1))</f>
        <v>Incomplete</v>
      </c>
      <c r="CS644" s="20"/>
      <c r="CT644" s="20"/>
      <c r="CU644" s="20" t="str" cm="1">
        <f t="array" ref="CU644">_xlfn.XLOOKUP(CS644&amp;CT644,(VLOOKUP!$A$3:$A$250)&amp;(VLOOKUP!$B$3:$B$250),VLOOKUP!$C$3:$C$250,"Incomplete",-1)</f>
        <v>Incomplete</v>
      </c>
      <c r="CV644" s="20" t="str" cm="1">
        <f t="array" ref="CV644">_xlfn.XLOOKUP(CU644, _xlfn.XLOOKUP(E644, 'Normative data'!$Y$11:$Y$14, 'Normative data'!$Z$11:$AG$14, ,-1), 'Normative data'!$Z$10:$AG$10, "Not Found", -1)</f>
        <v>Excellent</v>
      </c>
      <c r="CW644" s="20" t="str" cm="1">
        <f t="array" ref="CW644">IF(OR(ISBLANK(CS644),ISBLANK(CT644)),"Incomplete",_xlfn.XLOOKUP(CS644&amp;CT644,VLOOKUP!$A$4:$A$250&amp;VLOOKUP!$B$4:$B$250,VLOOKUP!$D$4:$D$250,"0"))</f>
        <v>Incomplete</v>
      </c>
    </row>
    <row r="645" spans="1:101">
      <c r="A645" s="17" t="s">
        <v>132</v>
      </c>
      <c r="B645" s="17" t="s">
        <v>131</v>
      </c>
      <c r="C645" s="17" t="s">
        <v>86</v>
      </c>
      <c r="D645" s="26"/>
      <c r="F645" s="20" t="s">
        <v>192</v>
      </c>
      <c r="G645" s="17">
        <v>2026</v>
      </c>
      <c r="I645" s="20">
        <v>2</v>
      </c>
      <c r="J645" s="20" t="s">
        <v>88</v>
      </c>
      <c r="K645" s="20" t="s">
        <v>95</v>
      </c>
      <c r="L645" s="20"/>
      <c r="S645" s="20">
        <v>83.3</v>
      </c>
      <c r="T645" s="20">
        <v>164.9</v>
      </c>
      <c r="AQ645" s="20"/>
      <c r="AR645" s="20"/>
      <c r="AS645" s="20"/>
      <c r="AT645" s="20"/>
      <c r="AU645" s="20"/>
      <c r="AV645" s="20"/>
      <c r="AW645" s="20"/>
      <c r="AX645" s="20"/>
      <c r="AY645" s="41" t="str">
        <f t="shared" si="191"/>
        <v>Incomplete</v>
      </c>
      <c r="BA645" s="20" t="str">
        <f t="shared" si="192"/>
        <v>Incomplete</v>
      </c>
      <c r="BC645" s="20" t="str">
        <f t="shared" si="193"/>
        <v>Incomplete</v>
      </c>
      <c r="BE645" s="20" t="str">
        <f t="shared" si="194"/>
        <v>Incomplete</v>
      </c>
      <c r="BG645" s="17">
        <v>8</v>
      </c>
      <c r="BH645" s="17">
        <v>33.9</v>
      </c>
      <c r="BI645" s="20">
        <f t="shared" si="190"/>
        <v>25.9</v>
      </c>
      <c r="BJ645" s="20"/>
      <c r="BK645" s="17">
        <v>6.5</v>
      </c>
      <c r="BL645" s="20"/>
      <c r="BM645" s="17">
        <v>2.5</v>
      </c>
      <c r="BN645" s="20"/>
      <c r="BO645" s="17">
        <v>61</v>
      </c>
      <c r="BP645" s="17">
        <v>61</v>
      </c>
      <c r="BQ645" s="17">
        <v>59</v>
      </c>
      <c r="BR645" s="17">
        <v>84</v>
      </c>
      <c r="BS645" s="17">
        <v>87</v>
      </c>
      <c r="BT645" s="17">
        <v>68</v>
      </c>
      <c r="BU645" s="17">
        <v>84</v>
      </c>
      <c r="BV645" s="17">
        <v>84</v>
      </c>
      <c r="BW645" s="91">
        <f t="shared" si="195"/>
        <v>93.954248366013076</v>
      </c>
      <c r="BX645" s="91" t="str">
        <f>_xlfn.XLOOKUP(BW645,'Normative data'!$V$3:$V$6,'Normative data'!$W$3:$W$6,"Not Found",-1)</f>
        <v>High risk</v>
      </c>
      <c r="BY645" s="91">
        <f t="shared" si="196"/>
        <v>96.405228758169926</v>
      </c>
      <c r="BZ645" s="91" t="str">
        <f>_xlfn.XLOOKUP(BY645,'Normative data'!$V$3:$V$6,'Normative data'!$W$3:$W$6,"Not Found",-1)</f>
        <v>Low risk</v>
      </c>
      <c r="CA645" s="17">
        <v>30</v>
      </c>
      <c r="CC645" s="20"/>
      <c r="CE645" s="17">
        <v>11</v>
      </c>
      <c r="CG645" s="20"/>
      <c r="CH645" s="20" t="str">
        <f>_xlfn.XLOOKUP(CG645, 'Normative data'!$S$9:$S$15,'Normative data'!$T$9:$T$15, "Not Found", -1)</f>
        <v>not completed</v>
      </c>
      <c r="CI645" s="20"/>
      <c r="CJ645" s="20" t="str">
        <f>_xlfn.XLOOKUP(CI645, 'Normative data'!$S$9:$S$15, 'Normative data'!$T$9:$T$15, "Not Found", -1)</f>
        <v>not completed</v>
      </c>
      <c r="CK645" s="21"/>
      <c r="CL645" s="21"/>
      <c r="CM645" s="21"/>
      <c r="CN645" s="21"/>
      <c r="CO645" s="21"/>
      <c r="CR645" s="20" t="str" cm="1">
        <f t="array" ref="CR645">IF(OR(ISBLANK(E645),ISBLANK(CQ645)),"Incomplete",_xlfn.XLOOKUP(CQ645,_xlfn.XLOOKUP(E645,'Normative data'!$Y$3:$Y$6,'Normative data'!$Z$3:$AG$6,,-1),'Normative data'!$Z$2:$AG$2,"Not Found",-1))</f>
        <v>Incomplete</v>
      </c>
      <c r="CS645" s="20"/>
      <c r="CT645" s="20"/>
      <c r="CU645" s="20" t="str" cm="1">
        <f t="array" ref="CU645">_xlfn.XLOOKUP(CS645&amp;CT645,(VLOOKUP!$A$3:$A$250)&amp;(VLOOKUP!$B$3:$B$250),VLOOKUP!$C$3:$C$250,"Incomplete",-1)</f>
        <v>Incomplete</v>
      </c>
      <c r="CV645" s="20" t="str" cm="1">
        <f t="array" ref="CV645">_xlfn.XLOOKUP(CU645, _xlfn.XLOOKUP(E645, 'Normative data'!$Y$11:$Y$14, 'Normative data'!$Z$11:$AG$14, ,-1), 'Normative data'!$Z$10:$AG$10, "Not Found", -1)</f>
        <v>Excellent</v>
      </c>
      <c r="CW645" s="20" t="str" cm="1">
        <f t="array" ref="CW645">IF(OR(ISBLANK(CS645),ISBLANK(CT645)),"Incomplete",_xlfn.XLOOKUP(CS645&amp;CT645,VLOOKUP!$A$4:$A$250&amp;VLOOKUP!$B$4:$B$250,VLOOKUP!$D$4:$D$250,"0"))</f>
        <v>Incomplete</v>
      </c>
    </row>
    <row r="646" spans="1:101">
      <c r="A646" s="17" t="s">
        <v>502</v>
      </c>
      <c r="B646" s="17" t="s">
        <v>501</v>
      </c>
      <c r="C646" s="17" t="s">
        <v>86</v>
      </c>
      <c r="D646" s="26"/>
      <c r="F646" s="20" t="s">
        <v>192</v>
      </c>
      <c r="G646" s="17">
        <v>2026</v>
      </c>
      <c r="I646" s="20">
        <v>2</v>
      </c>
      <c r="J646" s="20"/>
      <c r="K646" s="20"/>
      <c r="L646" s="20"/>
      <c r="S646" s="20">
        <v>86.9</v>
      </c>
      <c r="T646" s="20">
        <v>170.4</v>
      </c>
      <c r="AQ646" s="20"/>
      <c r="AR646" s="20"/>
      <c r="AS646" s="20"/>
      <c r="AT646" s="20"/>
      <c r="AU646" s="20"/>
      <c r="AV646" s="20"/>
      <c r="AW646" s="20"/>
      <c r="AX646" s="20"/>
      <c r="AY646" s="41" t="str">
        <f t="shared" si="191"/>
        <v>Incomplete</v>
      </c>
      <c r="BA646" s="20" t="str">
        <f t="shared" si="192"/>
        <v>Incomplete</v>
      </c>
      <c r="BC646" s="20" t="str">
        <f t="shared" si="193"/>
        <v>Incomplete</v>
      </c>
      <c r="BE646" s="20" t="str">
        <f t="shared" si="194"/>
        <v>Incomplete</v>
      </c>
      <c r="BG646" s="17">
        <v>12.5</v>
      </c>
      <c r="BH646" s="17">
        <v>43.4</v>
      </c>
      <c r="BI646" s="20">
        <f t="shared" si="190"/>
        <v>30.9</v>
      </c>
      <c r="BJ646" s="20"/>
      <c r="BK646" s="17">
        <v>14</v>
      </c>
      <c r="BL646" s="20"/>
      <c r="BM646" s="17">
        <v>12</v>
      </c>
      <c r="BN646" s="20"/>
      <c r="BO646" s="17">
        <v>45</v>
      </c>
      <c r="BP646" s="17">
        <v>47</v>
      </c>
      <c r="BQ646" s="17">
        <v>85</v>
      </c>
      <c r="BR646" s="17">
        <v>94</v>
      </c>
      <c r="BS646" s="17">
        <v>90</v>
      </c>
      <c r="BT646" s="17">
        <v>89</v>
      </c>
      <c r="BU646" s="17">
        <v>100</v>
      </c>
      <c r="BV646" s="17">
        <v>97</v>
      </c>
      <c r="BW646" s="91">
        <f t="shared" si="195"/>
        <v>107.38522954091816</v>
      </c>
      <c r="BX646" s="91" t="str">
        <f>_xlfn.XLOOKUP(BW646,'Normative data'!$V$3:$V$6,'Normative data'!$W$3:$W$6,"Not Found",-1)</f>
        <v>Low risk</v>
      </c>
      <c r="BY646" s="91">
        <f t="shared" si="196"/>
        <v>114.17165668662675</v>
      </c>
      <c r="BZ646" s="91" t="str">
        <f>_xlfn.XLOOKUP(BY646,'Normative data'!$V$3:$V$6,'Normative data'!$W$3:$W$6,"Not Found",-1)</f>
        <v>Low risk</v>
      </c>
      <c r="CA646" s="17">
        <v>25</v>
      </c>
      <c r="CC646" s="20"/>
      <c r="CE646" s="17">
        <v>20</v>
      </c>
      <c r="CG646" s="20"/>
      <c r="CH646" s="20" t="str">
        <f>_xlfn.XLOOKUP(CG646, 'Normative data'!$S$9:$S$15,'Normative data'!$T$9:$T$15, "Not Found", -1)</f>
        <v>not completed</v>
      </c>
      <c r="CI646" s="20"/>
      <c r="CJ646" s="20" t="str">
        <f>_xlfn.XLOOKUP(CI646, 'Normative data'!$S$9:$S$15, 'Normative data'!$T$9:$T$15, "Not Found", -1)</f>
        <v>not completed</v>
      </c>
      <c r="CK646" s="21"/>
      <c r="CL646" s="21"/>
      <c r="CM646" s="21"/>
      <c r="CN646" s="21"/>
      <c r="CO646" s="21"/>
      <c r="CQ646" s="17">
        <v>6.1</v>
      </c>
      <c r="CR646" s="20" t="str" cm="1">
        <f t="array" ref="CR646">IF(OR(ISBLANK(E646),ISBLANK(CQ646)),"Incomplete",_xlfn.XLOOKUP(CQ646,_xlfn.XLOOKUP(E646,'Normative data'!$Y$3:$Y$6,'Normative data'!$Z$3:$AG$6,,-1),'Normative data'!$Z$2:$AG$2,"Not Found",-1))</f>
        <v>Incomplete</v>
      </c>
      <c r="CS646" s="20">
        <v>6</v>
      </c>
      <c r="CT646" s="20">
        <v>1</v>
      </c>
      <c r="CU646" s="20" cm="1">
        <f t="array" ref="CU646">_xlfn.XLOOKUP(CS646&amp;CT646,(VLOOKUP!$A$3:$A$250)&amp;(VLOOKUP!$B$3:$B$250),VLOOKUP!$C$3:$C$250,"Incomplete",-1)</f>
        <v>840</v>
      </c>
      <c r="CV646" s="20" t="str" cm="1">
        <f t="array" ref="CV646">_xlfn.XLOOKUP(CU646, _xlfn.XLOOKUP(E646, 'Normative data'!$Y$11:$Y$14, 'Normative data'!$Z$11:$AG$14, ,-1), 'Normative data'!$Z$10:$AG$10, "Not Found", -1)</f>
        <v xml:space="preserve">Fair </v>
      </c>
      <c r="CW646" s="20" cm="1">
        <f t="array" ref="CW646">IF(OR(ISBLANK(CS646),ISBLANK(CT646)),"Incomplete",_xlfn.XLOOKUP(CS646&amp;CT646,VLOOKUP!$A$4:$A$250&amp;VLOOKUP!$B$4:$B$250,VLOOKUP!$D$4:$D$250,"0"))</f>
        <v>33</v>
      </c>
    </row>
    <row r="647" spans="1:101">
      <c r="A647" s="17" t="s">
        <v>1274</v>
      </c>
      <c r="B647" s="17" t="s">
        <v>1275</v>
      </c>
      <c r="C647" s="17" t="s">
        <v>86</v>
      </c>
      <c r="D647" s="26">
        <v>40135</v>
      </c>
      <c r="E647" s="17">
        <v>16.399999999999999</v>
      </c>
      <c r="F647" s="20" t="s">
        <v>186</v>
      </c>
      <c r="G647" s="17">
        <v>2026</v>
      </c>
      <c r="I647" s="20">
        <v>2</v>
      </c>
      <c r="J647" s="20"/>
      <c r="K647" s="20"/>
      <c r="L647" s="20"/>
      <c r="S647" s="20">
        <v>85.3</v>
      </c>
      <c r="T647" s="20">
        <v>163.19999999999999</v>
      </c>
      <c r="U647" s="17">
        <v>70.8</v>
      </c>
      <c r="V647" s="17">
        <v>31.9</v>
      </c>
      <c r="W647" s="17">
        <v>27.2</v>
      </c>
      <c r="X647" s="17">
        <v>43.6</v>
      </c>
      <c r="Y647" s="17">
        <v>23.8</v>
      </c>
      <c r="Z647" s="17">
        <v>26.6</v>
      </c>
      <c r="AA647" s="17">
        <v>38.4</v>
      </c>
      <c r="AB647" s="17">
        <v>6.84</v>
      </c>
      <c r="AC647" s="17">
        <v>96.5</v>
      </c>
      <c r="AD647" s="17">
        <v>6.87</v>
      </c>
      <c r="AE647" s="17">
        <v>97</v>
      </c>
      <c r="AF647" s="17">
        <v>4.3</v>
      </c>
      <c r="AG647" s="17">
        <v>175.6</v>
      </c>
      <c r="AH647" s="17">
        <v>4.3</v>
      </c>
      <c r="AI647" s="17">
        <v>175.6</v>
      </c>
      <c r="AJ647" s="17">
        <v>284.7</v>
      </c>
      <c r="AK647" s="17">
        <v>281.10000000000002</v>
      </c>
      <c r="AL647" s="17">
        <v>255.9</v>
      </c>
      <c r="AM647" s="17">
        <v>252.3</v>
      </c>
      <c r="AN647" s="17">
        <v>75</v>
      </c>
      <c r="AO647" s="17">
        <v>0.9</v>
      </c>
      <c r="AP647" s="17">
        <v>6.8</v>
      </c>
      <c r="AY647" s="41" t="str">
        <f t="shared" si="191"/>
        <v>Incomplete</v>
      </c>
      <c r="BA647" s="20" t="str">
        <f t="shared" si="192"/>
        <v>Incomplete</v>
      </c>
      <c r="BC647" s="20" t="str">
        <f t="shared" si="193"/>
        <v>Incomplete</v>
      </c>
      <c r="BE647" s="20" t="str">
        <f t="shared" si="194"/>
        <v>Incomplete</v>
      </c>
      <c r="BH647" s="20"/>
      <c r="BI647" s="20" t="str">
        <f t="shared" si="190"/>
        <v>Incomplete</v>
      </c>
      <c r="BJ647" s="20"/>
      <c r="BK647" s="17">
        <v>9</v>
      </c>
      <c r="BL647" s="20"/>
      <c r="BM647" s="17">
        <v>8</v>
      </c>
      <c r="BN647" s="20"/>
      <c r="BW647" s="91">
        <f t="shared" si="195"/>
        <v>0</v>
      </c>
      <c r="BX647" s="91" t="str">
        <f>_xlfn.XLOOKUP(BW647,'Normative data'!$V$3:$V$6,'Normative data'!$W$3:$W$6,"Not Found",-1)</f>
        <v>Not completed</v>
      </c>
      <c r="BY647" s="91">
        <f t="shared" si="196"/>
        <v>0</v>
      </c>
      <c r="BZ647" s="91" t="str">
        <f>_xlfn.XLOOKUP(BY647,'Normative data'!$V$3:$V$6,'Normative data'!$W$3:$W$6,"Not Found",-1)</f>
        <v>Not completed</v>
      </c>
      <c r="CA647" s="17">
        <v>27</v>
      </c>
      <c r="CC647" s="20"/>
      <c r="CE647" s="17">
        <v>16</v>
      </c>
      <c r="CG647" s="20"/>
      <c r="CH647" s="20" t="str">
        <f>_xlfn.XLOOKUP(CG647, 'Normative data'!$S$9:$S$15,'Normative data'!$T$9:$T$15, "Not Found", -1)</f>
        <v>not completed</v>
      </c>
      <c r="CI647" s="20"/>
      <c r="CJ647" s="20" t="str">
        <f>_xlfn.XLOOKUP(CI647, 'Normative data'!$S$9:$S$15, 'Normative data'!$T$9:$T$15, "Not Found", -1)</f>
        <v>not completed</v>
      </c>
      <c r="CK647" s="17">
        <v>2.14</v>
      </c>
      <c r="CL647" s="17">
        <v>4.67</v>
      </c>
      <c r="CN647" s="17">
        <v>6.66</v>
      </c>
      <c r="CO647" s="17">
        <v>7.51</v>
      </c>
      <c r="CR647" s="20" t="str" cm="1">
        <f t="array" ref="CR647">IF(OR(ISBLANK(E647),ISBLANK(CQ647)),"Incomplete",_xlfn.XLOOKUP(CQ647,_xlfn.XLOOKUP(E647,'Normative data'!$Y$3:$Y$6,'Normative data'!$Z$3:$AG$6,,-1),'Normative data'!$Z$2:$AG$2,"Not Found",-1))</f>
        <v>Incomplete</v>
      </c>
      <c r="CS647" s="20"/>
      <c r="CT647" s="20"/>
      <c r="CU647" s="20" t="str" cm="1">
        <f t="array" ref="CU647">_xlfn.XLOOKUP(CS647&amp;CT647,(VLOOKUP!$A$3:$A$250)&amp;(VLOOKUP!$B$3:$B$250),VLOOKUP!$C$3:$C$250,"Incomplete",-1)</f>
        <v>Incomplete</v>
      </c>
      <c r="CV647" s="20" t="str" cm="1">
        <f t="array" ref="CV647">_xlfn.XLOOKUP(CU647, _xlfn.XLOOKUP(E647, 'Normative data'!$Y$11:$Y$14, 'Normative data'!$Z$11:$AG$14, ,-1), 'Normative data'!$Z$10:$AG$10, "Not Found", -1)</f>
        <v>Excellent</v>
      </c>
      <c r="CW647" s="20" t="str" cm="1">
        <f t="array" ref="CW647">IF(OR(ISBLANK(CS647),ISBLANK(CT647)),"Incomplete",_xlfn.XLOOKUP(CS647&amp;CT647,VLOOKUP!$A$4:$A$250&amp;VLOOKUP!$B$4:$B$250,VLOOKUP!$D$4:$D$250,"0"))</f>
        <v>Incomplete</v>
      </c>
    </row>
    <row r="648" spans="1:101">
      <c r="A648" s="17" t="s">
        <v>365</v>
      </c>
      <c r="B648" s="17" t="s">
        <v>364</v>
      </c>
      <c r="C648" s="17" t="s">
        <v>86</v>
      </c>
      <c r="D648" s="26">
        <v>40247</v>
      </c>
      <c r="F648" s="20" t="s">
        <v>178</v>
      </c>
      <c r="G648" s="17">
        <v>2026</v>
      </c>
      <c r="I648" s="20">
        <v>2</v>
      </c>
      <c r="J648" s="20" t="s">
        <v>88</v>
      </c>
      <c r="K648" s="20" t="s">
        <v>556</v>
      </c>
      <c r="L648" s="20"/>
      <c r="S648" s="20">
        <v>81.8</v>
      </c>
      <c r="T648" s="20">
        <v>156.80000000000001</v>
      </c>
      <c r="U648" s="17">
        <v>65.400000000000006</v>
      </c>
      <c r="V648" s="17">
        <v>31.5</v>
      </c>
      <c r="W648" s="17">
        <v>22.4</v>
      </c>
      <c r="X648" s="17">
        <v>43</v>
      </c>
      <c r="Y648" s="17">
        <v>23.8</v>
      </c>
      <c r="Z648" s="17">
        <v>26.4</v>
      </c>
      <c r="AA648" s="17">
        <v>34.299999999999997</v>
      </c>
      <c r="AB648" s="17">
        <v>6.49</v>
      </c>
      <c r="AC648" s="17">
        <v>105.1</v>
      </c>
      <c r="AD648" s="17">
        <v>6.46</v>
      </c>
      <c r="AE648" s="17">
        <v>104.6</v>
      </c>
      <c r="AF648" s="17">
        <v>3.3</v>
      </c>
      <c r="AG648" s="17">
        <v>172</v>
      </c>
      <c r="AH648" s="17">
        <v>3.3</v>
      </c>
      <c r="AI648" s="17">
        <v>171.4</v>
      </c>
      <c r="AJ648" s="17">
        <v>268</v>
      </c>
      <c r="AK648" s="17">
        <v>269.10000000000002</v>
      </c>
      <c r="AL648" s="17">
        <v>233.1</v>
      </c>
      <c r="AM648" s="17">
        <v>233.8</v>
      </c>
      <c r="AN648" s="17">
        <v>73</v>
      </c>
      <c r="AO648" s="17">
        <v>0.9</v>
      </c>
      <c r="AP648" s="17">
        <v>7</v>
      </c>
      <c r="AQ648" s="20"/>
      <c r="AR648" s="20"/>
      <c r="AS648" s="20"/>
      <c r="AT648" s="20"/>
      <c r="AU648" s="20"/>
      <c r="AV648" s="20"/>
      <c r="AW648" s="20"/>
      <c r="AX648" s="20"/>
      <c r="AY648" s="41" t="str">
        <f t="shared" si="191"/>
        <v>Incomplete</v>
      </c>
      <c r="BA648" s="20" t="str">
        <f t="shared" si="192"/>
        <v>Incomplete</v>
      </c>
      <c r="BC648" s="20" t="str">
        <f t="shared" si="193"/>
        <v>Incomplete</v>
      </c>
      <c r="BE648" s="20" t="str">
        <f t="shared" si="194"/>
        <v>Incomplete</v>
      </c>
      <c r="BG648" s="17">
        <v>18.100000000000001</v>
      </c>
      <c r="BH648" s="17">
        <v>44.2</v>
      </c>
      <c r="BI648" s="20">
        <f t="shared" si="190"/>
        <v>26.1</v>
      </c>
      <c r="BJ648" s="20"/>
      <c r="BL648" s="20"/>
      <c r="BM648" s="20"/>
      <c r="BN648" s="20"/>
      <c r="BQ648" s="17">
        <v>63</v>
      </c>
      <c r="BR648" s="17">
        <v>56</v>
      </c>
      <c r="BS648" s="17">
        <v>72</v>
      </c>
      <c r="BT648" s="17">
        <v>62</v>
      </c>
      <c r="BU648" s="17">
        <v>64</v>
      </c>
      <c r="BV648" s="17">
        <v>47</v>
      </c>
      <c r="BW648" s="91">
        <f t="shared" si="195"/>
        <v>84.888888888888872</v>
      </c>
      <c r="BX648" s="91" t="str">
        <f>_xlfn.XLOOKUP(BW648,'Normative data'!$V$3:$V$6,'Normative data'!$W$3:$W$6,"Not Found",-1)</f>
        <v>High risk</v>
      </c>
      <c r="BY648" s="91">
        <f t="shared" si="196"/>
        <v>76.888888888888872</v>
      </c>
      <c r="BZ648" s="91" t="str">
        <f>_xlfn.XLOOKUP(BY648,'Normative data'!$V$3:$V$6,'Normative data'!$W$3:$W$6,"Not Found",-1)</f>
        <v>High risk</v>
      </c>
      <c r="CA648" s="17">
        <v>30</v>
      </c>
      <c r="CC648" s="20"/>
      <c r="CE648" s="17">
        <v>2</v>
      </c>
      <c r="CG648" s="17">
        <v>18.670000000000002</v>
      </c>
      <c r="CH648" s="20" t="str">
        <f>_xlfn.XLOOKUP(CG648, 'Normative data'!$S$9:$S$15,'Normative data'!$T$9:$T$15, "Not Found", -1)</f>
        <v>Average</v>
      </c>
      <c r="CI648" s="17">
        <v>17.91</v>
      </c>
      <c r="CJ648" s="20" t="str">
        <f>_xlfn.XLOOKUP(CI648, 'Normative data'!$S$9:$S$15, 'Normative data'!$T$9:$T$15, "Not Found", -1)</f>
        <v>Above Average</v>
      </c>
      <c r="CK648" s="17">
        <v>2.0699999999999998</v>
      </c>
      <c r="CL648" s="17">
        <v>4.83</v>
      </c>
      <c r="CN648" s="17">
        <v>6.3</v>
      </c>
      <c r="CO648" s="17">
        <v>7.94</v>
      </c>
      <c r="CQ648" s="17">
        <v>7.2</v>
      </c>
      <c r="CR648" s="20" t="str" cm="1">
        <f t="array" ref="CR648">IF(OR(ISBLANK(E648),ISBLANK(CQ648)),"Incomplete",_xlfn.XLOOKUP(CQ648,_xlfn.XLOOKUP(E648,'Normative data'!$Y$3:$Y$6,'Normative data'!$Z$3:$AG$6,,-1),'Normative data'!$Z$2:$AG$2,"Not Found",-1))</f>
        <v>Incomplete</v>
      </c>
      <c r="CS648" s="20">
        <v>7</v>
      </c>
      <c r="CT648" s="20">
        <v>2</v>
      </c>
      <c r="CU648" s="20" cm="1">
        <f t="array" ref="CU648">_xlfn.XLOOKUP(CS648&amp;CT648,(VLOOKUP!$A$3:$A$250)&amp;(VLOOKUP!$B$3:$B$250),VLOOKUP!$C$3:$C$250,"Incomplete",-1)</f>
        <v>1060</v>
      </c>
      <c r="CV648" s="20" t="str" cm="1">
        <f t="array" ref="CV648">_xlfn.XLOOKUP(CU648, _xlfn.XLOOKUP(E648, 'Normative data'!$Y$11:$Y$14, 'Normative data'!$Z$11:$AG$14, ,-1), 'Normative data'!$Z$10:$AG$10, "Not Found", -1)</f>
        <v xml:space="preserve">Fair </v>
      </c>
      <c r="CW648" s="20" cm="1">
        <f t="array" ref="CW648">IF(OR(ISBLANK(CS648),ISBLANK(CT648)),"Incomplete",_xlfn.XLOOKUP(CS648&amp;CT648,VLOOKUP!$A$4:$A$250&amp;VLOOKUP!$B$4:$B$250,VLOOKUP!$D$4:$D$250,"0"))</f>
        <v>37</v>
      </c>
    </row>
    <row r="649" spans="1:101">
      <c r="A649" s="22" t="s">
        <v>647</v>
      </c>
      <c r="B649" s="22" t="s">
        <v>646</v>
      </c>
      <c r="C649" s="17" t="s">
        <v>86</v>
      </c>
      <c r="D649" s="23"/>
      <c r="F649" s="17">
        <v>10</v>
      </c>
      <c r="G649" s="17">
        <v>2025</v>
      </c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41" t="str">
        <f t="shared" si="191"/>
        <v>Incomplete</v>
      </c>
      <c r="AZ649" s="20"/>
      <c r="BA649" s="20" t="str">
        <f t="shared" si="192"/>
        <v>Incomplete</v>
      </c>
      <c r="BB649" s="20"/>
      <c r="BC649" s="20" t="str">
        <f t="shared" si="193"/>
        <v>Incomplete</v>
      </c>
      <c r="BD649" s="20"/>
      <c r="BE649" s="20" t="str">
        <f t="shared" si="194"/>
        <v>Incomplete</v>
      </c>
      <c r="BF649" s="20"/>
      <c r="BG649" s="20"/>
      <c r="BH649" s="20"/>
      <c r="BI649" s="20" t="str">
        <f t="shared" si="190"/>
        <v>Incomplete</v>
      </c>
      <c r="BJ649" s="20"/>
      <c r="BK649" s="20">
        <v>6</v>
      </c>
      <c r="BL649" s="20"/>
      <c r="BM649" s="20">
        <v>7</v>
      </c>
      <c r="BN649" s="20"/>
      <c r="BO649" s="20"/>
      <c r="BP649" s="20"/>
      <c r="BQ649" s="20"/>
      <c r="BR649" s="20"/>
      <c r="BS649" s="20"/>
      <c r="BT649" s="20"/>
      <c r="BU649" s="20"/>
      <c r="BV649" s="20"/>
      <c r="BW649" s="91" t="str">
        <f t="shared" si="195"/>
        <v>Incomplete</v>
      </c>
      <c r="BX649" s="91" t="str">
        <f>_xlfn.XLOOKUP(BW649,'Normative data'!$V$3:$V$6,'Normative data'!$W$3:$W$6,"Not Found",-1)</f>
        <v>Very low risk</v>
      </c>
      <c r="BY649" s="91" t="str">
        <f t="shared" si="196"/>
        <v>Incomplete</v>
      </c>
      <c r="BZ649" s="91" t="str">
        <f>_xlfn.XLOOKUP(BY649,'Normative data'!$V$3:$V$6,'Normative data'!$W$3:$W$6,"Not Found",-1)</f>
        <v>Very low risk</v>
      </c>
      <c r="CA649" s="20"/>
      <c r="CC649" s="20"/>
      <c r="CE649" s="20">
        <v>13</v>
      </c>
      <c r="CG649" s="20"/>
      <c r="CH649" s="20" t="str">
        <f>_xlfn.XLOOKUP(CG649, 'Normative data'!$S$9:$S$15,'Normative data'!$T$9:$T$15, "Not Found", -1)</f>
        <v>not completed</v>
      </c>
      <c r="CI649" s="20"/>
      <c r="CJ649" s="20" t="str">
        <f>_xlfn.XLOOKUP(CI649, 'Normative data'!$S$9:$S$15, 'Normative data'!$T$9:$T$15, "Not Found", -1)</f>
        <v>not completed</v>
      </c>
      <c r="CK649" s="24">
        <v>2.4</v>
      </c>
      <c r="CL649" s="24">
        <v>4.17</v>
      </c>
      <c r="CM649" s="21"/>
      <c r="CN649" s="24">
        <v>7.67</v>
      </c>
      <c r="CO649" s="24">
        <v>6.52</v>
      </c>
      <c r="CP649" s="24"/>
      <c r="CQ649" s="20"/>
      <c r="CR649" s="20" t="str" cm="1">
        <f t="array" ref="CR649">IF(OR(ISBLANK(E649),ISBLANK(CQ649)),"Incomplete",_xlfn.XLOOKUP(CQ649,_xlfn.XLOOKUP(E649,'Normative data'!$Y$3:$Y$6,'Normative data'!$Z$3:$AG$6,,-1),'Normative data'!$Z$2:$AG$2,"Not Found",-1))</f>
        <v>Incomplete</v>
      </c>
      <c r="CS649" s="20"/>
      <c r="CT649" s="20"/>
      <c r="CU649" s="20" t="str" cm="1">
        <f t="array" ref="CU649">_xlfn.XLOOKUP(CS649&amp;CT649,(VLOOKUP!$A$3:$A$250)&amp;(VLOOKUP!$B$3:$B$250),VLOOKUP!$C$3:$C$250,"Incomplete",-1)</f>
        <v>Incomplete</v>
      </c>
      <c r="CV649" s="20" t="str" cm="1">
        <f t="array" ref="CV649">_xlfn.XLOOKUP(CU649, _xlfn.XLOOKUP(E649, 'Normative data'!$Y$11:$Y$14, 'Normative data'!$Z$11:$AG$14, ,-1), 'Normative data'!$Z$10:$AG$10, "Not Found", -1)</f>
        <v>Excellent</v>
      </c>
      <c r="CW649" s="20" t="str" cm="1">
        <f t="array" ref="CW649">IF(OR(ISBLANK(CS649),ISBLANK(CT649)),"Incomplete",_xlfn.XLOOKUP(CS649&amp;CT649,VLOOKUP!$A$4:$A$250&amp;VLOOKUP!$B$4:$B$250,VLOOKUP!$D$4:$D$250,"0"))</f>
        <v>Incomplete</v>
      </c>
    </row>
    <row r="650" spans="1:101">
      <c r="A650" s="18" t="s">
        <v>1217</v>
      </c>
      <c r="B650" s="18" t="s">
        <v>646</v>
      </c>
      <c r="C650" s="17" t="s">
        <v>86</v>
      </c>
      <c r="D650" s="19">
        <v>39583</v>
      </c>
      <c r="F650" s="17">
        <v>11</v>
      </c>
      <c r="G650" s="17">
        <v>2025</v>
      </c>
      <c r="S650" s="20"/>
      <c r="T650" s="20" t="s">
        <v>659</v>
      </c>
      <c r="U650" s="20" t="s">
        <v>634</v>
      </c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>
        <v>23.8</v>
      </c>
      <c r="AR650" s="20">
        <v>0.441</v>
      </c>
      <c r="AS650" s="20">
        <v>23.8</v>
      </c>
      <c r="AT650" s="20">
        <v>0.441</v>
      </c>
      <c r="AU650" s="20">
        <v>14.3</v>
      </c>
      <c r="AV650" s="20">
        <v>0.34100000000000003</v>
      </c>
      <c r="AW650" s="20">
        <v>13.3</v>
      </c>
      <c r="AX650" s="20">
        <v>0.33</v>
      </c>
      <c r="AY650" s="41" t="e">
        <f>IF(OR(ISBLANK(#REF!), ISBLANK(#REF!)), "Incomplete", (60.7*#REF!)+(45.3*#REF!)-2055)</f>
        <v>#REF!</v>
      </c>
      <c r="AZ650" s="20"/>
      <c r="BA650" s="20" t="e">
        <f>IF(OR(ISBLANK(#REF!), ISBLANK(#REF!)), "Incomplete", (60.7*#REF!)+(45.3*#REF!)-2055)</f>
        <v>#REF!</v>
      </c>
      <c r="BB650" s="20"/>
      <c r="BC650" s="20" t="e">
        <f>IF(OR(ISBLANK(#REF!), ISBLANK(#REF!)), "Incomplete", (60.7*#REF!)+(45.3*#REF!)-2055)</f>
        <v>#REF!</v>
      </c>
      <c r="BD650" s="20"/>
      <c r="BE650" s="20" t="e">
        <f>IF(OR(ISBLANK(#REF!), ISBLANK(#REF!)), "Incomplete", (60.7*#REF!)+(45.3*#REF!)-2055)</f>
        <v>#REF!</v>
      </c>
      <c r="BF650" s="20"/>
      <c r="BG650" s="20"/>
      <c r="BH650" s="20"/>
      <c r="BI650" s="20" t="str">
        <f t="shared" si="190"/>
        <v>Incomplete</v>
      </c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91" t="str">
        <f>IFERROR(SUM(BQ650+BR650+BS650)/(3*(#REF!-S650))*100, "Incomplete")</f>
        <v>Incomplete</v>
      </c>
      <c r="BX650" s="91" t="str">
        <f>_xlfn.XLOOKUP(BW650,'Normative data'!$V$3:$V$6,'Normative data'!$W$3:$W$6,"Not Found",-1)</f>
        <v>Very low risk</v>
      </c>
      <c r="BY650" s="91" t="str">
        <f>IFERROR(SUM(BT650+BU650+BV650)/(3*(#REF!-S650))*100, "Incomplete")</f>
        <v>Incomplete</v>
      </c>
      <c r="BZ650" s="91" t="str">
        <f>_xlfn.XLOOKUP(BY650,'Normative data'!$V$3:$V$6,'Normative data'!$W$3:$W$6,"Not Found",-1)</f>
        <v>Very low risk</v>
      </c>
      <c r="CA650" s="20"/>
      <c r="CC650" s="20"/>
      <c r="CE650" s="20"/>
      <c r="CG650" s="20"/>
      <c r="CH650" s="20" t="str">
        <f>_xlfn.XLOOKUP(CG650, 'Normative data'!$S$9:$S$15,'Normative data'!$T$9:$T$15, "Not Found", -1)</f>
        <v>not completed</v>
      </c>
      <c r="CI650" s="20"/>
      <c r="CJ650" s="20" t="str">
        <f>_xlfn.XLOOKUP(CI650, 'Normative data'!$S$9:$S$15, 'Normative data'!$T$9:$T$15, "Not Found", -1)</f>
        <v>not completed</v>
      </c>
      <c r="CK650" s="21">
        <v>2.1800000000000002</v>
      </c>
      <c r="CL650" s="21">
        <v>4.59</v>
      </c>
      <c r="CM650" s="21"/>
      <c r="CN650" s="21">
        <v>6.54</v>
      </c>
      <c r="CO650" s="21">
        <v>7.65</v>
      </c>
      <c r="CP650" s="21"/>
      <c r="CQ650" s="20"/>
      <c r="CR650" s="20" t="str" cm="1">
        <f t="array" ref="CR650">IF(OR(ISBLANK(E650),ISBLANK(CQ650)),"Incomplete",_xlfn.XLOOKUP(CQ650,_xlfn.XLOOKUP(E650,'Normative data'!$Y$3:$Y$6,'Normative data'!$Z$3:$AG$6,,-1),'Normative data'!$Z$2:$AG$2,"Not Found",-1))</f>
        <v>Incomplete</v>
      </c>
      <c r="CS650" s="20"/>
      <c r="CT650" s="20"/>
      <c r="CU650" s="20" t="str" cm="1">
        <f t="array" ref="CU650">_xlfn.XLOOKUP(CS650&amp;CT650,(VLOOKUP!$A$3:$A$250)&amp;(VLOOKUP!$B$3:$B$250),VLOOKUP!$C$3:$C$250,"Incomplete",-1)</f>
        <v>Incomplete</v>
      </c>
      <c r="CV650" s="20" t="str" cm="1">
        <f t="array" ref="CV650">_xlfn.XLOOKUP(CU650, _xlfn.XLOOKUP(E650, 'Normative data'!$Y$11:$Y$14, 'Normative data'!$Z$11:$AG$14, ,-1), 'Normative data'!$Z$10:$AG$10, "Not Found", -1)</f>
        <v>Excellent</v>
      </c>
      <c r="CW650" s="20" t="str" cm="1">
        <f t="array" ref="CW650">IF(OR(ISBLANK(CS650),ISBLANK(CT650)),"Incomplete",_xlfn.XLOOKUP(CS650&amp;CT650,VLOOKUP!$A$4:$A$250&amp;VLOOKUP!$B$4:$B$250,VLOOKUP!$D$4:$D$250,"0"))</f>
        <v>Incomplete</v>
      </c>
    </row>
    <row r="651" spans="1:101">
      <c r="A651" s="18" t="s">
        <v>1217</v>
      </c>
      <c r="B651" s="18" t="s">
        <v>646</v>
      </c>
      <c r="C651" s="17" t="s">
        <v>86</v>
      </c>
      <c r="D651" s="19">
        <v>39583</v>
      </c>
      <c r="F651" s="17">
        <v>11</v>
      </c>
      <c r="G651" s="17">
        <v>2025</v>
      </c>
      <c r="S651" s="20"/>
      <c r="T651" s="20" t="s">
        <v>1276</v>
      </c>
      <c r="U651" s="20" t="s">
        <v>1277</v>
      </c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41" t="str">
        <f>IF(OR(ISBLANK(#REF!), ISBLANK(AQ651)), "Incomplete", (60.7*AQ651)+(45.3*#REF!)-2055)</f>
        <v>Incomplete</v>
      </c>
      <c r="AZ651" s="20"/>
      <c r="BA651" s="20" t="str">
        <f>IF(OR(ISBLANK(#REF!), ISBLANK(AS651)), "Incomplete", (60.7*AS651)+(45.3*#REF!)-2055)</f>
        <v>Incomplete</v>
      </c>
      <c r="BB651" s="20"/>
      <c r="BC651" s="20" t="str">
        <f>IF(OR(ISBLANK(#REF!), ISBLANK(AU651)), "Incomplete", (60.7*AU651)+(45.3*#REF!)-2055)</f>
        <v>Incomplete</v>
      </c>
      <c r="BD651" s="20"/>
      <c r="BE651" s="20" t="str">
        <f>IF(OR(ISBLANK(#REF!), ISBLANK(AW651)), "Incomplete", (60.7*AW651)+(45.3*#REF!)-2055)</f>
        <v>Incomplete</v>
      </c>
      <c r="BF651" s="20"/>
      <c r="BG651" s="20"/>
      <c r="BH651" s="20"/>
      <c r="BI651" s="20" t="str">
        <f t="shared" si="190"/>
        <v>Incomplete</v>
      </c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91" t="str">
        <f>IFERROR(SUM(BQ651+BR651+BS651)/(3*(#REF!-S651))*100, "Incomplete")</f>
        <v>Incomplete</v>
      </c>
      <c r="BX651" s="91" t="str">
        <f>_xlfn.XLOOKUP(BW651,'Normative data'!$V$3:$V$6,'Normative data'!$W$3:$W$6,"Not Found",-1)</f>
        <v>Very low risk</v>
      </c>
      <c r="BY651" s="91" t="str">
        <f>IFERROR(SUM(BT651+BU651+BV651)/(3*(#REF!-S651))*100, "Incomplete")</f>
        <v>Incomplete</v>
      </c>
      <c r="BZ651" s="91" t="str">
        <f>_xlfn.XLOOKUP(BY651,'Normative data'!$V$3:$V$6,'Normative data'!$W$3:$W$6,"Not Found",-1)</f>
        <v>Very low risk</v>
      </c>
      <c r="CA651" s="20"/>
      <c r="CC651" s="20"/>
      <c r="CE651" s="20"/>
      <c r="CG651" s="20"/>
      <c r="CH651" s="20" t="str">
        <f>_xlfn.XLOOKUP(CG651, 'Normative data'!$S$9:$S$15,'Normative data'!$T$9:$T$15, "Not Found", -1)</f>
        <v>not completed</v>
      </c>
      <c r="CI651" s="20"/>
      <c r="CJ651" s="20" t="str">
        <f>_xlfn.XLOOKUP(CI651, 'Normative data'!$S$9:$S$15, 'Normative data'!$T$9:$T$15, "Not Found", -1)</f>
        <v>not completed</v>
      </c>
      <c r="CK651" s="21"/>
      <c r="CL651" s="21"/>
      <c r="CM651" s="21"/>
      <c r="CN651" s="21"/>
      <c r="CO651" s="21"/>
      <c r="CP651" s="21"/>
      <c r="CQ651" s="20"/>
      <c r="CR651" s="20" t="str" cm="1">
        <f t="array" ref="CR651">IF(OR(ISBLANK(E651),ISBLANK(CQ651)),"Incomplete",_xlfn.XLOOKUP(CQ651,_xlfn.XLOOKUP(E651,'Normative data'!$Y$3:$Y$6,'Normative data'!$Z$3:$AG$6,,-1),'Normative data'!$Z$2:$AG$2,"Not Found",-1))</f>
        <v>Incomplete</v>
      </c>
      <c r="CS651" s="20"/>
      <c r="CT651" s="20"/>
      <c r="CU651" s="20" t="str" cm="1">
        <f t="array" ref="CU651">_xlfn.XLOOKUP(CS651&amp;CT651,(VLOOKUP!$A$3:$A$250)&amp;(VLOOKUP!$B$3:$B$250),VLOOKUP!$C$3:$C$250,"Incomplete",-1)</f>
        <v>Incomplete</v>
      </c>
      <c r="CV651" s="20" t="str" cm="1">
        <f t="array" ref="CV651">_xlfn.XLOOKUP(CU651, _xlfn.XLOOKUP(E651, 'Normative data'!$Y$11:$Y$14, 'Normative data'!$Z$11:$AG$14, ,-1), 'Normative data'!$Z$10:$AG$10, "Not Found", -1)</f>
        <v>Excellent</v>
      </c>
      <c r="CW651" s="20" t="str" cm="1">
        <f t="array" ref="CW651">IF(OR(ISBLANK(CS651),ISBLANK(CT651)),"Incomplete",_xlfn.XLOOKUP(CS651&amp;CT651,VLOOKUP!$A$4:$A$250&amp;VLOOKUP!$B$4:$B$250,VLOOKUP!$D$4:$D$250,"0"))</f>
        <v>Incomplete</v>
      </c>
    </row>
    <row r="652" spans="1:101">
      <c r="A652" s="22" t="s">
        <v>1278</v>
      </c>
      <c r="B652" s="22" t="s">
        <v>1279</v>
      </c>
      <c r="C652" s="17" t="s">
        <v>86</v>
      </c>
      <c r="D652" s="23"/>
      <c r="F652" s="17">
        <v>10</v>
      </c>
      <c r="G652" s="17">
        <v>2025</v>
      </c>
      <c r="S652" s="20"/>
      <c r="T652" s="20">
        <v>170</v>
      </c>
      <c r="U652" s="20">
        <v>67.599999999999994</v>
      </c>
      <c r="V652" s="20"/>
      <c r="W652" s="20">
        <v>16.899999999999999</v>
      </c>
      <c r="X652" s="20">
        <f>SUM(T652-W652)</f>
        <v>153.1</v>
      </c>
      <c r="Y652" s="20">
        <v>28.3</v>
      </c>
      <c r="Z652" s="20">
        <v>23.4</v>
      </c>
      <c r="AA652" s="20">
        <v>25</v>
      </c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41" t="str">
        <f t="shared" ref="AY652:AY667" si="197">IF(OR(ISBLANK(U652), ISBLANK(AQ652)), "Incomplete", (60.7*AQ652)+(45.3*U652)-2055)</f>
        <v>Incomplete</v>
      </c>
      <c r="AZ652" s="20"/>
      <c r="BA652" s="20" t="str">
        <f t="shared" ref="BA652:BA667" si="198">IF(OR(ISBLANK(U652), ISBLANK(AS652)), "Incomplete", (60.7*AS652)+(45.3*U652)-2055)</f>
        <v>Incomplete</v>
      </c>
      <c r="BB652" s="20"/>
      <c r="BC652" s="20" t="str">
        <f t="shared" ref="BC652:BC667" si="199">IF(OR(ISBLANK(U652), ISBLANK(AU652)), "Incomplete", (60.7*AU652)+(45.3*U652)-2055)</f>
        <v>Incomplete</v>
      </c>
      <c r="BD652" s="20"/>
      <c r="BE652" s="20" t="str">
        <f t="shared" ref="BE652:BE667" si="200">IF(OR(ISBLANK(U652), ISBLANK(AW652)), "Incomplete", (60.7*AW652)+(45.3*U652)-2055)</f>
        <v>Incomplete</v>
      </c>
      <c r="BF652" s="20"/>
      <c r="BG652" s="20"/>
      <c r="BH652" s="20"/>
      <c r="BI652" s="20" t="str">
        <f t="shared" si="190"/>
        <v>Incomplete</v>
      </c>
      <c r="BJ652" s="20"/>
      <c r="BK652" s="20">
        <v>5</v>
      </c>
      <c r="BL652" s="20"/>
      <c r="BM652" s="20">
        <v>5</v>
      </c>
      <c r="BN652" s="20"/>
      <c r="BO652" s="20"/>
      <c r="BP652" s="20"/>
      <c r="BQ652" s="20"/>
      <c r="BR652" s="20"/>
      <c r="BS652" s="20"/>
      <c r="BT652" s="20"/>
      <c r="BU652" s="20"/>
      <c r="BV652" s="20"/>
      <c r="BW652" s="91">
        <f t="shared" ref="BW652:BW667" si="201">IFERROR(SUM(BQ652+BR652+BS652)/(3*(T652-S652))*100, "Incomplete")</f>
        <v>0</v>
      </c>
      <c r="BX652" s="91" t="str">
        <f>_xlfn.XLOOKUP(BW652,'Normative data'!$V$3:$V$6,'Normative data'!$W$3:$W$6,"Not Found",-1)</f>
        <v>Not completed</v>
      </c>
      <c r="BY652" s="91">
        <f t="shared" ref="BY652:BY667" si="202">IFERROR(SUM(BT652+BU652+BV652)/(3*(T652-S652))*100, "Incomplete")</f>
        <v>0</v>
      </c>
      <c r="BZ652" s="91" t="str">
        <f>_xlfn.XLOOKUP(BY652,'Normative data'!$V$3:$V$6,'Normative data'!$W$3:$W$6,"Not Found",-1)</f>
        <v>Not completed</v>
      </c>
      <c r="CA652" s="20"/>
      <c r="CC652" s="20"/>
      <c r="CE652" s="20"/>
      <c r="CG652" s="20"/>
      <c r="CH652" s="20" t="str">
        <f>_xlfn.XLOOKUP(CG652, 'Normative data'!$S$9:$S$15,'Normative data'!$T$9:$T$15, "Not Found", -1)</f>
        <v>not completed</v>
      </c>
      <c r="CI652" s="20"/>
      <c r="CJ652" s="20" t="str">
        <f>_xlfn.XLOOKUP(CI652, 'Normative data'!$S$9:$S$15, 'Normative data'!$T$9:$T$15, "Not Found", -1)</f>
        <v>not completed</v>
      </c>
      <c r="CK652" s="24">
        <v>2.27</v>
      </c>
      <c r="CL652" s="24">
        <v>4.41</v>
      </c>
      <c r="CM652" s="21"/>
      <c r="CN652" s="24">
        <v>6.66</v>
      </c>
      <c r="CO652" s="24">
        <v>7.51</v>
      </c>
      <c r="CP652" s="24"/>
      <c r="CQ652" s="20"/>
      <c r="CR652" s="20" t="str" cm="1">
        <f t="array" ref="CR652">IF(OR(ISBLANK(E652),ISBLANK(CQ652)),"Incomplete",_xlfn.XLOOKUP(CQ652,_xlfn.XLOOKUP(E652,'Normative data'!$Y$3:$Y$6,'Normative data'!$Z$3:$AG$6,,-1),'Normative data'!$Z$2:$AG$2,"Not Found",-1))</f>
        <v>Incomplete</v>
      </c>
      <c r="CS652" s="20"/>
      <c r="CT652" s="20"/>
      <c r="CU652" s="20" t="str" cm="1">
        <f t="array" ref="CU652">_xlfn.XLOOKUP(CS652&amp;CT652,(VLOOKUP!$A$3:$A$250)&amp;(VLOOKUP!$B$3:$B$250),VLOOKUP!$C$3:$C$250,"Incomplete",-1)</f>
        <v>Incomplete</v>
      </c>
      <c r="CV652" s="20" t="str" cm="1">
        <f t="array" ref="CV652">_xlfn.XLOOKUP(CU652, _xlfn.XLOOKUP(E652, 'Normative data'!$Y$11:$Y$14, 'Normative data'!$Z$11:$AG$14, ,-1), 'Normative data'!$Z$10:$AG$10, "Not Found", -1)</f>
        <v>Excellent</v>
      </c>
      <c r="CW652" s="20" t="str" cm="1">
        <f t="array" ref="CW652">IF(OR(ISBLANK(CS652),ISBLANK(CT652)),"Incomplete",_xlfn.XLOOKUP(CS652&amp;CT652,VLOOKUP!$A$4:$A$250&amp;VLOOKUP!$B$4:$B$250,VLOOKUP!$D$4:$D$250,"0"))</f>
        <v>Incomplete</v>
      </c>
    </row>
    <row r="653" spans="1:101">
      <c r="A653" s="22" t="s">
        <v>1278</v>
      </c>
      <c r="B653" s="22" t="s">
        <v>1279</v>
      </c>
      <c r="C653" s="17" t="s">
        <v>86</v>
      </c>
      <c r="D653" s="23"/>
      <c r="F653" s="17">
        <v>10</v>
      </c>
      <c r="G653" s="17">
        <v>2025</v>
      </c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41" t="str">
        <f t="shared" si="197"/>
        <v>Incomplete</v>
      </c>
      <c r="AZ653" s="20"/>
      <c r="BA653" s="20" t="str">
        <f t="shared" si="198"/>
        <v>Incomplete</v>
      </c>
      <c r="BB653" s="20"/>
      <c r="BC653" s="20" t="str">
        <f t="shared" si="199"/>
        <v>Incomplete</v>
      </c>
      <c r="BD653" s="20"/>
      <c r="BE653" s="20" t="str">
        <f t="shared" si="200"/>
        <v>Incomplete</v>
      </c>
      <c r="BF653" s="20"/>
      <c r="BG653" s="20"/>
      <c r="BH653" s="20"/>
      <c r="BI653" s="20" t="str">
        <f t="shared" si="190"/>
        <v>Incomplete</v>
      </c>
      <c r="BJ653" s="20"/>
      <c r="BK653" s="20">
        <v>2</v>
      </c>
      <c r="BL653" s="20"/>
      <c r="BM653" s="20">
        <v>1</v>
      </c>
      <c r="BN653" s="20"/>
      <c r="BO653" s="20"/>
      <c r="BP653" s="20"/>
      <c r="BQ653" s="20"/>
      <c r="BR653" s="20"/>
      <c r="BS653" s="20"/>
      <c r="BT653" s="20"/>
      <c r="BU653" s="20"/>
      <c r="BV653" s="20"/>
      <c r="BW653" s="91" t="str">
        <f t="shared" si="201"/>
        <v>Incomplete</v>
      </c>
      <c r="BX653" s="91" t="str">
        <f>_xlfn.XLOOKUP(BW653,'Normative data'!$V$3:$V$6,'Normative data'!$W$3:$W$6,"Not Found",-1)</f>
        <v>Very low risk</v>
      </c>
      <c r="BY653" s="91" t="str">
        <f t="shared" si="202"/>
        <v>Incomplete</v>
      </c>
      <c r="BZ653" s="91" t="str">
        <f>_xlfn.XLOOKUP(BY653,'Normative data'!$V$3:$V$6,'Normative data'!$W$3:$W$6,"Not Found",-1)</f>
        <v>Very low risk</v>
      </c>
      <c r="CA653" s="20"/>
      <c r="CC653" s="20"/>
      <c r="CE653" s="20"/>
      <c r="CG653" s="20"/>
      <c r="CH653" s="20" t="str">
        <f>_xlfn.XLOOKUP(CG653, 'Normative data'!$S$9:$S$15,'Normative data'!$T$9:$T$15, "Not Found", -1)</f>
        <v>not completed</v>
      </c>
      <c r="CI653" s="20"/>
      <c r="CJ653" s="20" t="str">
        <f>_xlfn.XLOOKUP(CI653, 'Normative data'!$S$9:$S$15, 'Normative data'!$T$9:$T$15, "Not Found", -1)</f>
        <v>not completed</v>
      </c>
      <c r="CK653" s="21"/>
      <c r="CL653" s="21"/>
      <c r="CM653" s="21"/>
      <c r="CN653" s="21"/>
      <c r="CO653" s="21"/>
      <c r="CP653" s="24"/>
      <c r="CQ653" s="20"/>
      <c r="CR653" s="20" t="str" cm="1">
        <f t="array" ref="CR653">IF(OR(ISBLANK(E653),ISBLANK(CQ653)),"Incomplete",_xlfn.XLOOKUP(CQ653,_xlfn.XLOOKUP(E653,'Normative data'!$Y$3:$Y$6,'Normative data'!$Z$3:$AG$6,,-1),'Normative data'!$Z$2:$AG$2,"Not Found",-1))</f>
        <v>Incomplete</v>
      </c>
      <c r="CS653" s="20"/>
      <c r="CT653" s="20"/>
      <c r="CU653" s="20" t="str" cm="1">
        <f t="array" ref="CU653">_xlfn.XLOOKUP(CS653&amp;CT653,(VLOOKUP!$A$3:$A$250)&amp;(VLOOKUP!$B$3:$B$250),VLOOKUP!$C$3:$C$250,"Incomplete",-1)</f>
        <v>Incomplete</v>
      </c>
      <c r="CV653" s="20" t="str" cm="1">
        <f t="array" ref="CV653">_xlfn.XLOOKUP(CU653, _xlfn.XLOOKUP(E653, 'Normative data'!$Y$11:$Y$14, 'Normative data'!$Z$11:$AG$14, ,-1), 'Normative data'!$Z$10:$AG$10, "Not Found", -1)</f>
        <v>Excellent</v>
      </c>
      <c r="CW653" s="20" t="str" cm="1">
        <f t="array" ref="CW653">IF(OR(ISBLANK(CS653),ISBLANK(CT653)),"Incomplete",_xlfn.XLOOKUP(CS653&amp;CT653,VLOOKUP!$A$4:$A$250&amp;VLOOKUP!$B$4:$B$250,VLOOKUP!$D$4:$D$250,"0"))</f>
        <v>Incomplete</v>
      </c>
    </row>
    <row r="654" spans="1:101">
      <c r="A654" s="17" t="s">
        <v>638</v>
      </c>
      <c r="B654" s="17" t="s">
        <v>475</v>
      </c>
      <c r="C654" s="17" t="s">
        <v>86</v>
      </c>
      <c r="D654" s="26">
        <v>39948</v>
      </c>
      <c r="E654" s="17">
        <v>16.899999999999999</v>
      </c>
      <c r="F654" s="20" t="s">
        <v>192</v>
      </c>
      <c r="G654" s="17">
        <v>2026</v>
      </c>
      <c r="I654" s="20">
        <v>2</v>
      </c>
      <c r="J654" s="20" t="s">
        <v>122</v>
      </c>
      <c r="K654" s="20" t="s">
        <v>228</v>
      </c>
      <c r="L654" s="20"/>
      <c r="S654" s="20">
        <v>83.9</v>
      </c>
      <c r="T654" s="20">
        <v>170.3</v>
      </c>
      <c r="U654" s="17">
        <v>64.099999999999994</v>
      </c>
      <c r="V654" s="17">
        <v>30.8</v>
      </c>
      <c r="W654" s="17">
        <v>21.9</v>
      </c>
      <c r="X654" s="17">
        <v>42.2</v>
      </c>
      <c r="Y654" s="17">
        <v>22.6</v>
      </c>
      <c r="Z654" s="17">
        <v>22.1</v>
      </c>
      <c r="AA654" s="17">
        <v>34.200000000000003</v>
      </c>
      <c r="AB654" s="17">
        <v>6.71</v>
      </c>
      <c r="AC654" s="17">
        <v>92.3</v>
      </c>
      <c r="AD654" s="17">
        <v>6.68</v>
      </c>
      <c r="AE654" s="17">
        <v>91.9</v>
      </c>
      <c r="AF654" s="17">
        <v>3.5</v>
      </c>
      <c r="AG654" s="17">
        <v>131.1</v>
      </c>
      <c r="AH654" s="17">
        <v>3.5</v>
      </c>
      <c r="AI654" s="17">
        <v>131</v>
      </c>
      <c r="AJ654" s="17">
        <v>332.8</v>
      </c>
      <c r="AK654" s="17">
        <v>336</v>
      </c>
      <c r="AL654" s="17">
        <v>305.5</v>
      </c>
      <c r="AM654" s="17">
        <v>308.89999999999998</v>
      </c>
      <c r="AN654" s="17">
        <v>94</v>
      </c>
      <c r="AO654" s="17">
        <v>0.89</v>
      </c>
      <c r="AP654" s="17">
        <v>5.9</v>
      </c>
      <c r="AQ654" s="20"/>
      <c r="AR654" s="20"/>
      <c r="AS654" s="20"/>
      <c r="AT654" s="20"/>
      <c r="AU654" s="20"/>
      <c r="AV654" s="20"/>
      <c r="AW654" s="20"/>
      <c r="AX654" s="20"/>
      <c r="AY654" s="41" t="str">
        <f t="shared" si="197"/>
        <v>Incomplete</v>
      </c>
      <c r="BA654" s="20" t="str">
        <f t="shared" si="198"/>
        <v>Incomplete</v>
      </c>
      <c r="BC654" s="20" t="str">
        <f t="shared" si="199"/>
        <v>Incomplete</v>
      </c>
      <c r="BE654" s="20" t="str">
        <f t="shared" si="200"/>
        <v>Incomplete</v>
      </c>
      <c r="BG654" s="17">
        <v>11.8</v>
      </c>
      <c r="BH654" s="17">
        <v>33.5</v>
      </c>
      <c r="BI654" s="20">
        <f t="shared" si="190"/>
        <v>21.7</v>
      </c>
      <c r="BJ654" s="20"/>
      <c r="BK654" s="17">
        <v>9.5</v>
      </c>
      <c r="BL654" s="20"/>
      <c r="BM654" s="17">
        <v>11</v>
      </c>
      <c r="BN654" s="20"/>
      <c r="BO654" s="17">
        <v>49.5</v>
      </c>
      <c r="BP654" s="17">
        <v>50.5</v>
      </c>
      <c r="BQ654" s="17">
        <v>83</v>
      </c>
      <c r="BR654" s="17">
        <v>91</v>
      </c>
      <c r="BS654" s="17">
        <v>81</v>
      </c>
      <c r="BT654" s="17">
        <v>89.5</v>
      </c>
      <c r="BU654" s="17">
        <v>83</v>
      </c>
      <c r="BV654" s="17">
        <v>82</v>
      </c>
      <c r="BW654" s="91">
        <f t="shared" si="201"/>
        <v>98.379629629629619</v>
      </c>
      <c r="BX654" s="91" t="str">
        <f>_xlfn.XLOOKUP(BW654,'Normative data'!$V$3:$V$6,'Normative data'!$W$3:$W$6,"Not Found",-1)</f>
        <v>Low risk</v>
      </c>
      <c r="BY654" s="91">
        <f t="shared" si="202"/>
        <v>98.186728395061706</v>
      </c>
      <c r="BZ654" s="91" t="str">
        <f>_xlfn.XLOOKUP(BY654,'Normative data'!$V$3:$V$6,'Normative data'!$W$3:$W$6,"Not Found",-1)</f>
        <v>Low risk</v>
      </c>
      <c r="CA654" s="17">
        <v>30</v>
      </c>
      <c r="CC654" s="20"/>
      <c r="CE654" s="17">
        <v>5</v>
      </c>
      <c r="CG654" s="20"/>
      <c r="CH654" s="20" t="str">
        <f>_xlfn.XLOOKUP(CG654, 'Normative data'!$S$9:$S$15,'Normative data'!$T$9:$T$15, "Not Found", -1)</f>
        <v>not completed</v>
      </c>
      <c r="CI654" s="20"/>
      <c r="CJ654" s="20" t="str">
        <f>_xlfn.XLOOKUP(CI654, 'Normative data'!$S$9:$S$15, 'Normative data'!$T$9:$T$15, "Not Found", -1)</f>
        <v>not completed</v>
      </c>
      <c r="CK654" s="21"/>
      <c r="CL654" s="21"/>
      <c r="CM654" s="21"/>
      <c r="CN654" s="21"/>
      <c r="CO654" s="21"/>
      <c r="CQ654" s="17">
        <v>4.2</v>
      </c>
      <c r="CR654" s="20" t="str" cm="1">
        <f t="array" ref="CR654">IF(OR(ISBLANK(E654),ISBLANK(CQ654)),"Incomplete",_xlfn.XLOOKUP(CQ654,_xlfn.XLOOKUP(E654,'Normative data'!$Y$3:$Y$6,'Normative data'!$Z$3:$AG$6,,-1),'Normative data'!$Z$2:$AG$2,"Not Found",-1))</f>
        <v>Poor</v>
      </c>
      <c r="CS654" s="20">
        <v>4</v>
      </c>
      <c r="CT654" s="20">
        <v>2</v>
      </c>
      <c r="CU654" s="20" cm="1">
        <f t="array" ref="CU654">_xlfn.XLOOKUP(CS654&amp;CT654,(VLOOKUP!$A$3:$A$250)&amp;(VLOOKUP!$B$3:$B$250),VLOOKUP!$C$3:$C$250,"Incomplete",-1)</f>
        <v>500</v>
      </c>
      <c r="CV654" s="20" t="str" cm="1">
        <f t="array" ref="CV654">_xlfn.XLOOKUP(CU654, _xlfn.XLOOKUP(E654, 'Normative data'!$Y$11:$Y$14, 'Normative data'!$Z$11:$AG$14, ,-1), 'Normative data'!$Z$10:$AG$10, "Not Found", -1)</f>
        <v xml:space="preserve">Poor </v>
      </c>
      <c r="CW654" s="20" cm="1">
        <f t="array" ref="CW654">IF(OR(ISBLANK(CS654),ISBLANK(CT654)),"Incomplete",_xlfn.XLOOKUP(CS654&amp;CT654,VLOOKUP!$A$4:$A$250&amp;VLOOKUP!$B$4:$B$250,VLOOKUP!$D$4:$D$250,"0"))</f>
        <v>27</v>
      </c>
    </row>
    <row r="655" spans="1:101">
      <c r="A655" s="22" t="s">
        <v>274</v>
      </c>
      <c r="B655" s="22" t="s">
        <v>1280</v>
      </c>
      <c r="C655" s="17" t="s">
        <v>86</v>
      </c>
      <c r="D655" s="23">
        <v>40466</v>
      </c>
      <c r="F655" s="17">
        <v>9</v>
      </c>
      <c r="G655" s="17">
        <v>2025</v>
      </c>
      <c r="P655" s="17">
        <v>15</v>
      </c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41" t="str">
        <f t="shared" si="197"/>
        <v>Incomplete</v>
      </c>
      <c r="AZ655" s="20"/>
      <c r="BA655" s="20" t="str">
        <f t="shared" si="198"/>
        <v>Incomplete</v>
      </c>
      <c r="BB655" s="20"/>
      <c r="BC655" s="20" t="str">
        <f t="shared" si="199"/>
        <v>Incomplete</v>
      </c>
      <c r="BD655" s="20"/>
      <c r="BE655" s="20" t="str">
        <f t="shared" si="200"/>
        <v>Incomplete</v>
      </c>
      <c r="BF655" s="20"/>
      <c r="BG655" s="20">
        <v>12</v>
      </c>
      <c r="BH655" s="20">
        <v>42</v>
      </c>
      <c r="BI655" s="20">
        <f t="shared" si="190"/>
        <v>30</v>
      </c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91" t="str">
        <f t="shared" si="201"/>
        <v>Incomplete</v>
      </c>
      <c r="BX655" s="91" t="str">
        <f>_xlfn.XLOOKUP(BW655,'Normative data'!$V$3:$V$6,'Normative data'!$W$3:$W$6,"Not Found",-1)</f>
        <v>Very low risk</v>
      </c>
      <c r="BY655" s="91" t="str">
        <f t="shared" si="202"/>
        <v>Incomplete</v>
      </c>
      <c r="BZ655" s="91" t="str">
        <f>_xlfn.XLOOKUP(BY655,'Normative data'!$V$3:$V$6,'Normative data'!$W$3:$W$6,"Not Found",-1)</f>
        <v>Very low risk</v>
      </c>
      <c r="CA655" s="20"/>
      <c r="CC655" s="20"/>
      <c r="CE655" s="20"/>
      <c r="CG655" s="20"/>
      <c r="CH655" s="20" t="str">
        <f>_xlfn.XLOOKUP(CG655, 'Normative data'!$S$9:$S$15,'Normative data'!$T$9:$T$15, "Not Found", -1)</f>
        <v>not completed</v>
      </c>
      <c r="CI655" s="20"/>
      <c r="CJ655" s="20" t="str">
        <f>_xlfn.XLOOKUP(CI655, 'Normative data'!$S$9:$S$15, 'Normative data'!$T$9:$T$15, "Not Found", -1)</f>
        <v>not completed</v>
      </c>
      <c r="CK655" s="24">
        <v>2.3199999999999998</v>
      </c>
      <c r="CL655" s="24">
        <v>4.71</v>
      </c>
      <c r="CM655" s="21"/>
      <c r="CN655" s="24">
        <v>7.07</v>
      </c>
      <c r="CO655" s="24">
        <v>7.07</v>
      </c>
      <c r="CP655" s="25"/>
      <c r="CQ655" s="20"/>
      <c r="CR655" s="20" t="str" cm="1">
        <f t="array" ref="CR655">IF(OR(ISBLANK(E655),ISBLANK(CQ655)),"Incomplete",_xlfn.XLOOKUP(CQ655,_xlfn.XLOOKUP(E655,'Normative data'!$Y$3:$Y$6,'Normative data'!$Z$3:$AG$6,,-1),'Normative data'!$Z$2:$AG$2,"Not Found",-1))</f>
        <v>Incomplete</v>
      </c>
      <c r="CS655" s="20"/>
      <c r="CT655" s="20"/>
      <c r="CU655" s="20" t="str" cm="1">
        <f t="array" ref="CU655">_xlfn.XLOOKUP(CS655&amp;CT655,(VLOOKUP!$A$3:$A$250)&amp;(VLOOKUP!$B$3:$B$250),VLOOKUP!$C$3:$C$250,"Incomplete",-1)</f>
        <v>Incomplete</v>
      </c>
      <c r="CV655" s="20" t="str" cm="1">
        <f t="array" ref="CV655">_xlfn.XLOOKUP(CU655, _xlfn.XLOOKUP(E655, 'Normative data'!$Y$11:$Y$14, 'Normative data'!$Z$11:$AG$14, ,-1), 'Normative data'!$Z$10:$AG$10, "Not Found", -1)</f>
        <v>Excellent</v>
      </c>
      <c r="CW655" s="20" t="str" cm="1">
        <f t="array" ref="CW655">IF(OR(ISBLANK(CS655),ISBLANK(CT655)),"Incomplete",_xlfn.XLOOKUP(CS655&amp;CT655,VLOOKUP!$A$4:$A$250&amp;VLOOKUP!$B$4:$B$250,VLOOKUP!$D$4:$D$250,"0"))</f>
        <v>Incomplete</v>
      </c>
    </row>
    <row r="656" spans="1:101">
      <c r="A656" s="22" t="s">
        <v>274</v>
      </c>
      <c r="B656" s="22" t="s">
        <v>1280</v>
      </c>
      <c r="C656" s="17" t="s">
        <v>86</v>
      </c>
      <c r="D656" s="23">
        <v>40466</v>
      </c>
      <c r="F656" s="17">
        <v>9</v>
      </c>
      <c r="G656" s="17">
        <v>2025</v>
      </c>
      <c r="P656" s="17">
        <v>15</v>
      </c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41" t="str">
        <f t="shared" si="197"/>
        <v>Incomplete</v>
      </c>
      <c r="AZ656" s="20"/>
      <c r="BA656" s="20" t="str">
        <f t="shared" si="198"/>
        <v>Incomplete</v>
      </c>
      <c r="BB656" s="20"/>
      <c r="BC656" s="20" t="str">
        <f t="shared" si="199"/>
        <v>Incomplete</v>
      </c>
      <c r="BD656" s="20"/>
      <c r="BE656" s="20" t="str">
        <f t="shared" si="200"/>
        <v>Incomplete</v>
      </c>
      <c r="BF656" s="20"/>
      <c r="BG656" s="20"/>
      <c r="BH656" s="20"/>
      <c r="BI656" s="20" t="str">
        <f t="shared" si="190"/>
        <v>Incomplete</v>
      </c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91" t="str">
        <f t="shared" si="201"/>
        <v>Incomplete</v>
      </c>
      <c r="BX656" s="91" t="str">
        <f>_xlfn.XLOOKUP(BW656,'Normative data'!$V$3:$V$6,'Normative data'!$W$3:$W$6,"Not Found",-1)</f>
        <v>Very low risk</v>
      </c>
      <c r="BY656" s="91" t="str">
        <f t="shared" si="202"/>
        <v>Incomplete</v>
      </c>
      <c r="BZ656" s="91" t="str">
        <f>_xlfn.XLOOKUP(BY656,'Normative data'!$V$3:$V$6,'Normative data'!$W$3:$W$6,"Not Found",-1)</f>
        <v>Very low risk</v>
      </c>
      <c r="CA656" s="20"/>
      <c r="CC656" s="20"/>
      <c r="CE656" s="20">
        <v>5</v>
      </c>
      <c r="CG656" s="20"/>
      <c r="CH656" s="20" t="str">
        <f>_xlfn.XLOOKUP(CG656, 'Normative data'!$S$9:$S$15,'Normative data'!$T$9:$T$15, "Not Found", -1)</f>
        <v>not completed</v>
      </c>
      <c r="CI656" s="20"/>
      <c r="CJ656" s="20" t="str">
        <f>_xlfn.XLOOKUP(CI656, 'Normative data'!$S$9:$S$15, 'Normative data'!$T$9:$T$15, "Not Found", -1)</f>
        <v>not completed</v>
      </c>
      <c r="CK656" s="20" t="s">
        <v>204</v>
      </c>
      <c r="CL656" s="20" t="s">
        <v>246</v>
      </c>
      <c r="CM656" s="24"/>
      <c r="CN656" s="20" t="s">
        <v>981</v>
      </c>
      <c r="CO656" s="20" t="s">
        <v>1281</v>
      </c>
      <c r="CP656" s="24"/>
      <c r="CQ656" s="20"/>
      <c r="CR656" s="20" t="str" cm="1">
        <f t="array" ref="CR656">IF(OR(ISBLANK(E656),ISBLANK(CQ656)),"Incomplete",_xlfn.XLOOKUP(CQ656,_xlfn.XLOOKUP(E656,'Normative data'!$Y$3:$Y$6,'Normative data'!$Z$3:$AG$6,,-1),'Normative data'!$Z$2:$AG$2,"Not Found",-1))</f>
        <v>Incomplete</v>
      </c>
      <c r="CS656" s="20"/>
      <c r="CT656" s="20"/>
      <c r="CU656" s="20" t="str" cm="1">
        <f t="array" ref="CU656">_xlfn.XLOOKUP(CS656&amp;CT656,(VLOOKUP!$A$3:$A$250)&amp;(VLOOKUP!$B$3:$B$250),VLOOKUP!$C$3:$C$250,"Incomplete",-1)</f>
        <v>Incomplete</v>
      </c>
      <c r="CV656" s="20" t="str" cm="1">
        <f t="array" ref="CV656">_xlfn.XLOOKUP(CU656, _xlfn.XLOOKUP(E656, 'Normative data'!$Y$11:$Y$14, 'Normative data'!$Z$11:$AG$14, ,-1), 'Normative data'!$Z$10:$AG$10, "Not Found", -1)</f>
        <v>Excellent</v>
      </c>
      <c r="CW656" s="20" t="str" cm="1">
        <f t="array" ref="CW656">IF(OR(ISBLANK(CS656),ISBLANK(CT656)),"Incomplete",_xlfn.XLOOKUP(CS656&amp;CT656,VLOOKUP!$A$4:$A$250&amp;VLOOKUP!$B$4:$B$250,VLOOKUP!$D$4:$D$250,"0"))</f>
        <v>Incomplete</v>
      </c>
    </row>
    <row r="657" spans="1:101">
      <c r="A657" s="22" t="s">
        <v>673</v>
      </c>
      <c r="B657" s="22" t="s">
        <v>672</v>
      </c>
      <c r="C657" s="17" t="s">
        <v>86</v>
      </c>
      <c r="D657" s="23"/>
      <c r="F657" s="17">
        <v>10</v>
      </c>
      <c r="G657" s="17">
        <v>2025</v>
      </c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41" t="str">
        <f t="shared" si="197"/>
        <v>Incomplete</v>
      </c>
      <c r="AZ657" s="20"/>
      <c r="BA657" s="20" t="str">
        <f t="shared" si="198"/>
        <v>Incomplete</v>
      </c>
      <c r="BB657" s="20"/>
      <c r="BC657" s="20" t="str">
        <f t="shared" si="199"/>
        <v>Incomplete</v>
      </c>
      <c r="BD657" s="20"/>
      <c r="BE657" s="20" t="str">
        <f t="shared" si="200"/>
        <v>Incomplete</v>
      </c>
      <c r="BF657" s="20"/>
      <c r="BG657" s="20">
        <v>21</v>
      </c>
      <c r="BH657" s="20">
        <v>36</v>
      </c>
      <c r="BI657" s="20">
        <f t="shared" si="190"/>
        <v>15</v>
      </c>
      <c r="BJ657" s="20"/>
      <c r="BK657" s="20">
        <v>1</v>
      </c>
      <c r="BL657" s="20"/>
      <c r="BM657" s="20">
        <v>1</v>
      </c>
      <c r="BN657" s="20"/>
      <c r="BO657" s="20"/>
      <c r="BP657" s="20"/>
      <c r="BQ657" s="20"/>
      <c r="BR657" s="20"/>
      <c r="BS657" s="20"/>
      <c r="BT657" s="20"/>
      <c r="BU657" s="20"/>
      <c r="BV657" s="20"/>
      <c r="BW657" s="91" t="str">
        <f t="shared" si="201"/>
        <v>Incomplete</v>
      </c>
      <c r="BX657" s="91" t="str">
        <f>_xlfn.XLOOKUP(BW657,'Normative data'!$V$3:$V$6,'Normative data'!$W$3:$W$6,"Not Found",-1)</f>
        <v>Very low risk</v>
      </c>
      <c r="BY657" s="91" t="str">
        <f t="shared" si="202"/>
        <v>Incomplete</v>
      </c>
      <c r="BZ657" s="91" t="str">
        <f>_xlfn.XLOOKUP(BY657,'Normative data'!$V$3:$V$6,'Normative data'!$W$3:$W$6,"Not Found",-1)</f>
        <v>Very low risk</v>
      </c>
      <c r="CA657" s="20"/>
      <c r="CC657" s="20"/>
      <c r="CE657" s="20">
        <v>15</v>
      </c>
      <c r="CG657" s="20"/>
      <c r="CH657" s="20" t="str">
        <f>_xlfn.XLOOKUP(CG657, 'Normative data'!$S$9:$S$15,'Normative data'!$T$9:$T$15, "Not Found", -1)</f>
        <v>not completed</v>
      </c>
      <c r="CI657" s="20"/>
      <c r="CJ657" s="20" t="str">
        <f>_xlfn.XLOOKUP(CI657, 'Normative data'!$S$9:$S$15, 'Normative data'!$T$9:$T$15, "Not Found", -1)</f>
        <v>not completed</v>
      </c>
      <c r="CK657" s="24">
        <v>2.34</v>
      </c>
      <c r="CL657" s="24">
        <v>4.2699999999999996</v>
      </c>
      <c r="CM657" s="21"/>
      <c r="CN657" s="24">
        <v>6.97</v>
      </c>
      <c r="CO657" s="24">
        <v>7.17</v>
      </c>
      <c r="CP657" s="24"/>
      <c r="CQ657" s="20"/>
      <c r="CR657" s="20" t="str" cm="1">
        <f t="array" ref="CR657">IF(OR(ISBLANK(E657),ISBLANK(CQ657)),"Incomplete",_xlfn.XLOOKUP(CQ657,_xlfn.XLOOKUP(E657,'Normative data'!$Y$3:$Y$6,'Normative data'!$Z$3:$AG$6,,-1),'Normative data'!$Z$2:$AG$2,"Not Found",-1))</f>
        <v>Incomplete</v>
      </c>
      <c r="CS657" s="20"/>
      <c r="CT657" s="20"/>
      <c r="CU657" s="20" t="str" cm="1">
        <f t="array" ref="CU657">_xlfn.XLOOKUP(CS657&amp;CT657,(VLOOKUP!$A$3:$A$250)&amp;(VLOOKUP!$B$3:$B$250),VLOOKUP!$C$3:$C$250,"Incomplete",-1)</f>
        <v>Incomplete</v>
      </c>
      <c r="CV657" s="20" t="str" cm="1">
        <f t="array" ref="CV657">_xlfn.XLOOKUP(CU657, _xlfn.XLOOKUP(E657, 'Normative data'!$Y$11:$Y$14, 'Normative data'!$Z$11:$AG$14, ,-1), 'Normative data'!$Z$10:$AG$10, "Not Found", -1)</f>
        <v>Excellent</v>
      </c>
      <c r="CW657" s="20" t="str" cm="1">
        <f t="array" ref="CW657">IF(OR(ISBLANK(CS657),ISBLANK(CT657)),"Incomplete",_xlfn.XLOOKUP(CS657&amp;CT657,VLOOKUP!$A$4:$A$250&amp;VLOOKUP!$B$4:$B$250,VLOOKUP!$D$4:$D$250,"0"))</f>
        <v>Incomplete</v>
      </c>
    </row>
    <row r="658" spans="1:101">
      <c r="A658" s="22" t="s">
        <v>673</v>
      </c>
      <c r="B658" s="22" t="s">
        <v>672</v>
      </c>
      <c r="C658" s="17" t="s">
        <v>86</v>
      </c>
      <c r="D658" s="23"/>
      <c r="F658" s="17">
        <v>10</v>
      </c>
      <c r="G658" s="17">
        <v>2025</v>
      </c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41" t="str">
        <f t="shared" si="197"/>
        <v>Incomplete</v>
      </c>
      <c r="AZ658" s="20"/>
      <c r="BA658" s="20" t="str">
        <f t="shared" si="198"/>
        <v>Incomplete</v>
      </c>
      <c r="BB658" s="20"/>
      <c r="BC658" s="20" t="str">
        <f t="shared" si="199"/>
        <v>Incomplete</v>
      </c>
      <c r="BD658" s="20"/>
      <c r="BE658" s="20" t="str">
        <f t="shared" si="200"/>
        <v>Incomplete</v>
      </c>
      <c r="BF658" s="20"/>
      <c r="BG658" s="20"/>
      <c r="BH658" s="20"/>
      <c r="BI658" s="20" t="str">
        <f t="shared" si="190"/>
        <v>Incomplete</v>
      </c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91" t="str">
        <f t="shared" si="201"/>
        <v>Incomplete</v>
      </c>
      <c r="BX658" s="91" t="str">
        <f>_xlfn.XLOOKUP(BW658,'Normative data'!$V$3:$V$6,'Normative data'!$W$3:$W$6,"Not Found",-1)</f>
        <v>Very low risk</v>
      </c>
      <c r="BY658" s="91" t="str">
        <f t="shared" si="202"/>
        <v>Incomplete</v>
      </c>
      <c r="BZ658" s="91" t="str">
        <f>_xlfn.XLOOKUP(BY658,'Normative data'!$V$3:$V$6,'Normative data'!$W$3:$W$6,"Not Found",-1)</f>
        <v>Very low risk</v>
      </c>
      <c r="CA658" s="20"/>
      <c r="CC658" s="20"/>
      <c r="CE658" s="20"/>
      <c r="CG658" s="20"/>
      <c r="CH658" s="20" t="str">
        <f>_xlfn.XLOOKUP(CG658, 'Normative data'!$S$9:$S$15,'Normative data'!$T$9:$T$15, "Not Found", -1)</f>
        <v>not completed</v>
      </c>
      <c r="CI658" s="20"/>
      <c r="CJ658" s="20" t="str">
        <f>_xlfn.XLOOKUP(CI658, 'Normative data'!$S$9:$S$15, 'Normative data'!$T$9:$T$15, "Not Found", -1)</f>
        <v>not completed</v>
      </c>
      <c r="CK658" s="20" t="s">
        <v>596</v>
      </c>
      <c r="CL658" s="20" t="s">
        <v>597</v>
      </c>
      <c r="CM658" s="24"/>
      <c r="CN658" s="20" t="s">
        <v>424</v>
      </c>
      <c r="CO658" s="20" t="s">
        <v>425</v>
      </c>
      <c r="CP658" s="24"/>
      <c r="CQ658" s="20"/>
      <c r="CR658" s="20" t="str" cm="1">
        <f t="array" ref="CR658">IF(OR(ISBLANK(E658),ISBLANK(CQ658)),"Incomplete",_xlfn.XLOOKUP(CQ658,_xlfn.XLOOKUP(E658,'Normative data'!$Y$3:$Y$6,'Normative data'!$Z$3:$AG$6,,-1),'Normative data'!$Z$2:$AG$2,"Not Found",-1))</f>
        <v>Incomplete</v>
      </c>
      <c r="CS658" s="20"/>
      <c r="CT658" s="20"/>
      <c r="CU658" s="20" t="str" cm="1">
        <f t="array" ref="CU658">_xlfn.XLOOKUP(CS658&amp;CT658,(VLOOKUP!$A$3:$A$250)&amp;(VLOOKUP!$B$3:$B$250),VLOOKUP!$C$3:$C$250,"Incomplete",-1)</f>
        <v>Incomplete</v>
      </c>
      <c r="CV658" s="20" t="str" cm="1">
        <f t="array" ref="CV658">_xlfn.XLOOKUP(CU658, _xlfn.XLOOKUP(E658, 'Normative data'!$Y$11:$Y$14, 'Normative data'!$Z$11:$AG$14, ,-1), 'Normative data'!$Z$10:$AG$10, "Not Found", -1)</f>
        <v>Excellent</v>
      </c>
      <c r="CW658" s="20" t="str" cm="1">
        <f t="array" ref="CW658">IF(OR(ISBLANK(CS658),ISBLANK(CT658)),"Incomplete",_xlfn.XLOOKUP(CS658&amp;CT658,VLOOKUP!$A$4:$A$250&amp;VLOOKUP!$B$4:$B$250,VLOOKUP!$D$4:$D$250,"0"))</f>
        <v>Incomplete</v>
      </c>
    </row>
    <row r="659" spans="1:101">
      <c r="A659" s="17" t="s">
        <v>1132</v>
      </c>
      <c r="B659" s="17" t="s">
        <v>1131</v>
      </c>
      <c r="C659" s="17" t="s">
        <v>86</v>
      </c>
      <c r="D659" s="26">
        <v>40781</v>
      </c>
      <c r="F659" s="17">
        <v>8</v>
      </c>
      <c r="G659" s="17">
        <v>2025</v>
      </c>
      <c r="J659" s="17" t="s">
        <v>122</v>
      </c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41" t="str">
        <f t="shared" si="197"/>
        <v>Incomplete</v>
      </c>
      <c r="AZ659" s="20"/>
      <c r="BA659" s="20" t="str">
        <f t="shared" si="198"/>
        <v>Incomplete</v>
      </c>
      <c r="BB659" s="20"/>
      <c r="BC659" s="20" t="str">
        <f t="shared" si="199"/>
        <v>Incomplete</v>
      </c>
      <c r="BD659" s="20"/>
      <c r="BE659" s="20" t="str">
        <f t="shared" si="200"/>
        <v>Incomplete</v>
      </c>
      <c r="BF659" s="20"/>
      <c r="BG659" s="20">
        <v>17</v>
      </c>
      <c r="BH659" s="20">
        <v>40.4</v>
      </c>
      <c r="BI659" s="20">
        <f t="shared" si="190"/>
        <v>23.4</v>
      </c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91" t="str">
        <f t="shared" si="201"/>
        <v>Incomplete</v>
      </c>
      <c r="BX659" s="91" t="str">
        <f>_xlfn.XLOOKUP(BW659,'Normative data'!$V$3:$V$6,'Normative data'!$W$3:$W$6,"Not Found",-1)</f>
        <v>Very low risk</v>
      </c>
      <c r="BY659" s="91" t="str">
        <f t="shared" si="202"/>
        <v>Incomplete</v>
      </c>
      <c r="BZ659" s="91" t="str">
        <f>_xlfn.XLOOKUP(BY659,'Normative data'!$V$3:$V$6,'Normative data'!$W$3:$W$6,"Not Found",-1)</f>
        <v>Very low risk</v>
      </c>
      <c r="CA659" s="20"/>
      <c r="CC659" s="20"/>
      <c r="CE659" s="20"/>
      <c r="CG659" s="20">
        <v>18.52</v>
      </c>
      <c r="CH659" s="20" t="e">
        <f>_xlfn.XLOOKUP(#REF!, 'Normative data'!$S$9:$S$15,'Normative data'!$T$9:$T$15, "Not Found", -1)</f>
        <v>#REF!</v>
      </c>
      <c r="CI659" s="20">
        <v>18.309999999999999</v>
      </c>
      <c r="CJ659" s="20" t="e">
        <f>_xlfn.XLOOKUP(#REF!, 'Normative data'!$S$9:$S$15, 'Normative data'!$T$9:$T$15, "Not Found", -1)</f>
        <v>#REF!</v>
      </c>
      <c r="CK659" s="25">
        <v>2.41</v>
      </c>
      <c r="CL659" s="25">
        <v>4.1500000000000004</v>
      </c>
      <c r="CM659" s="21"/>
      <c r="CN659" s="25">
        <v>7.45</v>
      </c>
      <c r="CO659" s="25">
        <v>6.71</v>
      </c>
      <c r="CP659" s="25"/>
      <c r="CQ659" s="20"/>
      <c r="CR659" s="20" t="str" cm="1">
        <f t="array" ref="CR659">IF(OR(ISBLANK(E659),ISBLANK(CQ659)),"Incomplete",_xlfn.XLOOKUP(CQ659,_xlfn.XLOOKUP(E659,'Normative data'!$Y$3:$Y$6,'Normative data'!$Z$3:$AG$6,,-1),'Normative data'!$Z$2:$AG$2,"Not Found",-1))</f>
        <v>Incomplete</v>
      </c>
      <c r="CS659" s="20"/>
      <c r="CT659" s="20"/>
      <c r="CU659" s="20" t="str" cm="1">
        <f t="array" ref="CU659">_xlfn.XLOOKUP(CS659&amp;CT659,(VLOOKUP!$A$3:$A$250)&amp;(VLOOKUP!$B$3:$B$250),VLOOKUP!$C$3:$C$250,"Incomplete",-1)</f>
        <v>Incomplete</v>
      </c>
      <c r="CV659" s="20" t="str" cm="1">
        <f t="array" ref="CV659">_xlfn.XLOOKUP(CU659, _xlfn.XLOOKUP(E659, 'Normative data'!$Y$11:$Y$14, 'Normative data'!$Z$11:$AG$14, ,-1), 'Normative data'!$Z$10:$AG$10, "Not Found", -1)</f>
        <v>Excellent</v>
      </c>
      <c r="CW659" s="20" t="str" cm="1">
        <f t="array" ref="CW659">IF(OR(ISBLANK(CS659),ISBLANK(CT659)),"Incomplete",_xlfn.XLOOKUP(CS659&amp;CT659,VLOOKUP!$A$4:$A$250&amp;VLOOKUP!$B$4:$B$250,VLOOKUP!$D$4:$D$250,"0"))</f>
        <v>Incomplete</v>
      </c>
    </row>
    <row r="660" spans="1:101">
      <c r="A660" s="17" t="s">
        <v>1132</v>
      </c>
      <c r="B660" s="17" t="s">
        <v>1131</v>
      </c>
      <c r="C660" s="17" t="s">
        <v>86</v>
      </c>
      <c r="D660" s="26">
        <v>40781</v>
      </c>
      <c r="F660" s="17">
        <v>8</v>
      </c>
      <c r="G660" s="17">
        <v>2025</v>
      </c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41" t="str">
        <f t="shared" si="197"/>
        <v>Incomplete</v>
      </c>
      <c r="AZ660" s="20"/>
      <c r="BA660" s="20" t="str">
        <f t="shared" si="198"/>
        <v>Incomplete</v>
      </c>
      <c r="BB660" s="20"/>
      <c r="BC660" s="20" t="str">
        <f t="shared" si="199"/>
        <v>Incomplete</v>
      </c>
      <c r="BD660" s="20"/>
      <c r="BE660" s="20" t="str">
        <f t="shared" si="200"/>
        <v>Incomplete</v>
      </c>
      <c r="BF660" s="20"/>
      <c r="BG660" s="20"/>
      <c r="BH660" s="20"/>
      <c r="BI660" s="20" t="str">
        <f t="shared" si="190"/>
        <v>Incomplete</v>
      </c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91" t="str">
        <f t="shared" si="201"/>
        <v>Incomplete</v>
      </c>
      <c r="BX660" s="91" t="str">
        <f>_xlfn.XLOOKUP(BW660,'Normative data'!$V$3:$V$6,'Normative data'!$W$3:$W$6,"Not Found",-1)</f>
        <v>Very low risk</v>
      </c>
      <c r="BY660" s="91" t="str">
        <f t="shared" si="202"/>
        <v>Incomplete</v>
      </c>
      <c r="BZ660" s="91" t="str">
        <f>_xlfn.XLOOKUP(BY660,'Normative data'!$V$3:$V$6,'Normative data'!$W$3:$W$6,"Not Found",-1)</f>
        <v>Very low risk</v>
      </c>
      <c r="CA660" s="20"/>
      <c r="CC660" s="20"/>
      <c r="CE660" s="20"/>
      <c r="CG660" s="20">
        <v>18.559999999999999</v>
      </c>
      <c r="CH660" s="20" t="str">
        <f>_xlfn.XLOOKUP(CG659, 'Normative data'!$S$9:$S$15,'Normative data'!$T$9:$T$15, "Not Found", -1)</f>
        <v>Average</v>
      </c>
      <c r="CI660" s="20">
        <v>18.25</v>
      </c>
      <c r="CJ660" s="20" t="str">
        <f>_xlfn.XLOOKUP(CI659, 'Normative data'!$S$9:$S$15, 'Normative data'!$T$9:$T$15, "Not Found", -1)</f>
        <v>Average</v>
      </c>
      <c r="CK660" s="20" t="s">
        <v>623</v>
      </c>
      <c r="CL660" s="20" t="s">
        <v>507</v>
      </c>
      <c r="CM660" s="21"/>
      <c r="CN660" s="20" t="s">
        <v>1282</v>
      </c>
      <c r="CO660" s="20" t="s">
        <v>704</v>
      </c>
      <c r="CQ660" s="20"/>
      <c r="CR660" s="20" t="str" cm="1">
        <f t="array" ref="CR660">IF(OR(ISBLANK(E660),ISBLANK(CQ660)),"Incomplete",_xlfn.XLOOKUP(CQ660,_xlfn.XLOOKUP(E660,'Normative data'!$Y$3:$Y$6,'Normative data'!$Z$3:$AG$6,,-1),'Normative data'!$Z$2:$AG$2,"Not Found",-1))</f>
        <v>Incomplete</v>
      </c>
      <c r="CS660" s="20"/>
      <c r="CT660" s="20"/>
      <c r="CU660" s="20" t="str" cm="1">
        <f t="array" ref="CU660">_xlfn.XLOOKUP(CS660&amp;CT660,(VLOOKUP!$A$3:$A$250)&amp;(VLOOKUP!$B$3:$B$250),VLOOKUP!$C$3:$C$250,"Incomplete",-1)</f>
        <v>Incomplete</v>
      </c>
      <c r="CV660" s="20" t="str" cm="1">
        <f t="array" ref="CV660">_xlfn.XLOOKUP(CU660, _xlfn.XLOOKUP(E660, 'Normative data'!$Y$11:$Y$14, 'Normative data'!$Z$11:$AG$14, ,-1), 'Normative data'!$Z$10:$AG$10, "Not Found", -1)</f>
        <v>Excellent</v>
      </c>
      <c r="CW660" s="20" t="str" cm="1">
        <f t="array" ref="CW660">IF(OR(ISBLANK(CS660),ISBLANK(CT660)),"Incomplete",_xlfn.XLOOKUP(CS660&amp;CT660,VLOOKUP!$A$4:$A$250&amp;VLOOKUP!$B$4:$B$250,VLOOKUP!$D$4:$D$250,"0"))</f>
        <v>Incomplete</v>
      </c>
    </row>
    <row r="661" spans="1:101">
      <c r="A661" s="18" t="s">
        <v>1116</v>
      </c>
      <c r="B661" s="18" t="s">
        <v>1115</v>
      </c>
      <c r="C661" s="17" t="s">
        <v>86</v>
      </c>
      <c r="D661" s="19">
        <v>40052</v>
      </c>
      <c r="F661" s="17">
        <v>10</v>
      </c>
      <c r="G661" s="17">
        <v>2025</v>
      </c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41" t="str">
        <f t="shared" si="197"/>
        <v>Incomplete</v>
      </c>
      <c r="AZ661" s="20"/>
      <c r="BA661" s="20" t="str">
        <f t="shared" si="198"/>
        <v>Incomplete</v>
      </c>
      <c r="BB661" s="20"/>
      <c r="BC661" s="20" t="str">
        <f t="shared" si="199"/>
        <v>Incomplete</v>
      </c>
      <c r="BD661" s="20"/>
      <c r="BE661" s="20" t="str">
        <f t="shared" si="200"/>
        <v>Incomplete</v>
      </c>
      <c r="BF661" s="20"/>
      <c r="BG661" s="20">
        <v>13</v>
      </c>
      <c r="BH661" s="20">
        <v>49</v>
      </c>
      <c r="BI661" s="20">
        <f t="shared" si="190"/>
        <v>36</v>
      </c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91" t="str">
        <f t="shared" si="201"/>
        <v>Incomplete</v>
      </c>
      <c r="BX661" s="91" t="str">
        <f>_xlfn.XLOOKUP(BW661,'Normative data'!$V$3:$V$6,'Normative data'!$W$3:$W$6,"Not Found",-1)</f>
        <v>Very low risk</v>
      </c>
      <c r="BY661" s="91" t="str">
        <f t="shared" si="202"/>
        <v>Incomplete</v>
      </c>
      <c r="BZ661" s="91" t="str">
        <f>_xlfn.XLOOKUP(BY661,'Normative data'!$V$3:$V$6,'Normative data'!$W$3:$W$6,"Not Found",-1)</f>
        <v>Very low risk</v>
      </c>
      <c r="CA661" s="20"/>
      <c r="CC661" s="20"/>
      <c r="CE661" s="20">
        <v>10</v>
      </c>
      <c r="CG661" s="20"/>
      <c r="CH661" s="20" t="str">
        <f>_xlfn.XLOOKUP(CG661, 'Normative data'!$S$9:$S$15,'Normative data'!$T$9:$T$15, "Not Found", -1)</f>
        <v>not completed</v>
      </c>
      <c r="CI661" s="20"/>
      <c r="CJ661" s="20" t="str">
        <f>_xlfn.XLOOKUP(CI661, 'Normative data'!$S$9:$S$15, 'Normative data'!$T$9:$T$15, "Not Found", -1)</f>
        <v>not completed</v>
      </c>
      <c r="CK661" s="21">
        <v>2.2400000000000002</v>
      </c>
      <c r="CL661" s="21">
        <v>4.46</v>
      </c>
      <c r="CM661" s="21"/>
      <c r="CN661" s="21">
        <v>6.83</v>
      </c>
      <c r="CO661" s="21">
        <v>7.32</v>
      </c>
      <c r="CP661" s="21"/>
      <c r="CQ661" s="20"/>
      <c r="CR661" s="20" t="str" cm="1">
        <f t="array" ref="CR661">IF(OR(ISBLANK(E661),ISBLANK(CQ661)),"Incomplete",_xlfn.XLOOKUP(CQ661,_xlfn.XLOOKUP(E661,'Normative data'!$Y$3:$Y$6,'Normative data'!$Z$3:$AG$6,,-1),'Normative data'!$Z$2:$AG$2,"Not Found",-1))</f>
        <v>Incomplete</v>
      </c>
      <c r="CS661" s="20"/>
      <c r="CT661" s="20"/>
      <c r="CU661" s="20" t="str" cm="1">
        <f t="array" ref="CU661">_xlfn.XLOOKUP(CS661&amp;CT661,(VLOOKUP!$A$3:$A$250)&amp;(VLOOKUP!$B$3:$B$250),VLOOKUP!$C$3:$C$250,"Incomplete",-1)</f>
        <v>Incomplete</v>
      </c>
      <c r="CV661" s="20" t="str" cm="1">
        <f t="array" ref="CV661">_xlfn.XLOOKUP(CU661, _xlfn.XLOOKUP(E661, 'Normative data'!$Y$11:$Y$14, 'Normative data'!$Z$11:$AG$14, ,-1), 'Normative data'!$Z$10:$AG$10, "Not Found", -1)</f>
        <v>Excellent</v>
      </c>
      <c r="CW661" s="20" t="str" cm="1">
        <f t="array" ref="CW661">IF(OR(ISBLANK(CS661),ISBLANK(CT661)),"Incomplete",_xlfn.XLOOKUP(CS661&amp;CT661,VLOOKUP!$A$4:$A$250&amp;VLOOKUP!$B$4:$B$250,VLOOKUP!$D$4:$D$250,"0"))</f>
        <v>Incomplete</v>
      </c>
    </row>
    <row r="662" spans="1:101">
      <c r="A662" s="17" t="s">
        <v>1283</v>
      </c>
      <c r="B662" s="17" t="s">
        <v>1115</v>
      </c>
      <c r="C662" s="17" t="s">
        <v>86</v>
      </c>
      <c r="D662" s="19">
        <v>40052</v>
      </c>
      <c r="F662" s="17">
        <v>10</v>
      </c>
      <c r="G662" s="17">
        <v>2025</v>
      </c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41" t="str">
        <f t="shared" si="197"/>
        <v>Incomplete</v>
      </c>
      <c r="AZ662" s="20"/>
      <c r="BA662" s="20" t="str">
        <f t="shared" si="198"/>
        <v>Incomplete</v>
      </c>
      <c r="BB662" s="20"/>
      <c r="BC662" s="20" t="str">
        <f t="shared" si="199"/>
        <v>Incomplete</v>
      </c>
      <c r="BD662" s="20"/>
      <c r="BE662" s="20" t="str">
        <f t="shared" si="200"/>
        <v>Incomplete</v>
      </c>
      <c r="BF662" s="20"/>
      <c r="BG662" s="20"/>
      <c r="BH662" s="20"/>
      <c r="BI662" s="20" t="str">
        <f t="shared" si="190"/>
        <v>Incomplete</v>
      </c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91" t="str">
        <f t="shared" si="201"/>
        <v>Incomplete</v>
      </c>
      <c r="BX662" s="91" t="str">
        <f>_xlfn.XLOOKUP(BW662,'Normative data'!$V$3:$V$6,'Normative data'!$W$3:$W$6,"Not Found",-1)</f>
        <v>Very low risk</v>
      </c>
      <c r="BY662" s="91" t="str">
        <f t="shared" si="202"/>
        <v>Incomplete</v>
      </c>
      <c r="BZ662" s="91" t="str">
        <f>_xlfn.XLOOKUP(BY662,'Normative data'!$V$3:$V$6,'Normative data'!$W$3:$W$6,"Not Found",-1)</f>
        <v>Very low risk</v>
      </c>
      <c r="CA662" s="20"/>
      <c r="CC662" s="20"/>
      <c r="CE662" s="20"/>
      <c r="CG662" s="20"/>
      <c r="CH662" s="20" t="str">
        <f>_xlfn.XLOOKUP(CG662, 'Normative data'!$S$9:$S$15,'Normative data'!$T$9:$T$15, "Not Found", -1)</f>
        <v>not completed</v>
      </c>
      <c r="CI662" s="20"/>
      <c r="CJ662" s="20" t="str">
        <f>_xlfn.XLOOKUP(CI662, 'Normative data'!$S$9:$S$15, 'Normative data'!$T$9:$T$15, "Not Found", -1)</f>
        <v>not completed</v>
      </c>
      <c r="CK662" s="20" t="s">
        <v>205</v>
      </c>
      <c r="CL662" s="20" t="s">
        <v>354</v>
      </c>
      <c r="CN662" s="20" t="s">
        <v>1054</v>
      </c>
      <c r="CO662" s="20" t="s">
        <v>994</v>
      </c>
      <c r="CQ662" s="20"/>
      <c r="CR662" s="20" t="str" cm="1">
        <f t="array" ref="CR662">IF(OR(ISBLANK(E662),ISBLANK(CQ662)),"Incomplete",_xlfn.XLOOKUP(CQ662,_xlfn.XLOOKUP(E662,'Normative data'!$Y$3:$Y$6,'Normative data'!$Z$3:$AG$6,,-1),'Normative data'!$Z$2:$AG$2,"Not Found",-1))</f>
        <v>Incomplete</v>
      </c>
      <c r="CS662" s="20"/>
      <c r="CT662" s="20"/>
      <c r="CU662" s="20" t="str" cm="1">
        <f t="array" ref="CU662">_xlfn.XLOOKUP(CS662&amp;CT662,(VLOOKUP!$A$3:$A$250)&amp;(VLOOKUP!$B$3:$B$250),VLOOKUP!$C$3:$C$250,"Incomplete",-1)</f>
        <v>Incomplete</v>
      </c>
      <c r="CV662" s="20" t="str" cm="1">
        <f t="array" ref="CV662">_xlfn.XLOOKUP(CU662, _xlfn.XLOOKUP(E662, 'Normative data'!$Y$11:$Y$14, 'Normative data'!$Z$11:$AG$14, ,-1), 'Normative data'!$Z$10:$AG$10, "Not Found", -1)</f>
        <v>Excellent</v>
      </c>
      <c r="CW662" s="20" t="str" cm="1">
        <f t="array" ref="CW662">IF(OR(ISBLANK(CS662),ISBLANK(CT662)),"Incomplete",_xlfn.XLOOKUP(CS662&amp;CT662,VLOOKUP!$A$4:$A$250&amp;VLOOKUP!$B$4:$B$250,VLOOKUP!$D$4:$D$250,"0"))</f>
        <v>Incomplete</v>
      </c>
    </row>
    <row r="663" spans="1:101">
      <c r="A663" s="17" t="s">
        <v>1088</v>
      </c>
      <c r="B663" s="17" t="s">
        <v>1284</v>
      </c>
      <c r="C663" s="17" t="s">
        <v>86</v>
      </c>
      <c r="D663" s="26"/>
      <c r="F663" s="20" t="s">
        <v>162</v>
      </c>
      <c r="G663" s="17">
        <v>2026</v>
      </c>
      <c r="I663" s="20">
        <v>2</v>
      </c>
      <c r="J663" s="20" t="s">
        <v>100</v>
      </c>
      <c r="K663" s="20" t="s">
        <v>173</v>
      </c>
      <c r="L663" s="20"/>
      <c r="S663" s="20">
        <v>86.9</v>
      </c>
      <c r="T663" s="20">
        <v>165.6</v>
      </c>
      <c r="AQ663" s="20"/>
      <c r="AR663" s="20"/>
      <c r="AS663" s="20"/>
      <c r="AT663" s="20"/>
      <c r="AU663" s="20"/>
      <c r="AV663" s="20"/>
      <c r="AW663" s="20"/>
      <c r="AX663" s="20"/>
      <c r="AY663" s="41" t="str">
        <f t="shared" si="197"/>
        <v>Incomplete</v>
      </c>
      <c r="BA663" s="20" t="str">
        <f t="shared" si="198"/>
        <v>Incomplete</v>
      </c>
      <c r="BC663" s="20" t="str">
        <f t="shared" si="199"/>
        <v>Incomplete</v>
      </c>
      <c r="BE663" s="20" t="str">
        <f t="shared" si="200"/>
        <v>Incomplete</v>
      </c>
      <c r="BG663" s="17">
        <v>18</v>
      </c>
      <c r="BH663" s="17">
        <v>49</v>
      </c>
      <c r="BI663" s="20">
        <f t="shared" si="190"/>
        <v>31</v>
      </c>
      <c r="BJ663" s="20"/>
      <c r="BL663" s="20"/>
      <c r="BM663" s="20"/>
      <c r="BN663" s="20"/>
      <c r="BQ663" s="17">
        <v>85</v>
      </c>
      <c r="BR663" s="17">
        <v>83</v>
      </c>
      <c r="BS663" s="17">
        <v>75</v>
      </c>
      <c r="BT663" s="17">
        <v>82</v>
      </c>
      <c r="BU663" s="17">
        <v>80</v>
      </c>
      <c r="BV663" s="17">
        <v>76</v>
      </c>
      <c r="BW663" s="91">
        <f t="shared" si="201"/>
        <v>102.92249047013979</v>
      </c>
      <c r="BX663" s="91" t="str">
        <f>_xlfn.XLOOKUP(BW663,'Normative data'!$V$3:$V$6,'Normative data'!$W$3:$W$6,"Not Found",-1)</f>
        <v>Low risk</v>
      </c>
      <c r="BY663" s="91">
        <f t="shared" si="202"/>
        <v>100.80474375264721</v>
      </c>
      <c r="BZ663" s="91" t="str">
        <f>_xlfn.XLOOKUP(BY663,'Normative data'!$V$3:$V$6,'Normative data'!$W$3:$W$6,"Not Found",-1)</f>
        <v>Low risk</v>
      </c>
      <c r="CA663" s="20"/>
      <c r="CC663" s="20"/>
      <c r="CE663" s="17">
        <v>21</v>
      </c>
      <c r="CG663" s="17">
        <v>18.84</v>
      </c>
      <c r="CH663" s="20" t="str">
        <f>_xlfn.XLOOKUP(CG663, 'Normative data'!$S$9:$S$15,'Normative data'!$T$9:$T$15, "Not Found", -1)</f>
        <v>Average</v>
      </c>
      <c r="CI663" s="17">
        <v>20.9</v>
      </c>
      <c r="CJ663" s="20" t="str">
        <f>_xlfn.XLOOKUP(CI663, 'Normative data'!$S$9:$S$15, 'Normative data'!$T$9:$T$15, "Not Found", -1)</f>
        <v>Average</v>
      </c>
      <c r="CK663" s="17">
        <v>2.09</v>
      </c>
      <c r="CL663" s="17">
        <v>4.78</v>
      </c>
      <c r="CN663" s="17">
        <v>6.58</v>
      </c>
      <c r="CO663" s="17">
        <v>7.6</v>
      </c>
      <c r="CQ663" s="17">
        <v>8.1999999999999993</v>
      </c>
      <c r="CR663" s="20" t="str" cm="1">
        <f t="array" ref="CR663">IF(OR(ISBLANK(E663),ISBLANK(CQ663)),"Incomplete",_xlfn.XLOOKUP(CQ663,_xlfn.XLOOKUP(E663,'Normative data'!$Y$3:$Y$6,'Normative data'!$Z$3:$AG$6,,-1),'Normative data'!$Z$2:$AG$2,"Not Found",-1))</f>
        <v>Incomplete</v>
      </c>
      <c r="CS663" s="20">
        <v>8</v>
      </c>
      <c r="CT663" s="20">
        <v>2</v>
      </c>
      <c r="CU663" s="20" cm="1">
        <f t="array" ref="CU663">_xlfn.XLOOKUP(CS663&amp;CT663,(VLOOKUP!$A$3:$A$250)&amp;(VLOOKUP!$B$3:$B$250),VLOOKUP!$C$3:$C$250,"Incomplete",-1)</f>
        <v>1260</v>
      </c>
      <c r="CV663" s="20" t="str" cm="1">
        <f t="array" ref="CV663">_xlfn.XLOOKUP(CU663, _xlfn.XLOOKUP(E663, 'Normative data'!$Y$11:$Y$14, 'Normative data'!$Z$11:$AG$14, ,-1), 'Normative data'!$Z$10:$AG$10, "Not Found", -1)</f>
        <v>Average</v>
      </c>
      <c r="CW663" s="20" cm="1">
        <f t="array" ref="CW663">IF(OR(ISBLANK(CS663),ISBLANK(CT663)),"Incomplete",_xlfn.XLOOKUP(CS663&amp;CT663,VLOOKUP!$A$4:$A$250&amp;VLOOKUP!$B$4:$B$250,VLOOKUP!$D$4:$D$250,"0"))</f>
        <v>41</v>
      </c>
    </row>
    <row r="664" spans="1:101">
      <c r="A664" s="17" t="s">
        <v>781</v>
      </c>
      <c r="B664" s="17" t="s">
        <v>1284</v>
      </c>
      <c r="C664" s="17" t="s">
        <v>86</v>
      </c>
      <c r="D664" s="26">
        <v>40119</v>
      </c>
      <c r="E664" s="17">
        <v>16.600000000000001</v>
      </c>
      <c r="F664" s="20" t="s">
        <v>181</v>
      </c>
      <c r="G664" s="17">
        <v>2026</v>
      </c>
      <c r="I664" s="20">
        <v>2</v>
      </c>
      <c r="J664" s="20" t="s">
        <v>722</v>
      </c>
      <c r="K664" s="20" t="s">
        <v>95</v>
      </c>
      <c r="L664" s="20"/>
      <c r="S664" s="20">
        <v>85</v>
      </c>
      <c r="T664" s="20">
        <v>160</v>
      </c>
      <c r="U664" s="17">
        <v>53.4</v>
      </c>
      <c r="V664" s="17">
        <v>29.8</v>
      </c>
      <c r="W664" s="17">
        <v>12.7</v>
      </c>
      <c r="X664" s="17">
        <v>40.700000000000003</v>
      </c>
      <c r="Y664" s="17">
        <v>22.5</v>
      </c>
      <c r="Z664" s="17">
        <v>20.9</v>
      </c>
      <c r="AA664" s="17">
        <v>23.7</v>
      </c>
      <c r="AB664" s="17">
        <v>6.24</v>
      </c>
      <c r="AC664" s="17">
        <v>104.5</v>
      </c>
      <c r="AD664" s="17">
        <v>6.16</v>
      </c>
      <c r="AE664" s="17">
        <v>103.2</v>
      </c>
      <c r="AF664" s="17">
        <v>2.1</v>
      </c>
      <c r="AG664" s="17">
        <v>95.3</v>
      </c>
      <c r="AH664" s="17">
        <v>2.1</v>
      </c>
      <c r="AI664" s="17">
        <v>94.9</v>
      </c>
      <c r="AJ664" s="17">
        <v>339.6</v>
      </c>
      <c r="AK664" s="17">
        <v>350.8</v>
      </c>
      <c r="AL664" s="17">
        <v>295.39999999999998</v>
      </c>
      <c r="AM664" s="17">
        <v>305.3</v>
      </c>
      <c r="AN664" s="17">
        <v>98</v>
      </c>
      <c r="AQ664" s="17">
        <v>24.1</v>
      </c>
      <c r="AR664" s="17">
        <v>0.443</v>
      </c>
      <c r="AS664" s="17">
        <v>29.9</v>
      </c>
      <c r="AT664" s="17">
        <v>0.49399999999999999</v>
      </c>
      <c r="AW664" s="17">
        <v>13.9</v>
      </c>
      <c r="AX664" s="17">
        <v>0.33700000000000002</v>
      </c>
      <c r="AY664" s="41">
        <f t="shared" si="197"/>
        <v>1826.8900000000003</v>
      </c>
      <c r="BA664" s="20">
        <f t="shared" si="198"/>
        <v>2178.9499999999998</v>
      </c>
      <c r="BC664" s="20" t="str">
        <f t="shared" si="199"/>
        <v>Incomplete</v>
      </c>
      <c r="BE664" s="20">
        <f t="shared" si="200"/>
        <v>1207.75</v>
      </c>
      <c r="BG664" s="17">
        <v>18</v>
      </c>
      <c r="BH664" s="17">
        <v>38.5</v>
      </c>
      <c r="BI664" s="20">
        <f t="shared" si="190"/>
        <v>20.5</v>
      </c>
      <c r="BJ664" s="20"/>
      <c r="BK664" s="17">
        <v>9</v>
      </c>
      <c r="BL664" s="20"/>
      <c r="BM664" s="17">
        <v>7</v>
      </c>
      <c r="BN664" s="20"/>
      <c r="BO664" s="17">
        <v>50</v>
      </c>
      <c r="BP664" s="17">
        <v>49</v>
      </c>
      <c r="BQ664" s="17">
        <v>74</v>
      </c>
      <c r="BR664" s="17">
        <v>79</v>
      </c>
      <c r="BS664" s="17">
        <v>74</v>
      </c>
      <c r="BT664" s="17">
        <v>76</v>
      </c>
      <c r="BU664" s="17">
        <v>73</v>
      </c>
      <c r="BV664" s="17">
        <v>72</v>
      </c>
      <c r="BW664" s="91">
        <f t="shared" si="201"/>
        <v>100.8888888888889</v>
      </c>
      <c r="BX664" s="91" t="str">
        <f>_xlfn.XLOOKUP(BW664,'Normative data'!$V$3:$V$6,'Normative data'!$W$3:$W$6,"Not Found",-1)</f>
        <v>Low risk</v>
      </c>
      <c r="BY664" s="91">
        <f t="shared" si="202"/>
        <v>98.222222222222229</v>
      </c>
      <c r="BZ664" s="91" t="str">
        <f>_xlfn.XLOOKUP(BY664,'Normative data'!$V$3:$V$6,'Normative data'!$W$3:$W$6,"Not Found",-1)</f>
        <v>Low risk</v>
      </c>
      <c r="CA664" s="17">
        <v>30</v>
      </c>
      <c r="CC664" s="20"/>
      <c r="CE664" s="17">
        <v>21</v>
      </c>
      <c r="CG664" s="20"/>
      <c r="CH664" s="20" t="str">
        <f>_xlfn.XLOOKUP(CG664, 'Normative data'!$S$9:$S$15,'Normative data'!$T$9:$T$15, "Not Found", -1)</f>
        <v>not completed</v>
      </c>
      <c r="CI664" s="20"/>
      <c r="CJ664" s="20" t="str">
        <f>_xlfn.XLOOKUP(CI664, 'Normative data'!$S$9:$S$15, 'Normative data'!$T$9:$T$15, "Not Found", -1)</f>
        <v>not completed</v>
      </c>
      <c r="CK664" s="17">
        <v>2.04</v>
      </c>
      <c r="CL664" s="17">
        <v>4.9000000000000004</v>
      </c>
      <c r="CN664" s="17">
        <v>6.23</v>
      </c>
      <c r="CO664" s="17">
        <v>8.0299999999999994</v>
      </c>
      <c r="CR664" s="20" t="str" cm="1">
        <f t="array" ref="CR664">IF(OR(ISBLANK(E664),ISBLANK(CQ664)),"Incomplete",_xlfn.XLOOKUP(CQ664,_xlfn.XLOOKUP(E664,'Normative data'!$Y$3:$Y$6,'Normative data'!$Z$3:$AG$6,,-1),'Normative data'!$Z$2:$AG$2,"Not Found",-1))</f>
        <v>Incomplete</v>
      </c>
      <c r="CS664" s="20"/>
      <c r="CT664" s="20"/>
      <c r="CU664" s="20" t="str" cm="1">
        <f t="array" ref="CU664">_xlfn.XLOOKUP(CS664&amp;CT664,(VLOOKUP!$A$3:$A$250)&amp;(VLOOKUP!$B$3:$B$250),VLOOKUP!$C$3:$C$250,"Incomplete",-1)</f>
        <v>Incomplete</v>
      </c>
      <c r="CV664" s="20" t="str" cm="1">
        <f t="array" ref="CV664">_xlfn.XLOOKUP(CU664, _xlfn.XLOOKUP(E664, 'Normative data'!$Y$11:$Y$14, 'Normative data'!$Z$11:$AG$14, ,-1), 'Normative data'!$Z$10:$AG$10, "Not Found", -1)</f>
        <v>Excellent</v>
      </c>
      <c r="CW664" s="20" t="str" cm="1">
        <f t="array" ref="CW664">IF(OR(ISBLANK(CS664),ISBLANK(CT664)),"Incomplete",_xlfn.XLOOKUP(CS664&amp;CT664,VLOOKUP!$A$4:$A$250&amp;VLOOKUP!$B$4:$B$250,VLOOKUP!$D$4:$D$250,"0"))</f>
        <v>Incomplete</v>
      </c>
    </row>
    <row r="665" spans="1:101">
      <c r="A665" s="17" t="s">
        <v>221</v>
      </c>
      <c r="B665" s="17" t="s">
        <v>1284</v>
      </c>
      <c r="C665" s="17" t="s">
        <v>86</v>
      </c>
      <c r="D665" s="26">
        <v>40911</v>
      </c>
      <c r="E665" s="17">
        <v>14.1</v>
      </c>
      <c r="F665" s="20" t="s">
        <v>157</v>
      </c>
      <c r="G665" s="17">
        <v>2026</v>
      </c>
      <c r="I665" s="20">
        <v>2</v>
      </c>
      <c r="J665" s="20" t="s">
        <v>100</v>
      </c>
      <c r="K665" s="20" t="s">
        <v>158</v>
      </c>
      <c r="L665" s="20"/>
      <c r="S665" s="20"/>
      <c r="T665" s="20">
        <v>163.80000000000001</v>
      </c>
      <c r="U665" s="17">
        <v>47.7</v>
      </c>
      <c r="V665" s="17">
        <v>27.6</v>
      </c>
      <c r="W665" s="17">
        <v>10.1</v>
      </c>
      <c r="X665" s="17">
        <v>37.6</v>
      </c>
      <c r="Y665" s="17">
        <v>20.399999999999999</v>
      </c>
      <c r="Z665" s="17">
        <v>17.8</v>
      </c>
      <c r="AA665" s="17">
        <v>21.1</v>
      </c>
      <c r="AB665" s="17">
        <v>6</v>
      </c>
      <c r="AC665" s="17">
        <v>108.8</v>
      </c>
      <c r="AD665" s="17">
        <v>6.07</v>
      </c>
      <c r="AE665" s="17">
        <v>110.2</v>
      </c>
      <c r="AF665" s="17">
        <v>1.8</v>
      </c>
      <c r="AG665" s="17">
        <v>71.3</v>
      </c>
      <c r="AH665" s="17">
        <v>1.8</v>
      </c>
      <c r="AI665" s="17">
        <v>71.7</v>
      </c>
      <c r="AJ665" s="17">
        <v>357.7</v>
      </c>
      <c r="AK665" s="17">
        <v>347.9</v>
      </c>
      <c r="AL665" s="17">
        <v>318.7</v>
      </c>
      <c r="AM665" s="17">
        <v>310</v>
      </c>
      <c r="AN665" s="17">
        <v>92</v>
      </c>
      <c r="AO665" s="17">
        <v>0.82</v>
      </c>
      <c r="AP665" s="17">
        <v>5.7</v>
      </c>
      <c r="AQ665" s="20"/>
      <c r="AR665" s="20"/>
      <c r="AS665" s="20"/>
      <c r="AT665" s="20"/>
      <c r="AU665" s="20"/>
      <c r="AV665" s="20"/>
      <c r="AW665" s="20"/>
      <c r="AX665" s="20"/>
      <c r="AY665" s="41" t="str">
        <f t="shared" si="197"/>
        <v>Incomplete</v>
      </c>
      <c r="BA665" s="20" t="str">
        <f t="shared" si="198"/>
        <v>Incomplete</v>
      </c>
      <c r="BC665" s="20" t="str">
        <f t="shared" si="199"/>
        <v>Incomplete</v>
      </c>
      <c r="BE665" s="20" t="str">
        <f t="shared" si="200"/>
        <v>Incomplete</v>
      </c>
      <c r="BG665" s="17">
        <v>12</v>
      </c>
      <c r="BH665" s="17">
        <v>34.5</v>
      </c>
      <c r="BI665" s="20">
        <f t="shared" si="190"/>
        <v>22.5</v>
      </c>
      <c r="BJ665" s="20"/>
      <c r="BK665" s="17">
        <v>7</v>
      </c>
      <c r="BL665" s="20"/>
      <c r="BM665" s="17">
        <v>7</v>
      </c>
      <c r="BN665" s="20"/>
      <c r="BO665" s="17">
        <v>45</v>
      </c>
      <c r="BP665" s="17">
        <v>42.5</v>
      </c>
      <c r="BQ665" s="17">
        <v>90</v>
      </c>
      <c r="BR665" s="17">
        <v>100</v>
      </c>
      <c r="BS665" s="17">
        <v>80</v>
      </c>
      <c r="BT665" s="17">
        <v>93</v>
      </c>
      <c r="BU665" s="17">
        <v>60</v>
      </c>
      <c r="BV665" s="17">
        <v>99</v>
      </c>
      <c r="BW665" s="91">
        <f t="shared" si="201"/>
        <v>54.945054945054942</v>
      </c>
      <c r="BX665" s="91" t="str">
        <f>_xlfn.XLOOKUP(BW665,'Normative data'!$V$3:$V$6,'Normative data'!$W$3:$W$6,"Not Found",-1)</f>
        <v>High risk</v>
      </c>
      <c r="BY665" s="91">
        <f t="shared" si="202"/>
        <v>51.282051282051277</v>
      </c>
      <c r="BZ665" s="91" t="str">
        <f>_xlfn.XLOOKUP(BY665,'Normative data'!$V$3:$V$6,'Normative data'!$W$3:$W$6,"Not Found",-1)</f>
        <v>High risk</v>
      </c>
      <c r="CA665" s="17">
        <v>25</v>
      </c>
      <c r="CC665" s="20"/>
      <c r="CE665" s="17">
        <v>8</v>
      </c>
      <c r="CG665" s="17">
        <v>2021</v>
      </c>
      <c r="CH665" s="20" t="str">
        <f>_xlfn.XLOOKUP(CG665, 'Normative data'!$S$9:$S$15,'Normative data'!$T$9:$T$15, "Not Found", -1)</f>
        <v>Poor</v>
      </c>
      <c r="CI665" s="17">
        <v>20.12</v>
      </c>
      <c r="CJ665" s="20" t="str">
        <f>_xlfn.XLOOKUP(CI665, 'Normative data'!$S$9:$S$15, 'Normative data'!$T$9:$T$15, "Not Found", -1)</f>
        <v>Average</v>
      </c>
      <c r="CK665" s="17">
        <v>2.33</v>
      </c>
      <c r="CL665" s="17">
        <v>4.29</v>
      </c>
      <c r="CN665" s="17">
        <v>7.58</v>
      </c>
      <c r="CO665" s="17">
        <v>6.6</v>
      </c>
      <c r="CQ665" s="17">
        <v>6.9</v>
      </c>
      <c r="CR665" s="20" t="str" cm="1">
        <f t="array" ref="CR665">IF(OR(ISBLANK(E665),ISBLANK(CQ665)),"Incomplete",_xlfn.XLOOKUP(CQ665,_xlfn.XLOOKUP(E665,'Normative data'!$Y$3:$Y$6,'Normative data'!$Z$3:$AG$6,,-1),'Normative data'!$Z$2:$AG$2,"Not Found",-1))</f>
        <v>Average</v>
      </c>
      <c r="CS665" s="20">
        <v>6</v>
      </c>
      <c r="CT665" s="20">
        <v>9</v>
      </c>
      <c r="CU665" s="20" cm="1">
        <f t="array" ref="CU665">_xlfn.XLOOKUP(CS665&amp;CT665,(VLOOKUP!$A$3:$A$250)&amp;(VLOOKUP!$B$3:$B$250),VLOOKUP!$C$3:$C$250,"Incomplete",-1)</f>
        <v>1000</v>
      </c>
      <c r="CV665" s="20" t="str" cm="1">
        <f t="array" ref="CV665">_xlfn.XLOOKUP(CU665, _xlfn.XLOOKUP(E665, 'Normative data'!$Y$11:$Y$14, 'Normative data'!$Z$11:$AG$14, ,-1), 'Normative data'!$Z$10:$AG$10, "Not Found", -1)</f>
        <v>Average</v>
      </c>
      <c r="CW665" s="20" cm="1">
        <f t="array" ref="CW665">IF(OR(ISBLANK(CS665),ISBLANK(CT665)),"Incomplete",_xlfn.XLOOKUP(CS665&amp;CT665,VLOOKUP!$A$4:$A$250&amp;VLOOKUP!$B$4:$B$250,VLOOKUP!$D$4:$D$250,"0"))</f>
        <v>36</v>
      </c>
    </row>
    <row r="666" spans="1:101">
      <c r="A666" s="17" t="s">
        <v>1285</v>
      </c>
      <c r="B666" s="17" t="s">
        <v>1284</v>
      </c>
      <c r="C666" s="17" t="s">
        <v>86</v>
      </c>
      <c r="D666" s="26">
        <v>40862</v>
      </c>
      <c r="F666" s="20" t="s">
        <v>217</v>
      </c>
      <c r="G666" s="17">
        <v>2026</v>
      </c>
      <c r="I666" s="20">
        <v>2</v>
      </c>
      <c r="J666" s="20" t="s">
        <v>122</v>
      </c>
      <c r="K666" s="20" t="s">
        <v>556</v>
      </c>
      <c r="L666" s="20"/>
      <c r="S666" s="20">
        <v>84.3</v>
      </c>
      <c r="T666" s="20">
        <v>158</v>
      </c>
      <c r="U666" s="17">
        <v>56.7</v>
      </c>
      <c r="V666" s="17">
        <v>33.299999999999997</v>
      </c>
      <c r="W666" s="17">
        <v>11.2</v>
      </c>
      <c r="X666" s="17">
        <v>45.5</v>
      </c>
      <c r="Y666" s="17">
        <v>25.2</v>
      </c>
      <c r="AA666" s="17">
        <v>19.8</v>
      </c>
      <c r="AB666" s="17">
        <v>6.42</v>
      </c>
      <c r="AC666" s="17">
        <v>109.2</v>
      </c>
      <c r="AD666" s="17">
        <v>6.46</v>
      </c>
      <c r="AE666" s="17">
        <v>109.9</v>
      </c>
      <c r="AF666" s="17">
        <v>1.8</v>
      </c>
      <c r="AG666" s="17">
        <v>85.8</v>
      </c>
      <c r="AH666" s="17">
        <v>1.8</v>
      </c>
      <c r="AI666" s="17">
        <v>85.7</v>
      </c>
      <c r="AJ666" s="17">
        <v>271.5</v>
      </c>
      <c r="AK666" s="17">
        <v>266.8</v>
      </c>
      <c r="AL666" s="17">
        <v>236.6</v>
      </c>
      <c r="AM666" s="17">
        <v>232.5</v>
      </c>
      <c r="AN666" s="17">
        <v>96</v>
      </c>
      <c r="AY666" s="41" t="str">
        <f t="shared" si="197"/>
        <v>Incomplete</v>
      </c>
      <c r="BA666" s="20" t="str">
        <f t="shared" si="198"/>
        <v>Incomplete</v>
      </c>
      <c r="BC666" s="20" t="str">
        <f t="shared" si="199"/>
        <v>Incomplete</v>
      </c>
      <c r="BE666" s="20" t="str">
        <f t="shared" si="200"/>
        <v>Incomplete</v>
      </c>
      <c r="BG666" s="17">
        <v>13</v>
      </c>
      <c r="BH666" s="17">
        <v>45.5</v>
      </c>
      <c r="BI666" s="20">
        <f t="shared" si="190"/>
        <v>32.5</v>
      </c>
      <c r="BJ666" s="20"/>
      <c r="BK666" s="17">
        <v>10.5</v>
      </c>
      <c r="BL666" s="20"/>
      <c r="BM666" s="17">
        <v>12.3</v>
      </c>
      <c r="BN666" s="20"/>
      <c r="BO666" s="17">
        <v>46.5</v>
      </c>
      <c r="BP666" s="17">
        <v>48.5</v>
      </c>
      <c r="BQ666" s="17">
        <v>86</v>
      </c>
      <c r="BR666" s="17">
        <v>96</v>
      </c>
      <c r="BS666" s="17">
        <v>92</v>
      </c>
      <c r="BT666" s="17">
        <v>86</v>
      </c>
      <c r="BU666" s="17">
        <v>90</v>
      </c>
      <c r="BV666" s="17">
        <v>79</v>
      </c>
      <c r="BW666" s="91">
        <f t="shared" si="201"/>
        <v>123.92582541836272</v>
      </c>
      <c r="BX666" s="91" t="str">
        <f>_xlfn.XLOOKUP(BW666,'Normative data'!$V$3:$V$6,'Normative data'!$W$3:$W$6,"Not Found",-1)</f>
        <v>Very low risk</v>
      </c>
      <c r="BY666" s="91">
        <f t="shared" si="202"/>
        <v>115.33242876526457</v>
      </c>
      <c r="BZ666" s="91" t="str">
        <f>_xlfn.XLOOKUP(BY666,'Normative data'!$V$3:$V$6,'Normative data'!$W$3:$W$6,"Not Found",-1)</f>
        <v>Low risk</v>
      </c>
      <c r="CA666" s="17">
        <v>39</v>
      </c>
      <c r="CC666" s="20"/>
      <c r="CE666" s="17">
        <v>27</v>
      </c>
      <c r="CG666" s="20"/>
      <c r="CH666" s="20" t="str">
        <f>_xlfn.XLOOKUP(CG666, 'Normative data'!$S$9:$S$15,'Normative data'!$T$9:$T$15, "Not Found", -1)</f>
        <v>not completed</v>
      </c>
      <c r="CI666" s="20"/>
      <c r="CJ666" s="20" t="str">
        <f>_xlfn.XLOOKUP(CI666, 'Normative data'!$S$9:$S$15, 'Normative data'!$T$9:$T$15, "Not Found", -1)</f>
        <v>not completed</v>
      </c>
      <c r="CK666" s="17">
        <v>2.08</v>
      </c>
      <c r="CL666" s="17">
        <v>4.8099999999999996</v>
      </c>
      <c r="CN666" s="17">
        <v>6.28</v>
      </c>
      <c r="CO666" s="17">
        <v>7.96</v>
      </c>
      <c r="CR666" s="20" t="str" cm="1">
        <f t="array" ref="CR666">IF(OR(ISBLANK(E666),ISBLANK(CQ666)),"Incomplete",_xlfn.XLOOKUP(CQ666,_xlfn.XLOOKUP(E666,'Normative data'!$Y$3:$Y$6,'Normative data'!$Z$3:$AG$6,,-1),'Normative data'!$Z$2:$AG$2,"Not Found",-1))</f>
        <v>Incomplete</v>
      </c>
      <c r="CS666" s="20"/>
      <c r="CT666" s="20"/>
      <c r="CU666" s="20" t="str" cm="1">
        <f t="array" ref="CU666">_xlfn.XLOOKUP(CS666&amp;CT666,(VLOOKUP!$A$3:$A$250)&amp;(VLOOKUP!$B$3:$B$250),VLOOKUP!$C$3:$C$250,"Incomplete",-1)</f>
        <v>Incomplete</v>
      </c>
      <c r="CV666" s="20" t="str" cm="1">
        <f t="array" ref="CV666">_xlfn.XLOOKUP(CU666, _xlfn.XLOOKUP(E666, 'Normative data'!$Y$11:$Y$14, 'Normative data'!$Z$11:$AG$14, ,-1), 'Normative data'!$Z$10:$AG$10, "Not Found", -1)</f>
        <v>Excellent</v>
      </c>
      <c r="CW666" s="20" t="str" cm="1">
        <f t="array" ref="CW666">IF(OR(ISBLANK(CS666),ISBLANK(CT666)),"Incomplete",_xlfn.XLOOKUP(CS666&amp;CT666,VLOOKUP!$A$4:$A$250&amp;VLOOKUP!$B$4:$B$250,VLOOKUP!$D$4:$D$250,"0"))</f>
        <v>Incomplete</v>
      </c>
    </row>
    <row r="667" spans="1:101">
      <c r="A667" s="18" t="s">
        <v>929</v>
      </c>
      <c r="B667" s="18" t="s">
        <v>931</v>
      </c>
      <c r="C667" s="17" t="s">
        <v>86</v>
      </c>
      <c r="D667" s="19">
        <v>40432</v>
      </c>
      <c r="F667" s="17">
        <v>9</v>
      </c>
      <c r="G667" s="17">
        <v>2025</v>
      </c>
      <c r="J667" s="17" t="s">
        <v>122</v>
      </c>
      <c r="S667" s="20"/>
      <c r="T667" s="20">
        <v>168.9</v>
      </c>
      <c r="U667" s="20">
        <v>54.2</v>
      </c>
      <c r="V667" s="20"/>
      <c r="W667" s="20">
        <v>7.4</v>
      </c>
      <c r="X667" s="20">
        <f>SUM(T667-W667)</f>
        <v>161.5</v>
      </c>
      <c r="Y667" s="20">
        <v>26</v>
      </c>
      <c r="Z667" s="20">
        <v>19</v>
      </c>
      <c r="AA667" s="20">
        <v>13.6</v>
      </c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41" t="str">
        <f t="shared" si="197"/>
        <v>Incomplete</v>
      </c>
      <c r="AZ667" s="20"/>
      <c r="BA667" s="20" t="str">
        <f t="shared" si="198"/>
        <v>Incomplete</v>
      </c>
      <c r="BB667" s="20"/>
      <c r="BC667" s="20" t="str">
        <f t="shared" si="199"/>
        <v>Incomplete</v>
      </c>
      <c r="BD667" s="20"/>
      <c r="BE667" s="20" t="str">
        <f t="shared" si="200"/>
        <v>Incomplete</v>
      </c>
      <c r="BF667" s="20"/>
      <c r="BG667" s="20">
        <v>10.5</v>
      </c>
      <c r="BH667" s="20">
        <v>53</v>
      </c>
      <c r="BI667" s="20" t="e">
        <f>IF(OR(ISBLANK(#REF!), ISBLANK(#REF!)),"Incomplete",(SUM(#REF!-#REF!)))</f>
        <v>#REF!</v>
      </c>
      <c r="BJ667" s="20"/>
      <c r="BK667" s="20">
        <v>12</v>
      </c>
      <c r="BL667" s="20"/>
      <c r="BM667" s="20">
        <v>11</v>
      </c>
      <c r="BN667" s="20"/>
      <c r="BO667" s="20"/>
      <c r="BP667" s="20"/>
      <c r="BQ667" s="20"/>
      <c r="BR667" s="20"/>
      <c r="BS667" s="20"/>
      <c r="BT667" s="20"/>
      <c r="BU667" s="20"/>
      <c r="BV667" s="20"/>
      <c r="BW667" s="91">
        <f t="shared" si="201"/>
        <v>0</v>
      </c>
      <c r="BX667" s="91" t="str">
        <f>_xlfn.XLOOKUP(BW667,'Normative data'!$V$3:$V$6,'Normative data'!$W$3:$W$6,"Not Found",-1)</f>
        <v>Not completed</v>
      </c>
      <c r="BY667" s="91">
        <f t="shared" si="202"/>
        <v>0</v>
      </c>
      <c r="BZ667" s="91" t="str">
        <f>_xlfn.XLOOKUP(BY667,'Normative data'!$V$3:$V$6,'Normative data'!$W$3:$W$6,"Not Found",-1)</f>
        <v>Not completed</v>
      </c>
      <c r="CA667" s="20"/>
      <c r="CC667" s="20"/>
      <c r="CE667" s="20"/>
      <c r="CG667" s="20">
        <v>17.05</v>
      </c>
      <c r="CH667" s="20" t="e">
        <f>_xlfn.XLOOKUP(#REF!, 'Normative data'!$S$9:$S$15,'Normative data'!$T$9:$T$15, "Not Found", -1)</f>
        <v>#REF!</v>
      </c>
      <c r="CI667" s="20">
        <v>17.149999999999999</v>
      </c>
      <c r="CJ667" s="20" t="e">
        <f>_xlfn.XLOOKUP(#REF!, 'Normative data'!$S$9:$S$15, 'Normative data'!$T$9:$T$15, "Not Found", -1)</f>
        <v>#REF!</v>
      </c>
      <c r="CK667" s="20">
        <v>2.2200000000000002</v>
      </c>
      <c r="CL667" s="20">
        <v>4.5</v>
      </c>
      <c r="CM667" s="21"/>
      <c r="CN667" s="20">
        <v>6.46</v>
      </c>
      <c r="CO667" s="20">
        <v>7.47</v>
      </c>
      <c r="CP667" s="21"/>
      <c r="CQ667" s="20"/>
      <c r="CR667" s="20" t="str" cm="1">
        <f t="array" ref="CR667">IF(OR(ISBLANK(E667),ISBLANK(CQ667)),"Incomplete",_xlfn.XLOOKUP(CQ667,_xlfn.XLOOKUP(E667,'Normative data'!$Y$3:$Y$6,'Normative data'!$Z$3:$AG$6,,-1),'Normative data'!$Z$2:$AG$2,"Not Found",-1))</f>
        <v>Incomplete</v>
      </c>
      <c r="CS667" s="20"/>
      <c r="CT667" s="20"/>
      <c r="CU667" s="20" t="str" cm="1">
        <f t="array" ref="CU667">_xlfn.XLOOKUP(CS667&amp;CT667,(VLOOKUP!$A$3:$A$250)&amp;(VLOOKUP!$B$3:$B$250),VLOOKUP!$C$3:$C$250,"Incomplete",-1)</f>
        <v>Incomplete</v>
      </c>
      <c r="CV667" s="20" t="str" cm="1">
        <f t="array" ref="CV667">_xlfn.XLOOKUP(CU667, _xlfn.XLOOKUP(E667, 'Normative data'!$Y$11:$Y$14, 'Normative data'!$Z$11:$AG$14, ,-1), 'Normative data'!$Z$10:$AG$10, "Not Found", -1)</f>
        <v>Excellent</v>
      </c>
      <c r="CW667" s="20" t="str" cm="1">
        <f t="array" ref="CW667">IF(OR(ISBLANK(CS667),ISBLANK(CT667)),"Incomplete",_xlfn.XLOOKUP(CS667&amp;CT667,VLOOKUP!$A$4:$A$250&amp;VLOOKUP!$B$4:$B$250,VLOOKUP!$D$4:$D$250,"0"))</f>
        <v>Incomplete</v>
      </c>
    </row>
    <row r="668" spans="1:101">
      <c r="A668" s="17" t="s">
        <v>929</v>
      </c>
      <c r="B668" s="17" t="s">
        <v>931</v>
      </c>
      <c r="C668" s="17" t="s">
        <v>86</v>
      </c>
      <c r="D668" s="26">
        <v>40432</v>
      </c>
      <c r="G668" s="17">
        <v>2025</v>
      </c>
      <c r="S668" s="20"/>
      <c r="T668" s="20" t="s">
        <v>1286</v>
      </c>
      <c r="U668" s="20" t="s">
        <v>1287</v>
      </c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>
        <v>23.9</v>
      </c>
      <c r="AR668" s="20">
        <v>0.442</v>
      </c>
      <c r="AS668" s="20">
        <v>32.299999999999997</v>
      </c>
      <c r="AT668" s="20">
        <v>0.57299999999999995</v>
      </c>
      <c r="AU668" s="20">
        <v>17.2</v>
      </c>
      <c r="AV668" s="20">
        <v>0.375</v>
      </c>
      <c r="AW668" s="20">
        <v>17.3</v>
      </c>
      <c r="AX668" s="20">
        <v>0.376</v>
      </c>
      <c r="AY668" s="41" t="e">
        <f>IF(OR(ISBLANK(#REF!), ISBLANK(AQ668)), "Incomplete", (60.7*AQ668)+(45.3*#REF!)-2055)</f>
        <v>#REF!</v>
      </c>
      <c r="AZ668" s="20"/>
      <c r="BA668" s="20" t="e">
        <f>IF(OR(ISBLANK(#REF!), ISBLANK(AS668)), "Incomplete", (60.7*AS668)+(45.3*#REF!)-2055)</f>
        <v>#REF!</v>
      </c>
      <c r="BB668" s="20"/>
      <c r="BC668" s="20" t="e">
        <f>IF(OR(ISBLANK(#REF!), ISBLANK(AU668)), "Incomplete", (60.7*AU668)+(45.3*#REF!)-2055)</f>
        <v>#REF!</v>
      </c>
      <c r="BD668" s="20"/>
      <c r="BE668" s="20" t="e">
        <f>IF(OR(ISBLANK(#REF!), ISBLANK(AW668)), "Incomplete", (60.7*AW668)+(45.3*#REF!)-2055)</f>
        <v>#REF!</v>
      </c>
      <c r="BF668" s="20"/>
      <c r="BG668" s="20"/>
      <c r="BH668" s="20"/>
      <c r="BI668" s="20" t="str">
        <f>IF(OR(ISBLANK(BG668), ISBLANK(BH668)),"Incomplete",(SUM(BH668-BG668)))</f>
        <v>Incomplete</v>
      </c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91" t="str">
        <f>IFERROR(SUM(BQ668+BR668+BS668)/(3*(#REF!-S668))*100, "Incomplete")</f>
        <v>Incomplete</v>
      </c>
      <c r="BX668" s="91" t="str">
        <f>_xlfn.XLOOKUP(BW668,'Normative data'!$V$3:$V$6,'Normative data'!$W$3:$W$6,"Not Found",-1)</f>
        <v>Very low risk</v>
      </c>
      <c r="BY668" s="91" t="str">
        <f>IFERROR(SUM(BT668+BU668+BV668)/(3*(#REF!-S668))*100, "Incomplete")</f>
        <v>Incomplete</v>
      </c>
      <c r="BZ668" s="91" t="str">
        <f>_xlfn.XLOOKUP(BY668,'Normative data'!$V$3:$V$6,'Normative data'!$W$3:$W$6,"Not Found",-1)</f>
        <v>Very low risk</v>
      </c>
      <c r="CA668" s="20"/>
      <c r="CC668" s="20"/>
      <c r="CE668" s="20">
        <v>16</v>
      </c>
      <c r="CG668" s="20">
        <v>16.55</v>
      </c>
      <c r="CH668" s="20" t="e">
        <f>_xlfn.XLOOKUP(#REF!, 'Normative data'!$S$9:$S$15,'Normative data'!$T$9:$T$15, "Not Found", -1)</f>
        <v>#REF!</v>
      </c>
      <c r="CI668" s="20">
        <v>16.57</v>
      </c>
      <c r="CJ668" s="20" t="e">
        <f>_xlfn.XLOOKUP(#REF!, 'Normative data'!$S$9:$S$15, 'Normative data'!$T$9:$T$15, "Not Found", -1)</f>
        <v>#REF!</v>
      </c>
      <c r="CK668" s="20" t="s">
        <v>270</v>
      </c>
      <c r="CL668" s="20" t="s">
        <v>423</v>
      </c>
      <c r="CM668" s="21"/>
      <c r="CN668" s="20" t="s">
        <v>1177</v>
      </c>
      <c r="CO668" s="20" t="s">
        <v>1176</v>
      </c>
      <c r="CQ668" s="20"/>
      <c r="CR668" s="20" t="str" cm="1">
        <f t="array" ref="CR668">IF(OR(ISBLANK(E668),ISBLANK(CQ668)),"Incomplete",_xlfn.XLOOKUP(CQ668,_xlfn.XLOOKUP(E668,'Normative data'!$Y$3:$Y$6,'Normative data'!$Z$3:$AG$6,,-1),'Normative data'!$Z$2:$AG$2,"Not Found",-1))</f>
        <v>Incomplete</v>
      </c>
      <c r="CS668" s="20"/>
      <c r="CT668" s="20"/>
      <c r="CU668" s="20" t="str" cm="1">
        <f t="array" ref="CU668">_xlfn.XLOOKUP(CS668&amp;CT668,(VLOOKUP!$A$3:$A$250)&amp;(VLOOKUP!$B$3:$B$250),VLOOKUP!$C$3:$C$250,"Incomplete",-1)</f>
        <v>Incomplete</v>
      </c>
      <c r="CV668" s="20" t="str" cm="1">
        <f t="array" ref="CV668">_xlfn.XLOOKUP(CU668, _xlfn.XLOOKUP(E668, 'Normative data'!$Y$11:$Y$14, 'Normative data'!$Z$11:$AG$14, ,-1), 'Normative data'!$Z$10:$AG$10, "Not Found", -1)</f>
        <v>Excellent</v>
      </c>
      <c r="CW668" s="20" t="str" cm="1">
        <f t="array" ref="CW668">IF(OR(ISBLANK(CS668),ISBLANK(CT668)),"Incomplete",_xlfn.XLOOKUP(CS668&amp;CT668,VLOOKUP!$A$4:$A$250&amp;VLOOKUP!$B$4:$B$250,VLOOKUP!$D$4:$D$250,"0"))</f>
        <v>Incomplete</v>
      </c>
    </row>
    <row r="669" spans="1:101">
      <c r="A669" s="18" t="s">
        <v>645</v>
      </c>
      <c r="B669" s="18" t="s">
        <v>1288</v>
      </c>
      <c r="C669" s="17" t="s">
        <v>86</v>
      </c>
      <c r="D669" s="19">
        <v>40045</v>
      </c>
      <c r="F669" s="17">
        <v>10</v>
      </c>
      <c r="G669" s="17">
        <v>2025</v>
      </c>
      <c r="J669" s="17" t="s">
        <v>122</v>
      </c>
      <c r="S669" s="20"/>
      <c r="T669" s="20">
        <v>161.1</v>
      </c>
      <c r="U669" s="20">
        <v>54.9</v>
      </c>
      <c r="V669" s="20"/>
      <c r="W669" s="20">
        <v>11.3</v>
      </c>
      <c r="X669" s="20">
        <f>SUM(T669-W669)</f>
        <v>149.79999999999998</v>
      </c>
      <c r="Y669" s="20">
        <v>23.9</v>
      </c>
      <c r="Z669" s="20">
        <v>21.1</v>
      </c>
      <c r="AA669" s="20">
        <v>20.7</v>
      </c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>
        <v>29</v>
      </c>
      <c r="AR669" s="20">
        <v>0.48599999999999999</v>
      </c>
      <c r="AS669" s="20">
        <v>34.200000000000003</v>
      </c>
      <c r="AT669" s="20">
        <v>0.52800000000000002</v>
      </c>
      <c r="AU669" s="20">
        <v>16.2</v>
      </c>
      <c r="AV669" s="20">
        <v>0.36299999999999999</v>
      </c>
      <c r="AW669" s="20">
        <v>18.3</v>
      </c>
      <c r="AX669" s="20">
        <v>0.38600000000000001</v>
      </c>
      <c r="AY669" s="41">
        <f t="shared" ref="AY669:AY677" si="203">IF(OR(ISBLANK(U669), ISBLANK(AQ669)), "Incomplete", (60.7*AQ669)+(45.3*U669)-2055)</f>
        <v>2192.2700000000004</v>
      </c>
      <c r="AZ669" s="20"/>
      <c r="BA669" s="20">
        <f t="shared" ref="BA669:BA677" si="204">IF(OR(ISBLANK(U669), ISBLANK(AS669)), "Incomplete", (60.7*AS669)+(45.3*U669)-2055)</f>
        <v>2507.91</v>
      </c>
      <c r="BB669" s="20"/>
      <c r="BC669" s="20">
        <f t="shared" ref="BC669:BC677" si="205">IF(OR(ISBLANK(U669), ISBLANK(AU669)), "Incomplete", (60.7*AU669)+(45.3*U669)-2055)</f>
        <v>1415.31</v>
      </c>
      <c r="BD669" s="20"/>
      <c r="BE669" s="20">
        <f t="shared" ref="BE669:BE677" si="206">IF(OR(ISBLANK(U669), ISBLANK(AW669)), "Incomplete", (60.7*AW669)+(45.3*U669)-2055)</f>
        <v>1542.7799999999997</v>
      </c>
      <c r="BF669" s="20"/>
      <c r="BG669" s="20">
        <v>9.5</v>
      </c>
      <c r="BH669" s="20">
        <v>23.8</v>
      </c>
      <c r="BI669" s="20" t="e">
        <f>IF(OR(ISBLANK(#REF!), ISBLANK(#REF!)),"Incomplete",(SUM(#REF!-#REF!)))</f>
        <v>#REF!</v>
      </c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91">
        <f t="shared" ref="BW669:BW677" si="207">IFERROR(SUM(BQ669+BR669+BS669)/(3*(T669-S669))*100, "Incomplete")</f>
        <v>0</v>
      </c>
      <c r="BX669" s="91" t="str">
        <f>_xlfn.XLOOKUP(BW669,'Normative data'!$V$3:$V$6,'Normative data'!$W$3:$W$6,"Not Found",-1)</f>
        <v>Not completed</v>
      </c>
      <c r="BY669" s="91">
        <f t="shared" ref="BY669:BY677" si="208">IFERROR(SUM(BT669+BU669+BV669)/(3*(T669-S669))*100, "Incomplete")</f>
        <v>0</v>
      </c>
      <c r="BZ669" s="91" t="str">
        <f>_xlfn.XLOOKUP(BY669,'Normative data'!$V$3:$V$6,'Normative data'!$W$3:$W$6,"Not Found",-1)</f>
        <v>Not completed</v>
      </c>
      <c r="CA669" s="20"/>
      <c r="CC669" s="20"/>
      <c r="CE669" s="20"/>
      <c r="CG669" s="20">
        <v>17.54</v>
      </c>
      <c r="CH669" s="20" t="e">
        <f>_xlfn.XLOOKUP(#REF!, 'Normative data'!$S$9:$S$15,'Normative data'!$T$9:$T$15, "Not Found", -1)</f>
        <v>#REF!</v>
      </c>
      <c r="CI669" s="20">
        <v>17</v>
      </c>
      <c r="CJ669" s="20" t="e">
        <f>_xlfn.XLOOKUP(#REF!, 'Normative data'!$S$9:$S$15, 'Normative data'!$T$9:$T$15, "Not Found", -1)</f>
        <v>#REF!</v>
      </c>
      <c r="CK669" s="21">
        <v>2.23</v>
      </c>
      <c r="CL669" s="21">
        <v>4.4800000000000004</v>
      </c>
      <c r="CM669" s="21"/>
      <c r="CN669" s="21">
        <v>6.93</v>
      </c>
      <c r="CO669" s="21">
        <v>7.22</v>
      </c>
      <c r="CQ669" s="20"/>
      <c r="CR669" s="20" t="str" cm="1">
        <f t="array" ref="CR669">IF(OR(ISBLANK(E669),ISBLANK(CQ669)),"Incomplete",_xlfn.XLOOKUP(CQ669,_xlfn.XLOOKUP(E669,'Normative data'!$Y$3:$Y$6,'Normative data'!$Z$3:$AG$6,,-1),'Normative data'!$Z$2:$AG$2,"Not Found",-1))</f>
        <v>Incomplete</v>
      </c>
      <c r="CS669" s="20"/>
      <c r="CT669" s="20"/>
      <c r="CU669" s="20" t="str" cm="1">
        <f t="array" ref="CU669">_xlfn.XLOOKUP(CS669&amp;CT669,(VLOOKUP!$A$3:$A$250)&amp;(VLOOKUP!$B$3:$B$250),VLOOKUP!$C$3:$C$250,"Incomplete",-1)</f>
        <v>Incomplete</v>
      </c>
      <c r="CV669" s="20" t="str" cm="1">
        <f t="array" ref="CV669">_xlfn.XLOOKUP(CU669, _xlfn.XLOOKUP(E669, 'Normative data'!$Y$11:$Y$14, 'Normative data'!$Z$11:$AG$14, ,-1), 'Normative data'!$Z$10:$AG$10, "Not Found", -1)</f>
        <v>Excellent</v>
      </c>
      <c r="CW669" s="20" t="str" cm="1">
        <f t="array" ref="CW669">IF(OR(ISBLANK(CS669),ISBLANK(CT669)),"Incomplete",_xlfn.XLOOKUP(CS669&amp;CT669,VLOOKUP!$A$4:$A$250&amp;VLOOKUP!$B$4:$B$250,VLOOKUP!$D$4:$D$250,"0"))</f>
        <v>Incomplete</v>
      </c>
    </row>
    <row r="670" spans="1:101">
      <c r="A670" s="17" t="s">
        <v>645</v>
      </c>
      <c r="B670" s="17" t="s">
        <v>1288</v>
      </c>
      <c r="C670" s="17" t="s">
        <v>86</v>
      </c>
      <c r="D670" s="19">
        <v>40045</v>
      </c>
      <c r="G670" s="17">
        <v>2026</v>
      </c>
      <c r="H670" s="20" t="s">
        <v>114</v>
      </c>
      <c r="I670" s="17">
        <v>1</v>
      </c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30">
        <v>28.7</v>
      </c>
      <c r="AR670" s="30">
        <v>0.48399999999999999</v>
      </c>
      <c r="AS670" s="30">
        <v>28.8</v>
      </c>
      <c r="AT670" s="30">
        <v>0.48499999999999999</v>
      </c>
      <c r="AU670" s="30">
        <v>16.2</v>
      </c>
      <c r="AV670" s="30">
        <v>0.36399999999999999</v>
      </c>
      <c r="AW670" s="30">
        <v>15.5</v>
      </c>
      <c r="AX670" s="30">
        <v>0.35599999999999998</v>
      </c>
      <c r="AY670" s="41" t="str">
        <f t="shared" si="203"/>
        <v>Incomplete</v>
      </c>
      <c r="AZ670" s="20"/>
      <c r="BA670" s="20" t="str">
        <f t="shared" si="204"/>
        <v>Incomplete</v>
      </c>
      <c r="BB670" s="20"/>
      <c r="BC670" s="20" t="str">
        <f t="shared" si="205"/>
        <v>Incomplete</v>
      </c>
      <c r="BD670" s="20"/>
      <c r="BE670" s="20" t="str">
        <f t="shared" si="206"/>
        <v>Incomplete</v>
      </c>
      <c r="BF670" s="20"/>
      <c r="BG670" s="30"/>
      <c r="BH670" s="20"/>
      <c r="BI670" s="20" t="str">
        <f>IF(OR(ISBLANK(BG670), ISBLANK(BH670)),"Incomplete",(SUM(BH670-BG670)))</f>
        <v>Incomplete</v>
      </c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91" t="str">
        <f t="shared" si="207"/>
        <v>Incomplete</v>
      </c>
      <c r="BX670" s="91" t="str">
        <f>_xlfn.XLOOKUP(BW670,'Normative data'!$V$3:$V$6,'Normative data'!$W$3:$W$6,"Not Found",-1)</f>
        <v>Very low risk</v>
      </c>
      <c r="BY670" s="91" t="str">
        <f t="shared" si="208"/>
        <v>Incomplete</v>
      </c>
      <c r="BZ670" s="91" t="str">
        <f>_xlfn.XLOOKUP(BY670,'Normative data'!$V$3:$V$6,'Normative data'!$W$3:$W$6,"Not Found",-1)</f>
        <v>Very low risk</v>
      </c>
      <c r="CA670" s="20"/>
      <c r="CC670" s="20"/>
      <c r="CE670" s="20"/>
      <c r="CF670" s="30"/>
      <c r="CG670" s="20"/>
      <c r="CH670" s="20" t="str">
        <f>_xlfn.XLOOKUP(CG670, 'Normative data'!$S$9:$S$15,'Normative data'!$T$9:$T$15, "Not Found", -1)</f>
        <v>not completed</v>
      </c>
      <c r="CI670" s="20"/>
      <c r="CJ670" s="20" t="str">
        <f>_xlfn.XLOOKUP(CI670, 'Normative data'!$S$9:$S$15, 'Normative data'!$T$9:$T$15, "Not Found", -1)</f>
        <v>not completed</v>
      </c>
      <c r="CK670" s="30">
        <v>2.46</v>
      </c>
      <c r="CL670" s="30">
        <v>4.07</v>
      </c>
      <c r="CM670" s="30"/>
      <c r="CN670" s="30">
        <v>7.16</v>
      </c>
      <c r="CO670" s="30">
        <v>6.98</v>
      </c>
      <c r="CP670" s="30"/>
      <c r="CQ670" s="20"/>
      <c r="CR670" s="20" t="str" cm="1">
        <f t="array" ref="CR670">IF(OR(ISBLANK(E670),ISBLANK(CQ670)),"Incomplete",_xlfn.XLOOKUP(CQ670,_xlfn.XLOOKUP(E670,'Normative data'!$Y$3:$Y$6,'Normative data'!$Z$3:$AG$6,,-1),'Normative data'!$Z$2:$AG$2,"Not Found",-1))</f>
        <v>Incomplete</v>
      </c>
      <c r="CS670" s="20"/>
      <c r="CT670" s="20"/>
      <c r="CU670" s="20" t="str" cm="1">
        <f t="array" ref="CU670">_xlfn.XLOOKUP(CS670&amp;CT670,(VLOOKUP!$A$3:$A$250)&amp;(VLOOKUP!$B$3:$B$250),VLOOKUP!$C$3:$C$250,"Incomplete",-1)</f>
        <v>Incomplete</v>
      </c>
      <c r="CV670" s="20" t="str" cm="1">
        <f t="array" ref="CV670">_xlfn.XLOOKUP(CU670, _xlfn.XLOOKUP(E670, 'Normative data'!$Y$11:$Y$14, 'Normative data'!$Z$11:$AG$14, ,-1), 'Normative data'!$Z$10:$AG$10, "Not Found", -1)</f>
        <v>Excellent</v>
      </c>
      <c r="CW670" s="20" t="str" cm="1">
        <f t="array" ref="CW670">IF(OR(ISBLANK(CS670),ISBLANK(CT670)),"Incomplete",_xlfn.XLOOKUP(CS670&amp;CT670,VLOOKUP!$A$4:$A$250&amp;VLOOKUP!$B$4:$B$250,VLOOKUP!$D$4:$D$250,"0"))</f>
        <v>Incomplete</v>
      </c>
    </row>
    <row r="671" spans="1:101">
      <c r="A671" s="17" t="s">
        <v>1289</v>
      </c>
      <c r="B671" s="17" t="s">
        <v>1288</v>
      </c>
      <c r="C671" s="17" t="s">
        <v>86</v>
      </c>
      <c r="D671" s="19">
        <v>40045</v>
      </c>
      <c r="G671" s="17">
        <v>2026</v>
      </c>
      <c r="H671" s="20" t="s">
        <v>114</v>
      </c>
      <c r="I671" s="17">
        <v>1</v>
      </c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41" t="str">
        <f t="shared" si="203"/>
        <v>Incomplete</v>
      </c>
      <c r="AZ671" s="20"/>
      <c r="BA671" s="20" t="str">
        <f t="shared" si="204"/>
        <v>Incomplete</v>
      </c>
      <c r="BB671" s="20"/>
      <c r="BC671" s="20" t="str">
        <f t="shared" si="205"/>
        <v>Incomplete</v>
      </c>
      <c r="BD671" s="20"/>
      <c r="BE671" s="20" t="str">
        <f t="shared" si="206"/>
        <v>Incomplete</v>
      </c>
      <c r="BF671" s="20"/>
      <c r="BG671" s="30"/>
      <c r="BH671" s="20"/>
      <c r="BI671" s="20" t="str">
        <f>IF(OR(ISBLANK(BG671), ISBLANK(BH671)),"Incomplete",(SUM(BH671-BG671)))</f>
        <v>Incomplete</v>
      </c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91" t="str">
        <f t="shared" si="207"/>
        <v>Incomplete</v>
      </c>
      <c r="BX671" s="91" t="str">
        <f>_xlfn.XLOOKUP(BW671,'Normative data'!$V$3:$V$6,'Normative data'!$W$3:$W$6,"Not Found",-1)</f>
        <v>Very low risk</v>
      </c>
      <c r="BY671" s="91" t="str">
        <f t="shared" si="208"/>
        <v>Incomplete</v>
      </c>
      <c r="BZ671" s="91" t="str">
        <f>_xlfn.XLOOKUP(BY671,'Normative data'!$V$3:$V$6,'Normative data'!$W$3:$W$6,"Not Found",-1)</f>
        <v>Very low risk</v>
      </c>
      <c r="CA671" s="20"/>
      <c r="CC671" s="30">
        <v>50</v>
      </c>
      <c r="CD671" s="30"/>
      <c r="CE671" s="30">
        <v>19</v>
      </c>
      <c r="CF671" s="30"/>
      <c r="CG671" s="30">
        <v>18.399999999999999</v>
      </c>
      <c r="CH671" s="20" t="str">
        <f>_xlfn.XLOOKUP(CG671, 'Normative data'!$S$9:$S$15,'Normative data'!$T$9:$T$15, "Not Found", -1)</f>
        <v>Average</v>
      </c>
      <c r="CI671" s="30">
        <v>17.39</v>
      </c>
      <c r="CJ671" s="20" t="str">
        <f>_xlfn.XLOOKUP(CI671, 'Normative data'!$S$9:$S$15, 'Normative data'!$T$9:$T$15, "Not Found", -1)</f>
        <v>Above Average</v>
      </c>
      <c r="CK671" s="30">
        <v>2.12</v>
      </c>
      <c r="CL671" s="30">
        <v>4.72</v>
      </c>
      <c r="CM671" s="30"/>
      <c r="CN671" s="30">
        <v>6.99</v>
      </c>
      <c r="CO671" s="30">
        <v>7.15</v>
      </c>
      <c r="CP671" s="30"/>
      <c r="CQ671" s="20"/>
      <c r="CR671" s="20" t="str" cm="1">
        <f t="array" ref="CR671">IF(OR(ISBLANK(E671),ISBLANK(CQ671)),"Incomplete",_xlfn.XLOOKUP(CQ671,_xlfn.XLOOKUP(E671,'Normative data'!$Y$3:$Y$6,'Normative data'!$Z$3:$AG$6,,-1),'Normative data'!$Z$2:$AG$2,"Not Found",-1))</f>
        <v>Incomplete</v>
      </c>
      <c r="CS671" s="20"/>
      <c r="CT671" s="20"/>
      <c r="CU671" s="20" t="str" cm="1">
        <f t="array" ref="CU671">_xlfn.XLOOKUP(CS671&amp;CT671,(VLOOKUP!$A$3:$A$250)&amp;(VLOOKUP!$B$3:$B$250),VLOOKUP!$C$3:$C$250,"Incomplete",-1)</f>
        <v>Incomplete</v>
      </c>
      <c r="CV671" s="20" t="str" cm="1">
        <f t="array" ref="CV671">_xlfn.XLOOKUP(CU671, _xlfn.XLOOKUP(E671, 'Normative data'!$Y$11:$Y$14, 'Normative data'!$Z$11:$AG$14, ,-1), 'Normative data'!$Z$10:$AG$10, "Not Found", -1)</f>
        <v>Excellent</v>
      </c>
      <c r="CW671" s="20" t="str" cm="1">
        <f t="array" ref="CW671">IF(OR(ISBLANK(CS671),ISBLANK(CT671)),"Incomplete",_xlfn.XLOOKUP(CS671&amp;CT671,VLOOKUP!$A$4:$A$250&amp;VLOOKUP!$B$4:$B$250,VLOOKUP!$D$4:$D$250,"0"))</f>
        <v>Incomplete</v>
      </c>
    </row>
    <row r="672" spans="1:101" ht="13.9" customHeight="1">
      <c r="A672" s="17" t="s">
        <v>643</v>
      </c>
      <c r="B672" s="17" t="s">
        <v>1290</v>
      </c>
      <c r="C672" s="17" t="s">
        <v>86</v>
      </c>
      <c r="D672" s="19">
        <v>40045</v>
      </c>
      <c r="F672" s="17">
        <v>10</v>
      </c>
      <c r="G672" s="17">
        <v>2025</v>
      </c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41" t="str">
        <f t="shared" si="203"/>
        <v>Incomplete</v>
      </c>
      <c r="AZ672" s="20"/>
      <c r="BA672" s="20" t="str">
        <f t="shared" si="204"/>
        <v>Incomplete</v>
      </c>
      <c r="BB672" s="20"/>
      <c r="BC672" s="20" t="str">
        <f t="shared" si="205"/>
        <v>Incomplete</v>
      </c>
      <c r="BD672" s="20"/>
      <c r="BE672" s="20" t="str">
        <f t="shared" si="206"/>
        <v>Incomplete</v>
      </c>
      <c r="BF672" s="20"/>
      <c r="BG672" s="20"/>
      <c r="BH672" s="20"/>
      <c r="BI672" s="20" t="str">
        <f>IF(OR(ISBLANK(BG672), ISBLANK(BH672)),"Incomplete",(SUM(BH672-BG672)))</f>
        <v>Incomplete</v>
      </c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91" t="str">
        <f t="shared" si="207"/>
        <v>Incomplete</v>
      </c>
      <c r="BX672" s="91" t="str">
        <f>_xlfn.XLOOKUP(BW672,'Normative data'!$V$3:$V$6,'Normative data'!$W$3:$W$6,"Not Found",-1)</f>
        <v>Very low risk</v>
      </c>
      <c r="BY672" s="91" t="str">
        <f t="shared" si="208"/>
        <v>Incomplete</v>
      </c>
      <c r="BZ672" s="91" t="str">
        <f>_xlfn.XLOOKUP(BY672,'Normative data'!$V$3:$V$6,'Normative data'!$W$3:$W$6,"Not Found",-1)</f>
        <v>Very low risk</v>
      </c>
      <c r="CA672" s="20"/>
      <c r="CC672" s="20"/>
      <c r="CE672" s="20">
        <v>4</v>
      </c>
      <c r="CG672" s="20">
        <v>17.21</v>
      </c>
      <c r="CH672" s="20" t="e">
        <f>_xlfn.XLOOKUP(#REF!, 'Normative data'!$S$9:$S$15,'Normative data'!$T$9:$T$15, "Not Found", -1)</f>
        <v>#REF!</v>
      </c>
      <c r="CI672" s="20">
        <v>17.09</v>
      </c>
      <c r="CJ672" s="20" t="e">
        <f>_xlfn.XLOOKUP(#REF!, 'Normative data'!$S$9:$S$15, 'Normative data'!$T$9:$T$15, "Not Found", -1)</f>
        <v>#REF!</v>
      </c>
      <c r="CK672" s="20" t="s">
        <v>1291</v>
      </c>
      <c r="CL672" s="20" t="s">
        <v>1292</v>
      </c>
      <c r="CN672" s="20" t="s">
        <v>148</v>
      </c>
      <c r="CO672" s="20" t="s">
        <v>147</v>
      </c>
      <c r="CQ672" s="20"/>
      <c r="CR672" s="20" t="str" cm="1">
        <f t="array" ref="CR672">IF(OR(ISBLANK(E672),ISBLANK(CQ672)),"Incomplete",_xlfn.XLOOKUP(CQ672,_xlfn.XLOOKUP(E672,'Normative data'!$Y$3:$Y$6,'Normative data'!$Z$3:$AG$6,,-1),'Normative data'!$Z$2:$AG$2,"Not Found",-1))</f>
        <v>Incomplete</v>
      </c>
      <c r="CS672" s="20"/>
      <c r="CT672" s="20"/>
      <c r="CU672" s="20" t="str" cm="1">
        <f t="array" ref="CU672">_xlfn.XLOOKUP(CS672&amp;CT672,(VLOOKUP!$A$3:$A$250)&amp;(VLOOKUP!$B$3:$B$250),VLOOKUP!$C$3:$C$250,"Incomplete",-1)</f>
        <v>Incomplete</v>
      </c>
      <c r="CV672" s="20" t="str" cm="1">
        <f t="array" ref="CV672">_xlfn.XLOOKUP(CU672, _xlfn.XLOOKUP(E672, 'Normative data'!$Y$11:$Y$14, 'Normative data'!$Z$11:$AG$14, ,-1), 'Normative data'!$Z$10:$AG$10, "Not Found", -1)</f>
        <v>Excellent</v>
      </c>
      <c r="CW672" s="20" t="str" cm="1">
        <f t="array" ref="CW672">IF(OR(ISBLANK(CS672),ISBLANK(CT672)),"Incomplete",_xlfn.XLOOKUP(CS672&amp;CT672,VLOOKUP!$A$4:$A$250&amp;VLOOKUP!$B$4:$B$250,VLOOKUP!$D$4:$D$250,"0"))</f>
        <v>Incomplete</v>
      </c>
    </row>
    <row r="673" spans="1:101">
      <c r="A673" s="18" t="s">
        <v>484</v>
      </c>
      <c r="B673" s="18" t="s">
        <v>1293</v>
      </c>
      <c r="C673" s="17" t="s">
        <v>86</v>
      </c>
      <c r="D673" s="19">
        <v>40279</v>
      </c>
      <c r="F673" s="17">
        <v>9</v>
      </c>
      <c r="G673" s="17">
        <v>2025</v>
      </c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41" t="str">
        <f t="shared" si="203"/>
        <v>Incomplete</v>
      </c>
      <c r="AZ673" s="20"/>
      <c r="BA673" s="20" t="str">
        <f t="shared" si="204"/>
        <v>Incomplete</v>
      </c>
      <c r="BB673" s="20"/>
      <c r="BC673" s="20" t="str">
        <f t="shared" si="205"/>
        <v>Incomplete</v>
      </c>
      <c r="BD673" s="20"/>
      <c r="BE673" s="20" t="str">
        <f t="shared" si="206"/>
        <v>Incomplete</v>
      </c>
      <c r="BF673" s="20"/>
      <c r="BG673" s="20">
        <v>14</v>
      </c>
      <c r="BH673" s="20"/>
      <c r="BI673" s="20" t="str">
        <f>IF(OR(ISBLANK(#REF!), ISBLANK(BH673)),"Incomplete",(SUM(BH673-#REF!)))</f>
        <v>Incomplete</v>
      </c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91" t="str">
        <f t="shared" si="207"/>
        <v>Incomplete</v>
      </c>
      <c r="BX673" s="91" t="str">
        <f>_xlfn.XLOOKUP(BW673,'Normative data'!$V$3:$V$6,'Normative data'!$W$3:$W$6,"Not Found",-1)</f>
        <v>Very low risk</v>
      </c>
      <c r="BY673" s="91" t="str">
        <f t="shared" si="208"/>
        <v>Incomplete</v>
      </c>
      <c r="BZ673" s="91" t="str">
        <f>_xlfn.XLOOKUP(BY673,'Normative data'!$V$3:$V$6,'Normative data'!$W$3:$W$6,"Not Found",-1)</f>
        <v>Very low risk</v>
      </c>
      <c r="CA673" s="20"/>
      <c r="CC673" s="20"/>
      <c r="CE673" s="20"/>
      <c r="CG673" s="20"/>
      <c r="CH673" s="20" t="str">
        <f>_xlfn.XLOOKUP(CG673, 'Normative data'!$S$9:$S$15,'Normative data'!$T$9:$T$15, "Not Found", -1)</f>
        <v>not completed</v>
      </c>
      <c r="CI673" s="20"/>
      <c r="CJ673" s="20" t="str">
        <f>_xlfn.XLOOKUP(CI673, 'Normative data'!$S$9:$S$15, 'Normative data'!$T$9:$T$15, "Not Found", -1)</f>
        <v>not completed</v>
      </c>
      <c r="CK673" s="21">
        <v>2.39</v>
      </c>
      <c r="CL673" s="21">
        <v>4.18</v>
      </c>
      <c r="CM673" s="21"/>
      <c r="CN673" s="21">
        <v>7.56</v>
      </c>
      <c r="CO673" s="21">
        <v>6.61</v>
      </c>
      <c r="CP673" s="21"/>
      <c r="CQ673" s="20"/>
      <c r="CR673" s="20" t="str" cm="1">
        <f t="array" ref="CR673">IF(OR(ISBLANK(E673),ISBLANK(CQ673)),"Incomplete",_xlfn.XLOOKUP(CQ673,_xlfn.XLOOKUP(E673,'Normative data'!$Y$3:$Y$6,'Normative data'!$Z$3:$AG$6,,-1),'Normative data'!$Z$2:$AG$2,"Not Found",-1))</f>
        <v>Incomplete</v>
      </c>
      <c r="CS673" s="20"/>
      <c r="CT673" s="20"/>
      <c r="CU673" s="20" t="str" cm="1">
        <f t="array" ref="CU673">_xlfn.XLOOKUP(CS673&amp;CT673,(VLOOKUP!$A$3:$A$250)&amp;(VLOOKUP!$B$3:$B$250),VLOOKUP!$C$3:$C$250,"Incomplete",-1)</f>
        <v>Incomplete</v>
      </c>
      <c r="CV673" s="20" t="str" cm="1">
        <f t="array" ref="CV673">_xlfn.XLOOKUP(CU673, _xlfn.XLOOKUP(E673, 'Normative data'!$Y$11:$Y$14, 'Normative data'!$Z$11:$AG$14, ,-1), 'Normative data'!$Z$10:$AG$10, "Not Found", -1)</f>
        <v>Excellent</v>
      </c>
      <c r="CW673" s="20" t="str" cm="1">
        <f t="array" ref="CW673">IF(OR(ISBLANK(CS673),ISBLANK(CT673)),"Incomplete",_xlfn.XLOOKUP(CS673&amp;CT673,VLOOKUP!$A$4:$A$250&amp;VLOOKUP!$B$4:$B$250,VLOOKUP!$D$4:$D$250,"0"))</f>
        <v>Incomplete</v>
      </c>
    </row>
    <row r="674" spans="1:101">
      <c r="A674" s="17" t="s">
        <v>1294</v>
      </c>
      <c r="B674" s="17" t="s">
        <v>1293</v>
      </c>
      <c r="C674" s="17" t="s">
        <v>86</v>
      </c>
      <c r="D674" s="19">
        <v>40279</v>
      </c>
      <c r="F674" s="17">
        <v>9</v>
      </c>
      <c r="G674" s="17">
        <v>2025</v>
      </c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41" t="str">
        <f t="shared" si="203"/>
        <v>Incomplete</v>
      </c>
      <c r="AZ674" s="20"/>
      <c r="BA674" s="20" t="str">
        <f t="shared" si="204"/>
        <v>Incomplete</v>
      </c>
      <c r="BB674" s="20"/>
      <c r="BC674" s="20" t="str">
        <f t="shared" si="205"/>
        <v>Incomplete</v>
      </c>
      <c r="BD674" s="20"/>
      <c r="BE674" s="20" t="str">
        <f t="shared" si="206"/>
        <v>Incomplete</v>
      </c>
      <c r="BF674" s="20"/>
      <c r="BG674" s="20"/>
      <c r="BH674" s="20"/>
      <c r="BI674" s="20" t="str">
        <f>IF(OR(ISBLANK(BG674), ISBLANK(BH674)),"Incomplete",(SUM(BH674-BG674)))</f>
        <v>Incomplete</v>
      </c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91" t="str">
        <f t="shared" si="207"/>
        <v>Incomplete</v>
      </c>
      <c r="BX674" s="91" t="str">
        <f>_xlfn.XLOOKUP(BW674,'Normative data'!$V$3:$V$6,'Normative data'!$W$3:$W$6,"Not Found",-1)</f>
        <v>Very low risk</v>
      </c>
      <c r="BY674" s="91" t="str">
        <f t="shared" si="208"/>
        <v>Incomplete</v>
      </c>
      <c r="BZ674" s="91" t="str">
        <f>_xlfn.XLOOKUP(BY674,'Normative data'!$V$3:$V$6,'Normative data'!$W$3:$W$6,"Not Found",-1)</f>
        <v>Very low risk</v>
      </c>
      <c r="CA674" s="20"/>
      <c r="CC674" s="20"/>
      <c r="CE674" s="20">
        <v>10</v>
      </c>
      <c r="CG674" s="20"/>
      <c r="CH674" s="20" t="str">
        <f>_xlfn.XLOOKUP(CG674, 'Normative data'!$S$9:$S$15,'Normative data'!$T$9:$T$15, "Not Found", -1)</f>
        <v>not completed</v>
      </c>
      <c r="CI674" s="20"/>
      <c r="CJ674" s="20" t="str">
        <f>_xlfn.XLOOKUP(CI674, 'Normative data'!$S$9:$S$15, 'Normative data'!$T$9:$T$15, "Not Found", -1)</f>
        <v>not completed</v>
      </c>
      <c r="CK674" s="20" t="s">
        <v>497</v>
      </c>
      <c r="CL674" s="20" t="s">
        <v>498</v>
      </c>
      <c r="CN674" s="20" t="s">
        <v>906</v>
      </c>
      <c r="CO674" s="20" t="s">
        <v>907</v>
      </c>
      <c r="CQ674" s="20"/>
      <c r="CR674" s="20" t="str" cm="1">
        <f t="array" ref="CR674">IF(OR(ISBLANK(E674),ISBLANK(CQ674)),"Incomplete",_xlfn.XLOOKUP(CQ674,_xlfn.XLOOKUP(E674,'Normative data'!$Y$3:$Y$6,'Normative data'!$Z$3:$AG$6,,-1),'Normative data'!$Z$2:$AG$2,"Not Found",-1))</f>
        <v>Incomplete</v>
      </c>
      <c r="CS674" s="20"/>
      <c r="CT674" s="20"/>
      <c r="CU674" s="20" t="str" cm="1">
        <f t="array" ref="CU674">_xlfn.XLOOKUP(CS674&amp;CT674,(VLOOKUP!$A$3:$A$250)&amp;(VLOOKUP!$B$3:$B$250),VLOOKUP!$C$3:$C$250,"Incomplete",-1)</f>
        <v>Incomplete</v>
      </c>
      <c r="CV674" s="20" t="str" cm="1">
        <f t="array" ref="CV674">_xlfn.XLOOKUP(CU674, _xlfn.XLOOKUP(E674, 'Normative data'!$Y$11:$Y$14, 'Normative data'!$Z$11:$AG$14, ,-1), 'Normative data'!$Z$10:$AG$10, "Not Found", -1)</f>
        <v>Excellent</v>
      </c>
      <c r="CW674" s="20" t="str" cm="1">
        <f t="array" ref="CW674">IF(OR(ISBLANK(CS674),ISBLANK(CT674)),"Incomplete",_xlfn.XLOOKUP(CS674&amp;CT674,VLOOKUP!$A$4:$A$250&amp;VLOOKUP!$B$4:$B$250,VLOOKUP!$D$4:$D$250,"0"))</f>
        <v>Incomplete</v>
      </c>
    </row>
    <row r="675" spans="1:101">
      <c r="A675" s="22" t="s">
        <v>1295</v>
      </c>
      <c r="B675" s="22" t="s">
        <v>1246</v>
      </c>
      <c r="C675" s="17" t="s">
        <v>86</v>
      </c>
      <c r="D675" s="23" t="s">
        <v>1296</v>
      </c>
      <c r="F675" s="17">
        <v>9</v>
      </c>
      <c r="G675" s="17">
        <v>2025</v>
      </c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41" t="str">
        <f t="shared" si="203"/>
        <v>Incomplete</v>
      </c>
      <c r="AZ675" s="20"/>
      <c r="BA675" s="20" t="str">
        <f t="shared" si="204"/>
        <v>Incomplete</v>
      </c>
      <c r="BB675" s="20"/>
      <c r="BC675" s="20" t="str">
        <f t="shared" si="205"/>
        <v>Incomplete</v>
      </c>
      <c r="BD675" s="20"/>
      <c r="BE675" s="20" t="str">
        <f t="shared" si="206"/>
        <v>Incomplete</v>
      </c>
      <c r="BF675" s="20"/>
      <c r="BG675" s="20">
        <v>16</v>
      </c>
      <c r="BH675" s="20">
        <v>37.200000000000003</v>
      </c>
      <c r="BI675" s="20" t="e">
        <f>IF(OR(ISBLANK(#REF!), ISBLANK(#REF!)),"Incomplete",(SUM(#REF!-#REF!)))</f>
        <v>#REF!</v>
      </c>
      <c r="BJ675" s="20"/>
      <c r="BK675" s="20">
        <v>5</v>
      </c>
      <c r="BL675" s="20"/>
      <c r="BM675" s="20">
        <v>4</v>
      </c>
      <c r="BN675" s="20"/>
      <c r="BO675" s="20"/>
      <c r="BP675" s="20"/>
      <c r="BQ675" s="20"/>
      <c r="BR675" s="20"/>
      <c r="BS675" s="20"/>
      <c r="BT675" s="20"/>
      <c r="BU675" s="20"/>
      <c r="BV675" s="20"/>
      <c r="BW675" s="91" t="str">
        <f t="shared" si="207"/>
        <v>Incomplete</v>
      </c>
      <c r="BX675" s="91" t="str">
        <f>_xlfn.XLOOKUP(BW675,'Normative data'!$V$3:$V$6,'Normative data'!$W$3:$W$6,"Not Found",-1)</f>
        <v>Very low risk</v>
      </c>
      <c r="BY675" s="91" t="str">
        <f t="shared" si="208"/>
        <v>Incomplete</v>
      </c>
      <c r="BZ675" s="91" t="str">
        <f>_xlfn.XLOOKUP(BY675,'Normative data'!$V$3:$V$6,'Normative data'!$W$3:$W$6,"Not Found",-1)</f>
        <v>Very low risk</v>
      </c>
      <c r="CA675" s="20"/>
      <c r="CC675" s="20"/>
      <c r="CG675" s="20"/>
      <c r="CH675" s="20" t="str">
        <f>_xlfn.XLOOKUP(CG675, 'Normative data'!$S$9:$S$15,'Normative data'!$T$9:$T$15, "Not Found", -1)</f>
        <v>not completed</v>
      </c>
      <c r="CI675" s="20"/>
      <c r="CJ675" s="20" t="str">
        <f>_xlfn.XLOOKUP(CI675, 'Normative data'!$S$9:$S$15, 'Normative data'!$T$9:$T$15, "Not Found", -1)</f>
        <v>not completed</v>
      </c>
      <c r="CK675" s="20" t="s">
        <v>1297</v>
      </c>
      <c r="CL675" s="20" t="s">
        <v>1298</v>
      </c>
      <c r="CN675" s="20" t="s">
        <v>1299</v>
      </c>
      <c r="CO675" s="20" t="s">
        <v>1300</v>
      </c>
      <c r="CQ675" s="20"/>
      <c r="CR675" s="20" t="str" cm="1">
        <f t="array" ref="CR675">IF(OR(ISBLANK(E675),ISBLANK(CQ675)),"Incomplete",_xlfn.XLOOKUP(CQ675,_xlfn.XLOOKUP(E675,'Normative data'!$Y$3:$Y$6,'Normative data'!$Z$3:$AG$6,,-1),'Normative data'!$Z$2:$AG$2,"Not Found",-1))</f>
        <v>Incomplete</v>
      </c>
      <c r="CS675" s="20"/>
      <c r="CT675" s="20"/>
      <c r="CU675" s="20" t="str" cm="1">
        <f t="array" ref="CU675">_xlfn.XLOOKUP(CS675&amp;CT675,(VLOOKUP!$A$3:$A$250)&amp;(VLOOKUP!$B$3:$B$250),VLOOKUP!$C$3:$C$250,"Incomplete",-1)</f>
        <v>Incomplete</v>
      </c>
      <c r="CV675" s="20" t="str" cm="1">
        <f t="array" ref="CV675">_xlfn.XLOOKUP(CU675, _xlfn.XLOOKUP(E675, 'Normative data'!$Y$11:$Y$14, 'Normative data'!$Z$11:$AG$14, ,-1), 'Normative data'!$Z$10:$AG$10, "Not Found", -1)</f>
        <v>Excellent</v>
      </c>
      <c r="CW675" s="20" t="str" cm="1">
        <f t="array" ref="CW675">IF(OR(ISBLANK(CS675),ISBLANK(CT675)),"Incomplete",_xlfn.XLOOKUP(CS675&amp;CT675,VLOOKUP!$A$4:$A$250&amp;VLOOKUP!$B$4:$B$250,VLOOKUP!$D$4:$D$250,"0"))</f>
        <v>Incomplete</v>
      </c>
    </row>
    <row r="676" spans="1:101">
      <c r="A676" s="22" t="s">
        <v>1295</v>
      </c>
      <c r="B676" s="22" t="s">
        <v>1246</v>
      </c>
      <c r="C676" s="17" t="s">
        <v>86</v>
      </c>
      <c r="D676" s="23" t="s">
        <v>1296</v>
      </c>
      <c r="F676" s="17">
        <v>9</v>
      </c>
      <c r="G676" s="17">
        <v>2025</v>
      </c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41" t="str">
        <f t="shared" si="203"/>
        <v>Incomplete</v>
      </c>
      <c r="AZ676" s="20"/>
      <c r="BA676" s="20" t="str">
        <f t="shared" si="204"/>
        <v>Incomplete</v>
      </c>
      <c r="BB676" s="20"/>
      <c r="BC676" s="20" t="str">
        <f t="shared" si="205"/>
        <v>Incomplete</v>
      </c>
      <c r="BD676" s="20"/>
      <c r="BE676" s="20" t="str">
        <f t="shared" si="206"/>
        <v>Incomplete</v>
      </c>
      <c r="BF676" s="20"/>
      <c r="BG676" s="20"/>
      <c r="BH676" s="20"/>
      <c r="BI676" s="20" t="str">
        <f>IF(OR(ISBLANK(BG676), ISBLANK(BH676)),"Incomplete",(SUM(BH676-BG676)))</f>
        <v>Incomplete</v>
      </c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91" t="str">
        <f t="shared" si="207"/>
        <v>Incomplete</v>
      </c>
      <c r="BX676" s="91" t="str">
        <f>_xlfn.XLOOKUP(BW676,'Normative data'!$V$3:$V$6,'Normative data'!$W$3:$W$6,"Not Found",-1)</f>
        <v>Very low risk</v>
      </c>
      <c r="BY676" s="91" t="str">
        <f t="shared" si="208"/>
        <v>Incomplete</v>
      </c>
      <c r="BZ676" s="91" t="str">
        <f>_xlfn.XLOOKUP(BY676,'Normative data'!$V$3:$V$6,'Normative data'!$W$3:$W$6,"Not Found",-1)</f>
        <v>Very low risk</v>
      </c>
      <c r="CA676" s="20"/>
      <c r="CC676" s="20"/>
      <c r="CE676" s="20">
        <v>14</v>
      </c>
      <c r="CG676" s="20"/>
      <c r="CH676" s="20" t="str">
        <f>_xlfn.XLOOKUP(CG676, 'Normative data'!$S$9:$S$15,'Normative data'!$T$9:$T$15, "Not Found", -1)</f>
        <v>not completed</v>
      </c>
      <c r="CI676" s="20"/>
      <c r="CJ676" s="20" t="str">
        <f>_xlfn.XLOOKUP(CI676, 'Normative data'!$S$9:$S$15, 'Normative data'!$T$9:$T$15, "Not Found", -1)</f>
        <v>not completed</v>
      </c>
      <c r="CK676" s="25">
        <v>2.46</v>
      </c>
      <c r="CL676" s="25">
        <v>4.07</v>
      </c>
      <c r="CM676" s="25"/>
      <c r="CN676" s="25">
        <v>7.54</v>
      </c>
      <c r="CO676" s="25">
        <v>6.63</v>
      </c>
      <c r="CP676" s="25"/>
      <c r="CQ676" s="20"/>
      <c r="CR676" s="20" t="str" cm="1">
        <f t="array" ref="CR676">IF(OR(ISBLANK(E676),ISBLANK(CQ676)),"Incomplete",_xlfn.XLOOKUP(CQ676,_xlfn.XLOOKUP(E676,'Normative data'!$Y$3:$Y$6,'Normative data'!$Z$3:$AG$6,,-1),'Normative data'!$Z$2:$AG$2,"Not Found",-1))</f>
        <v>Incomplete</v>
      </c>
      <c r="CS676" s="20"/>
      <c r="CT676" s="20"/>
      <c r="CU676" s="20" t="str" cm="1">
        <f t="array" ref="CU676">_xlfn.XLOOKUP(CS676&amp;CT676,(VLOOKUP!$A$3:$A$250)&amp;(VLOOKUP!$B$3:$B$250),VLOOKUP!$C$3:$C$250,"Incomplete",-1)</f>
        <v>Incomplete</v>
      </c>
      <c r="CV676" s="20" t="str" cm="1">
        <f t="array" ref="CV676">_xlfn.XLOOKUP(CU676, _xlfn.XLOOKUP(E676, 'Normative data'!$Y$11:$Y$14, 'Normative data'!$Z$11:$AG$14, ,-1), 'Normative data'!$Z$10:$AG$10, "Not Found", -1)</f>
        <v>Excellent</v>
      </c>
      <c r="CW676" s="20" t="str" cm="1">
        <f t="array" ref="CW676">IF(OR(ISBLANK(CS676),ISBLANK(CT676)),"Incomplete",_xlfn.XLOOKUP(CS676&amp;CT676,VLOOKUP!$A$4:$A$250&amp;VLOOKUP!$B$4:$B$250,VLOOKUP!$D$4:$D$250,"0"))</f>
        <v>Incomplete</v>
      </c>
    </row>
    <row r="677" spans="1:101">
      <c r="A677" s="22" t="s">
        <v>470</v>
      </c>
      <c r="B677" s="22" t="s">
        <v>1301</v>
      </c>
      <c r="C677" s="17" t="s">
        <v>86</v>
      </c>
      <c r="D677" s="23">
        <v>39479</v>
      </c>
      <c r="F677" s="17">
        <v>11</v>
      </c>
      <c r="G677" s="17">
        <v>2025</v>
      </c>
      <c r="J677" s="17" t="s">
        <v>122</v>
      </c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41" t="str">
        <f t="shared" si="203"/>
        <v>Incomplete</v>
      </c>
      <c r="AZ677" s="20"/>
      <c r="BA677" s="20" t="str">
        <f t="shared" si="204"/>
        <v>Incomplete</v>
      </c>
      <c r="BB677" s="20"/>
      <c r="BC677" s="20" t="str">
        <f t="shared" si="205"/>
        <v>Incomplete</v>
      </c>
      <c r="BD677" s="20"/>
      <c r="BE677" s="20" t="str">
        <f t="shared" si="206"/>
        <v>Incomplete</v>
      </c>
      <c r="BF677" s="20"/>
      <c r="BG677" s="20">
        <v>15</v>
      </c>
      <c r="BH677" s="20">
        <v>35</v>
      </c>
      <c r="BI677" s="20">
        <f>IF(OR(ISBLANK(BG677), ISBLANK(BH677)),"Incomplete",(SUM(BH677-BG677)))</f>
        <v>20</v>
      </c>
      <c r="BJ677" s="20"/>
      <c r="BK677" s="20">
        <v>6</v>
      </c>
      <c r="BL677" s="20"/>
      <c r="BM677" s="20">
        <v>6</v>
      </c>
      <c r="BN677" s="20"/>
      <c r="BO677" s="20"/>
      <c r="BP677" s="20"/>
      <c r="BQ677" s="20"/>
      <c r="BR677" s="20"/>
      <c r="BS677" s="20"/>
      <c r="BT677" s="20"/>
      <c r="BU677" s="20"/>
      <c r="BV677" s="20"/>
      <c r="BW677" s="91" t="str">
        <f t="shared" si="207"/>
        <v>Incomplete</v>
      </c>
      <c r="BX677" s="91" t="str">
        <f>_xlfn.XLOOKUP(BW677,'Normative data'!$V$3:$V$6,'Normative data'!$W$3:$W$6,"Not Found",-1)</f>
        <v>Very low risk</v>
      </c>
      <c r="BY677" s="91" t="str">
        <f t="shared" si="208"/>
        <v>Incomplete</v>
      </c>
      <c r="BZ677" s="91" t="str">
        <f>_xlfn.XLOOKUP(BY677,'Normative data'!$V$3:$V$6,'Normative data'!$W$3:$W$6,"Not Found",-1)</f>
        <v>Very low risk</v>
      </c>
      <c r="CA677" s="20"/>
      <c r="CC677" s="20"/>
      <c r="CE677" s="20"/>
      <c r="CG677" s="20">
        <v>17.86</v>
      </c>
      <c r="CH677" s="20" t="e">
        <f>_xlfn.XLOOKUP(#REF!, 'Normative data'!$S$9:$S$15,'Normative data'!$T$9:$T$15, "Not Found", -1)</f>
        <v>#REF!</v>
      </c>
      <c r="CI677" s="20">
        <v>17.5</v>
      </c>
      <c r="CJ677" s="20" t="e">
        <f>_xlfn.XLOOKUP(#REF!, 'Normative data'!$S$9:$S$15, 'Normative data'!$T$9:$T$15, "Not Found", -1)</f>
        <v>#REF!</v>
      </c>
      <c r="CK677" s="24">
        <v>2.2400000000000002</v>
      </c>
      <c r="CL677" s="24">
        <v>4.46</v>
      </c>
      <c r="CM677" s="21"/>
      <c r="CN677" s="24">
        <v>6.57</v>
      </c>
      <c r="CO677" s="24">
        <v>7.61</v>
      </c>
      <c r="CP677" s="24"/>
      <c r="CQ677" s="20"/>
      <c r="CR677" s="20" t="str" cm="1">
        <f t="array" ref="CR677">IF(OR(ISBLANK(E677),ISBLANK(CQ677)),"Incomplete",_xlfn.XLOOKUP(CQ677,_xlfn.XLOOKUP(E677,'Normative data'!$Y$3:$Y$6,'Normative data'!$Z$3:$AG$6,,-1),'Normative data'!$Z$2:$AG$2,"Not Found",-1))</f>
        <v>Incomplete</v>
      </c>
      <c r="CS677" s="20"/>
      <c r="CT677" s="20"/>
      <c r="CU677" s="20" t="str" cm="1">
        <f t="array" ref="CU677">_xlfn.XLOOKUP(CS677&amp;CT677,(VLOOKUP!$A$3:$A$250)&amp;(VLOOKUP!$B$3:$B$250),VLOOKUP!$C$3:$C$250,"Incomplete",-1)</f>
        <v>Incomplete</v>
      </c>
      <c r="CV677" s="20" t="str" cm="1">
        <f t="array" ref="CV677">_xlfn.XLOOKUP(CU677, _xlfn.XLOOKUP(E677, 'Normative data'!$Y$11:$Y$14, 'Normative data'!$Z$11:$AG$14, ,-1), 'Normative data'!$Z$10:$AG$10, "Not Found", -1)</f>
        <v>Excellent</v>
      </c>
      <c r="CW677" s="20" t="str" cm="1">
        <f t="array" ref="CW677">IF(OR(ISBLANK(CS677),ISBLANK(CT677)),"Incomplete",_xlfn.XLOOKUP(CS677&amp;CT677,VLOOKUP!$A$4:$A$250&amp;VLOOKUP!$B$4:$B$250,VLOOKUP!$D$4:$D$250,"0"))</f>
        <v>Incomplete</v>
      </c>
    </row>
    <row r="678" spans="1:101">
      <c r="A678" s="17" t="s">
        <v>470</v>
      </c>
      <c r="B678" s="17" t="s">
        <v>1302</v>
      </c>
      <c r="C678" s="17" t="s">
        <v>86</v>
      </c>
      <c r="D678" s="23">
        <v>39479</v>
      </c>
      <c r="F678" s="17">
        <v>11</v>
      </c>
      <c r="G678" s="17">
        <v>2025</v>
      </c>
      <c r="S678" s="20"/>
      <c r="T678" s="20" t="s">
        <v>1303</v>
      </c>
      <c r="U678" s="20" t="s">
        <v>1304</v>
      </c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41" t="str">
        <f>IF(OR(ISBLANK(#REF!), ISBLANK(AQ678)), "Incomplete", (60.7*AQ678)+(45.3*#REF!)-2055)</f>
        <v>Incomplete</v>
      </c>
      <c r="AZ678" s="20"/>
      <c r="BA678" s="20" t="str">
        <f>IF(OR(ISBLANK(#REF!), ISBLANK(AS678)), "Incomplete", (60.7*AS678)+(45.3*#REF!)-2055)</f>
        <v>Incomplete</v>
      </c>
      <c r="BB678" s="20"/>
      <c r="BC678" s="20" t="str">
        <f>IF(OR(ISBLANK(#REF!), ISBLANK(AU678)), "Incomplete", (60.7*AU678)+(45.3*#REF!)-2055)</f>
        <v>Incomplete</v>
      </c>
      <c r="BD678" s="20"/>
      <c r="BE678" s="20" t="str">
        <f>IF(OR(ISBLANK(#REF!), ISBLANK(AW678)), "Incomplete", (60.7*AW678)+(45.3*#REF!)-2055)</f>
        <v>Incomplete</v>
      </c>
      <c r="BF678" s="20"/>
      <c r="BG678" s="20"/>
      <c r="BH678" s="20"/>
      <c r="BI678" s="20" t="str">
        <f>IF(OR(ISBLANK(BG678), ISBLANK(BH678)),"Incomplete",(SUM(BH678-BG678)))</f>
        <v>Incomplete</v>
      </c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91" t="str">
        <f>IFERROR(SUM(BQ678+BR678+BS678)/(3*(#REF!-S678))*100, "Incomplete")</f>
        <v>Incomplete</v>
      </c>
      <c r="BX678" s="91" t="str">
        <f>_xlfn.XLOOKUP(BW678,'Normative data'!$V$3:$V$6,'Normative data'!$W$3:$W$6,"Not Found",-1)</f>
        <v>Very low risk</v>
      </c>
      <c r="BY678" s="91" t="str">
        <f>IFERROR(SUM(BT678+BU678+BV678)/(3*(#REF!-S678))*100, "Incomplete")</f>
        <v>Incomplete</v>
      </c>
      <c r="BZ678" s="91" t="str">
        <f>_xlfn.XLOOKUP(BY678,'Normative data'!$V$3:$V$6,'Normative data'!$W$3:$W$6,"Not Found",-1)</f>
        <v>Very low risk</v>
      </c>
      <c r="CA678" s="20"/>
      <c r="CC678" s="20"/>
      <c r="CE678" s="20"/>
      <c r="CG678" s="20">
        <v>18.940000000000001</v>
      </c>
      <c r="CH678" s="20" t="e">
        <f>_xlfn.XLOOKUP(#REF!, 'Normative data'!$S$9:$S$15,'Normative data'!$T$9:$T$15, "Not Found", -1)</f>
        <v>#REF!</v>
      </c>
      <c r="CI678" s="20">
        <v>18.93</v>
      </c>
      <c r="CJ678" s="20" t="e">
        <f>_xlfn.XLOOKUP(#REF!, 'Normative data'!$S$9:$S$15, 'Normative data'!$T$9:$T$15, "Not Found", -1)</f>
        <v>#REF!</v>
      </c>
      <c r="CK678" s="20" t="s">
        <v>497</v>
      </c>
      <c r="CL678" s="20" t="s">
        <v>498</v>
      </c>
      <c r="CN678" s="20" t="s">
        <v>338</v>
      </c>
      <c r="CO678" s="20" t="s">
        <v>118</v>
      </c>
      <c r="CQ678" s="20"/>
      <c r="CR678" s="20" t="str" cm="1">
        <f t="array" ref="CR678">IF(OR(ISBLANK(E678),ISBLANK(CQ678)),"Incomplete",_xlfn.XLOOKUP(CQ678,_xlfn.XLOOKUP(E678,'Normative data'!$Y$3:$Y$6,'Normative data'!$Z$3:$AG$6,,-1),'Normative data'!$Z$2:$AG$2,"Not Found",-1))</f>
        <v>Incomplete</v>
      </c>
      <c r="CS678" s="20"/>
      <c r="CT678" s="20"/>
      <c r="CU678" s="20" t="str" cm="1">
        <f t="array" ref="CU678">_xlfn.XLOOKUP(CS678&amp;CT678,(VLOOKUP!$A$3:$A$250)&amp;(VLOOKUP!$B$3:$B$250),VLOOKUP!$C$3:$C$250,"Incomplete",-1)</f>
        <v>Incomplete</v>
      </c>
      <c r="CV678" s="20" t="str" cm="1">
        <f t="array" ref="CV678">_xlfn.XLOOKUP(CU678, _xlfn.XLOOKUP(E678, 'Normative data'!$Y$11:$Y$14, 'Normative data'!$Z$11:$AG$14, ,-1), 'Normative data'!$Z$10:$AG$10, "Not Found", -1)</f>
        <v>Excellent</v>
      </c>
      <c r="CW678" s="20" t="str" cm="1">
        <f t="array" ref="CW678">IF(OR(ISBLANK(CS678),ISBLANK(CT678)),"Incomplete",_xlfn.XLOOKUP(CS678&amp;CT678,VLOOKUP!$A$4:$A$250&amp;VLOOKUP!$B$4:$B$250,VLOOKUP!$D$4:$D$250,"0"))</f>
        <v>Incomplete</v>
      </c>
    </row>
    <row r="679" spans="1:101">
      <c r="A679" s="22" t="s">
        <v>1305</v>
      </c>
      <c r="B679" s="22" t="s">
        <v>1306</v>
      </c>
      <c r="C679" s="17" t="s">
        <v>86</v>
      </c>
      <c r="D679" s="23">
        <v>39698</v>
      </c>
      <c r="F679" s="17">
        <v>11</v>
      </c>
      <c r="G679" s="17">
        <v>2025</v>
      </c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41" t="str">
        <f>IF(OR(ISBLANK(U679), ISBLANK(AQ679)), "Incomplete", (60.7*AQ679)+(45.3*U679)-2055)</f>
        <v>Incomplete</v>
      </c>
      <c r="AZ679" s="20"/>
      <c r="BA679" s="20" t="str">
        <f>IF(OR(ISBLANK(U679), ISBLANK(AS679)), "Incomplete", (60.7*AS679)+(45.3*U679)-2055)</f>
        <v>Incomplete</v>
      </c>
      <c r="BB679" s="20"/>
      <c r="BC679" s="20" t="str">
        <f>IF(OR(ISBLANK(U679), ISBLANK(AU679)), "Incomplete", (60.7*AU679)+(45.3*U679)-2055)</f>
        <v>Incomplete</v>
      </c>
      <c r="BD679" s="20"/>
      <c r="BE679" s="20" t="str">
        <f>IF(OR(ISBLANK(U679), ISBLANK(AW679)), "Incomplete", (60.7*AW679)+(45.3*U679)-2055)</f>
        <v>Incomplete</v>
      </c>
      <c r="BF679" s="20"/>
      <c r="BG679" s="20">
        <v>15.5</v>
      </c>
      <c r="BH679" s="20">
        <v>31.1</v>
      </c>
      <c r="BI679" s="20">
        <f>IF(OR(ISBLANK(BG679), ISBLANK(BH679)),"Incomplete",(SUM(BH679-BG679)))</f>
        <v>15.600000000000001</v>
      </c>
      <c r="BJ679" s="20"/>
      <c r="BK679" s="20">
        <v>9</v>
      </c>
      <c r="BL679" s="20"/>
      <c r="BM679" s="20">
        <v>4</v>
      </c>
      <c r="BN679" s="20"/>
      <c r="BO679" s="20"/>
      <c r="BP679" s="20"/>
      <c r="BQ679" s="20"/>
      <c r="BR679" s="20"/>
      <c r="BS679" s="20"/>
      <c r="BT679" s="20"/>
      <c r="BU679" s="20"/>
      <c r="BV679" s="20"/>
      <c r="BW679" s="91" t="str">
        <f>IFERROR(SUM(BQ679+BR679+BS679)/(3*(T679-S679))*100, "Incomplete")</f>
        <v>Incomplete</v>
      </c>
      <c r="BX679" s="91" t="str">
        <f>_xlfn.XLOOKUP(BW679,'Normative data'!$V$3:$V$6,'Normative data'!$W$3:$W$6,"Not Found",-1)</f>
        <v>Very low risk</v>
      </c>
      <c r="BY679" s="91" t="str">
        <f>IFERROR(SUM(BT679+BU679+BV679)/(3*(T679-S679))*100, "Incomplete")</f>
        <v>Incomplete</v>
      </c>
      <c r="BZ679" s="91" t="str">
        <f>_xlfn.XLOOKUP(BY679,'Normative data'!$V$3:$V$6,'Normative data'!$W$3:$W$6,"Not Found",-1)</f>
        <v>Very low risk</v>
      </c>
      <c r="CA679" s="20"/>
      <c r="CC679" s="20"/>
      <c r="CE679" s="20"/>
      <c r="CG679" s="20"/>
      <c r="CH679" s="20" t="str">
        <f>_xlfn.XLOOKUP(CG679, 'Normative data'!$S$9:$S$15,'Normative data'!$T$9:$T$15, "Not Found", -1)</f>
        <v>not completed</v>
      </c>
      <c r="CI679" s="20"/>
      <c r="CJ679" s="20" t="str">
        <f>_xlfn.XLOOKUP(CI679, 'Normative data'!$S$9:$S$15, 'Normative data'!$T$9:$T$15, "Not Found", -1)</f>
        <v>not completed</v>
      </c>
      <c r="CK679" s="24">
        <v>2.06</v>
      </c>
      <c r="CL679" s="24">
        <v>4.8499999999999996</v>
      </c>
      <c r="CM679" s="21"/>
      <c r="CN679" s="24">
        <v>6.45</v>
      </c>
      <c r="CO679" s="24">
        <v>7.75</v>
      </c>
      <c r="CP679" s="24"/>
      <c r="CQ679" s="20"/>
      <c r="CR679" s="20" t="str" cm="1">
        <f t="array" ref="CR679">IF(OR(ISBLANK(E679),ISBLANK(CQ679)),"Incomplete",_xlfn.XLOOKUP(CQ679,_xlfn.XLOOKUP(E679,'Normative data'!$Y$3:$Y$6,'Normative data'!$Z$3:$AG$6,,-1),'Normative data'!$Z$2:$AG$2,"Not Found",-1))</f>
        <v>Incomplete</v>
      </c>
      <c r="CS679" s="20"/>
      <c r="CT679" s="20"/>
      <c r="CU679" s="20" t="str" cm="1">
        <f t="array" ref="CU679">_xlfn.XLOOKUP(CS679&amp;CT679,(VLOOKUP!$A$3:$A$250)&amp;(VLOOKUP!$B$3:$B$250),VLOOKUP!$C$3:$C$250,"Incomplete",-1)</f>
        <v>Incomplete</v>
      </c>
      <c r="CV679" s="20" t="str" cm="1">
        <f t="array" ref="CV679">_xlfn.XLOOKUP(CU679, _xlfn.XLOOKUP(E679, 'Normative data'!$Y$11:$Y$14, 'Normative data'!$Z$11:$AG$14, ,-1), 'Normative data'!$Z$10:$AG$10, "Not Found", -1)</f>
        <v>Excellent</v>
      </c>
      <c r="CW679" s="20" t="str" cm="1">
        <f t="array" ref="CW679">IF(OR(ISBLANK(CS679),ISBLANK(CT679)),"Incomplete",_xlfn.XLOOKUP(CS679&amp;CT679,VLOOKUP!$A$4:$A$250&amp;VLOOKUP!$B$4:$B$250,VLOOKUP!$D$4:$D$250,"0"))</f>
        <v>Incomplete</v>
      </c>
    </row>
    <row r="680" spans="1:101">
      <c r="A680" s="22" t="s">
        <v>1305</v>
      </c>
      <c r="B680" s="22" t="s">
        <v>1306</v>
      </c>
      <c r="C680" s="17" t="s">
        <v>86</v>
      </c>
      <c r="D680" s="23">
        <v>39698</v>
      </c>
      <c r="F680" s="17">
        <v>11</v>
      </c>
      <c r="G680" s="17">
        <v>2025</v>
      </c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41" t="str">
        <f>IF(OR(ISBLANK(U680), ISBLANK(AQ680)), "Incomplete", (60.7*AQ680)+(45.3*U680)-2055)</f>
        <v>Incomplete</v>
      </c>
      <c r="AZ680" s="20"/>
      <c r="BA680" s="20" t="str">
        <f>IF(OR(ISBLANK(U680), ISBLANK(AS680)), "Incomplete", (60.7*AS680)+(45.3*U680)-2055)</f>
        <v>Incomplete</v>
      </c>
      <c r="BB680" s="20"/>
      <c r="BC680" s="20" t="str">
        <f>IF(OR(ISBLANK(U680), ISBLANK(AU680)), "Incomplete", (60.7*AU680)+(45.3*U680)-2055)</f>
        <v>Incomplete</v>
      </c>
      <c r="BD680" s="20"/>
      <c r="BE680" s="20" t="str">
        <f>IF(OR(ISBLANK(U680), ISBLANK(AW680)), "Incomplete", (60.7*AW680)+(45.3*U680)-2055)</f>
        <v>Incomplete</v>
      </c>
      <c r="BF680" s="20"/>
      <c r="BG680" s="20"/>
      <c r="BH680" s="20"/>
      <c r="BI680" s="20" t="str">
        <f>IF(OR(ISBLANK(BG680), ISBLANK(BH680)),"Incomplete",(SUM(BH680-BG680)))</f>
        <v>Incomplete</v>
      </c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91" t="str">
        <f>IFERROR(SUM(BQ680+BR680+BS680)/(3*(T680-S680))*100, "Incomplete")</f>
        <v>Incomplete</v>
      </c>
      <c r="BX680" s="91" t="str">
        <f>_xlfn.XLOOKUP(BW680,'Normative data'!$V$3:$V$6,'Normative data'!$W$3:$W$6,"Not Found",-1)</f>
        <v>Very low risk</v>
      </c>
      <c r="BY680" s="91" t="str">
        <f>IFERROR(SUM(BT680+BU680+BV680)/(3*(T680-S680))*100, "Incomplete")</f>
        <v>Incomplete</v>
      </c>
      <c r="BZ680" s="91" t="str">
        <f>_xlfn.XLOOKUP(BY680,'Normative data'!$V$3:$V$6,'Normative data'!$W$3:$W$6,"Not Found",-1)</f>
        <v>Very low risk</v>
      </c>
      <c r="CA680" s="20"/>
      <c r="CC680" s="20"/>
      <c r="CE680" s="20"/>
      <c r="CG680" s="20"/>
      <c r="CH680" s="20" t="str">
        <f>_xlfn.XLOOKUP(CG680, 'Normative data'!$S$9:$S$15,'Normative data'!$T$9:$T$15, "Not Found", -1)</f>
        <v>not completed</v>
      </c>
      <c r="CI680" s="20"/>
      <c r="CJ680" s="20" t="str">
        <f>_xlfn.XLOOKUP(CI680, 'Normative data'!$S$9:$S$15, 'Normative data'!$T$9:$T$15, "Not Found", -1)</f>
        <v>not completed</v>
      </c>
      <c r="CK680" s="20" t="s">
        <v>371</v>
      </c>
      <c r="CL680" s="20" t="s">
        <v>1174</v>
      </c>
      <c r="CM680" s="24"/>
      <c r="CN680" s="20" t="s">
        <v>379</v>
      </c>
      <c r="CO680" s="20" t="s">
        <v>1307</v>
      </c>
      <c r="CP680" s="24"/>
      <c r="CQ680" s="20"/>
      <c r="CR680" s="20" t="str" cm="1">
        <f t="array" ref="CR680">IF(OR(ISBLANK(E680),ISBLANK(CQ680)),"Incomplete",_xlfn.XLOOKUP(CQ680,_xlfn.XLOOKUP(E680,'Normative data'!$Y$3:$Y$6,'Normative data'!$Z$3:$AG$6,,-1),'Normative data'!$Z$2:$AG$2,"Not Found",-1))</f>
        <v>Incomplete</v>
      </c>
      <c r="CS680" s="20"/>
      <c r="CT680" s="20"/>
      <c r="CU680" s="20" t="str" cm="1">
        <f t="array" ref="CU680">_xlfn.XLOOKUP(CS680&amp;CT680,(VLOOKUP!$A$3:$A$250)&amp;(VLOOKUP!$B$3:$B$250),VLOOKUP!$C$3:$C$250,"Incomplete",-1)</f>
        <v>Incomplete</v>
      </c>
      <c r="CV680" s="20" t="str" cm="1">
        <f t="array" ref="CV680">_xlfn.XLOOKUP(CU680, _xlfn.XLOOKUP(E680, 'Normative data'!$Y$11:$Y$14, 'Normative data'!$Z$11:$AG$14, ,-1), 'Normative data'!$Z$10:$AG$10, "Not Found", -1)</f>
        <v>Excellent</v>
      </c>
      <c r="CW680" s="20" t="str" cm="1">
        <f t="array" ref="CW680">IF(OR(ISBLANK(CS680),ISBLANK(CT680)),"Incomplete",_xlfn.XLOOKUP(CS680&amp;CT680,VLOOKUP!$A$4:$A$250&amp;VLOOKUP!$B$4:$B$250,VLOOKUP!$D$4:$D$250,"0"))</f>
        <v>Incomplete</v>
      </c>
    </row>
    <row r="681" spans="1:101">
      <c r="A681" s="17" t="s">
        <v>547</v>
      </c>
      <c r="B681" s="17" t="s">
        <v>1036</v>
      </c>
      <c r="C681" s="17" t="s">
        <v>86</v>
      </c>
      <c r="D681" s="26"/>
      <c r="F681" s="17">
        <v>10</v>
      </c>
      <c r="G681" s="17">
        <v>2025</v>
      </c>
      <c r="J681" s="17" t="s">
        <v>122</v>
      </c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41" t="str">
        <f>IF(OR(ISBLANK(U681), ISBLANK(AQ681)), "Incomplete", (60.7*AQ681)+(45.3*U681)-2055)</f>
        <v>Incomplete</v>
      </c>
      <c r="AZ681" s="20"/>
      <c r="BA681" s="20" t="str">
        <f>IF(OR(ISBLANK(U681), ISBLANK(AS681)), "Incomplete", (60.7*AS681)+(45.3*U681)-2055)</f>
        <v>Incomplete</v>
      </c>
      <c r="BB681" s="20"/>
      <c r="BC681" s="20" t="str">
        <f>IF(OR(ISBLANK(U681), ISBLANK(AU681)), "Incomplete", (60.7*AU681)+(45.3*U681)-2055)</f>
        <v>Incomplete</v>
      </c>
      <c r="BD681" s="20"/>
      <c r="BE681" s="20" t="str">
        <f>IF(OR(ISBLANK(U681), ISBLANK(AW681)), "Incomplete", (60.7*AW681)+(45.3*U681)-2055)</f>
        <v>Incomplete</v>
      </c>
      <c r="BF681" s="20"/>
      <c r="BG681" s="20">
        <v>13.5</v>
      </c>
      <c r="BH681" s="20">
        <v>37.4</v>
      </c>
      <c r="BI681" s="20" t="e">
        <f>IF(OR(ISBLANK(#REF!), ISBLANK(#REF!)),"Incomplete",(SUM(#REF!-#REF!)))</f>
        <v>#REF!</v>
      </c>
      <c r="BJ681" s="20"/>
      <c r="BK681" s="20">
        <v>12</v>
      </c>
      <c r="BL681" s="20"/>
      <c r="BM681" s="20">
        <v>11</v>
      </c>
      <c r="BN681" s="20"/>
      <c r="BO681" s="20"/>
      <c r="BP681" s="20"/>
      <c r="BQ681" s="20"/>
      <c r="BR681" s="20"/>
      <c r="BS681" s="20"/>
      <c r="BT681" s="20"/>
      <c r="BU681" s="20"/>
      <c r="BV681" s="20"/>
      <c r="BW681" s="91" t="str">
        <f>IFERROR(SUM(BQ681+BR681+BS681)/(3*(T681-S681))*100, "Incomplete")</f>
        <v>Incomplete</v>
      </c>
      <c r="BX681" s="91" t="str">
        <f>_xlfn.XLOOKUP(BW681,'Normative data'!$V$3:$V$6,'Normative data'!$W$3:$W$6,"Not Found",-1)</f>
        <v>Very low risk</v>
      </c>
      <c r="BY681" s="91" t="str">
        <f>IFERROR(SUM(BT681+BU681+BV681)/(3*(T681-S681))*100, "Incomplete")</f>
        <v>Incomplete</v>
      </c>
      <c r="BZ681" s="91" t="str">
        <f>_xlfn.XLOOKUP(BY681,'Normative data'!$V$3:$V$6,'Normative data'!$W$3:$W$6,"Not Found",-1)</f>
        <v>Very low risk</v>
      </c>
      <c r="CA681" s="20"/>
      <c r="CC681" s="20"/>
      <c r="CE681" s="20">
        <v>17</v>
      </c>
      <c r="CG681" s="20">
        <v>17.25</v>
      </c>
      <c r="CH681" s="20" t="e">
        <f>_xlfn.XLOOKUP(#REF!, 'Normative data'!$S$9:$S$15,'Normative data'!$T$9:$T$15, "Not Found", -1)</f>
        <v>#REF!</v>
      </c>
      <c r="CI681" s="20">
        <v>17.21</v>
      </c>
      <c r="CJ681" s="20" t="e">
        <f>_xlfn.XLOOKUP(#REF!, 'Normative data'!$S$9:$S$15, 'Normative data'!$T$9:$T$15, "Not Found", -1)</f>
        <v>#REF!</v>
      </c>
      <c r="CK681" s="21"/>
      <c r="CL681" s="21"/>
      <c r="CM681" s="21"/>
      <c r="CN681" s="21"/>
      <c r="CO681" s="21"/>
      <c r="CQ681" s="20"/>
      <c r="CR681" s="20" t="str" cm="1">
        <f t="array" ref="CR681">IF(OR(ISBLANK(E681),ISBLANK(CQ681)),"Incomplete",_xlfn.XLOOKUP(CQ681,_xlfn.XLOOKUP(E681,'Normative data'!$Y$3:$Y$6,'Normative data'!$Z$3:$AG$6,,-1),'Normative data'!$Z$2:$AG$2,"Not Found",-1))</f>
        <v>Incomplete</v>
      </c>
      <c r="CS681" s="20"/>
      <c r="CT681" s="20"/>
      <c r="CU681" s="20" t="str" cm="1">
        <f t="array" ref="CU681">_xlfn.XLOOKUP(CS681&amp;CT681,(VLOOKUP!$A$3:$A$250)&amp;(VLOOKUP!$B$3:$B$250),VLOOKUP!$C$3:$C$250,"Incomplete",-1)</f>
        <v>Incomplete</v>
      </c>
      <c r="CV681" s="20" t="str" cm="1">
        <f t="array" ref="CV681">_xlfn.XLOOKUP(CU681, _xlfn.XLOOKUP(E681, 'Normative data'!$Y$11:$Y$14, 'Normative data'!$Z$11:$AG$14, ,-1), 'Normative data'!$Z$10:$AG$10, "Not Found", -1)</f>
        <v>Excellent</v>
      </c>
      <c r="CW681" s="20" t="str" cm="1">
        <f t="array" ref="CW681">IF(OR(ISBLANK(CS681),ISBLANK(CT681)),"Incomplete",_xlfn.XLOOKUP(CS681&amp;CT681,VLOOKUP!$A$4:$A$250&amp;VLOOKUP!$B$4:$B$250,VLOOKUP!$D$4:$D$250,"0"))</f>
        <v>Incomplete</v>
      </c>
    </row>
    <row r="682" spans="1:101">
      <c r="A682" s="22" t="s">
        <v>1237</v>
      </c>
      <c r="B682" s="22" t="s">
        <v>1036</v>
      </c>
      <c r="C682" s="17" t="s">
        <v>86</v>
      </c>
      <c r="D682" s="23">
        <v>40390</v>
      </c>
      <c r="F682" s="17">
        <v>9</v>
      </c>
      <c r="G682" s="17">
        <v>2025</v>
      </c>
      <c r="J682" s="17" t="s">
        <v>122</v>
      </c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41" t="str">
        <f>IF(OR(ISBLANK(U682), ISBLANK(AQ682)), "Incomplete", (60.7*AQ682)+(45.3*U682)-2055)</f>
        <v>Incomplete</v>
      </c>
      <c r="AZ682" s="20"/>
      <c r="BA682" s="20" t="str">
        <f>IF(OR(ISBLANK(U682), ISBLANK(AS682)), "Incomplete", (60.7*AS682)+(45.3*U682)-2055)</f>
        <v>Incomplete</v>
      </c>
      <c r="BB682" s="20"/>
      <c r="BC682" s="20" t="str">
        <f>IF(OR(ISBLANK(U682), ISBLANK(AU682)), "Incomplete", (60.7*AU682)+(45.3*U682)-2055)</f>
        <v>Incomplete</v>
      </c>
      <c r="BD682" s="20"/>
      <c r="BE682" s="20" t="str">
        <f>IF(OR(ISBLANK(U682), ISBLANK(AW682)), "Incomplete", (60.7*AW682)+(45.3*U682)-2055)</f>
        <v>Incomplete</v>
      </c>
      <c r="BF682" s="20"/>
      <c r="BG682" s="20">
        <v>16</v>
      </c>
      <c r="BH682" s="20">
        <v>46.4</v>
      </c>
      <c r="BI682" s="20" t="e">
        <f>IF(OR(ISBLANK(#REF!), ISBLANK(#REF!)),"Incomplete",(SUM(#REF!-#REF!)))</f>
        <v>#REF!</v>
      </c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91" t="str">
        <f>IFERROR(SUM(BQ682+BR682+BS682)/(3*(T682-S682))*100, "Incomplete")</f>
        <v>Incomplete</v>
      </c>
      <c r="BX682" s="91" t="str">
        <f>_xlfn.XLOOKUP(BW682,'Normative data'!$V$3:$V$6,'Normative data'!$W$3:$W$6,"Not Found",-1)</f>
        <v>Very low risk</v>
      </c>
      <c r="BY682" s="91" t="str">
        <f>IFERROR(SUM(BT682+BU682+BV682)/(3*(T682-S682))*100, "Incomplete")</f>
        <v>Incomplete</v>
      </c>
      <c r="BZ682" s="91" t="str">
        <f>_xlfn.XLOOKUP(BY682,'Normative data'!$V$3:$V$6,'Normative data'!$W$3:$W$6,"Not Found",-1)</f>
        <v>Very low risk</v>
      </c>
      <c r="CA682" s="20"/>
      <c r="CC682" s="20"/>
      <c r="CE682" s="20">
        <v>20</v>
      </c>
      <c r="CG682" s="20">
        <v>17.21</v>
      </c>
      <c r="CH682" s="20" t="str">
        <f>_xlfn.XLOOKUP(CG682, 'Normative data'!$S$9:$S$15,'Normative data'!$T$9:$T$15, "Not Found", -1)</f>
        <v>Above Average</v>
      </c>
      <c r="CI682" s="20">
        <v>17.59</v>
      </c>
      <c r="CJ682" s="20" t="str">
        <f>_xlfn.XLOOKUP(CI682, 'Normative data'!$S$9:$S$15, 'Normative data'!$T$9:$T$15, "Not Found", -1)</f>
        <v>Above Average</v>
      </c>
      <c r="CK682" s="24">
        <v>2.14</v>
      </c>
      <c r="CL682" s="24">
        <v>4.07</v>
      </c>
      <c r="CM682" s="21"/>
      <c r="CN682" s="24">
        <v>6.7</v>
      </c>
      <c r="CO682" s="24">
        <v>7.46</v>
      </c>
      <c r="CQ682" s="20"/>
      <c r="CR682" s="20" t="str" cm="1">
        <f t="array" ref="CR682">IF(OR(ISBLANK(E682),ISBLANK(CQ682)),"Incomplete",_xlfn.XLOOKUP(CQ682,_xlfn.XLOOKUP(E682,'Normative data'!$Y$3:$Y$6,'Normative data'!$Z$3:$AG$6,,-1),'Normative data'!$Z$2:$AG$2,"Not Found",-1))</f>
        <v>Incomplete</v>
      </c>
      <c r="CS682" s="20"/>
      <c r="CT682" s="20"/>
      <c r="CU682" s="20" t="str" cm="1">
        <f t="array" ref="CU682">_xlfn.XLOOKUP(CS682&amp;CT682,(VLOOKUP!$A$3:$A$250)&amp;(VLOOKUP!$B$3:$B$250),VLOOKUP!$C$3:$C$250,"Incomplete",-1)</f>
        <v>Incomplete</v>
      </c>
      <c r="CV682" s="20" t="str" cm="1">
        <f t="array" ref="CV682">_xlfn.XLOOKUP(CU682, _xlfn.XLOOKUP(E682, 'Normative data'!$Y$11:$Y$14, 'Normative data'!$Z$11:$AG$14, ,-1), 'Normative data'!$Z$10:$AG$10, "Not Found", -1)</f>
        <v>Excellent</v>
      </c>
      <c r="CW682" s="20" t="str" cm="1">
        <f t="array" ref="CW682">IF(OR(ISBLANK(CS682),ISBLANK(CT682)),"Incomplete",_xlfn.XLOOKUP(CS682&amp;CT682,VLOOKUP!$A$4:$A$250&amp;VLOOKUP!$B$4:$B$250,VLOOKUP!$D$4:$D$250,"0"))</f>
        <v>Incomplete</v>
      </c>
    </row>
    <row r="683" spans="1:101">
      <c r="A683" s="22" t="s">
        <v>1237</v>
      </c>
      <c r="B683" s="22" t="s">
        <v>1036</v>
      </c>
      <c r="C683" s="17" t="s">
        <v>86</v>
      </c>
      <c r="D683" s="23">
        <v>40390</v>
      </c>
      <c r="G683" s="17">
        <v>2025</v>
      </c>
      <c r="S683" s="20"/>
      <c r="T683" s="20" t="s">
        <v>1308</v>
      </c>
      <c r="U683" s="20" t="s">
        <v>1309</v>
      </c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>
        <v>32.4</v>
      </c>
      <c r="AR683" s="20">
        <v>0.51400000000000001</v>
      </c>
      <c r="AS683" s="20">
        <v>36.799999999999997</v>
      </c>
      <c r="AT683" s="20">
        <v>0.54800000000000004</v>
      </c>
      <c r="AU683" s="20">
        <v>20.6</v>
      </c>
      <c r="AV683" s="20">
        <v>0.41</v>
      </c>
      <c r="AW683" s="20">
        <v>20.399999999999999</v>
      </c>
      <c r="AX683" s="20">
        <v>0.40799999999999997</v>
      </c>
      <c r="AY683" s="41" t="e">
        <f>IF(OR(ISBLANK(#REF!), ISBLANK(AQ683)), "Incomplete", (60.7*AQ683)+(45.3*#REF!)-2055)</f>
        <v>#REF!</v>
      </c>
      <c r="AZ683" s="20"/>
      <c r="BA683" s="20" t="e">
        <f>IF(OR(ISBLANK(#REF!), ISBLANK(AS683)), "Incomplete", (60.7*AS683)+(45.3*#REF!)-2055)</f>
        <v>#REF!</v>
      </c>
      <c r="BB683" s="20"/>
      <c r="BC683" s="20" t="e">
        <f>IF(OR(ISBLANK(#REF!), ISBLANK(AU683)), "Incomplete", (60.7*AU683)+(45.3*#REF!)-2055)</f>
        <v>#REF!</v>
      </c>
      <c r="BD683" s="20"/>
      <c r="BE683" s="20" t="e">
        <f>IF(OR(ISBLANK(#REF!), ISBLANK(AW683)), "Incomplete", (60.7*AW683)+(45.3*#REF!)-2055)</f>
        <v>#REF!</v>
      </c>
      <c r="BF683" s="20"/>
      <c r="BG683" s="20"/>
      <c r="BH683" s="20"/>
      <c r="BI683" s="20" t="str">
        <f>IF(OR(ISBLANK(BG683), ISBLANK(BH683)),"Incomplete",(SUM(BH683-BG683)))</f>
        <v>Incomplete</v>
      </c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91" t="str">
        <f>IFERROR(SUM(BQ683+BR683+BS683)/(3*(#REF!-S683))*100, "Incomplete")</f>
        <v>Incomplete</v>
      </c>
      <c r="BX683" s="91" t="str">
        <f>_xlfn.XLOOKUP(BW683,'Normative data'!$V$3:$V$6,'Normative data'!$W$3:$W$6,"Not Found",-1)</f>
        <v>Very low risk</v>
      </c>
      <c r="BY683" s="91" t="str">
        <f>IFERROR(SUM(BT683+BU683+BV683)/(3*(#REF!-S683))*100, "Incomplete")</f>
        <v>Incomplete</v>
      </c>
      <c r="BZ683" s="91" t="str">
        <f>_xlfn.XLOOKUP(BY683,'Normative data'!$V$3:$V$6,'Normative data'!$W$3:$W$6,"Not Found",-1)</f>
        <v>Very low risk</v>
      </c>
      <c r="CA683" s="20"/>
      <c r="CC683" s="20"/>
      <c r="CE683" s="20"/>
      <c r="CG683" s="20">
        <v>17.68</v>
      </c>
      <c r="CH683" s="20" t="e">
        <f>_xlfn.XLOOKUP(#REF!, 'Normative data'!$S$9:$S$15,'Normative data'!$T$9:$T$15, "Not Found", -1)</f>
        <v>#REF!</v>
      </c>
      <c r="CI683" s="20">
        <v>17.649999999999999</v>
      </c>
      <c r="CJ683" s="20" t="e">
        <f>_xlfn.XLOOKUP(#REF!, 'Normative data'!$S$9:$S$15, 'Normative data'!$T$9:$T$15, "Not Found", -1)</f>
        <v>#REF!</v>
      </c>
      <c r="CK683" s="21"/>
      <c r="CL683" s="21"/>
      <c r="CM683" s="21"/>
      <c r="CN683" s="21"/>
      <c r="CO683" s="21"/>
      <c r="CQ683" s="20"/>
      <c r="CR683" s="20" t="str" cm="1">
        <f t="array" ref="CR683">IF(OR(ISBLANK(E683),ISBLANK(CQ683)),"Incomplete",_xlfn.XLOOKUP(CQ683,_xlfn.XLOOKUP(E683,'Normative data'!$Y$3:$Y$6,'Normative data'!$Z$3:$AG$6,,-1),'Normative data'!$Z$2:$AG$2,"Not Found",-1))</f>
        <v>Incomplete</v>
      </c>
      <c r="CS683" s="20"/>
      <c r="CT683" s="20"/>
      <c r="CU683" s="20" t="str" cm="1">
        <f t="array" ref="CU683">_xlfn.XLOOKUP(CS683&amp;CT683,(VLOOKUP!$A$3:$A$250)&amp;(VLOOKUP!$B$3:$B$250),VLOOKUP!$C$3:$C$250,"Incomplete",-1)</f>
        <v>Incomplete</v>
      </c>
      <c r="CV683" s="20" t="str" cm="1">
        <f t="array" ref="CV683">_xlfn.XLOOKUP(CU683, _xlfn.XLOOKUP(E683, 'Normative data'!$Y$11:$Y$14, 'Normative data'!$Z$11:$AG$14, ,-1), 'Normative data'!$Z$10:$AG$10, "Not Found", -1)</f>
        <v>Excellent</v>
      </c>
      <c r="CW683" s="20" t="str" cm="1">
        <f t="array" ref="CW683">IF(OR(ISBLANK(CS683),ISBLANK(CT683)),"Incomplete",_xlfn.XLOOKUP(CS683&amp;CT683,VLOOKUP!$A$4:$A$250&amp;VLOOKUP!$B$4:$B$250,VLOOKUP!$D$4:$D$250,"0"))</f>
        <v>Incomplete</v>
      </c>
    </row>
    <row r="684" spans="1:101">
      <c r="A684" s="22" t="s">
        <v>1237</v>
      </c>
      <c r="B684" s="22" t="s">
        <v>1036</v>
      </c>
      <c r="C684" s="17" t="s">
        <v>86</v>
      </c>
      <c r="D684" s="23">
        <v>40390</v>
      </c>
      <c r="G684" s="17">
        <v>2025</v>
      </c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41" t="str">
        <f>IF(OR(ISBLANK(U684), ISBLANK(AQ684)), "Incomplete", (60.7*AQ684)+(45.3*U684)-2055)</f>
        <v>Incomplete</v>
      </c>
      <c r="AZ684" s="20"/>
      <c r="BA684" s="20" t="str">
        <f>IF(OR(ISBLANK(U684), ISBLANK(AS684)), "Incomplete", (60.7*AS684)+(45.3*U684)-2055)</f>
        <v>Incomplete</v>
      </c>
      <c r="BB684" s="20"/>
      <c r="BC684" s="20" t="str">
        <f>IF(OR(ISBLANK(U684), ISBLANK(AU684)), "Incomplete", (60.7*AU684)+(45.3*U684)-2055)</f>
        <v>Incomplete</v>
      </c>
      <c r="BD684" s="20"/>
      <c r="BE684" s="20" t="str">
        <f>IF(OR(ISBLANK(U684), ISBLANK(AW684)), "Incomplete", (60.7*AW684)+(45.3*U684)-2055)</f>
        <v>Incomplete</v>
      </c>
      <c r="BF684" s="20"/>
      <c r="BG684" s="20"/>
      <c r="BH684" s="20"/>
      <c r="BI684" s="20" t="str">
        <f>IF(OR(ISBLANK(BG684), ISBLANK(BH684)),"Incomplete",(SUM(BH684-BG684)))</f>
        <v>Incomplete</v>
      </c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91" t="str">
        <f t="shared" ref="BW684:BW693" si="209">IFERROR(SUM(BQ684+BR684+BS684)/(3*(T684-S684))*100, "Incomplete")</f>
        <v>Incomplete</v>
      </c>
      <c r="BX684" s="91" t="str">
        <f>_xlfn.XLOOKUP(BW684,'Normative data'!$V$3:$V$6,'Normative data'!$W$3:$W$6,"Not Found",-1)</f>
        <v>Very low risk</v>
      </c>
      <c r="BY684" s="91" t="str">
        <f t="shared" ref="BY684:BY693" si="210">IFERROR(SUM(BT684+BU684+BV684)/(3*(T684-S684))*100, "Incomplete")</f>
        <v>Incomplete</v>
      </c>
      <c r="BZ684" s="91" t="str">
        <f>_xlfn.XLOOKUP(BY684,'Normative data'!$V$3:$V$6,'Normative data'!$W$3:$W$6,"Not Found",-1)</f>
        <v>Very low risk</v>
      </c>
      <c r="CA684" s="20"/>
      <c r="CC684" s="20"/>
      <c r="CE684" s="20"/>
      <c r="CG684" s="20">
        <v>17.559999999999999</v>
      </c>
      <c r="CH684" s="20" t="str">
        <f>_xlfn.XLOOKUP(CG684, 'Normative data'!$S$9:$S$15,'Normative data'!$T$9:$T$15, "Not Found", -1)</f>
        <v>Above Average</v>
      </c>
      <c r="CI684" s="20">
        <v>17.66</v>
      </c>
      <c r="CJ684" s="20" t="str">
        <f>_xlfn.XLOOKUP(CI684, 'Normative data'!$S$9:$S$15, 'Normative data'!$T$9:$T$15, "Not Found", -1)</f>
        <v>Above Average</v>
      </c>
      <c r="CK684" s="20" t="s">
        <v>858</v>
      </c>
      <c r="CL684" s="20" t="s">
        <v>920</v>
      </c>
      <c r="CM684" s="21"/>
      <c r="CN684" s="20" t="s">
        <v>1220</v>
      </c>
      <c r="CO684" s="20" t="s">
        <v>1221</v>
      </c>
      <c r="CQ684" s="20"/>
      <c r="CR684" s="20" t="str" cm="1">
        <f t="array" ref="CR684">IF(OR(ISBLANK(E684),ISBLANK(CQ684)),"Incomplete",_xlfn.XLOOKUP(CQ684,_xlfn.XLOOKUP(E684,'Normative data'!$Y$3:$Y$6,'Normative data'!$Z$3:$AG$6,,-1),'Normative data'!$Z$2:$AG$2,"Not Found",-1))</f>
        <v>Incomplete</v>
      </c>
      <c r="CS684" s="20"/>
      <c r="CT684" s="20"/>
      <c r="CU684" s="20" t="str" cm="1">
        <f t="array" ref="CU684">_xlfn.XLOOKUP(CS684&amp;CT684,(VLOOKUP!$A$3:$A$250)&amp;(VLOOKUP!$B$3:$B$250),VLOOKUP!$C$3:$C$250,"Incomplete",-1)</f>
        <v>Incomplete</v>
      </c>
      <c r="CV684" s="20" t="str" cm="1">
        <f t="array" ref="CV684">_xlfn.XLOOKUP(CU684, _xlfn.XLOOKUP(E684, 'Normative data'!$Y$11:$Y$14, 'Normative data'!$Z$11:$AG$14, ,-1), 'Normative data'!$Z$10:$AG$10, "Not Found", -1)</f>
        <v>Excellent</v>
      </c>
      <c r="CW684" s="20" t="str" cm="1">
        <f t="array" ref="CW684">IF(OR(ISBLANK(CS684),ISBLANK(CT684)),"Incomplete",_xlfn.XLOOKUP(CS684&amp;CT684,VLOOKUP!$A$4:$A$250&amp;VLOOKUP!$B$4:$B$250,VLOOKUP!$D$4:$D$250,"0"))</f>
        <v>Incomplete</v>
      </c>
    </row>
    <row r="685" spans="1:101">
      <c r="A685" s="22" t="s">
        <v>1237</v>
      </c>
      <c r="B685" s="22" t="s">
        <v>1036</v>
      </c>
      <c r="C685" s="17" t="s">
        <v>86</v>
      </c>
      <c r="D685" s="23">
        <v>40390</v>
      </c>
      <c r="G685" s="17">
        <v>2026</v>
      </c>
      <c r="H685" s="20" t="s">
        <v>114</v>
      </c>
      <c r="I685" s="17">
        <v>1</v>
      </c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 t="s">
        <v>1310</v>
      </c>
      <c r="AR685" s="20" t="s">
        <v>1102</v>
      </c>
      <c r="AS685" s="20" t="s">
        <v>1311</v>
      </c>
      <c r="AT685" s="20" t="s">
        <v>1312</v>
      </c>
      <c r="AU685" s="20" t="s">
        <v>1045</v>
      </c>
      <c r="AV685" s="20" t="s">
        <v>1046</v>
      </c>
      <c r="AW685" s="20" t="s">
        <v>1313</v>
      </c>
      <c r="AX685" s="20" t="s">
        <v>1314</v>
      </c>
      <c r="AY685" s="41" t="str">
        <f>IF(OR(ISBLANK(U685), ISBLANK(AQ685)), "Incomplete", (60.7*AQ685)+(45.3*U685)-2055)</f>
        <v>Incomplete</v>
      </c>
      <c r="AZ685" s="20"/>
      <c r="BA685" s="20" t="str">
        <f>IF(OR(ISBLANK(U685), ISBLANK(AS685)), "Incomplete", (60.7*AS685)+(45.3*U685)-2055)</f>
        <v>Incomplete</v>
      </c>
      <c r="BB685" s="20"/>
      <c r="BC685" s="20" t="str">
        <f>IF(OR(ISBLANK(U685), ISBLANK(AU685)), "Incomplete", (60.7*AU685)+(45.3*U685)-2055)</f>
        <v>Incomplete</v>
      </c>
      <c r="BD685" s="20"/>
      <c r="BE685" s="20" t="str">
        <f>IF(OR(ISBLANK(U685), ISBLANK(AW685)), "Incomplete", (60.7*AW685)+(45.3*U685)-2055)</f>
        <v>Incomplete</v>
      </c>
      <c r="BF685" s="20"/>
      <c r="BG685" s="20" t="s">
        <v>1315</v>
      </c>
      <c r="BH685" s="20" t="s">
        <v>634</v>
      </c>
      <c r="BI685" s="20" t="e">
        <f>IF(OR(ISBLANK(BG685), ISBLANK(BH685)),"Incomplete",(SUM(BH685-BG685)))</f>
        <v>#VALUE!</v>
      </c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91" t="str">
        <f t="shared" si="209"/>
        <v>Incomplete</v>
      </c>
      <c r="BX685" s="91" t="str">
        <f>_xlfn.XLOOKUP(BW685,'Normative data'!$V$3:$V$6,'Normative data'!$W$3:$W$6,"Not Found",-1)</f>
        <v>Very low risk</v>
      </c>
      <c r="BY685" s="91" t="str">
        <f t="shared" si="210"/>
        <v>Incomplete</v>
      </c>
      <c r="BZ685" s="91" t="str">
        <f>_xlfn.XLOOKUP(BY685,'Normative data'!$V$3:$V$6,'Normative data'!$W$3:$W$6,"Not Found",-1)</f>
        <v>Very low risk</v>
      </c>
      <c r="CA685" s="20"/>
      <c r="CC685" s="20">
        <v>71</v>
      </c>
      <c r="CE685" s="20">
        <v>25</v>
      </c>
      <c r="CG685" s="20" t="s">
        <v>1316</v>
      </c>
      <c r="CH685" s="20" t="str">
        <f>_xlfn.XLOOKUP(CG685, 'Normative data'!$S$9:$S$15,'Normative data'!$T$9:$T$15, "Not Found", -1)</f>
        <v>Poor</v>
      </c>
      <c r="CI685" s="20" t="s">
        <v>1317</v>
      </c>
      <c r="CJ685" s="20" t="str">
        <f>_xlfn.XLOOKUP(CI685, 'Normative data'!$S$9:$S$15, 'Normative data'!$T$9:$T$15, "Not Found", -1)</f>
        <v>Poor</v>
      </c>
      <c r="CK685" s="20" t="s">
        <v>145</v>
      </c>
      <c r="CL685" s="20" t="s">
        <v>146</v>
      </c>
      <c r="CN685" s="20" t="s">
        <v>882</v>
      </c>
      <c r="CO685" s="20" t="s">
        <v>883</v>
      </c>
      <c r="CQ685" s="20" t="s">
        <v>1318</v>
      </c>
      <c r="CR685" s="20" t="str" cm="1">
        <f t="array" ref="CR685">IF(OR(ISBLANK(E685),ISBLANK(CQ685)),"Incomplete",_xlfn.XLOOKUP(CQ685,_xlfn.XLOOKUP(E685,'Normative data'!$Y$3:$Y$6,'Normative data'!$Z$3:$AG$6,,-1),'Normative data'!$Z$2:$AG$2,"Not Found",-1))</f>
        <v>Incomplete</v>
      </c>
      <c r="CS685" s="20">
        <v>9</v>
      </c>
      <c r="CT685" s="20">
        <v>1</v>
      </c>
      <c r="CU685" s="20" cm="1">
        <f t="array" ref="CU685">_xlfn.XLOOKUP(CS685&amp;CT685,(VLOOKUP!$A$3:$A$250)&amp;(VLOOKUP!$B$3:$B$250),VLOOKUP!$C$3:$C$250,"Incomplete",-1)</f>
        <v>1460</v>
      </c>
      <c r="CV685" s="20" t="str" cm="1">
        <f t="array" ref="CV685">_xlfn.XLOOKUP(CU685, _xlfn.XLOOKUP(E685, 'Normative data'!$Y$11:$Y$14, 'Normative data'!$Z$11:$AG$14, ,-1), 'Normative data'!$Z$10:$AG$10, "Not Found", -1)</f>
        <v>Average</v>
      </c>
      <c r="CW685" s="20" cm="1">
        <f t="array" ref="CW685">IF(OR(ISBLANK(CS685),ISBLANK(CT685)),"Incomplete",_xlfn.XLOOKUP(CS685&amp;CT685,VLOOKUP!$A$4:$A$250&amp;VLOOKUP!$B$4:$B$250,VLOOKUP!$D$4:$D$250,"0"))</f>
        <v>44</v>
      </c>
    </row>
    <row r="686" spans="1:101">
      <c r="A686" s="17" t="s">
        <v>1319</v>
      </c>
      <c r="B686" s="17" t="s">
        <v>1320</v>
      </c>
      <c r="C686" s="17" t="s">
        <v>86</v>
      </c>
      <c r="D686" s="26">
        <v>40569</v>
      </c>
      <c r="F686" s="20" t="s">
        <v>87</v>
      </c>
      <c r="G686" s="17">
        <v>2026</v>
      </c>
      <c r="I686" s="20">
        <v>2</v>
      </c>
      <c r="J686" s="20" t="s">
        <v>100</v>
      </c>
      <c r="K686" s="20" t="s">
        <v>556</v>
      </c>
      <c r="L686" s="20"/>
      <c r="S686" s="20">
        <v>83.5</v>
      </c>
      <c r="T686" s="20">
        <v>161.9</v>
      </c>
      <c r="U686" s="17">
        <v>61.8</v>
      </c>
      <c r="V686" s="17">
        <v>32.6</v>
      </c>
      <c r="W686" s="17">
        <v>17.3</v>
      </c>
      <c r="X686" s="17">
        <v>44.5</v>
      </c>
      <c r="Y686" s="17">
        <v>24.6</v>
      </c>
      <c r="AA686" s="17">
        <v>27.9</v>
      </c>
      <c r="AB686" s="17">
        <v>7.1</v>
      </c>
      <c r="AC686" s="17">
        <v>107.1</v>
      </c>
      <c r="AD686" s="17">
        <v>7.02</v>
      </c>
      <c r="AE686" s="17">
        <v>105.9</v>
      </c>
      <c r="AF686" s="17">
        <v>2.9</v>
      </c>
      <c r="AG686" s="17">
        <v>120.7</v>
      </c>
      <c r="AH686" s="17">
        <v>2.8</v>
      </c>
      <c r="AI686" s="17">
        <v>119.9</v>
      </c>
      <c r="AJ686" s="17">
        <v>267.8</v>
      </c>
      <c r="AK686" s="17">
        <v>272.10000000000002</v>
      </c>
      <c r="AL686" s="17">
        <v>236.1</v>
      </c>
      <c r="AM686" s="17">
        <v>240.4</v>
      </c>
      <c r="AN686" s="17">
        <v>97</v>
      </c>
      <c r="AQ686" s="17">
        <v>25.9</v>
      </c>
      <c r="AR686" s="17">
        <v>0.46</v>
      </c>
      <c r="AS686" s="17">
        <v>31.5</v>
      </c>
      <c r="AT686" s="17">
        <v>0.50700000000000001</v>
      </c>
      <c r="AU686" s="17">
        <v>17.100000000000001</v>
      </c>
      <c r="AV686" s="17">
        <v>0.373</v>
      </c>
      <c r="AW686" s="17">
        <v>20.7</v>
      </c>
      <c r="AX686" s="17">
        <v>0.41099999999999998</v>
      </c>
      <c r="AY686" s="41">
        <f>IF(OR(ISBLANK(U686), ISBLANK(AQ686)), "Incomplete", (60.7*AQ686)+(45.3*U686)-2055)</f>
        <v>2316.6699999999992</v>
      </c>
      <c r="BA686" s="20">
        <f>IF(OR(ISBLANK(U686), ISBLANK(AS686)), "Incomplete", (60.7*AS686)+(45.3*U686)-2055)</f>
        <v>2656.59</v>
      </c>
      <c r="BC686" s="20">
        <f>IF(OR(ISBLANK(U686), ISBLANK(AU686)), "Incomplete", (60.7*AU686)+(45.3*U686)-2055)</f>
        <v>1782.5099999999993</v>
      </c>
      <c r="BE686" s="20">
        <f>IF(OR(ISBLANK(U686), ISBLANK(AW686)), "Incomplete", (60.7*AW686)+(45.3*U686)-2055)</f>
        <v>2001.0299999999997</v>
      </c>
      <c r="BG686" s="17">
        <v>7</v>
      </c>
      <c r="BH686" s="17">
        <v>37.5</v>
      </c>
      <c r="BI686" s="20">
        <f>IF(OR(ISBLANK(BG686), ISBLANK(BH686)),"Incomplete",(SUM(BH686-BG686)))</f>
        <v>30.5</v>
      </c>
      <c r="BJ686" s="20"/>
      <c r="BK686" s="17">
        <v>12</v>
      </c>
      <c r="BL686" s="20"/>
      <c r="BM686" s="17">
        <v>11</v>
      </c>
      <c r="BN686" s="20"/>
      <c r="BO686" s="17">
        <v>48</v>
      </c>
      <c r="BP686" s="17">
        <v>49</v>
      </c>
      <c r="BQ686" s="17">
        <v>89</v>
      </c>
      <c r="BR686" s="17">
        <v>90</v>
      </c>
      <c r="BS686" s="17">
        <v>81</v>
      </c>
      <c r="BT686" s="17">
        <v>85</v>
      </c>
      <c r="BU686" s="17">
        <v>82</v>
      </c>
      <c r="BV686" s="17">
        <v>86</v>
      </c>
      <c r="BW686" s="91">
        <f t="shared" si="209"/>
        <v>110.54421768707483</v>
      </c>
      <c r="BX686" s="91" t="str">
        <f>_xlfn.XLOOKUP(BW686,'Normative data'!$V$3:$V$6,'Normative data'!$W$3:$W$6,"Not Found",-1)</f>
        <v>Low risk</v>
      </c>
      <c r="BY686" s="91">
        <f t="shared" si="210"/>
        <v>107.56802721088434</v>
      </c>
      <c r="BZ686" s="91" t="str">
        <f>_xlfn.XLOOKUP(BY686,'Normative data'!$V$3:$V$6,'Normative data'!$W$3:$W$6,"Not Found",-1)</f>
        <v>Low risk</v>
      </c>
      <c r="CA686" s="17">
        <v>36</v>
      </c>
      <c r="CC686" s="20"/>
      <c r="CE686" s="17">
        <v>20</v>
      </c>
      <c r="CG686" s="17">
        <v>18.27</v>
      </c>
      <c r="CH686" s="20" t="str">
        <f>_xlfn.XLOOKUP(CG686, 'Normative data'!$S$9:$S$15,'Normative data'!$T$9:$T$15, "Not Found", -1)</f>
        <v>Average</v>
      </c>
      <c r="CI686" s="17">
        <v>19.18</v>
      </c>
      <c r="CJ686" s="20" t="str">
        <f>_xlfn.XLOOKUP(CI686, 'Normative data'!$S$9:$S$15, 'Normative data'!$T$9:$T$15, "Not Found", -1)</f>
        <v>Average</v>
      </c>
      <c r="CK686" s="17">
        <v>2.2200000000000002</v>
      </c>
      <c r="CL686" s="17">
        <v>4.5</v>
      </c>
      <c r="CN686" s="17">
        <v>6.84</v>
      </c>
      <c r="CO686" s="17">
        <v>7.31</v>
      </c>
      <c r="CQ686" s="17">
        <v>4.5</v>
      </c>
      <c r="CR686" s="20" t="str" cm="1">
        <f t="array" ref="CR686">IF(OR(ISBLANK(E686),ISBLANK(CQ686)),"Incomplete",_xlfn.XLOOKUP(CQ686,_xlfn.XLOOKUP(E686,'Normative data'!$Y$3:$Y$6,'Normative data'!$Z$3:$AG$6,,-1),'Normative data'!$Z$2:$AG$2,"Not Found",-1))</f>
        <v>Incomplete</v>
      </c>
      <c r="CS686" s="20">
        <v>4</v>
      </c>
      <c r="CT686" s="20">
        <v>5</v>
      </c>
      <c r="CU686" s="20" cm="1">
        <f t="array" ref="CU686">_xlfn.XLOOKUP(CS686&amp;CT686,(VLOOKUP!$A$3:$A$250)&amp;(VLOOKUP!$B$3:$B$250),VLOOKUP!$C$3:$C$250,"Incomplete",-1)</f>
        <v>560</v>
      </c>
      <c r="CV686" s="20" t="str" cm="1">
        <f t="array" ref="CV686">_xlfn.XLOOKUP(CU686, _xlfn.XLOOKUP(E686, 'Normative data'!$Y$11:$Y$14, 'Normative data'!$Z$11:$AG$14, ,-1), 'Normative data'!$Z$10:$AG$10, "Not Found", -1)</f>
        <v xml:space="preserve">Poor </v>
      </c>
      <c r="CW686" s="20" cm="1">
        <f t="array" ref="CW686">IF(OR(ISBLANK(CS686),ISBLANK(CT686)),"Incomplete",_xlfn.XLOOKUP(CS686&amp;CT686,VLOOKUP!$A$4:$A$250&amp;VLOOKUP!$B$4:$B$250,VLOOKUP!$D$4:$D$250,"0"))</f>
        <v>28</v>
      </c>
    </row>
    <row r="687" spans="1:101">
      <c r="A687" s="17" t="s">
        <v>220</v>
      </c>
      <c r="B687" s="17" t="s">
        <v>953</v>
      </c>
      <c r="C687" s="17" t="s">
        <v>86</v>
      </c>
      <c r="D687" s="26">
        <v>40690</v>
      </c>
      <c r="E687" s="17">
        <v>14.9</v>
      </c>
      <c r="F687" s="20" t="s">
        <v>217</v>
      </c>
      <c r="G687" s="17">
        <v>2026</v>
      </c>
      <c r="I687" s="20">
        <v>2</v>
      </c>
      <c r="J687" s="20" t="s">
        <v>88</v>
      </c>
      <c r="K687" s="20" t="s">
        <v>765</v>
      </c>
      <c r="L687" s="20"/>
      <c r="S687" s="20">
        <v>85</v>
      </c>
      <c r="T687" s="20">
        <v>158.5</v>
      </c>
      <c r="U687" s="17">
        <v>55.4</v>
      </c>
      <c r="V687" s="17">
        <v>30.4</v>
      </c>
      <c r="W687" s="17">
        <v>13.9</v>
      </c>
      <c r="X687" s="17">
        <v>41.5</v>
      </c>
      <c r="Y687" s="17">
        <v>22.8</v>
      </c>
      <c r="Z687" s="17">
        <v>22.1</v>
      </c>
      <c r="AA687" s="17">
        <v>25</v>
      </c>
      <c r="AB687" s="17">
        <v>6.12</v>
      </c>
      <c r="AC687" s="17">
        <v>104.5</v>
      </c>
      <c r="AD687" s="17">
        <v>6.07</v>
      </c>
      <c r="AE687" s="17">
        <v>103.6</v>
      </c>
      <c r="AF687" s="17">
        <v>2.2000000000000002</v>
      </c>
      <c r="AG687" s="17">
        <v>105.7</v>
      </c>
      <c r="AH687" s="17">
        <v>2.2000000000000002</v>
      </c>
      <c r="AI687" s="17">
        <v>104.9</v>
      </c>
      <c r="AJ687" s="17">
        <v>306.7</v>
      </c>
      <c r="AK687" s="17">
        <v>310.5</v>
      </c>
      <c r="AL687" s="17">
        <v>267.89999999999998</v>
      </c>
      <c r="AM687" s="17">
        <v>273.39999999999998</v>
      </c>
      <c r="AN687" s="17">
        <v>93</v>
      </c>
      <c r="AO687" s="17">
        <v>0.84</v>
      </c>
      <c r="AP687" s="17">
        <v>6.5</v>
      </c>
      <c r="AQ687" s="17">
        <v>28.7</v>
      </c>
      <c r="AR687" s="17">
        <v>0.48399999999999999</v>
      </c>
      <c r="AS687" s="17">
        <v>32.4</v>
      </c>
      <c r="AT687" s="17">
        <v>0.51400000000000001</v>
      </c>
      <c r="AU687" s="17">
        <v>10</v>
      </c>
      <c r="AV687" s="17">
        <v>0.28599999999999998</v>
      </c>
      <c r="AW687" s="17">
        <v>14.5</v>
      </c>
      <c r="AX687" s="17">
        <v>0.34399999999999997</v>
      </c>
      <c r="AY687" s="41">
        <f>IF(OR(ISBLANK(U687), ISBLANK(AQ687)), "Incomplete", (60.7*AQ687)+(45.3*U687)-2055)</f>
        <v>2196.71</v>
      </c>
      <c r="BA687" s="20">
        <f>IF(OR(ISBLANK(U687), ISBLANK(AS687)), "Incomplete", (60.7*AS687)+(45.3*U687)-2055)</f>
        <v>2421.3000000000002</v>
      </c>
      <c r="BC687" s="20">
        <f>IF(OR(ISBLANK(U687), ISBLANK(AU687)), "Incomplete", (60.7*AU687)+(45.3*U687)-2055)</f>
        <v>1061.6199999999999</v>
      </c>
      <c r="BE687" s="20">
        <f>IF(OR(ISBLANK(U687), ISBLANK(AW687)), "Incomplete", (60.7*AW687)+(45.3*U687)-2055)</f>
        <v>1334.77</v>
      </c>
      <c r="BG687" s="17">
        <v>12.7</v>
      </c>
      <c r="BH687" s="17">
        <v>52</v>
      </c>
      <c r="BI687" s="20">
        <f>IF(OR(ISBLANK(BG687), ISBLANK(BH687)),"Incomplete",(SUM(BH687-BG687)))</f>
        <v>39.299999999999997</v>
      </c>
      <c r="BJ687" s="20"/>
      <c r="BK687" s="17">
        <v>7.5</v>
      </c>
      <c r="BL687" s="20"/>
      <c r="BM687" s="17">
        <v>10</v>
      </c>
      <c r="BN687" s="20"/>
      <c r="BO687" s="17">
        <v>51</v>
      </c>
      <c r="BP687" s="17">
        <v>52</v>
      </c>
      <c r="BQ687" s="17">
        <v>82</v>
      </c>
      <c r="BR687" s="17">
        <v>75</v>
      </c>
      <c r="BS687" s="17">
        <v>73</v>
      </c>
      <c r="BT687" s="17">
        <v>77</v>
      </c>
      <c r="BU687" s="17">
        <v>79</v>
      </c>
      <c r="BV687" s="17">
        <v>80</v>
      </c>
      <c r="BW687" s="91">
        <f t="shared" si="209"/>
        <v>104.30839002267574</v>
      </c>
      <c r="BX687" s="91" t="str">
        <f>_xlfn.XLOOKUP(BW687,'Normative data'!$V$3:$V$6,'Normative data'!$W$3:$W$6,"Not Found",-1)</f>
        <v>Low risk</v>
      </c>
      <c r="BY687" s="91">
        <f t="shared" si="210"/>
        <v>107.02947845804988</v>
      </c>
      <c r="BZ687" s="91" t="str">
        <f>_xlfn.XLOOKUP(BY687,'Normative data'!$V$3:$V$6,'Normative data'!$W$3:$W$6,"Not Found",-1)</f>
        <v>Low risk</v>
      </c>
      <c r="CA687" s="17">
        <v>35</v>
      </c>
      <c r="CC687" s="20"/>
      <c r="CE687" s="17">
        <v>33</v>
      </c>
      <c r="CG687" s="17">
        <v>17.89</v>
      </c>
      <c r="CH687" s="20" t="str">
        <f>_xlfn.XLOOKUP(CG687, 'Normative data'!$S$9:$S$15,'Normative data'!$T$9:$T$15, "Not Found", -1)</f>
        <v>Above Average</v>
      </c>
      <c r="CI687" s="17">
        <v>17.78</v>
      </c>
      <c r="CJ687" s="20" t="str">
        <f>_xlfn.XLOOKUP(CI687, 'Normative data'!$S$9:$S$15, 'Normative data'!$T$9:$T$15, "Not Found", -1)</f>
        <v>Above Average</v>
      </c>
      <c r="CK687" s="17">
        <v>2.27</v>
      </c>
      <c r="CL687" s="17">
        <v>4.41</v>
      </c>
      <c r="CN687" s="17">
        <v>6.72</v>
      </c>
      <c r="CO687" s="17">
        <v>7.44</v>
      </c>
      <c r="CQ687" s="17">
        <v>6.5</v>
      </c>
      <c r="CR687" s="20" t="str" cm="1">
        <f t="array" ref="CR687">IF(OR(ISBLANK(E687),ISBLANK(CQ687)),"Incomplete",_xlfn.XLOOKUP(CQ687,_xlfn.XLOOKUP(E687,'Normative data'!$Y$3:$Y$6,'Normative data'!$Z$3:$AG$6,,-1),'Normative data'!$Z$2:$AG$2,"Not Found",-1))</f>
        <v>Average</v>
      </c>
      <c r="CS687" s="20">
        <v>6</v>
      </c>
      <c r="CT687" s="20">
        <v>5</v>
      </c>
      <c r="CU687" s="20" cm="1">
        <f t="array" ref="CU687">_xlfn.XLOOKUP(CS687&amp;CT687,(VLOOKUP!$A$3:$A$250)&amp;(VLOOKUP!$B$3:$B$250),VLOOKUP!$C$3:$C$250,"Incomplete",-1)</f>
        <v>920</v>
      </c>
      <c r="CV687" s="20" t="str" cm="1">
        <f t="array" ref="CV687">_xlfn.XLOOKUP(CU687, _xlfn.XLOOKUP(E687, 'Normative data'!$Y$11:$Y$14, 'Normative data'!$Z$11:$AG$14, ,-1), 'Normative data'!$Z$10:$AG$10, "Not Found", -1)</f>
        <v>Average</v>
      </c>
      <c r="CW687" s="20" cm="1">
        <f t="array" ref="CW687">IF(OR(ISBLANK(CS687),ISBLANK(CT687)),"Incomplete",_xlfn.XLOOKUP(CS687&amp;CT687,VLOOKUP!$A$4:$A$250&amp;VLOOKUP!$B$4:$B$250,VLOOKUP!$D$4:$D$250,"0"))</f>
        <v>35</v>
      </c>
    </row>
    <row r="688" spans="1:101">
      <c r="A688" s="17" t="s">
        <v>1321</v>
      </c>
      <c r="B688" s="17" t="s">
        <v>1322</v>
      </c>
      <c r="C688" s="17" t="s">
        <v>86</v>
      </c>
      <c r="D688" s="23">
        <v>40443</v>
      </c>
      <c r="G688" s="17">
        <v>2025</v>
      </c>
      <c r="J688" s="17" t="s">
        <v>122</v>
      </c>
      <c r="S688" s="20"/>
      <c r="T688" s="20" t="s">
        <v>1323</v>
      </c>
      <c r="U688" s="20" t="s">
        <v>603</v>
      </c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>
        <v>25.4</v>
      </c>
      <c r="AR688" s="20">
        <v>0.45500000000000002</v>
      </c>
      <c r="AS688" s="20">
        <v>29.2</v>
      </c>
      <c r="AT688" s="20">
        <v>0.48799999999999999</v>
      </c>
      <c r="AU688" s="20">
        <v>14.2</v>
      </c>
      <c r="AV688" s="20">
        <v>0.34</v>
      </c>
      <c r="AW688" s="20">
        <v>13</v>
      </c>
      <c r="AX688" s="20">
        <v>0.32600000000000001</v>
      </c>
      <c r="AY688" s="41" t="e">
        <f>IF(OR(ISBLANK(U688), ISBLANK(#REF!)), "Incomplete", (60.7*#REF!)+(45.3*U688)-2055)</f>
        <v>#REF!</v>
      </c>
      <c r="AZ688" s="20"/>
      <c r="BA688" s="20" t="e">
        <f>IF(OR(ISBLANK(U688), ISBLANK(#REF!)), "Incomplete", (60.7*#REF!)+(45.3*U688)-2055)</f>
        <v>#REF!</v>
      </c>
      <c r="BB688" s="20"/>
      <c r="BC688" s="20" t="e">
        <f>IF(OR(ISBLANK(U688), ISBLANK(#REF!)), "Incomplete", (60.7*#REF!)+(45.3*U688)-2055)</f>
        <v>#REF!</v>
      </c>
      <c r="BD688" s="20"/>
      <c r="BE688" s="20" t="e">
        <f>IF(OR(ISBLANK(U688), ISBLANK(#REF!)), "Incomplete", (60.7*#REF!)+(45.3*U688)-2055)</f>
        <v>#REF!</v>
      </c>
      <c r="BF688" s="20"/>
      <c r="BG688" s="20">
        <v>15</v>
      </c>
      <c r="BH688" s="20">
        <v>47.2</v>
      </c>
      <c r="BI688" s="20" t="e">
        <f>IF(OR(ISBLANK(#REF!), ISBLANK(#REF!)),"Incomplete",(SUM(#REF!-#REF!)))</f>
        <v>#REF!</v>
      </c>
      <c r="BJ688" s="20"/>
      <c r="BK688" s="20">
        <v>13</v>
      </c>
      <c r="BL688" s="20"/>
      <c r="BM688" s="20">
        <v>13</v>
      </c>
      <c r="BN688" s="20"/>
      <c r="BO688" s="20"/>
      <c r="BP688" s="20"/>
      <c r="BQ688" s="20"/>
      <c r="BR688" s="20"/>
      <c r="BS688" s="20"/>
      <c r="BT688" s="20"/>
      <c r="BU688" s="20"/>
      <c r="BV688" s="20"/>
      <c r="BW688" s="91" t="str">
        <f t="shared" si="209"/>
        <v>Incomplete</v>
      </c>
      <c r="BX688" s="91" t="str">
        <f>_xlfn.XLOOKUP(BW688,'Normative data'!$V$3:$V$6,'Normative data'!$W$3:$W$6,"Not Found",-1)</f>
        <v>Very low risk</v>
      </c>
      <c r="BY688" s="91" t="str">
        <f t="shared" si="210"/>
        <v>Incomplete</v>
      </c>
      <c r="BZ688" s="91" t="str">
        <f>_xlfn.XLOOKUP(BY688,'Normative data'!$V$3:$V$6,'Normative data'!$W$3:$W$6,"Not Found",-1)</f>
        <v>Very low risk</v>
      </c>
      <c r="CA688" s="20"/>
      <c r="CC688" s="20"/>
      <c r="CE688" s="20">
        <v>16</v>
      </c>
      <c r="CG688" s="20">
        <v>17.39</v>
      </c>
      <c r="CH688" s="20" t="e">
        <f>_xlfn.XLOOKUP(#REF!, 'Normative data'!$S$9:$S$15,'Normative data'!$T$9:$T$15, "Not Found", -1)</f>
        <v>#REF!</v>
      </c>
      <c r="CI688" s="20">
        <v>17.02</v>
      </c>
      <c r="CJ688" s="20" t="e">
        <f>_xlfn.XLOOKUP(#REF!, 'Normative data'!$S$9:$S$15, 'Normative data'!$T$9:$T$15, "Not Found", -1)</f>
        <v>#REF!</v>
      </c>
      <c r="CK688" s="24">
        <v>2.21</v>
      </c>
      <c r="CL688" s="24">
        <v>4.5199999999999996</v>
      </c>
      <c r="CM688" s="21"/>
      <c r="CN688" s="24">
        <v>6.75</v>
      </c>
      <c r="CO688" s="24">
        <v>7.41</v>
      </c>
      <c r="CQ688" s="20"/>
      <c r="CR688" s="20" t="str" cm="1">
        <f t="array" ref="CR688">IF(OR(ISBLANK(E688),ISBLANK(CQ688)),"Incomplete",_xlfn.XLOOKUP(CQ688,_xlfn.XLOOKUP(E688,'Normative data'!$Y$3:$Y$6,'Normative data'!$Z$3:$AG$6,,-1),'Normative data'!$Z$2:$AG$2,"Not Found",-1))</f>
        <v>Incomplete</v>
      </c>
      <c r="CS688" s="20"/>
      <c r="CT688" s="20"/>
      <c r="CU688" s="20" t="str" cm="1">
        <f t="array" ref="CU688">_xlfn.XLOOKUP(CS688&amp;CT688,(VLOOKUP!$A$3:$A$250)&amp;(VLOOKUP!$B$3:$B$250),VLOOKUP!$C$3:$C$250,"Incomplete",-1)</f>
        <v>Incomplete</v>
      </c>
      <c r="CV688" s="20" t="str" cm="1">
        <f t="array" ref="CV688">_xlfn.XLOOKUP(CU688, _xlfn.XLOOKUP(E688, 'Normative data'!$Y$11:$Y$14, 'Normative data'!$Z$11:$AG$14, ,-1), 'Normative data'!$Z$10:$AG$10, "Not Found", -1)</f>
        <v>Excellent</v>
      </c>
      <c r="CW688" s="20" t="str" cm="1">
        <f t="array" ref="CW688">IF(OR(ISBLANK(CS688),ISBLANK(CT688)),"Incomplete",_xlfn.XLOOKUP(CS688&amp;CT688,VLOOKUP!$A$4:$A$250&amp;VLOOKUP!$B$4:$B$250,VLOOKUP!$D$4:$D$250,"0"))</f>
        <v>Incomplete</v>
      </c>
    </row>
    <row r="689" spans="1:101">
      <c r="A689" s="22" t="s">
        <v>1324</v>
      </c>
      <c r="B689" s="22" t="s">
        <v>1325</v>
      </c>
      <c r="C689" s="17" t="s">
        <v>86</v>
      </c>
      <c r="D689" s="23">
        <v>40514</v>
      </c>
      <c r="F689" s="17">
        <v>9</v>
      </c>
      <c r="G689" s="17">
        <v>2025</v>
      </c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41" t="str">
        <f>IF(OR(ISBLANK(U689), ISBLANK(AQ689)), "Incomplete", (60.7*AQ689)+(45.3*U689)-2055)</f>
        <v>Incomplete</v>
      </c>
      <c r="AZ689" s="20"/>
      <c r="BA689" s="20" t="str">
        <f>IF(OR(ISBLANK(U689), ISBLANK(AS689)), "Incomplete", (60.7*AS689)+(45.3*U689)-2055)</f>
        <v>Incomplete</v>
      </c>
      <c r="BB689" s="20"/>
      <c r="BC689" s="20" t="str">
        <f>IF(OR(ISBLANK(U689), ISBLANK(AU689)), "Incomplete", (60.7*AU689)+(45.3*U689)-2055)</f>
        <v>Incomplete</v>
      </c>
      <c r="BD689" s="20"/>
      <c r="BE689" s="20" t="str">
        <f>IF(OR(ISBLANK(U689), ISBLANK(AW689)), "Incomplete", (60.7*AW689)+(45.3*U689)-2055)</f>
        <v>Incomplete</v>
      </c>
      <c r="BF689" s="20"/>
      <c r="BG689" s="20">
        <v>18.5</v>
      </c>
      <c r="BH689" s="20">
        <v>44.1</v>
      </c>
      <c r="BI689" s="20">
        <f t="shared" ref="BI689:BI699" si="211">IF(OR(ISBLANK(BG689), ISBLANK(BH689)),"Incomplete",(SUM(BH689-BG689)))</f>
        <v>25.6</v>
      </c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91" t="str">
        <f t="shared" si="209"/>
        <v>Incomplete</v>
      </c>
      <c r="BX689" s="91" t="str">
        <f>_xlfn.XLOOKUP(BW689,'Normative data'!$V$3:$V$6,'Normative data'!$W$3:$W$6,"Not Found",-1)</f>
        <v>Very low risk</v>
      </c>
      <c r="BY689" s="91" t="str">
        <f t="shared" si="210"/>
        <v>Incomplete</v>
      </c>
      <c r="BZ689" s="91" t="str">
        <f>_xlfn.XLOOKUP(BY689,'Normative data'!$V$3:$V$6,'Normative data'!$W$3:$W$6,"Not Found",-1)</f>
        <v>Very low risk</v>
      </c>
      <c r="CA689" s="20"/>
      <c r="CC689" s="20"/>
      <c r="CE689" s="20">
        <v>15</v>
      </c>
      <c r="CG689" s="20"/>
      <c r="CH689" s="20" t="str">
        <f>_xlfn.XLOOKUP(CG689, 'Normative data'!$S$9:$S$15,'Normative data'!$T$9:$T$15, "Not Found", -1)</f>
        <v>not completed</v>
      </c>
      <c r="CI689" s="20"/>
      <c r="CJ689" s="20" t="str">
        <f>_xlfn.XLOOKUP(CI689, 'Normative data'!$S$9:$S$15, 'Normative data'!$T$9:$T$15, "Not Found", -1)</f>
        <v>not completed</v>
      </c>
      <c r="CK689" s="24">
        <v>2.04</v>
      </c>
      <c r="CL689" s="24">
        <v>4.9000000000000004</v>
      </c>
      <c r="CM689" s="21"/>
      <c r="CN689" s="24">
        <v>6.02</v>
      </c>
      <c r="CO689" s="24">
        <v>8.31</v>
      </c>
      <c r="CP689" s="24"/>
      <c r="CQ689" s="20"/>
      <c r="CR689" s="20" t="str" cm="1">
        <f t="array" ref="CR689">IF(OR(ISBLANK(E689),ISBLANK(CQ689)),"Incomplete",_xlfn.XLOOKUP(CQ689,_xlfn.XLOOKUP(E689,'Normative data'!$Y$3:$Y$6,'Normative data'!$Z$3:$AG$6,,-1),'Normative data'!$Z$2:$AG$2,"Not Found",-1))</f>
        <v>Incomplete</v>
      </c>
      <c r="CS689" s="20"/>
      <c r="CT689" s="20"/>
      <c r="CU689" s="20" t="str" cm="1">
        <f t="array" ref="CU689">_xlfn.XLOOKUP(CS689&amp;CT689,(VLOOKUP!$A$3:$A$250)&amp;(VLOOKUP!$B$3:$B$250),VLOOKUP!$C$3:$C$250,"Incomplete",-1)</f>
        <v>Incomplete</v>
      </c>
      <c r="CV689" s="20" t="str" cm="1">
        <f t="array" ref="CV689">_xlfn.XLOOKUP(CU689, _xlfn.XLOOKUP(E689, 'Normative data'!$Y$11:$Y$14, 'Normative data'!$Z$11:$AG$14, ,-1), 'Normative data'!$Z$10:$AG$10, "Not Found", -1)</f>
        <v>Excellent</v>
      </c>
      <c r="CW689" s="20" t="str" cm="1">
        <f t="array" ref="CW689">IF(OR(ISBLANK(CS689),ISBLANK(CT689)),"Incomplete",_xlfn.XLOOKUP(CS689&amp;CT689,VLOOKUP!$A$4:$A$250&amp;VLOOKUP!$B$4:$B$250,VLOOKUP!$D$4:$D$250,"0"))</f>
        <v>Incomplete</v>
      </c>
    </row>
    <row r="690" spans="1:101">
      <c r="A690" s="17" t="s">
        <v>1324</v>
      </c>
      <c r="B690" s="17" t="s">
        <v>1325</v>
      </c>
      <c r="C690" s="17" t="s">
        <v>86</v>
      </c>
      <c r="D690" s="23">
        <v>40514</v>
      </c>
      <c r="F690" s="17">
        <v>9</v>
      </c>
      <c r="G690" s="17">
        <v>2025</v>
      </c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41" t="str">
        <f>IF(OR(ISBLANK(U690), ISBLANK(AQ690)), "Incomplete", (60.7*AQ690)+(45.3*U690)-2055)</f>
        <v>Incomplete</v>
      </c>
      <c r="AZ690" s="20"/>
      <c r="BA690" s="20" t="str">
        <f>IF(OR(ISBLANK(U690), ISBLANK(AS690)), "Incomplete", (60.7*AS690)+(45.3*U690)-2055)</f>
        <v>Incomplete</v>
      </c>
      <c r="BB690" s="20"/>
      <c r="BC690" s="20" t="str">
        <f>IF(OR(ISBLANK(U690), ISBLANK(AU690)), "Incomplete", (60.7*AU690)+(45.3*U690)-2055)</f>
        <v>Incomplete</v>
      </c>
      <c r="BD690" s="20"/>
      <c r="BE690" s="20" t="str">
        <f>IF(OR(ISBLANK(U690), ISBLANK(AW690)), "Incomplete", (60.7*AW690)+(45.3*U690)-2055)</f>
        <v>Incomplete</v>
      </c>
      <c r="BF690" s="20"/>
      <c r="BG690" s="20"/>
      <c r="BH690" s="20"/>
      <c r="BI690" s="20" t="str">
        <f t="shared" si="211"/>
        <v>Incomplete</v>
      </c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91" t="str">
        <f t="shared" si="209"/>
        <v>Incomplete</v>
      </c>
      <c r="BX690" s="91" t="str">
        <f>_xlfn.XLOOKUP(BW690,'Normative data'!$V$3:$V$6,'Normative data'!$W$3:$W$6,"Not Found",-1)</f>
        <v>Very low risk</v>
      </c>
      <c r="BY690" s="91" t="str">
        <f t="shared" si="210"/>
        <v>Incomplete</v>
      </c>
      <c r="BZ690" s="91" t="str">
        <f>_xlfn.XLOOKUP(BY690,'Normative data'!$V$3:$V$6,'Normative data'!$W$3:$W$6,"Not Found",-1)</f>
        <v>Very low risk</v>
      </c>
      <c r="CA690" s="20"/>
      <c r="CC690" s="20"/>
      <c r="CE690" s="20"/>
      <c r="CG690" s="20"/>
      <c r="CH690" s="20" t="str">
        <f>_xlfn.XLOOKUP(CG690, 'Normative data'!$S$9:$S$15,'Normative data'!$T$9:$T$15, "Not Found", -1)</f>
        <v>not completed</v>
      </c>
      <c r="CI690" s="20"/>
      <c r="CJ690" s="20" t="str">
        <f>_xlfn.XLOOKUP(CI690, 'Normative data'!$S$9:$S$15, 'Normative data'!$T$9:$T$15, "Not Found", -1)</f>
        <v>not completed</v>
      </c>
      <c r="CK690" s="20" t="s">
        <v>1326</v>
      </c>
      <c r="CL690" s="20" t="s">
        <v>1327</v>
      </c>
      <c r="CN690" s="20" t="s">
        <v>1328</v>
      </c>
      <c r="CO690" s="20" t="s">
        <v>1329</v>
      </c>
      <c r="CQ690" s="20"/>
      <c r="CR690" s="20" t="str" cm="1">
        <f t="array" ref="CR690">IF(OR(ISBLANK(E690),ISBLANK(CQ690)),"Incomplete",_xlfn.XLOOKUP(CQ690,_xlfn.XLOOKUP(E690,'Normative data'!$Y$3:$Y$6,'Normative data'!$Z$3:$AG$6,,-1),'Normative data'!$Z$2:$AG$2,"Not Found",-1))</f>
        <v>Incomplete</v>
      </c>
      <c r="CS690" s="20"/>
      <c r="CT690" s="20"/>
      <c r="CU690" s="20" t="str" cm="1">
        <f t="array" ref="CU690">_xlfn.XLOOKUP(CS690&amp;CT690,(VLOOKUP!$A$3:$A$250)&amp;(VLOOKUP!$B$3:$B$250),VLOOKUP!$C$3:$C$250,"Incomplete",-1)</f>
        <v>Incomplete</v>
      </c>
      <c r="CV690" s="20" t="str" cm="1">
        <f t="array" ref="CV690">_xlfn.XLOOKUP(CU690, _xlfn.XLOOKUP(E690, 'Normative data'!$Y$11:$Y$14, 'Normative data'!$Z$11:$AG$14, ,-1), 'Normative data'!$Z$10:$AG$10, "Not Found", -1)</f>
        <v>Excellent</v>
      </c>
      <c r="CW690" s="20" t="str" cm="1">
        <f t="array" ref="CW690">IF(OR(ISBLANK(CS690),ISBLANK(CT690)),"Incomplete",_xlfn.XLOOKUP(CS690&amp;CT690,VLOOKUP!$A$4:$A$250&amp;VLOOKUP!$B$4:$B$250,VLOOKUP!$D$4:$D$250,"0"))</f>
        <v>Incomplete</v>
      </c>
    </row>
    <row r="691" spans="1:101">
      <c r="A691" s="22" t="s">
        <v>946</v>
      </c>
      <c r="B691" s="22" t="s">
        <v>1330</v>
      </c>
      <c r="C691" s="17" t="s">
        <v>86</v>
      </c>
      <c r="D691" s="23">
        <v>40585</v>
      </c>
      <c r="F691" s="17">
        <v>8</v>
      </c>
      <c r="G691" s="17">
        <v>2025</v>
      </c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41" t="str">
        <f>IF(OR(ISBLANK(U691), ISBLANK(AQ691)), "Incomplete", (60.7*AQ691)+(45.3*U691)-2055)</f>
        <v>Incomplete</v>
      </c>
      <c r="AZ691" s="20"/>
      <c r="BA691" s="20" t="str">
        <f>IF(OR(ISBLANK(U691), ISBLANK(AS691)), "Incomplete", (60.7*AS691)+(45.3*U691)-2055)</f>
        <v>Incomplete</v>
      </c>
      <c r="BB691" s="20"/>
      <c r="BC691" s="20" t="str">
        <f>IF(OR(ISBLANK(U691), ISBLANK(AU691)), "Incomplete", (60.7*AU691)+(45.3*U691)-2055)</f>
        <v>Incomplete</v>
      </c>
      <c r="BD691" s="20"/>
      <c r="BE691" s="20" t="str">
        <f>IF(OR(ISBLANK(U691), ISBLANK(AW691)), "Incomplete", (60.7*AW691)+(45.3*U691)-2055)</f>
        <v>Incomplete</v>
      </c>
      <c r="BF691" s="20"/>
      <c r="BG691" s="20">
        <v>10.5</v>
      </c>
      <c r="BH691" s="20">
        <v>28</v>
      </c>
      <c r="BI691" s="20">
        <f t="shared" si="211"/>
        <v>17.5</v>
      </c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91" t="str">
        <f t="shared" si="209"/>
        <v>Incomplete</v>
      </c>
      <c r="BX691" s="91" t="str">
        <f>_xlfn.XLOOKUP(BW691,'Normative data'!$V$3:$V$6,'Normative data'!$W$3:$W$6,"Not Found",-1)</f>
        <v>Very low risk</v>
      </c>
      <c r="BY691" s="91" t="str">
        <f t="shared" si="210"/>
        <v>Incomplete</v>
      </c>
      <c r="BZ691" s="91" t="str">
        <f>_xlfn.XLOOKUP(BY691,'Normative data'!$V$3:$V$6,'Normative data'!$W$3:$W$6,"Not Found",-1)</f>
        <v>Very low risk</v>
      </c>
      <c r="CA691" s="20"/>
      <c r="CC691" s="20"/>
      <c r="CE691" s="20">
        <v>3</v>
      </c>
      <c r="CG691" s="20"/>
      <c r="CH691" s="20" t="str">
        <f>_xlfn.XLOOKUP(CG691, 'Normative data'!$S$9:$S$15,'Normative data'!$T$9:$T$15, "Not Found", -1)</f>
        <v>not completed</v>
      </c>
      <c r="CI691" s="20"/>
      <c r="CJ691" s="20" t="str">
        <f>_xlfn.XLOOKUP(CI691, 'Normative data'!$S$9:$S$15, 'Normative data'!$T$9:$T$15, "Not Found", -1)</f>
        <v>not completed</v>
      </c>
      <c r="CK691" s="24">
        <v>2.66</v>
      </c>
      <c r="CL691" s="24">
        <v>3.76</v>
      </c>
      <c r="CM691" s="21"/>
      <c r="CN691" s="24">
        <v>8.09</v>
      </c>
      <c r="CO691" s="24">
        <v>6.18</v>
      </c>
      <c r="CP691" s="24"/>
      <c r="CQ691" s="20"/>
      <c r="CR691" s="20" t="str" cm="1">
        <f t="array" ref="CR691">IF(OR(ISBLANK(E691),ISBLANK(CQ691)),"Incomplete",_xlfn.XLOOKUP(CQ691,_xlfn.XLOOKUP(E691,'Normative data'!$Y$3:$Y$6,'Normative data'!$Z$3:$AG$6,,-1),'Normative data'!$Z$2:$AG$2,"Not Found",-1))</f>
        <v>Incomplete</v>
      </c>
      <c r="CS691" s="20"/>
      <c r="CT691" s="20"/>
      <c r="CU691" s="20" t="str" cm="1">
        <f t="array" ref="CU691">_xlfn.XLOOKUP(CS691&amp;CT691,(VLOOKUP!$A$3:$A$250)&amp;(VLOOKUP!$B$3:$B$250),VLOOKUP!$C$3:$C$250,"Incomplete",-1)</f>
        <v>Incomplete</v>
      </c>
      <c r="CV691" s="20" t="str" cm="1">
        <f t="array" ref="CV691">_xlfn.XLOOKUP(CU691, _xlfn.XLOOKUP(E691, 'Normative data'!$Y$11:$Y$14, 'Normative data'!$Z$11:$AG$14, ,-1), 'Normative data'!$Z$10:$AG$10, "Not Found", -1)</f>
        <v>Excellent</v>
      </c>
      <c r="CW691" s="20" t="str" cm="1">
        <f t="array" ref="CW691">IF(OR(ISBLANK(CS691),ISBLANK(CT691)),"Incomplete",_xlfn.XLOOKUP(CS691&amp;CT691,VLOOKUP!$A$4:$A$250&amp;VLOOKUP!$B$4:$B$250,VLOOKUP!$D$4:$D$250,"0"))</f>
        <v>Incomplete</v>
      </c>
    </row>
    <row r="692" spans="1:101">
      <c r="A692" s="18" t="s">
        <v>238</v>
      </c>
      <c r="B692" s="18" t="s">
        <v>237</v>
      </c>
      <c r="C692" s="17" t="s">
        <v>86</v>
      </c>
      <c r="D692" s="19">
        <v>40827</v>
      </c>
      <c r="F692" s="17">
        <v>8</v>
      </c>
      <c r="G692" s="17">
        <v>2025</v>
      </c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41" t="str">
        <f>IF(OR(ISBLANK(U692), ISBLANK(AQ692)), "Incomplete", (60.7*AQ692)+(45.3*U692)-2055)</f>
        <v>Incomplete</v>
      </c>
      <c r="AZ692" s="20"/>
      <c r="BA692" s="20" t="str">
        <f>IF(OR(ISBLANK(U692), ISBLANK(AS692)), "Incomplete", (60.7*AS692)+(45.3*U692)-2055)</f>
        <v>Incomplete</v>
      </c>
      <c r="BB692" s="20"/>
      <c r="BC692" s="20" t="str">
        <f>IF(OR(ISBLANK(U692), ISBLANK(AU692)), "Incomplete", (60.7*AU692)+(45.3*U692)-2055)</f>
        <v>Incomplete</v>
      </c>
      <c r="BD692" s="20"/>
      <c r="BE692" s="20" t="str">
        <f>IF(OR(ISBLANK(U692), ISBLANK(AW692)), "Incomplete", (60.7*AW692)+(45.3*U692)-2055)</f>
        <v>Incomplete</v>
      </c>
      <c r="BF692" s="20"/>
      <c r="BG692" s="20">
        <v>11</v>
      </c>
      <c r="BH692" s="20">
        <v>22.3</v>
      </c>
      <c r="BI692" s="20">
        <f t="shared" si="211"/>
        <v>11.3</v>
      </c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91" t="str">
        <f t="shared" si="209"/>
        <v>Incomplete</v>
      </c>
      <c r="BX692" s="91" t="str">
        <f>_xlfn.XLOOKUP(BW692,'Normative data'!$V$3:$V$6,'Normative data'!$W$3:$W$6,"Not Found",-1)</f>
        <v>Very low risk</v>
      </c>
      <c r="BY692" s="91" t="str">
        <f t="shared" si="210"/>
        <v>Incomplete</v>
      </c>
      <c r="BZ692" s="91" t="str">
        <f>_xlfn.XLOOKUP(BY692,'Normative data'!$V$3:$V$6,'Normative data'!$W$3:$W$6,"Not Found",-1)</f>
        <v>Very low risk</v>
      </c>
      <c r="CA692" s="20"/>
      <c r="CC692" s="20"/>
      <c r="CE692" s="20">
        <v>1</v>
      </c>
      <c r="CG692" s="20"/>
      <c r="CH692" s="20" t="str">
        <f>_xlfn.XLOOKUP(CG692, 'Normative data'!$S$9:$S$15,'Normative data'!$T$9:$T$15, "Not Found", -1)</f>
        <v>not completed</v>
      </c>
      <c r="CI692" s="20"/>
      <c r="CJ692" s="20" t="str">
        <f>_xlfn.XLOOKUP(CI692, 'Normative data'!$S$9:$S$15, 'Normative data'!$T$9:$T$15, "Not Found", -1)</f>
        <v>not completed</v>
      </c>
      <c r="CK692" s="21">
        <v>2.37</v>
      </c>
      <c r="CL692" s="21">
        <v>4.22</v>
      </c>
      <c r="CM692" s="21"/>
      <c r="CN692" s="21">
        <v>7.44</v>
      </c>
      <c r="CO692" s="21">
        <v>6.72</v>
      </c>
      <c r="CP692" s="21"/>
      <c r="CQ692" s="20"/>
      <c r="CR692" s="20" t="str" cm="1">
        <f t="array" ref="CR692">IF(OR(ISBLANK(E692),ISBLANK(CQ692)),"Incomplete",_xlfn.XLOOKUP(CQ692,_xlfn.XLOOKUP(E692,'Normative data'!$Y$3:$Y$6,'Normative data'!$Z$3:$AG$6,,-1),'Normative data'!$Z$2:$AG$2,"Not Found",-1))</f>
        <v>Incomplete</v>
      </c>
      <c r="CS692" s="20"/>
      <c r="CT692" s="20"/>
      <c r="CU692" s="20" t="str" cm="1">
        <f t="array" ref="CU692">_xlfn.XLOOKUP(CS692&amp;CT692,(VLOOKUP!$A$3:$A$250)&amp;(VLOOKUP!$B$3:$B$250),VLOOKUP!$C$3:$C$250,"Incomplete",-1)</f>
        <v>Incomplete</v>
      </c>
      <c r="CV692" s="20" t="str" cm="1">
        <f t="array" ref="CV692">_xlfn.XLOOKUP(CU692, _xlfn.XLOOKUP(E692, 'Normative data'!$Y$11:$Y$14, 'Normative data'!$Z$11:$AG$14, ,-1), 'Normative data'!$Z$10:$AG$10, "Not Found", -1)</f>
        <v>Excellent</v>
      </c>
      <c r="CW692" s="20" t="str" cm="1">
        <f t="array" ref="CW692">IF(OR(ISBLANK(CS692),ISBLANK(CT692)),"Incomplete",_xlfn.XLOOKUP(CS692&amp;CT692,VLOOKUP!$A$4:$A$250&amp;VLOOKUP!$B$4:$B$250,VLOOKUP!$D$4:$D$250,"0"))</f>
        <v>Incomplete</v>
      </c>
    </row>
    <row r="693" spans="1:101">
      <c r="A693" s="18" t="s">
        <v>754</v>
      </c>
      <c r="B693" s="18" t="s">
        <v>753</v>
      </c>
      <c r="C693" s="17" t="s">
        <v>86</v>
      </c>
      <c r="D693" s="19">
        <v>39761</v>
      </c>
      <c r="F693" s="17">
        <v>11</v>
      </c>
      <c r="G693" s="17">
        <v>2025</v>
      </c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41" t="str">
        <f>IF(OR(ISBLANK(U693), ISBLANK(AQ693)), "Incomplete", (60.7*AQ693)+(45.3*U693)-2055)</f>
        <v>Incomplete</v>
      </c>
      <c r="AZ693" s="20"/>
      <c r="BA693" s="20" t="str">
        <f>IF(OR(ISBLANK(U693), ISBLANK(AS693)), "Incomplete", (60.7*AS693)+(45.3*U693)-2055)</f>
        <v>Incomplete</v>
      </c>
      <c r="BB693" s="20"/>
      <c r="BC693" s="20" t="str">
        <f>IF(OR(ISBLANK(U693), ISBLANK(AU693)), "Incomplete", (60.7*AU693)+(45.3*U693)-2055)</f>
        <v>Incomplete</v>
      </c>
      <c r="BD693" s="20"/>
      <c r="BE693" s="20" t="str">
        <f>IF(OR(ISBLANK(U693), ISBLANK(AW693)), "Incomplete", (60.7*AW693)+(45.3*U693)-2055)</f>
        <v>Incomplete</v>
      </c>
      <c r="BF693" s="20"/>
      <c r="BG693" s="20">
        <v>12</v>
      </c>
      <c r="BH693" s="20">
        <v>36</v>
      </c>
      <c r="BI693" s="20">
        <f t="shared" si="211"/>
        <v>24</v>
      </c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91" t="str">
        <f t="shared" si="209"/>
        <v>Incomplete</v>
      </c>
      <c r="BX693" s="91" t="str">
        <f>_xlfn.XLOOKUP(BW693,'Normative data'!$V$3:$V$6,'Normative data'!$W$3:$W$6,"Not Found",-1)</f>
        <v>Very low risk</v>
      </c>
      <c r="BY693" s="91" t="str">
        <f t="shared" si="210"/>
        <v>Incomplete</v>
      </c>
      <c r="BZ693" s="91" t="str">
        <f>_xlfn.XLOOKUP(BY693,'Normative data'!$V$3:$V$6,'Normative data'!$W$3:$W$6,"Not Found",-1)</f>
        <v>Very low risk</v>
      </c>
      <c r="CA693" s="20"/>
      <c r="CC693" s="20"/>
      <c r="CE693" s="20">
        <v>4</v>
      </c>
      <c r="CG693" s="20"/>
      <c r="CH693" s="20" t="str">
        <f>_xlfn.XLOOKUP(CG693, 'Normative data'!$S$9:$S$15,'Normative data'!$T$9:$T$15, "Not Found", -1)</f>
        <v>not completed</v>
      </c>
      <c r="CI693" s="20"/>
      <c r="CJ693" s="20" t="str">
        <f>_xlfn.XLOOKUP(CI693, 'Normative data'!$S$9:$S$15, 'Normative data'!$T$9:$T$15, "Not Found", -1)</f>
        <v>not completed</v>
      </c>
      <c r="CK693" s="21">
        <v>2.21</v>
      </c>
      <c r="CL693" s="21">
        <v>4.5199999999999996</v>
      </c>
      <c r="CM693" s="21"/>
      <c r="CN693" s="21">
        <v>7.02</v>
      </c>
      <c r="CO693" s="21">
        <v>7.12</v>
      </c>
      <c r="CP693" s="21"/>
      <c r="CQ693" s="20"/>
      <c r="CR693" s="20" t="str" cm="1">
        <f t="array" ref="CR693">IF(OR(ISBLANK(E693),ISBLANK(CQ693)),"Incomplete",_xlfn.XLOOKUP(CQ693,_xlfn.XLOOKUP(E693,'Normative data'!$Y$3:$Y$6,'Normative data'!$Z$3:$AG$6,,-1),'Normative data'!$Z$2:$AG$2,"Not Found",-1))</f>
        <v>Incomplete</v>
      </c>
      <c r="CS693" s="20"/>
      <c r="CT693" s="20"/>
      <c r="CU693" s="20" t="str" cm="1">
        <f t="array" ref="CU693">_xlfn.XLOOKUP(CS693&amp;CT693,(VLOOKUP!$A$3:$A$250)&amp;(VLOOKUP!$B$3:$B$250),VLOOKUP!$C$3:$C$250,"Incomplete",-1)</f>
        <v>Incomplete</v>
      </c>
      <c r="CV693" s="20" t="str" cm="1">
        <f t="array" ref="CV693">_xlfn.XLOOKUP(CU693, _xlfn.XLOOKUP(E693, 'Normative data'!$Y$11:$Y$14, 'Normative data'!$Z$11:$AG$14, ,-1), 'Normative data'!$Z$10:$AG$10, "Not Found", -1)</f>
        <v>Excellent</v>
      </c>
      <c r="CW693" s="20" t="str" cm="1">
        <f t="array" ref="CW693">IF(OR(ISBLANK(CS693),ISBLANK(CT693)),"Incomplete",_xlfn.XLOOKUP(CS693&amp;CT693,VLOOKUP!$A$4:$A$250&amp;VLOOKUP!$B$4:$B$250,VLOOKUP!$D$4:$D$250,"0"))</f>
        <v>Incomplete</v>
      </c>
    </row>
    <row r="694" spans="1:101" ht="13.9" customHeight="1">
      <c r="A694" s="17" t="s">
        <v>1134</v>
      </c>
      <c r="B694" s="17" t="s">
        <v>1331</v>
      </c>
      <c r="C694" s="17" t="s">
        <v>86</v>
      </c>
      <c r="D694" s="26"/>
      <c r="F694" s="17">
        <v>10</v>
      </c>
      <c r="G694" s="17">
        <v>2025</v>
      </c>
      <c r="J694" s="17" t="s">
        <v>122</v>
      </c>
      <c r="S694" s="20"/>
      <c r="T694" s="20" t="s">
        <v>1332</v>
      </c>
      <c r="U694" s="20" t="s">
        <v>1333</v>
      </c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>
        <v>20.399999999999999</v>
      </c>
      <c r="AR694" s="20">
        <v>0.40799999999999997</v>
      </c>
      <c r="AS694" s="20">
        <v>27.7</v>
      </c>
      <c r="AT694" s="20">
        <v>0.47499999999999998</v>
      </c>
      <c r="AU694" s="20">
        <v>14.9</v>
      </c>
      <c r="AV694" s="20">
        <v>0.34899999999999998</v>
      </c>
      <c r="AW694" s="20">
        <v>14.2</v>
      </c>
      <c r="AX694" s="20">
        <v>0.34</v>
      </c>
      <c r="AY694" s="41" t="e">
        <f>IF(OR(ISBLANK(#REF!), ISBLANK(#REF!)), "Incomplete", (60.7*#REF!)+(45.3*#REF!)-2055)</f>
        <v>#REF!</v>
      </c>
      <c r="AZ694" s="20"/>
      <c r="BA694" s="20" t="e">
        <f>IF(OR(ISBLANK(#REF!), ISBLANK(#REF!)), "Incomplete", (60.7*#REF!)+(45.3*#REF!)-2055)</f>
        <v>#REF!</v>
      </c>
      <c r="BB694" s="20"/>
      <c r="BC694" s="20" t="e">
        <f>IF(OR(ISBLANK(#REF!), ISBLANK(#REF!)), "Incomplete", (60.7*#REF!)+(45.3*#REF!)-2055)</f>
        <v>#REF!</v>
      </c>
      <c r="BD694" s="20"/>
      <c r="BE694" s="20" t="e">
        <f>IF(OR(ISBLANK(#REF!), ISBLANK(#REF!)), "Incomplete", (60.7*#REF!)+(45.3*#REF!)-2055)</f>
        <v>#REF!</v>
      </c>
      <c r="BF694" s="20"/>
      <c r="BG694" s="20">
        <v>15</v>
      </c>
      <c r="BH694" s="20">
        <v>36</v>
      </c>
      <c r="BI694" s="20">
        <f t="shared" si="211"/>
        <v>21</v>
      </c>
      <c r="BJ694" s="20"/>
      <c r="BK694" s="20">
        <v>6</v>
      </c>
      <c r="BL694" s="20"/>
      <c r="BM694" s="20">
        <v>6</v>
      </c>
      <c r="BN694" s="20"/>
      <c r="BO694" s="20"/>
      <c r="BP694" s="20"/>
      <c r="BQ694" s="20"/>
      <c r="BR694" s="20"/>
      <c r="BS694" s="20"/>
      <c r="BT694" s="20"/>
      <c r="BU694" s="20"/>
      <c r="BV694" s="20"/>
      <c r="BW694" s="91" t="str">
        <f>IFERROR(SUM(BQ694+BR694+BS694)/(3*(#REF!-S694))*100, "Incomplete")</f>
        <v>Incomplete</v>
      </c>
      <c r="BX694" s="91" t="str">
        <f>_xlfn.XLOOKUP(BW694,'Normative data'!$V$3:$V$6,'Normative data'!$W$3:$W$6,"Not Found",-1)</f>
        <v>Very low risk</v>
      </c>
      <c r="BY694" s="91" t="str">
        <f>IFERROR(SUM(BT694+BU694+BV694)/(3*(#REF!-S694))*100, "Incomplete")</f>
        <v>Incomplete</v>
      </c>
      <c r="BZ694" s="91" t="str">
        <f>_xlfn.XLOOKUP(BY694,'Normative data'!$V$3:$V$6,'Normative data'!$W$3:$W$6,"Not Found",-1)</f>
        <v>Very low risk</v>
      </c>
      <c r="CA694" s="20"/>
      <c r="CC694" s="20"/>
      <c r="CE694" s="20">
        <v>1</v>
      </c>
      <c r="CG694" s="20">
        <v>18.34</v>
      </c>
      <c r="CH694" s="20" t="e">
        <f>_xlfn.XLOOKUP(#REF!, 'Normative data'!$S$9:$S$15,'Normative data'!$T$9:$T$15, "Not Found", -1)</f>
        <v>#REF!</v>
      </c>
      <c r="CI694" s="20">
        <v>18.440000000000001</v>
      </c>
      <c r="CJ694" s="20" t="e">
        <f>_xlfn.XLOOKUP(#REF!, 'Normative data'!$S$9:$S$15, 'Normative data'!$T$9:$T$15, "Not Found", -1)</f>
        <v>#REF!</v>
      </c>
      <c r="CK694" s="20" t="s">
        <v>817</v>
      </c>
      <c r="CL694" s="20" t="s">
        <v>818</v>
      </c>
      <c r="CM694" s="21"/>
      <c r="CN694" s="20" t="s">
        <v>379</v>
      </c>
      <c r="CO694" s="20" t="s">
        <v>380</v>
      </c>
      <c r="CQ694" s="20"/>
      <c r="CR694" s="20" t="str" cm="1">
        <f t="array" ref="CR694">IF(OR(ISBLANK(E694),ISBLANK(CQ694)),"Incomplete",_xlfn.XLOOKUP(CQ694,_xlfn.XLOOKUP(E694,'Normative data'!$Y$3:$Y$6,'Normative data'!$Z$3:$AG$6,,-1),'Normative data'!$Z$2:$AG$2,"Not Found",-1))</f>
        <v>Incomplete</v>
      </c>
      <c r="CS694" s="20"/>
      <c r="CT694" s="20"/>
      <c r="CU694" s="20" t="str" cm="1">
        <f t="array" ref="CU694">_xlfn.XLOOKUP(CS694&amp;CT694,(VLOOKUP!$A$3:$A$250)&amp;(VLOOKUP!$B$3:$B$250),VLOOKUP!$C$3:$C$250,"Incomplete",-1)</f>
        <v>Incomplete</v>
      </c>
      <c r="CV694" s="20" t="str" cm="1">
        <f t="array" ref="CV694">_xlfn.XLOOKUP(CU694, _xlfn.XLOOKUP(E694, 'Normative data'!$Y$11:$Y$14, 'Normative data'!$Z$11:$AG$14, ,-1), 'Normative data'!$Z$10:$AG$10, "Not Found", -1)</f>
        <v>Excellent</v>
      </c>
      <c r="CW694" s="20" t="str" cm="1">
        <f t="array" ref="CW694">IF(OR(ISBLANK(CS694),ISBLANK(CT694)),"Incomplete",_xlfn.XLOOKUP(CS694&amp;CT694,VLOOKUP!$A$4:$A$250&amp;VLOOKUP!$B$4:$B$250,VLOOKUP!$D$4:$D$250,"0"))</f>
        <v>Incomplete</v>
      </c>
    </row>
    <row r="695" spans="1:101" ht="13.9" customHeight="1">
      <c r="A695" s="17" t="s">
        <v>1134</v>
      </c>
      <c r="B695" s="17" t="s">
        <v>1331</v>
      </c>
      <c r="C695" s="17" t="s">
        <v>86</v>
      </c>
      <c r="D695" s="26"/>
      <c r="F695" s="17">
        <v>10</v>
      </c>
      <c r="G695" s="17">
        <v>2025</v>
      </c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41" t="str">
        <f t="shared" ref="AY695:AY700" si="212">IF(OR(ISBLANK(U695), ISBLANK(AQ695)), "Incomplete", (60.7*AQ695)+(45.3*U695)-2055)</f>
        <v>Incomplete</v>
      </c>
      <c r="AZ695" s="20"/>
      <c r="BA695" s="20" t="str">
        <f t="shared" ref="BA695:BA700" si="213">IF(OR(ISBLANK(U695), ISBLANK(AS695)), "Incomplete", (60.7*AS695)+(45.3*U695)-2055)</f>
        <v>Incomplete</v>
      </c>
      <c r="BB695" s="20"/>
      <c r="BC695" s="20" t="str">
        <f t="shared" ref="BC695:BC700" si="214">IF(OR(ISBLANK(U695), ISBLANK(AU695)), "Incomplete", (60.7*AU695)+(45.3*U695)-2055)</f>
        <v>Incomplete</v>
      </c>
      <c r="BD695" s="20"/>
      <c r="BE695" s="20" t="str">
        <f t="shared" ref="BE695:BE700" si="215">IF(OR(ISBLANK(U695), ISBLANK(AW695)), "Incomplete", (60.7*AW695)+(45.3*U695)-2055)</f>
        <v>Incomplete</v>
      </c>
      <c r="BF695" s="20"/>
      <c r="BG695" s="20"/>
      <c r="BH695" s="20"/>
      <c r="BI695" s="20" t="str">
        <f t="shared" si="211"/>
        <v>Incomplete</v>
      </c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91" t="str">
        <f t="shared" ref="BW695:BW700" si="216">IFERROR(SUM(BQ695+BR695+BS695)/(3*(T695-S695))*100, "Incomplete")</f>
        <v>Incomplete</v>
      </c>
      <c r="BX695" s="91" t="str">
        <f>_xlfn.XLOOKUP(BW695,'Normative data'!$V$3:$V$6,'Normative data'!$W$3:$W$6,"Not Found",-1)</f>
        <v>Very low risk</v>
      </c>
      <c r="BY695" s="91" t="str">
        <f t="shared" ref="BY695:BY700" si="217">IFERROR(SUM(BT695+BU695+BV695)/(3*(T695-S695))*100, "Incomplete")</f>
        <v>Incomplete</v>
      </c>
      <c r="BZ695" s="91" t="str">
        <f>_xlfn.XLOOKUP(BY695,'Normative data'!$V$3:$V$6,'Normative data'!$W$3:$W$6,"Not Found",-1)</f>
        <v>Very low risk</v>
      </c>
      <c r="CA695" s="20"/>
      <c r="CC695" s="20"/>
      <c r="CE695" s="20"/>
      <c r="CG695" s="20">
        <v>18.149999999999999</v>
      </c>
      <c r="CH695" s="20" t="str">
        <f>_xlfn.XLOOKUP(CG694, 'Normative data'!$S$9:$S$15,'Normative data'!$T$9:$T$15, "Not Found", -1)</f>
        <v>Average</v>
      </c>
      <c r="CI695" s="20">
        <v>18.14</v>
      </c>
      <c r="CJ695" s="20" t="str">
        <f>_xlfn.XLOOKUP(CI694, 'Normative data'!$S$9:$S$15, 'Normative data'!$T$9:$T$15, "Not Found", -1)</f>
        <v>Average</v>
      </c>
      <c r="CK695" s="21"/>
      <c r="CL695" s="21"/>
      <c r="CM695" s="21"/>
      <c r="CN695" s="21"/>
      <c r="CO695" s="21"/>
      <c r="CQ695" s="20"/>
      <c r="CR695" s="20" t="str" cm="1">
        <f t="array" ref="CR695">IF(OR(ISBLANK(E695),ISBLANK(CQ695)),"Incomplete",_xlfn.XLOOKUP(CQ695,_xlfn.XLOOKUP(E695,'Normative data'!$Y$3:$Y$6,'Normative data'!$Z$3:$AG$6,,-1),'Normative data'!$Z$2:$AG$2,"Not Found",-1))</f>
        <v>Incomplete</v>
      </c>
      <c r="CS695" s="20"/>
      <c r="CT695" s="20"/>
      <c r="CU695" s="20" t="str" cm="1">
        <f t="array" ref="CU695">_xlfn.XLOOKUP(CS695&amp;CT695,(VLOOKUP!$A$3:$A$250)&amp;(VLOOKUP!$B$3:$B$250),VLOOKUP!$C$3:$C$250,"Incomplete",-1)</f>
        <v>Incomplete</v>
      </c>
      <c r="CV695" s="20" t="str" cm="1">
        <f t="array" ref="CV695">_xlfn.XLOOKUP(CU695, _xlfn.XLOOKUP(E695, 'Normative data'!$Y$11:$Y$14, 'Normative data'!$Z$11:$AG$14, ,-1), 'Normative data'!$Z$10:$AG$10, "Not Found", -1)</f>
        <v>Excellent</v>
      </c>
      <c r="CW695" s="20" t="str" cm="1">
        <f t="array" ref="CW695">IF(OR(ISBLANK(CS695),ISBLANK(CT695)),"Incomplete",_xlfn.XLOOKUP(CS695&amp;CT695,VLOOKUP!$A$4:$A$250&amp;VLOOKUP!$B$4:$B$250,VLOOKUP!$D$4:$D$250,"0"))</f>
        <v>Incomplete</v>
      </c>
    </row>
    <row r="696" spans="1:101" ht="13.9" customHeight="1">
      <c r="A696" s="22" t="s">
        <v>1334</v>
      </c>
      <c r="B696" s="22" t="s">
        <v>1335</v>
      </c>
      <c r="C696" s="17" t="s">
        <v>86</v>
      </c>
      <c r="D696" s="23">
        <v>40224</v>
      </c>
      <c r="F696" s="17">
        <v>9</v>
      </c>
      <c r="G696" s="17">
        <v>2025</v>
      </c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41" t="str">
        <f t="shared" si="212"/>
        <v>Incomplete</v>
      </c>
      <c r="AZ696" s="20"/>
      <c r="BA696" s="20" t="str">
        <f t="shared" si="213"/>
        <v>Incomplete</v>
      </c>
      <c r="BB696" s="20"/>
      <c r="BC696" s="20" t="str">
        <f t="shared" si="214"/>
        <v>Incomplete</v>
      </c>
      <c r="BD696" s="20"/>
      <c r="BE696" s="20" t="str">
        <f t="shared" si="215"/>
        <v>Incomplete</v>
      </c>
      <c r="BF696" s="20"/>
      <c r="BG696" s="20">
        <v>14</v>
      </c>
      <c r="BH696" s="20">
        <v>45.9</v>
      </c>
      <c r="BI696" s="20">
        <f t="shared" si="211"/>
        <v>31.9</v>
      </c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91" t="str">
        <f t="shared" si="216"/>
        <v>Incomplete</v>
      </c>
      <c r="BX696" s="91" t="str">
        <f>_xlfn.XLOOKUP(BW696,'Normative data'!$V$3:$V$6,'Normative data'!$W$3:$W$6,"Not Found",-1)</f>
        <v>Very low risk</v>
      </c>
      <c r="BY696" s="91" t="str">
        <f t="shared" si="217"/>
        <v>Incomplete</v>
      </c>
      <c r="BZ696" s="91" t="str">
        <f>_xlfn.XLOOKUP(BY696,'Normative data'!$V$3:$V$6,'Normative data'!$W$3:$W$6,"Not Found",-1)</f>
        <v>Very low risk</v>
      </c>
      <c r="CA696" s="20"/>
      <c r="CC696" s="20"/>
      <c r="CE696" s="20"/>
      <c r="CG696" s="20"/>
      <c r="CH696" s="20" t="str">
        <f>_xlfn.XLOOKUP(CG696, 'Normative data'!$S$9:$S$15,'Normative data'!$T$9:$T$15, "Not Found", -1)</f>
        <v>not completed</v>
      </c>
      <c r="CI696" s="20"/>
      <c r="CJ696" s="20" t="str">
        <f>_xlfn.XLOOKUP(CI696, 'Normative data'!$S$9:$S$15, 'Normative data'!$T$9:$T$15, "Not Found", -1)</f>
        <v>not completed</v>
      </c>
      <c r="CK696" s="24">
        <v>2.2400000000000002</v>
      </c>
      <c r="CL696" s="24">
        <v>4.46</v>
      </c>
      <c r="CM696" s="21"/>
      <c r="CN696" s="24">
        <v>6.08</v>
      </c>
      <c r="CO696" s="24">
        <v>7.31</v>
      </c>
      <c r="CP696" s="24"/>
      <c r="CQ696" s="20"/>
      <c r="CR696" s="20" t="str" cm="1">
        <f t="array" ref="CR696">IF(OR(ISBLANK(E696),ISBLANK(CQ696)),"Incomplete",_xlfn.XLOOKUP(CQ696,_xlfn.XLOOKUP(E696,'Normative data'!$Y$3:$Y$6,'Normative data'!$Z$3:$AG$6,,-1),'Normative data'!$Z$2:$AG$2,"Not Found",-1))</f>
        <v>Incomplete</v>
      </c>
      <c r="CS696" s="20"/>
      <c r="CT696" s="20"/>
      <c r="CU696" s="20" t="str" cm="1">
        <f t="array" ref="CU696">_xlfn.XLOOKUP(CS696&amp;CT696,(VLOOKUP!$A$3:$A$250)&amp;(VLOOKUP!$B$3:$B$250),VLOOKUP!$C$3:$C$250,"Incomplete",-1)</f>
        <v>Incomplete</v>
      </c>
      <c r="CV696" s="20" t="str" cm="1">
        <f t="array" ref="CV696">_xlfn.XLOOKUP(CU696, _xlfn.XLOOKUP(E696, 'Normative data'!$Y$11:$Y$14, 'Normative data'!$Z$11:$AG$14, ,-1), 'Normative data'!$Z$10:$AG$10, "Not Found", -1)</f>
        <v>Excellent</v>
      </c>
      <c r="CW696" s="20" t="str" cm="1">
        <f t="array" ref="CW696">IF(OR(ISBLANK(CS696),ISBLANK(CT696)),"Incomplete",_xlfn.XLOOKUP(CS696&amp;CT696,VLOOKUP!$A$4:$A$250&amp;VLOOKUP!$B$4:$B$250,VLOOKUP!$D$4:$D$250,"0"))</f>
        <v>Incomplete</v>
      </c>
    </row>
    <row r="697" spans="1:101" ht="13.9" customHeight="1">
      <c r="A697" s="18" t="s">
        <v>1336</v>
      </c>
      <c r="B697" s="18" t="s">
        <v>1337</v>
      </c>
      <c r="C697" s="17" t="s">
        <v>86</v>
      </c>
      <c r="D697" s="19">
        <v>40030</v>
      </c>
      <c r="F697" s="17">
        <v>10</v>
      </c>
      <c r="G697" s="17">
        <v>2025</v>
      </c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41" t="str">
        <f t="shared" si="212"/>
        <v>Incomplete</v>
      </c>
      <c r="AZ697" s="20"/>
      <c r="BA697" s="20" t="str">
        <f t="shared" si="213"/>
        <v>Incomplete</v>
      </c>
      <c r="BB697" s="20"/>
      <c r="BC697" s="20" t="str">
        <f t="shared" si="214"/>
        <v>Incomplete</v>
      </c>
      <c r="BD697" s="20"/>
      <c r="BE697" s="20" t="str">
        <f t="shared" si="215"/>
        <v>Incomplete</v>
      </c>
      <c r="BF697" s="20"/>
      <c r="BG697" s="20">
        <v>12</v>
      </c>
      <c r="BH697" s="20">
        <v>31</v>
      </c>
      <c r="BI697" s="20">
        <f t="shared" si="211"/>
        <v>19</v>
      </c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91" t="str">
        <f t="shared" si="216"/>
        <v>Incomplete</v>
      </c>
      <c r="BX697" s="91" t="str">
        <f>_xlfn.XLOOKUP(BW697,'Normative data'!$V$3:$V$6,'Normative data'!$W$3:$W$6,"Not Found",-1)</f>
        <v>Very low risk</v>
      </c>
      <c r="BY697" s="91" t="str">
        <f t="shared" si="217"/>
        <v>Incomplete</v>
      </c>
      <c r="BZ697" s="91" t="str">
        <f>_xlfn.XLOOKUP(BY697,'Normative data'!$V$3:$V$6,'Normative data'!$W$3:$W$6,"Not Found",-1)</f>
        <v>Very low risk</v>
      </c>
      <c r="CA697" s="20"/>
      <c r="CC697" s="20"/>
      <c r="CE697" s="20">
        <v>1</v>
      </c>
      <c r="CG697" s="20"/>
      <c r="CH697" s="20" t="str">
        <f>_xlfn.XLOOKUP(CG697, 'Normative data'!$S$9:$S$15,'Normative data'!$T$9:$T$15, "Not Found", -1)</f>
        <v>not completed</v>
      </c>
      <c r="CI697" s="20"/>
      <c r="CJ697" s="20" t="str">
        <f>_xlfn.XLOOKUP(CI697, 'Normative data'!$S$9:$S$15, 'Normative data'!$T$9:$T$15, "Not Found", -1)</f>
        <v>not completed</v>
      </c>
      <c r="CK697" s="21">
        <v>2.37</v>
      </c>
      <c r="CL697" s="21">
        <v>4.22</v>
      </c>
      <c r="CM697" s="21"/>
      <c r="CN697" s="21">
        <v>8.3000000000000007</v>
      </c>
      <c r="CO697" s="21">
        <v>6</v>
      </c>
      <c r="CP697" s="21"/>
      <c r="CQ697" s="20"/>
      <c r="CR697" s="20" t="str" cm="1">
        <f t="array" ref="CR697">IF(OR(ISBLANK(E697),ISBLANK(CQ697)),"Incomplete",_xlfn.XLOOKUP(CQ697,_xlfn.XLOOKUP(E697,'Normative data'!$Y$3:$Y$6,'Normative data'!$Z$3:$AG$6,,-1),'Normative data'!$Z$2:$AG$2,"Not Found",-1))</f>
        <v>Incomplete</v>
      </c>
      <c r="CS697" s="20"/>
      <c r="CT697" s="20"/>
      <c r="CU697" s="20" t="str" cm="1">
        <f t="array" ref="CU697">_xlfn.XLOOKUP(CS697&amp;CT697,(VLOOKUP!$A$3:$A$250)&amp;(VLOOKUP!$B$3:$B$250),VLOOKUP!$C$3:$C$250,"Incomplete",-1)</f>
        <v>Incomplete</v>
      </c>
      <c r="CV697" s="20" t="str" cm="1">
        <f t="array" ref="CV697">_xlfn.XLOOKUP(CU697, _xlfn.XLOOKUP(E697, 'Normative data'!$Y$11:$Y$14, 'Normative data'!$Z$11:$AG$14, ,-1), 'Normative data'!$Z$10:$AG$10, "Not Found", -1)</f>
        <v>Excellent</v>
      </c>
      <c r="CW697" s="20" t="str" cm="1">
        <f t="array" ref="CW697">IF(OR(ISBLANK(CS697),ISBLANK(CT697)),"Incomplete",_xlfn.XLOOKUP(CS697&amp;CT697,VLOOKUP!$A$4:$A$250&amp;VLOOKUP!$B$4:$B$250,VLOOKUP!$D$4:$D$250,"0"))</f>
        <v>Incomplete</v>
      </c>
    </row>
    <row r="698" spans="1:101">
      <c r="A698" s="17" t="s">
        <v>1336</v>
      </c>
      <c r="B698" s="17" t="s">
        <v>1337</v>
      </c>
      <c r="C698" s="17" t="s">
        <v>86</v>
      </c>
      <c r="D698" s="19">
        <v>40030</v>
      </c>
      <c r="F698" s="17">
        <v>10</v>
      </c>
      <c r="G698" s="17">
        <v>2025</v>
      </c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41" t="str">
        <f t="shared" si="212"/>
        <v>Incomplete</v>
      </c>
      <c r="AZ698" s="20"/>
      <c r="BA698" s="20" t="str">
        <f t="shared" si="213"/>
        <v>Incomplete</v>
      </c>
      <c r="BB698" s="20"/>
      <c r="BC698" s="20" t="str">
        <f t="shared" si="214"/>
        <v>Incomplete</v>
      </c>
      <c r="BD698" s="20"/>
      <c r="BE698" s="20" t="str">
        <f t="shared" si="215"/>
        <v>Incomplete</v>
      </c>
      <c r="BF698" s="20"/>
      <c r="BG698" s="20"/>
      <c r="BH698" s="20"/>
      <c r="BI698" s="20" t="str">
        <f t="shared" si="211"/>
        <v>Incomplete</v>
      </c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91" t="str">
        <f t="shared" si="216"/>
        <v>Incomplete</v>
      </c>
      <c r="BX698" s="91" t="str">
        <f>_xlfn.XLOOKUP(BW698,'Normative data'!$V$3:$V$6,'Normative data'!$W$3:$W$6,"Not Found",-1)</f>
        <v>Very low risk</v>
      </c>
      <c r="BY698" s="91" t="str">
        <f t="shared" si="217"/>
        <v>Incomplete</v>
      </c>
      <c r="BZ698" s="91" t="str">
        <f>_xlfn.XLOOKUP(BY698,'Normative data'!$V$3:$V$6,'Normative data'!$W$3:$W$6,"Not Found",-1)</f>
        <v>Very low risk</v>
      </c>
      <c r="CA698" s="20"/>
      <c r="CC698" s="20"/>
      <c r="CE698" s="20"/>
      <c r="CG698" s="20"/>
      <c r="CH698" s="20" t="str">
        <f>_xlfn.XLOOKUP(CG698, 'Normative data'!$S$9:$S$15,'Normative data'!$T$9:$T$15, "Not Found", -1)</f>
        <v>not completed</v>
      </c>
      <c r="CI698" s="20"/>
      <c r="CJ698" s="20" t="str">
        <f>_xlfn.XLOOKUP(CI698, 'Normative data'!$S$9:$S$15, 'Normative data'!$T$9:$T$15, "Not Found", -1)</f>
        <v>not completed</v>
      </c>
      <c r="CK698" s="20" t="s">
        <v>971</v>
      </c>
      <c r="CL698" s="20" t="s">
        <v>972</v>
      </c>
      <c r="CN698" s="20" t="s">
        <v>1338</v>
      </c>
      <c r="CO698" s="20" t="s">
        <v>1339</v>
      </c>
      <c r="CQ698" s="20"/>
      <c r="CR698" s="20" t="str" cm="1">
        <f t="array" ref="CR698">IF(OR(ISBLANK(E698),ISBLANK(CQ698)),"Incomplete",_xlfn.XLOOKUP(CQ698,_xlfn.XLOOKUP(E698,'Normative data'!$Y$3:$Y$6,'Normative data'!$Z$3:$AG$6,,-1),'Normative data'!$Z$2:$AG$2,"Not Found",-1))</f>
        <v>Incomplete</v>
      </c>
      <c r="CS698" s="20"/>
      <c r="CT698" s="20"/>
      <c r="CU698" s="20" t="str" cm="1">
        <f t="array" ref="CU698">_xlfn.XLOOKUP(CS698&amp;CT698,(VLOOKUP!$A$3:$A$250)&amp;(VLOOKUP!$B$3:$B$250),VLOOKUP!$C$3:$C$250,"Incomplete",-1)</f>
        <v>Incomplete</v>
      </c>
      <c r="CV698" s="20" t="str" cm="1">
        <f t="array" ref="CV698">_xlfn.XLOOKUP(CU698, _xlfn.XLOOKUP(E698, 'Normative data'!$Y$11:$Y$14, 'Normative data'!$Z$11:$AG$14, ,-1), 'Normative data'!$Z$10:$AG$10, "Not Found", -1)</f>
        <v>Excellent</v>
      </c>
      <c r="CW698" s="20" t="str" cm="1">
        <f t="array" ref="CW698">IF(OR(ISBLANK(CS698),ISBLANK(CT698)),"Incomplete",_xlfn.XLOOKUP(CS698&amp;CT698,VLOOKUP!$A$4:$A$250&amp;VLOOKUP!$B$4:$B$250,VLOOKUP!$D$4:$D$250,"0"))</f>
        <v>Incomplete</v>
      </c>
    </row>
    <row r="699" spans="1:101">
      <c r="A699" s="17" t="s">
        <v>1340</v>
      </c>
      <c r="B699" s="17" t="s">
        <v>1341</v>
      </c>
      <c r="C699" s="17" t="s">
        <v>86</v>
      </c>
      <c r="D699" s="26"/>
      <c r="F699" s="20" t="s">
        <v>110</v>
      </c>
      <c r="G699" s="17">
        <v>2026</v>
      </c>
      <c r="I699" s="20">
        <v>2</v>
      </c>
      <c r="J699" s="20" t="s">
        <v>122</v>
      </c>
      <c r="K699" s="20" t="s">
        <v>228</v>
      </c>
      <c r="L699" s="20"/>
      <c r="S699" s="20"/>
      <c r="T699" s="20"/>
      <c r="AY699" s="41" t="str">
        <f t="shared" si="212"/>
        <v>Incomplete</v>
      </c>
      <c r="BA699" s="20" t="str">
        <f t="shared" si="213"/>
        <v>Incomplete</v>
      </c>
      <c r="BC699" s="20" t="str">
        <f t="shared" si="214"/>
        <v>Incomplete</v>
      </c>
      <c r="BE699" s="20" t="str">
        <f t="shared" si="215"/>
        <v>Incomplete</v>
      </c>
      <c r="BH699" s="20"/>
      <c r="BI699" s="20" t="str">
        <f t="shared" si="211"/>
        <v>Incomplete</v>
      </c>
      <c r="BJ699" s="20"/>
      <c r="BL699" s="20"/>
      <c r="BN699" s="20"/>
      <c r="BQ699" s="17">
        <v>81</v>
      </c>
      <c r="BR699" s="17">
        <v>85</v>
      </c>
      <c r="BS699" s="17">
        <v>76</v>
      </c>
      <c r="BT699" s="17">
        <v>69</v>
      </c>
      <c r="BU699" s="17">
        <v>89</v>
      </c>
      <c r="BV699" s="17">
        <v>79</v>
      </c>
      <c r="BW699" s="91" t="str">
        <f t="shared" si="216"/>
        <v>Incomplete</v>
      </c>
      <c r="BX699" s="91" t="str">
        <f>_xlfn.XLOOKUP(BW699,'Normative data'!$V$3:$V$6,'Normative data'!$W$3:$W$6,"Not Found",-1)</f>
        <v>Very low risk</v>
      </c>
      <c r="BY699" s="91" t="str">
        <f t="shared" si="217"/>
        <v>Incomplete</v>
      </c>
      <c r="BZ699" s="91" t="str">
        <f>_xlfn.XLOOKUP(BY699,'Normative data'!$V$3:$V$6,'Normative data'!$W$3:$W$6,"Not Found",-1)</f>
        <v>Very low risk</v>
      </c>
      <c r="CG699" s="17">
        <v>17.23</v>
      </c>
      <c r="CH699" s="20" t="str">
        <f>_xlfn.XLOOKUP(CG699, 'Normative data'!$S$9:$S$15,'Normative data'!$T$9:$T$15, "Not Found", -1)</f>
        <v>Above Average</v>
      </c>
      <c r="CI699" s="17">
        <v>17.41</v>
      </c>
      <c r="CJ699" s="20" t="str">
        <f>_xlfn.XLOOKUP(CI699, 'Normative data'!$S$9:$S$15, 'Normative data'!$T$9:$T$15, "Not Found", -1)</f>
        <v>Above Average</v>
      </c>
      <c r="CK699" s="21"/>
      <c r="CL699" s="21"/>
      <c r="CM699" s="21"/>
      <c r="CN699" s="21"/>
      <c r="CO699" s="21"/>
      <c r="CR699" s="20" t="str" cm="1">
        <f t="array" ref="CR699">IF(OR(ISBLANK(E699),ISBLANK(CQ699)),"Incomplete",_xlfn.XLOOKUP(CQ699,_xlfn.XLOOKUP(E699,'Normative data'!$Y$3:$Y$6,'Normative data'!$Z$3:$AG$6,,-1),'Normative data'!$Z$2:$AG$2,"Not Found",-1))</f>
        <v>Incomplete</v>
      </c>
      <c r="CS699" s="20"/>
      <c r="CT699" s="20"/>
      <c r="CU699" s="20" t="str" cm="1">
        <f t="array" ref="CU699">_xlfn.XLOOKUP(CS699&amp;CT699,(VLOOKUP!$A$3:$A$250)&amp;(VLOOKUP!$B$3:$B$250),VLOOKUP!$C$3:$C$250,"Incomplete",-1)</f>
        <v>Incomplete</v>
      </c>
      <c r="CV699" s="20" t="str" cm="1">
        <f t="array" ref="CV699">_xlfn.XLOOKUP(CU699, _xlfn.XLOOKUP(E699, 'Normative data'!$Y$11:$Y$14, 'Normative data'!$Z$11:$AG$14, ,-1), 'Normative data'!$Z$10:$AG$10, "Not Found", -1)</f>
        <v>Excellent</v>
      </c>
      <c r="CW699" s="20" t="str" cm="1">
        <f t="array" ref="CW699">IF(OR(ISBLANK(CS699),ISBLANK(CT699)),"Incomplete",_xlfn.XLOOKUP(CS699&amp;CT699,VLOOKUP!$A$4:$A$250&amp;VLOOKUP!$B$4:$B$250,VLOOKUP!$D$4:$D$250,"0"))</f>
        <v>Incomplete</v>
      </c>
    </row>
    <row r="700" spans="1:101">
      <c r="A700" s="18" t="s">
        <v>1014</v>
      </c>
      <c r="B700" s="18" t="s">
        <v>1013</v>
      </c>
      <c r="C700" s="17" t="s">
        <v>86</v>
      </c>
      <c r="D700" s="19">
        <v>40415</v>
      </c>
      <c r="F700" s="17">
        <v>9</v>
      </c>
      <c r="G700" s="17">
        <v>2025</v>
      </c>
      <c r="J700" s="17" t="s">
        <v>122</v>
      </c>
      <c r="S700" s="20"/>
      <c r="T700" s="20">
        <v>159.19999999999999</v>
      </c>
      <c r="U700" s="20">
        <v>54.1</v>
      </c>
      <c r="V700" s="20"/>
      <c r="W700" s="20">
        <v>15.9</v>
      </c>
      <c r="X700" s="20">
        <f>SUM(T700-W700)</f>
        <v>143.29999999999998</v>
      </c>
      <c r="Y700" s="20">
        <v>20.6</v>
      </c>
      <c r="Z700" s="20">
        <v>21.3</v>
      </c>
      <c r="AA700" s="20">
        <v>29.4</v>
      </c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41" t="str">
        <f t="shared" si="212"/>
        <v>Incomplete</v>
      </c>
      <c r="AZ700" s="20"/>
      <c r="BA700" s="20" t="str">
        <f t="shared" si="213"/>
        <v>Incomplete</v>
      </c>
      <c r="BB700" s="20"/>
      <c r="BC700" s="20" t="str">
        <f t="shared" si="214"/>
        <v>Incomplete</v>
      </c>
      <c r="BD700" s="20"/>
      <c r="BE700" s="20" t="str">
        <f t="shared" si="215"/>
        <v>Incomplete</v>
      </c>
      <c r="BF700" s="20"/>
      <c r="BG700" s="20">
        <v>13</v>
      </c>
      <c r="BH700" s="20">
        <v>30</v>
      </c>
      <c r="BI700" s="20" t="e">
        <f>IF(OR(ISBLANK(#REF!), ISBLANK(#REF!)),"Incomplete",(SUM(#REF!-#REF!)))</f>
        <v>#REF!</v>
      </c>
      <c r="BJ700" s="20"/>
      <c r="BK700" s="20">
        <v>9</v>
      </c>
      <c r="BL700" s="20"/>
      <c r="BM700" s="20">
        <v>12</v>
      </c>
      <c r="BN700" s="20"/>
      <c r="BO700" s="20"/>
      <c r="BP700" s="20"/>
      <c r="BQ700" s="20"/>
      <c r="BR700" s="20"/>
      <c r="BS700" s="20"/>
      <c r="BT700" s="20"/>
      <c r="BU700" s="20"/>
      <c r="BV700" s="20"/>
      <c r="BW700" s="91">
        <f t="shared" si="216"/>
        <v>0</v>
      </c>
      <c r="BX700" s="91" t="str">
        <f>_xlfn.XLOOKUP(BW700,'Normative data'!$V$3:$V$6,'Normative data'!$W$3:$W$6,"Not Found",-1)</f>
        <v>Not completed</v>
      </c>
      <c r="BY700" s="91">
        <f t="shared" si="217"/>
        <v>0</v>
      </c>
      <c r="BZ700" s="91" t="str">
        <f>_xlfn.XLOOKUP(BY700,'Normative data'!$V$3:$V$6,'Normative data'!$W$3:$W$6,"Not Found",-1)</f>
        <v>Not completed</v>
      </c>
      <c r="CA700" s="20"/>
      <c r="CC700" s="20"/>
      <c r="CE700" s="20"/>
      <c r="CG700" s="20">
        <v>17.88</v>
      </c>
      <c r="CH700" s="20" t="e">
        <f>_xlfn.XLOOKUP(#REF!, 'Normative data'!$S$9:$S$15,'Normative data'!$T$9:$T$15, "Not Found", -1)</f>
        <v>#REF!</v>
      </c>
      <c r="CI700" s="20">
        <v>18.34</v>
      </c>
      <c r="CJ700" s="20" t="e">
        <f>_xlfn.XLOOKUP(#REF!, 'Normative data'!$S$9:$S$15, 'Normative data'!$T$9:$T$15, "Not Found", -1)</f>
        <v>#REF!</v>
      </c>
      <c r="CK700" s="25">
        <v>2.2200000000000002</v>
      </c>
      <c r="CL700" s="25">
        <v>4.5</v>
      </c>
      <c r="CM700" s="21"/>
      <c r="CN700" s="25">
        <v>6.84</v>
      </c>
      <c r="CO700" s="25">
        <v>7.31</v>
      </c>
      <c r="CP700" s="21"/>
      <c r="CQ700" s="20"/>
      <c r="CR700" s="20" t="str" cm="1">
        <f t="array" ref="CR700">IF(OR(ISBLANK(E700),ISBLANK(CQ700)),"Incomplete",_xlfn.XLOOKUP(CQ700,_xlfn.XLOOKUP(E700,'Normative data'!$Y$3:$Y$6,'Normative data'!$Z$3:$AG$6,,-1),'Normative data'!$Z$2:$AG$2,"Not Found",-1))</f>
        <v>Incomplete</v>
      </c>
      <c r="CS700" s="20"/>
      <c r="CT700" s="20"/>
      <c r="CU700" s="20" t="str" cm="1">
        <f t="array" ref="CU700">_xlfn.XLOOKUP(CS700&amp;CT700,(VLOOKUP!$A$3:$A$250)&amp;(VLOOKUP!$B$3:$B$250),VLOOKUP!$C$3:$C$250,"Incomplete",-1)</f>
        <v>Incomplete</v>
      </c>
      <c r="CV700" s="20" t="str" cm="1">
        <f t="array" ref="CV700">_xlfn.XLOOKUP(CU700, _xlfn.XLOOKUP(E700, 'Normative data'!$Y$11:$Y$14, 'Normative data'!$Z$11:$AG$14, ,-1), 'Normative data'!$Z$10:$AG$10, "Not Found", -1)</f>
        <v>Excellent</v>
      </c>
      <c r="CW700" s="20" t="str" cm="1">
        <f t="array" ref="CW700">IF(OR(ISBLANK(CS700),ISBLANK(CT700)),"Incomplete",_xlfn.XLOOKUP(CS700&amp;CT700,VLOOKUP!$A$4:$A$250&amp;VLOOKUP!$B$4:$B$250,VLOOKUP!$D$4:$D$250,"0"))</f>
        <v>Incomplete</v>
      </c>
    </row>
    <row r="701" spans="1:101">
      <c r="A701" s="17" t="s">
        <v>1014</v>
      </c>
      <c r="B701" s="17" t="s">
        <v>1013</v>
      </c>
      <c r="C701" s="17" t="s">
        <v>86</v>
      </c>
      <c r="D701" s="26"/>
      <c r="G701" s="17">
        <v>2025</v>
      </c>
      <c r="S701" s="20"/>
      <c r="T701" s="20" t="s">
        <v>1342</v>
      </c>
      <c r="U701" s="20" t="s">
        <v>1343</v>
      </c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>
        <v>16.899999999999999</v>
      </c>
      <c r="AR701" s="20">
        <v>0.371</v>
      </c>
      <c r="AS701" s="20">
        <v>20.2</v>
      </c>
      <c r="AT701" s="20">
        <v>0.40600000000000003</v>
      </c>
      <c r="AU701" s="20">
        <v>8.5</v>
      </c>
      <c r="AV701" s="20">
        <v>0.26300000000000001</v>
      </c>
      <c r="AW701" s="20">
        <v>9.4</v>
      </c>
      <c r="AX701" s="20">
        <v>0.27700000000000002</v>
      </c>
      <c r="AY701" s="41" t="e">
        <f>IF(OR(ISBLANK(#REF!), ISBLANK(AQ701)), "Incomplete", (60.7*AQ701)+(45.3*#REF!)-2055)</f>
        <v>#REF!</v>
      </c>
      <c r="AZ701" s="20"/>
      <c r="BA701" s="20" t="e">
        <f>IF(OR(ISBLANK(#REF!), ISBLANK(AS701)), "Incomplete", (60.7*AS701)+(45.3*#REF!)-2055)</f>
        <v>#REF!</v>
      </c>
      <c r="BB701" s="20"/>
      <c r="BC701" s="20" t="e">
        <f>IF(OR(ISBLANK(#REF!), ISBLANK(AU701)), "Incomplete", (60.7*AU701)+(45.3*#REF!)-2055)</f>
        <v>#REF!</v>
      </c>
      <c r="BD701" s="20"/>
      <c r="BE701" s="20" t="e">
        <f>IF(OR(ISBLANK(#REF!), ISBLANK(AW701)), "Incomplete", (60.7*AW701)+(45.3*#REF!)-2055)</f>
        <v>#REF!</v>
      </c>
      <c r="BF701" s="20"/>
      <c r="BG701" s="20"/>
      <c r="BH701" s="20"/>
      <c r="BI701" s="20" t="str">
        <f>IF(OR(ISBLANK(BG701), ISBLANK(BH701)),"Incomplete",(SUM(BH701-BG701)))</f>
        <v>Incomplete</v>
      </c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91" t="str">
        <f>IFERROR(SUM(BQ701+BR701+BS701)/(3*(#REF!-S701))*100, "Incomplete")</f>
        <v>Incomplete</v>
      </c>
      <c r="BX701" s="91" t="str">
        <f>_xlfn.XLOOKUP(BW701,'Normative data'!$V$3:$V$6,'Normative data'!$W$3:$W$6,"Not Found",-1)</f>
        <v>Very low risk</v>
      </c>
      <c r="BY701" s="91" t="str">
        <f>IFERROR(SUM(BT701+BU701+BV701)/(3*(#REF!-S701))*100, "Incomplete")</f>
        <v>Incomplete</v>
      </c>
      <c r="BZ701" s="91" t="str">
        <f>_xlfn.XLOOKUP(BY701,'Normative data'!$V$3:$V$6,'Normative data'!$W$3:$W$6,"Not Found",-1)</f>
        <v>Very low risk</v>
      </c>
      <c r="CA701" s="20"/>
      <c r="CC701" s="20"/>
      <c r="CE701" s="20">
        <v>5</v>
      </c>
      <c r="CG701" s="20">
        <v>17.96</v>
      </c>
      <c r="CH701" s="20" t="e">
        <f>_xlfn.XLOOKUP(#REF!, 'Normative data'!$S$9:$S$15,'Normative data'!$T$9:$T$15, "Not Found", -1)</f>
        <v>#REF!</v>
      </c>
      <c r="CI701" s="20">
        <v>18.18</v>
      </c>
      <c r="CJ701" s="20" t="e">
        <f>_xlfn.XLOOKUP(#REF!, 'Normative data'!$S$9:$S$15, 'Normative data'!$T$9:$T$15, "Not Found", -1)</f>
        <v>#REF!</v>
      </c>
      <c r="CK701" s="20" t="s">
        <v>518</v>
      </c>
      <c r="CL701" s="20" t="s">
        <v>519</v>
      </c>
      <c r="CM701" s="21"/>
      <c r="CN701" s="20" t="s">
        <v>1169</v>
      </c>
      <c r="CO701" s="20" t="s">
        <v>1168</v>
      </c>
      <c r="CQ701" s="20"/>
      <c r="CR701" s="20" t="str" cm="1">
        <f t="array" ref="CR701">IF(OR(ISBLANK(E701),ISBLANK(CQ701)),"Incomplete",_xlfn.XLOOKUP(CQ701,_xlfn.XLOOKUP(E701,'Normative data'!$Y$3:$Y$6,'Normative data'!$Z$3:$AG$6,,-1),'Normative data'!$Z$2:$AG$2,"Not Found",-1))</f>
        <v>Incomplete</v>
      </c>
      <c r="CS701" s="20"/>
      <c r="CT701" s="20"/>
      <c r="CU701" s="20" t="str" cm="1">
        <f t="array" ref="CU701">_xlfn.XLOOKUP(CS701&amp;CT701,(VLOOKUP!$A$3:$A$250)&amp;(VLOOKUP!$B$3:$B$250),VLOOKUP!$C$3:$C$250,"Incomplete",-1)</f>
        <v>Incomplete</v>
      </c>
      <c r="CV701" s="20" t="str" cm="1">
        <f t="array" ref="CV701">_xlfn.XLOOKUP(CU701, _xlfn.XLOOKUP(E701, 'Normative data'!$Y$11:$Y$14, 'Normative data'!$Z$11:$AG$14, ,-1), 'Normative data'!$Z$10:$AG$10, "Not Found", -1)</f>
        <v>Excellent</v>
      </c>
      <c r="CW701" s="20" t="str" cm="1">
        <f t="array" ref="CW701">IF(OR(ISBLANK(CS701),ISBLANK(CT701)),"Incomplete",_xlfn.XLOOKUP(CS701&amp;CT701,VLOOKUP!$A$4:$A$250&amp;VLOOKUP!$B$4:$B$250,VLOOKUP!$D$4:$D$250,"0"))</f>
        <v>Incomplete</v>
      </c>
    </row>
    <row r="702" spans="1:101">
      <c r="A702" s="17" t="s">
        <v>1014</v>
      </c>
      <c r="B702" s="17" t="s">
        <v>1013</v>
      </c>
      <c r="C702" s="17" t="s">
        <v>86</v>
      </c>
      <c r="D702" s="33"/>
      <c r="G702" s="17">
        <v>2026</v>
      </c>
      <c r="H702" s="20" t="s">
        <v>114</v>
      </c>
      <c r="I702" s="17">
        <v>1</v>
      </c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>
        <v>19.8</v>
      </c>
      <c r="AR702" s="20">
        <v>0.40200000000000002</v>
      </c>
      <c r="AS702" s="20">
        <v>23</v>
      </c>
      <c r="AT702" s="20">
        <v>0.433</v>
      </c>
      <c r="AU702" s="20">
        <v>12.6</v>
      </c>
      <c r="AV702" s="20">
        <v>0.32100000000000001</v>
      </c>
      <c r="AW702" s="20">
        <v>9.9</v>
      </c>
      <c r="AX702" s="20">
        <v>0.28399999999999997</v>
      </c>
      <c r="AY702" s="41" t="str">
        <f t="shared" ref="AY702:AY711" si="218">IF(OR(ISBLANK(U702), ISBLANK(AQ702)), "Incomplete", (60.7*AQ702)+(45.3*U702)-2055)</f>
        <v>Incomplete</v>
      </c>
      <c r="AZ702" s="20"/>
      <c r="BA702" s="20" t="str">
        <f t="shared" ref="BA702:BA711" si="219">IF(OR(ISBLANK(U702), ISBLANK(AS702)), "Incomplete", (60.7*AS702)+(45.3*U702)-2055)</f>
        <v>Incomplete</v>
      </c>
      <c r="BB702" s="20"/>
      <c r="BC702" s="20" t="str">
        <f t="shared" ref="BC702:BC711" si="220">IF(OR(ISBLANK(U702), ISBLANK(AU702)), "Incomplete", (60.7*AU702)+(45.3*U702)-2055)</f>
        <v>Incomplete</v>
      </c>
      <c r="BD702" s="20"/>
      <c r="BE702" s="20" t="str">
        <f t="shared" ref="BE702:BE711" si="221">IF(OR(ISBLANK(U702), ISBLANK(AW702)), "Incomplete", (60.7*AW702)+(45.3*U702)-2055)</f>
        <v>Incomplete</v>
      </c>
      <c r="BF702" s="20"/>
      <c r="BG702" s="20">
        <v>15</v>
      </c>
      <c r="BH702" s="20">
        <v>52.3</v>
      </c>
      <c r="BI702" s="20">
        <f>IF(OR(ISBLANK(BG702), ISBLANK(BH702)),"Incomplete",(SUM(BH702-BG702)))</f>
        <v>37.299999999999997</v>
      </c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91" t="str">
        <f t="shared" ref="BW702:BW711" si="222">IFERROR(SUM(BQ702+BR702+BS702)/(3*(T702-S702))*100, "Incomplete")</f>
        <v>Incomplete</v>
      </c>
      <c r="BX702" s="91" t="str">
        <f>_xlfn.XLOOKUP(BW702,'Normative data'!$V$3:$V$6,'Normative data'!$W$3:$W$6,"Not Found",-1)</f>
        <v>Very low risk</v>
      </c>
      <c r="BY702" s="91" t="str">
        <f t="shared" ref="BY702:BY711" si="223">IFERROR(SUM(BT702+BU702+BV702)/(3*(T702-S702))*100, "Incomplete")</f>
        <v>Incomplete</v>
      </c>
      <c r="BZ702" s="91" t="str">
        <f>_xlfn.XLOOKUP(BY702,'Normative data'!$V$3:$V$6,'Normative data'!$W$3:$W$6,"Not Found",-1)</f>
        <v>Very low risk</v>
      </c>
      <c r="CA702" s="20"/>
      <c r="CC702" s="20">
        <v>30</v>
      </c>
      <c r="CE702" s="20">
        <v>3</v>
      </c>
      <c r="CG702" s="20">
        <v>17.79</v>
      </c>
      <c r="CH702" s="20" t="str">
        <f>_xlfn.XLOOKUP(CG702, 'Normative data'!$S$9:$S$15,'Normative data'!$T$9:$T$15, "Not Found", -1)</f>
        <v>Above Average</v>
      </c>
      <c r="CI702" s="20">
        <v>17.48</v>
      </c>
      <c r="CJ702" s="20" t="str">
        <f>_xlfn.XLOOKUP(CI702, 'Normative data'!$S$9:$S$15, 'Normative data'!$T$9:$T$15, "Not Found", -1)</f>
        <v>Above Average</v>
      </c>
      <c r="CK702" s="39">
        <v>2.2000000000000002</v>
      </c>
      <c r="CL702" s="20">
        <v>4.55</v>
      </c>
      <c r="CN702" s="20">
        <v>6.71</v>
      </c>
      <c r="CO702" s="20">
        <v>7.39</v>
      </c>
      <c r="CQ702" s="20">
        <v>9.1</v>
      </c>
      <c r="CR702" s="20" t="str" cm="1">
        <f t="array" ref="CR702">IF(OR(ISBLANK(E702),ISBLANK(CQ702)),"Incomplete",_xlfn.XLOOKUP(CQ702,_xlfn.XLOOKUP(E702,'Normative data'!$Y$3:$Y$6,'Normative data'!$Z$3:$AG$6,,-1),'Normative data'!$Z$2:$AG$2,"Not Found",-1))</f>
        <v>Incomplete</v>
      </c>
      <c r="CS702" s="20">
        <v>9</v>
      </c>
      <c r="CT702" s="20">
        <v>1</v>
      </c>
      <c r="CU702" s="20" cm="1">
        <f t="array" ref="CU702">_xlfn.XLOOKUP(CS702&amp;CT702,(VLOOKUP!$A$3:$A$250)&amp;(VLOOKUP!$B$3:$B$250),VLOOKUP!$C$3:$C$250,"Incomplete",-1)</f>
        <v>1460</v>
      </c>
      <c r="CV702" s="20" t="str" cm="1">
        <f t="array" ref="CV702">_xlfn.XLOOKUP(CU702, _xlfn.XLOOKUP(E702, 'Normative data'!$Y$11:$Y$14, 'Normative data'!$Z$11:$AG$14, ,-1), 'Normative data'!$Z$10:$AG$10, "Not Found", -1)</f>
        <v>Average</v>
      </c>
      <c r="CW702" s="20" cm="1">
        <f t="array" ref="CW702">IF(OR(ISBLANK(CS702),ISBLANK(CT702)),"Incomplete",_xlfn.XLOOKUP(CS702&amp;CT702,VLOOKUP!$A$4:$A$250&amp;VLOOKUP!$B$4:$B$250,VLOOKUP!$D$4:$D$250,"0"))</f>
        <v>44</v>
      </c>
    </row>
    <row r="703" spans="1:101">
      <c r="A703" s="17" t="s">
        <v>1344</v>
      </c>
      <c r="B703" s="17" t="s">
        <v>1345</v>
      </c>
      <c r="C703" s="17" t="s">
        <v>86</v>
      </c>
      <c r="D703" s="26">
        <v>41178</v>
      </c>
      <c r="E703" s="17">
        <v>13.6</v>
      </c>
      <c r="F703" s="20" t="s">
        <v>251</v>
      </c>
      <c r="G703" s="17">
        <v>2026</v>
      </c>
      <c r="I703" s="20">
        <v>2</v>
      </c>
      <c r="J703" s="20"/>
      <c r="K703" s="20"/>
      <c r="L703" s="20"/>
      <c r="S703" s="20"/>
      <c r="T703" s="20">
        <v>160</v>
      </c>
      <c r="U703" s="17">
        <v>73.2</v>
      </c>
      <c r="V703" s="17">
        <v>32.1</v>
      </c>
      <c r="W703" s="17">
        <v>29.2</v>
      </c>
      <c r="X703" s="17">
        <v>44</v>
      </c>
      <c r="Y703" s="17">
        <v>24.1</v>
      </c>
      <c r="Z703" s="17">
        <v>28.6</v>
      </c>
      <c r="AA703" s="17">
        <v>39.9</v>
      </c>
      <c r="AB703" s="17">
        <v>6.37</v>
      </c>
      <c r="AC703" s="17">
        <v>95.8</v>
      </c>
      <c r="AD703" s="17">
        <v>6.39</v>
      </c>
      <c r="AE703" s="17">
        <v>96</v>
      </c>
      <c r="AF703" s="17">
        <v>4.3</v>
      </c>
      <c r="AG703" s="17">
        <v>196</v>
      </c>
      <c r="AH703" s="17">
        <v>4.3</v>
      </c>
      <c r="AI703" s="17">
        <v>195.9</v>
      </c>
      <c r="AJ703" s="17">
        <v>293.3</v>
      </c>
      <c r="AK703" s="17">
        <v>291.10000000000002</v>
      </c>
      <c r="AL703" s="17">
        <v>260.10000000000002</v>
      </c>
      <c r="AM703" s="17">
        <v>258</v>
      </c>
      <c r="AN703" s="17">
        <v>66</v>
      </c>
      <c r="AO703" s="17">
        <v>0.94</v>
      </c>
      <c r="AP703" s="17">
        <v>6.8</v>
      </c>
      <c r="AQ703" s="20"/>
      <c r="AR703" s="20"/>
      <c r="AS703" s="20"/>
      <c r="AT703" s="20"/>
      <c r="AU703" s="20"/>
      <c r="AV703" s="20"/>
      <c r="AW703" s="20"/>
      <c r="AX703" s="20"/>
      <c r="AY703" s="41" t="str">
        <f t="shared" si="218"/>
        <v>Incomplete</v>
      </c>
      <c r="BA703" s="20" t="str">
        <f t="shared" si="219"/>
        <v>Incomplete</v>
      </c>
      <c r="BC703" s="20" t="str">
        <f t="shared" si="220"/>
        <v>Incomplete</v>
      </c>
      <c r="BE703" s="20" t="str">
        <f t="shared" si="221"/>
        <v>Incomplete</v>
      </c>
      <c r="BH703" s="17">
        <v>52</v>
      </c>
      <c r="BI703" s="20" t="str">
        <f>IF(OR(ISBLANK(BG703), ISBLANK(BH703)),"Incomplete",(SUM(BH703-BG703)))</f>
        <v>Incomplete</v>
      </c>
      <c r="BJ703" s="20"/>
      <c r="BK703" s="17">
        <v>8.5</v>
      </c>
      <c r="BL703" s="20"/>
      <c r="BM703" s="17">
        <v>10.5</v>
      </c>
      <c r="BN703" s="20"/>
      <c r="BW703" s="91">
        <f t="shared" si="222"/>
        <v>0</v>
      </c>
      <c r="BX703" s="91" t="str">
        <f>_xlfn.XLOOKUP(BW703,'Normative data'!$V$3:$V$6,'Normative data'!$W$3:$W$6,"Not Found",-1)</f>
        <v>Not completed</v>
      </c>
      <c r="BY703" s="91">
        <f t="shared" si="223"/>
        <v>0</v>
      </c>
      <c r="BZ703" s="91" t="str">
        <f>_xlfn.XLOOKUP(BY703,'Normative data'!$V$3:$V$6,'Normative data'!$W$3:$W$6,"Not Found",-1)</f>
        <v>Not completed</v>
      </c>
      <c r="CA703" s="20"/>
      <c r="CC703" s="20"/>
      <c r="CE703" s="20"/>
      <c r="CG703" s="17">
        <v>22.37</v>
      </c>
      <c r="CH703" s="20" t="str">
        <f>_xlfn.XLOOKUP(CG703, 'Normative data'!$S$9:$S$15,'Normative data'!$T$9:$T$15, "Not Found", -1)</f>
        <v>Below Average</v>
      </c>
      <c r="CI703" s="17">
        <v>22.31</v>
      </c>
      <c r="CJ703" s="20" t="str">
        <f>_xlfn.XLOOKUP(CI703, 'Normative data'!$S$9:$S$15, 'Normative data'!$T$9:$T$15, "Not Found", -1)</f>
        <v>Below Average</v>
      </c>
      <c r="CK703" s="17">
        <v>2.42</v>
      </c>
      <c r="CL703" s="17">
        <v>4.13</v>
      </c>
      <c r="CN703" s="17">
        <v>8.44</v>
      </c>
      <c r="CO703" s="17">
        <v>5.92</v>
      </c>
      <c r="CR703" s="20" t="str" cm="1">
        <f t="array" ref="CR703">IF(OR(ISBLANK(E703),ISBLANK(CQ703)),"Incomplete",_xlfn.XLOOKUP(CQ703,_xlfn.XLOOKUP(E703,'Normative data'!$Y$3:$Y$6,'Normative data'!$Z$3:$AG$6,,-1),'Normative data'!$Z$2:$AG$2,"Not Found",-1))</f>
        <v>Incomplete</v>
      </c>
      <c r="CS703" s="20"/>
      <c r="CT703" s="20"/>
      <c r="CU703" s="20" t="str" cm="1">
        <f t="array" ref="CU703">_xlfn.XLOOKUP(CS703&amp;CT703,(VLOOKUP!$A$3:$A$250)&amp;(VLOOKUP!$B$3:$B$250),VLOOKUP!$C$3:$C$250,"Incomplete",-1)</f>
        <v>Incomplete</v>
      </c>
      <c r="CV703" s="20" t="str" cm="1">
        <f t="array" ref="CV703">_xlfn.XLOOKUP(CU703, _xlfn.XLOOKUP(E703, 'Normative data'!$Y$11:$Y$14, 'Normative data'!$Z$11:$AG$14, ,-1), 'Normative data'!$Z$10:$AG$10, "Not Found", -1)</f>
        <v>Excellent</v>
      </c>
      <c r="CW703" s="20" t="str" cm="1">
        <f t="array" ref="CW703">IF(OR(ISBLANK(CS703),ISBLANK(CT703)),"Incomplete",_xlfn.XLOOKUP(CS703&amp;CT703,VLOOKUP!$A$4:$A$250&amp;VLOOKUP!$B$4:$B$250,VLOOKUP!$D$4:$D$250,"0"))</f>
        <v>Incomplete</v>
      </c>
    </row>
    <row r="704" spans="1:101">
      <c r="A704" s="18" t="s">
        <v>1070</v>
      </c>
      <c r="B704" s="18" t="s">
        <v>949</v>
      </c>
      <c r="C704" s="17" t="s">
        <v>86</v>
      </c>
      <c r="D704" s="19"/>
      <c r="F704" s="17">
        <v>10</v>
      </c>
      <c r="G704" s="17">
        <v>2025</v>
      </c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41" t="str">
        <f t="shared" si="218"/>
        <v>Incomplete</v>
      </c>
      <c r="AZ704" s="20"/>
      <c r="BA704" s="20" t="str">
        <f t="shared" si="219"/>
        <v>Incomplete</v>
      </c>
      <c r="BB704" s="20"/>
      <c r="BC704" s="20" t="str">
        <f t="shared" si="220"/>
        <v>Incomplete</v>
      </c>
      <c r="BD704" s="20"/>
      <c r="BE704" s="20" t="str">
        <f t="shared" si="221"/>
        <v>Incomplete</v>
      </c>
      <c r="BF704" s="20"/>
      <c r="BG704" s="20">
        <v>13</v>
      </c>
      <c r="BH704" s="20">
        <v>27</v>
      </c>
      <c r="BI704" s="20">
        <f>IF(OR(ISBLANK(BG704), ISBLANK(BH704)),"Incomplete",(SUM(BH704-BG704)))</f>
        <v>14</v>
      </c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91" t="str">
        <f t="shared" si="222"/>
        <v>Incomplete</v>
      </c>
      <c r="BX704" s="91" t="str">
        <f>_xlfn.XLOOKUP(BW704,'Normative data'!$V$3:$V$6,'Normative data'!$W$3:$W$6,"Not Found",-1)</f>
        <v>Very low risk</v>
      </c>
      <c r="BY704" s="91" t="str">
        <f t="shared" si="223"/>
        <v>Incomplete</v>
      </c>
      <c r="BZ704" s="91" t="str">
        <f>_xlfn.XLOOKUP(BY704,'Normative data'!$V$3:$V$6,'Normative data'!$W$3:$W$6,"Not Found",-1)</f>
        <v>Very low risk</v>
      </c>
      <c r="CA704" s="20"/>
      <c r="CC704" s="20"/>
      <c r="CE704" s="20">
        <v>1</v>
      </c>
      <c r="CG704" s="20"/>
      <c r="CH704" s="20" t="str">
        <f>_xlfn.XLOOKUP(CG704, 'Normative data'!$S$9:$S$15,'Normative data'!$T$9:$T$15, "Not Found", -1)</f>
        <v>not completed</v>
      </c>
      <c r="CI704" s="20"/>
      <c r="CJ704" s="20" t="str">
        <f>_xlfn.XLOOKUP(CI704, 'Normative data'!$S$9:$S$15, 'Normative data'!$T$9:$T$15, "Not Found", -1)</f>
        <v>not completed</v>
      </c>
      <c r="CK704" s="21"/>
      <c r="CL704" s="21"/>
      <c r="CM704" s="21"/>
      <c r="CN704" s="21"/>
      <c r="CO704" s="21"/>
      <c r="CP704" s="21"/>
      <c r="CQ704" s="20"/>
      <c r="CR704" s="20" t="str" cm="1">
        <f t="array" ref="CR704">IF(OR(ISBLANK(E704),ISBLANK(CQ704)),"Incomplete",_xlfn.XLOOKUP(CQ704,_xlfn.XLOOKUP(E704,'Normative data'!$Y$3:$Y$6,'Normative data'!$Z$3:$AG$6,,-1),'Normative data'!$Z$2:$AG$2,"Not Found",-1))</f>
        <v>Incomplete</v>
      </c>
      <c r="CS704" s="20"/>
      <c r="CT704" s="20"/>
      <c r="CU704" s="20" t="str" cm="1">
        <f t="array" ref="CU704">_xlfn.XLOOKUP(CS704&amp;CT704,(VLOOKUP!$A$3:$A$250)&amp;(VLOOKUP!$B$3:$B$250),VLOOKUP!$C$3:$C$250,"Incomplete",-1)</f>
        <v>Incomplete</v>
      </c>
      <c r="CV704" s="20" t="str" cm="1">
        <f t="array" ref="CV704">_xlfn.XLOOKUP(CU704, _xlfn.XLOOKUP(E704, 'Normative data'!$Y$11:$Y$14, 'Normative data'!$Z$11:$AG$14, ,-1), 'Normative data'!$Z$10:$AG$10, "Not Found", -1)</f>
        <v>Excellent</v>
      </c>
      <c r="CW704" s="20" t="str" cm="1">
        <f t="array" ref="CW704">IF(OR(ISBLANK(CS704),ISBLANK(CT704)),"Incomplete",_xlfn.XLOOKUP(CS704&amp;CT704,VLOOKUP!$A$4:$A$250&amp;VLOOKUP!$B$4:$B$250,VLOOKUP!$D$4:$D$250,"0"))</f>
        <v>Incomplete</v>
      </c>
    </row>
    <row r="705" spans="1:101">
      <c r="A705" s="22" t="s">
        <v>1346</v>
      </c>
      <c r="B705" s="22" t="s">
        <v>1347</v>
      </c>
      <c r="C705" s="17" t="s">
        <v>86</v>
      </c>
      <c r="D705" s="23">
        <v>40437</v>
      </c>
      <c r="F705" s="17">
        <v>8</v>
      </c>
      <c r="G705" s="17">
        <v>2025</v>
      </c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41" t="str">
        <f t="shared" si="218"/>
        <v>Incomplete</v>
      </c>
      <c r="AZ705" s="20"/>
      <c r="BA705" s="20" t="str">
        <f t="shared" si="219"/>
        <v>Incomplete</v>
      </c>
      <c r="BB705" s="20"/>
      <c r="BC705" s="20" t="str">
        <f t="shared" si="220"/>
        <v>Incomplete</v>
      </c>
      <c r="BD705" s="20"/>
      <c r="BE705" s="20" t="str">
        <f t="shared" si="221"/>
        <v>Incomplete</v>
      </c>
      <c r="BF705" s="20"/>
      <c r="BG705" s="20">
        <v>14</v>
      </c>
      <c r="BH705" s="20">
        <v>36.5</v>
      </c>
      <c r="BI705" s="20">
        <f>IF(OR(ISBLANK(BG705), ISBLANK(BH705)),"Incomplete",(SUM(BH705-BG705)))</f>
        <v>22.5</v>
      </c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91" t="str">
        <f t="shared" si="222"/>
        <v>Incomplete</v>
      </c>
      <c r="BX705" s="91" t="str">
        <f>_xlfn.XLOOKUP(BW705,'Normative data'!$V$3:$V$6,'Normative data'!$W$3:$W$6,"Not Found",-1)</f>
        <v>Very low risk</v>
      </c>
      <c r="BY705" s="91" t="str">
        <f t="shared" si="223"/>
        <v>Incomplete</v>
      </c>
      <c r="BZ705" s="91" t="str">
        <f>_xlfn.XLOOKUP(BY705,'Normative data'!$V$3:$V$6,'Normative data'!$W$3:$W$6,"Not Found",-1)</f>
        <v>Very low risk</v>
      </c>
      <c r="CA705" s="20"/>
      <c r="CC705" s="20"/>
      <c r="CE705" s="20">
        <v>22</v>
      </c>
      <c r="CG705" s="20"/>
      <c r="CH705" s="20" t="str">
        <f>_xlfn.XLOOKUP(CG705, 'Normative data'!$S$9:$S$15,'Normative data'!$T$9:$T$15, "Not Found", -1)</f>
        <v>not completed</v>
      </c>
      <c r="CI705" s="20"/>
      <c r="CJ705" s="20" t="str">
        <f>_xlfn.XLOOKUP(CI705, 'Normative data'!$S$9:$S$15, 'Normative data'!$T$9:$T$15, "Not Found", -1)</f>
        <v>not completed</v>
      </c>
      <c r="CK705" s="24">
        <v>2.2400000000000002</v>
      </c>
      <c r="CL705" s="24">
        <v>4.46</v>
      </c>
      <c r="CM705" s="21"/>
      <c r="CN705" s="24">
        <v>7.68</v>
      </c>
      <c r="CO705" s="24">
        <v>6.54</v>
      </c>
      <c r="CP705" s="24"/>
      <c r="CQ705" s="20"/>
      <c r="CR705" s="20" t="str" cm="1">
        <f t="array" ref="CR705">IF(OR(ISBLANK(E705),ISBLANK(CQ705)),"Incomplete",_xlfn.XLOOKUP(CQ705,_xlfn.XLOOKUP(E705,'Normative data'!$Y$3:$Y$6,'Normative data'!$Z$3:$AG$6,,-1),'Normative data'!$Z$2:$AG$2,"Not Found",-1))</f>
        <v>Incomplete</v>
      </c>
      <c r="CS705" s="20"/>
      <c r="CT705" s="20"/>
      <c r="CU705" s="20" t="str" cm="1">
        <f t="array" ref="CU705">_xlfn.XLOOKUP(CS705&amp;CT705,(VLOOKUP!$A$3:$A$250)&amp;(VLOOKUP!$B$3:$B$250),VLOOKUP!$C$3:$C$250,"Incomplete",-1)</f>
        <v>Incomplete</v>
      </c>
      <c r="CV705" s="20" t="str" cm="1">
        <f t="array" ref="CV705">_xlfn.XLOOKUP(CU705, _xlfn.XLOOKUP(E705, 'Normative data'!$Y$11:$Y$14, 'Normative data'!$Z$11:$AG$14, ,-1), 'Normative data'!$Z$10:$AG$10, "Not Found", -1)</f>
        <v>Excellent</v>
      </c>
      <c r="CW705" s="20" t="str" cm="1">
        <f t="array" ref="CW705">IF(OR(ISBLANK(CS705),ISBLANK(CT705)),"Incomplete",_xlfn.XLOOKUP(CS705&amp;CT705,VLOOKUP!$A$4:$A$250&amp;VLOOKUP!$B$4:$B$250,VLOOKUP!$D$4:$D$250,"0"))</f>
        <v>Incomplete</v>
      </c>
    </row>
    <row r="706" spans="1:101">
      <c r="A706" s="17" t="s">
        <v>1348</v>
      </c>
      <c r="B706" s="17" t="s">
        <v>1060</v>
      </c>
      <c r="C706" s="17" t="s">
        <v>86</v>
      </c>
      <c r="D706" s="26"/>
      <c r="F706" s="17">
        <v>10</v>
      </c>
      <c r="G706" s="17">
        <v>2025</v>
      </c>
      <c r="S706" s="20"/>
      <c r="T706" s="20">
        <v>171.4</v>
      </c>
      <c r="U706" s="20">
        <v>71.400000000000006</v>
      </c>
      <c r="V706" s="20"/>
      <c r="W706" s="20">
        <v>20.6</v>
      </c>
      <c r="X706" s="20">
        <f>SUM(T706-W706)</f>
        <v>150.80000000000001</v>
      </c>
      <c r="Y706" s="20">
        <v>28.4</v>
      </c>
      <c r="Z706" s="20">
        <v>24.3</v>
      </c>
      <c r="AA706" s="20">
        <v>28.8</v>
      </c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41" t="str">
        <f t="shared" si="218"/>
        <v>Incomplete</v>
      </c>
      <c r="AZ706" s="20"/>
      <c r="BA706" s="20" t="str">
        <f t="shared" si="219"/>
        <v>Incomplete</v>
      </c>
      <c r="BB706" s="20"/>
      <c r="BC706" s="20" t="str">
        <f t="shared" si="220"/>
        <v>Incomplete</v>
      </c>
      <c r="BD706" s="20"/>
      <c r="BE706" s="20" t="str">
        <f t="shared" si="221"/>
        <v>Incomplete</v>
      </c>
      <c r="BF706" s="20"/>
      <c r="BG706" s="20">
        <v>12.5</v>
      </c>
      <c r="BH706" s="20">
        <v>31.1</v>
      </c>
      <c r="BI706" s="20" t="e">
        <f>IF(OR(ISBLANK(#REF!), ISBLANK(#REF!)),"Incomplete",(SUM(#REF!-#REF!)))</f>
        <v>#REF!</v>
      </c>
      <c r="BJ706" s="20"/>
      <c r="BK706" s="20">
        <v>8</v>
      </c>
      <c r="BL706" s="20"/>
      <c r="BM706" s="20">
        <v>6</v>
      </c>
      <c r="BN706" s="20"/>
      <c r="BO706" s="20"/>
      <c r="BP706" s="20"/>
      <c r="BQ706" s="20"/>
      <c r="BR706" s="20"/>
      <c r="BS706" s="20"/>
      <c r="BT706" s="20"/>
      <c r="BU706" s="20"/>
      <c r="BV706" s="20"/>
      <c r="BW706" s="91">
        <f t="shared" si="222"/>
        <v>0</v>
      </c>
      <c r="BX706" s="91" t="str">
        <f>_xlfn.XLOOKUP(BW706,'Normative data'!$V$3:$V$6,'Normative data'!$W$3:$W$6,"Not Found",-1)</f>
        <v>Not completed</v>
      </c>
      <c r="BY706" s="91">
        <f t="shared" si="223"/>
        <v>0</v>
      </c>
      <c r="BZ706" s="91" t="str">
        <f>_xlfn.XLOOKUP(BY706,'Normative data'!$V$3:$V$6,'Normative data'!$W$3:$W$6,"Not Found",-1)</f>
        <v>Not completed</v>
      </c>
      <c r="CA706" s="20"/>
      <c r="CC706" s="20"/>
      <c r="CE706" s="20">
        <v>12</v>
      </c>
      <c r="CG706" s="20"/>
      <c r="CH706" s="20" t="str">
        <f>_xlfn.XLOOKUP(CG706, 'Normative data'!$S$9:$S$15,'Normative data'!$T$9:$T$15, "Not Found", -1)</f>
        <v>not completed</v>
      </c>
      <c r="CI706" s="20"/>
      <c r="CJ706" s="20" t="str">
        <f>_xlfn.XLOOKUP(CI706, 'Normative data'!$S$9:$S$15, 'Normative data'!$T$9:$T$15, "Not Found", -1)</f>
        <v>not completed</v>
      </c>
      <c r="CK706" s="20" t="s">
        <v>371</v>
      </c>
      <c r="CL706" s="20" t="s">
        <v>372</v>
      </c>
      <c r="CM706" s="21"/>
      <c r="CN706" s="20" t="s">
        <v>749</v>
      </c>
      <c r="CO706" s="20" t="s">
        <v>748</v>
      </c>
      <c r="CQ706" s="20"/>
      <c r="CR706" s="20" t="str" cm="1">
        <f t="array" ref="CR706">IF(OR(ISBLANK(E706),ISBLANK(CQ706)),"Incomplete",_xlfn.XLOOKUP(CQ706,_xlfn.XLOOKUP(E706,'Normative data'!$Y$3:$Y$6,'Normative data'!$Z$3:$AG$6,,-1),'Normative data'!$Z$2:$AG$2,"Not Found",-1))</f>
        <v>Incomplete</v>
      </c>
      <c r="CS706" s="20"/>
      <c r="CT706" s="20"/>
      <c r="CU706" s="20" t="str" cm="1">
        <f t="array" ref="CU706">_xlfn.XLOOKUP(CS706&amp;CT706,(VLOOKUP!$A$3:$A$250)&amp;(VLOOKUP!$B$3:$B$250),VLOOKUP!$C$3:$C$250,"Incomplete",-1)</f>
        <v>Incomplete</v>
      </c>
      <c r="CV706" s="20" t="str" cm="1">
        <f t="array" ref="CV706">_xlfn.XLOOKUP(CU706, _xlfn.XLOOKUP(E706, 'Normative data'!$Y$11:$Y$14, 'Normative data'!$Z$11:$AG$14, ,-1), 'Normative data'!$Z$10:$AG$10, "Not Found", -1)</f>
        <v>Excellent</v>
      </c>
      <c r="CW706" s="20" t="str" cm="1">
        <f t="array" ref="CW706">IF(OR(ISBLANK(CS706),ISBLANK(CT706)),"Incomplete",_xlfn.XLOOKUP(CS706&amp;CT706,VLOOKUP!$A$4:$A$250&amp;VLOOKUP!$B$4:$B$250,VLOOKUP!$D$4:$D$250,"0"))</f>
        <v>Incomplete</v>
      </c>
    </row>
    <row r="707" spans="1:101">
      <c r="A707" s="17" t="s">
        <v>1348</v>
      </c>
      <c r="B707" s="17" t="s">
        <v>1060</v>
      </c>
      <c r="C707" s="17" t="s">
        <v>86</v>
      </c>
      <c r="D707" s="26"/>
      <c r="F707" s="17">
        <v>10</v>
      </c>
      <c r="G707" s="17">
        <v>2025</v>
      </c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41" t="str">
        <f t="shared" si="218"/>
        <v>Incomplete</v>
      </c>
      <c r="AZ707" s="20"/>
      <c r="BA707" s="20" t="str">
        <f t="shared" si="219"/>
        <v>Incomplete</v>
      </c>
      <c r="BB707" s="20"/>
      <c r="BC707" s="20" t="str">
        <f t="shared" si="220"/>
        <v>Incomplete</v>
      </c>
      <c r="BD707" s="20"/>
      <c r="BE707" s="20" t="str">
        <f t="shared" si="221"/>
        <v>Incomplete</v>
      </c>
      <c r="BF707" s="20"/>
      <c r="BG707" s="20">
        <v>11</v>
      </c>
      <c r="BH707" s="20">
        <v>25.7</v>
      </c>
      <c r="BI707" s="20" t="e">
        <f>IF(OR(ISBLANK(#REF!), ISBLANK(#REF!)),"Incomplete",(SUM(#REF!-#REF!)))</f>
        <v>#REF!</v>
      </c>
      <c r="BJ707" s="20"/>
      <c r="BK707" s="20">
        <v>8</v>
      </c>
      <c r="BL707" s="20"/>
      <c r="BM707" s="20">
        <v>8</v>
      </c>
      <c r="BN707" s="20"/>
      <c r="BO707" s="20"/>
      <c r="BP707" s="20"/>
      <c r="BQ707" s="20"/>
      <c r="BR707" s="20"/>
      <c r="BS707" s="20"/>
      <c r="BT707" s="20"/>
      <c r="BU707" s="20"/>
      <c r="BV707" s="20"/>
      <c r="BW707" s="91" t="str">
        <f t="shared" si="222"/>
        <v>Incomplete</v>
      </c>
      <c r="BX707" s="91" t="str">
        <f>_xlfn.XLOOKUP(BW707,'Normative data'!$V$3:$V$6,'Normative data'!$W$3:$W$6,"Not Found",-1)</f>
        <v>Very low risk</v>
      </c>
      <c r="BY707" s="91" t="str">
        <f t="shared" si="223"/>
        <v>Incomplete</v>
      </c>
      <c r="BZ707" s="91" t="str">
        <f>_xlfn.XLOOKUP(BY707,'Normative data'!$V$3:$V$6,'Normative data'!$W$3:$W$6,"Not Found",-1)</f>
        <v>Very low risk</v>
      </c>
      <c r="CA707" s="20"/>
      <c r="CC707" s="20"/>
      <c r="CG707" s="20"/>
      <c r="CH707" s="20" t="str">
        <f>_xlfn.XLOOKUP(CG707, 'Normative data'!$S$9:$S$15,'Normative data'!$T$9:$T$15, "Not Found", -1)</f>
        <v>not completed</v>
      </c>
      <c r="CI707" s="20"/>
      <c r="CJ707" s="20" t="str">
        <f>_xlfn.XLOOKUP(CI707, 'Normative data'!$S$9:$S$15, 'Normative data'!$T$9:$T$15, "Not Found", -1)</f>
        <v>not completed</v>
      </c>
      <c r="CK707" s="21"/>
      <c r="CL707" s="21"/>
      <c r="CM707" s="21"/>
      <c r="CN707" s="21"/>
      <c r="CO707" s="21"/>
      <c r="CP707" s="21"/>
      <c r="CQ707" s="20"/>
      <c r="CR707" s="20" t="str" cm="1">
        <f t="array" ref="CR707">IF(OR(ISBLANK(E707),ISBLANK(CQ707)),"Incomplete",_xlfn.XLOOKUP(CQ707,_xlfn.XLOOKUP(E707,'Normative data'!$Y$3:$Y$6,'Normative data'!$Z$3:$AG$6,,-1),'Normative data'!$Z$2:$AG$2,"Not Found",-1))</f>
        <v>Incomplete</v>
      </c>
      <c r="CS707" s="20"/>
      <c r="CT707" s="20"/>
      <c r="CU707" s="20" t="str" cm="1">
        <f t="array" ref="CU707">_xlfn.XLOOKUP(CS707&amp;CT707,(VLOOKUP!$A$3:$A$250)&amp;(VLOOKUP!$B$3:$B$250),VLOOKUP!$C$3:$C$250,"Incomplete",-1)</f>
        <v>Incomplete</v>
      </c>
      <c r="CV707" s="20" t="str" cm="1">
        <f t="array" ref="CV707">_xlfn.XLOOKUP(CU707, _xlfn.XLOOKUP(E707, 'Normative data'!$Y$11:$Y$14, 'Normative data'!$Z$11:$AG$14, ,-1), 'Normative data'!$Z$10:$AG$10, "Not Found", -1)</f>
        <v>Excellent</v>
      </c>
      <c r="CW707" s="20" t="str" cm="1">
        <f t="array" ref="CW707">IF(OR(ISBLANK(CS707),ISBLANK(CT707)),"Incomplete",_xlfn.XLOOKUP(CS707&amp;CT707,VLOOKUP!$A$4:$A$250&amp;VLOOKUP!$B$4:$B$250,VLOOKUP!$D$4:$D$250,"0"))</f>
        <v>Incomplete</v>
      </c>
    </row>
    <row r="708" spans="1:101">
      <c r="A708" s="18" t="s">
        <v>439</v>
      </c>
      <c r="B708" s="18" t="s">
        <v>1060</v>
      </c>
      <c r="C708" s="17" t="s">
        <v>86</v>
      </c>
      <c r="D708" s="19">
        <v>40110</v>
      </c>
      <c r="F708" s="17">
        <v>10</v>
      </c>
      <c r="G708" s="17">
        <v>2025</v>
      </c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41" t="str">
        <f t="shared" si="218"/>
        <v>Incomplete</v>
      </c>
      <c r="AZ708" s="20"/>
      <c r="BA708" s="20" t="str">
        <f t="shared" si="219"/>
        <v>Incomplete</v>
      </c>
      <c r="BB708" s="20"/>
      <c r="BC708" s="20" t="str">
        <f t="shared" si="220"/>
        <v>Incomplete</v>
      </c>
      <c r="BD708" s="20"/>
      <c r="BE708" s="20" t="str">
        <f t="shared" si="221"/>
        <v>Incomplete</v>
      </c>
      <c r="BF708" s="20"/>
      <c r="BG708" s="20"/>
      <c r="BH708" s="20"/>
      <c r="BI708" s="20" t="str">
        <f>IF(OR(ISBLANK(BG708), ISBLANK(BH708)),"Incomplete",(SUM(BH708-BG708)))</f>
        <v>Incomplete</v>
      </c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91" t="str">
        <f t="shared" si="222"/>
        <v>Incomplete</v>
      </c>
      <c r="BX708" s="91" t="str">
        <f>_xlfn.XLOOKUP(BW708,'Normative data'!$V$3:$V$6,'Normative data'!$W$3:$W$6,"Not Found",-1)</f>
        <v>Very low risk</v>
      </c>
      <c r="BY708" s="91" t="str">
        <f t="shared" si="223"/>
        <v>Incomplete</v>
      </c>
      <c r="BZ708" s="91" t="str">
        <f>_xlfn.XLOOKUP(BY708,'Normative data'!$V$3:$V$6,'Normative data'!$W$3:$W$6,"Not Found",-1)</f>
        <v>Very low risk</v>
      </c>
      <c r="CA708" s="20"/>
      <c r="CC708" s="20"/>
      <c r="CE708" s="20"/>
      <c r="CG708" s="20"/>
      <c r="CH708" s="20" t="str">
        <f>_xlfn.XLOOKUP(CG708, 'Normative data'!$S$9:$S$15,'Normative data'!$T$9:$T$15, "Not Found", -1)</f>
        <v>not completed</v>
      </c>
      <c r="CI708" s="20"/>
      <c r="CJ708" s="20" t="str">
        <f>_xlfn.XLOOKUP(CI708, 'Normative data'!$S$9:$S$15, 'Normative data'!$T$9:$T$15, "Not Found", -1)</f>
        <v>not completed</v>
      </c>
      <c r="CK708" s="21">
        <v>2.35</v>
      </c>
      <c r="CL708" s="21">
        <v>4.26</v>
      </c>
      <c r="CM708" s="21"/>
      <c r="CN708" s="21">
        <v>7.4</v>
      </c>
      <c r="CO708" s="21">
        <v>6.76</v>
      </c>
      <c r="CP708" s="21"/>
      <c r="CQ708" s="20"/>
      <c r="CR708" s="20" t="str" cm="1">
        <f t="array" ref="CR708">IF(OR(ISBLANK(E708),ISBLANK(CQ708)),"Incomplete",_xlfn.XLOOKUP(CQ708,_xlfn.XLOOKUP(E708,'Normative data'!$Y$3:$Y$6,'Normative data'!$Z$3:$AG$6,,-1),'Normative data'!$Z$2:$AG$2,"Not Found",-1))</f>
        <v>Incomplete</v>
      </c>
      <c r="CS708" s="20"/>
      <c r="CT708" s="20"/>
      <c r="CU708" s="20" t="str" cm="1">
        <f t="array" ref="CU708">_xlfn.XLOOKUP(CS708&amp;CT708,(VLOOKUP!$A$3:$A$250)&amp;(VLOOKUP!$B$3:$B$250),VLOOKUP!$C$3:$C$250,"Incomplete",-1)</f>
        <v>Incomplete</v>
      </c>
      <c r="CV708" s="20" t="str" cm="1">
        <f t="array" ref="CV708">_xlfn.XLOOKUP(CU708, _xlfn.XLOOKUP(E708, 'Normative data'!$Y$11:$Y$14, 'Normative data'!$Z$11:$AG$14, ,-1), 'Normative data'!$Z$10:$AG$10, "Not Found", -1)</f>
        <v>Excellent</v>
      </c>
      <c r="CW708" s="20" t="str" cm="1">
        <f t="array" ref="CW708">IF(OR(ISBLANK(CS708),ISBLANK(CT708)),"Incomplete",_xlfn.XLOOKUP(CS708&amp;CT708,VLOOKUP!$A$4:$A$250&amp;VLOOKUP!$B$4:$B$250,VLOOKUP!$D$4:$D$250,"0"))</f>
        <v>Incomplete</v>
      </c>
    </row>
    <row r="709" spans="1:101" ht="13.9" customHeight="1">
      <c r="A709" s="17" t="s">
        <v>439</v>
      </c>
      <c r="B709" s="17" t="s">
        <v>1060</v>
      </c>
      <c r="C709" s="17" t="s">
        <v>86</v>
      </c>
      <c r="D709" s="19">
        <v>40110</v>
      </c>
      <c r="F709" s="17">
        <v>10</v>
      </c>
      <c r="G709" s="17">
        <v>2025</v>
      </c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41" t="str">
        <f t="shared" si="218"/>
        <v>Incomplete</v>
      </c>
      <c r="AZ709" s="20"/>
      <c r="BA709" s="20" t="str">
        <f t="shared" si="219"/>
        <v>Incomplete</v>
      </c>
      <c r="BB709" s="20"/>
      <c r="BC709" s="20" t="str">
        <f t="shared" si="220"/>
        <v>Incomplete</v>
      </c>
      <c r="BD709" s="20"/>
      <c r="BE709" s="20" t="str">
        <f t="shared" si="221"/>
        <v>Incomplete</v>
      </c>
      <c r="BF709" s="20"/>
      <c r="BG709" s="20"/>
      <c r="BH709" s="20"/>
      <c r="BI709" s="20" t="str">
        <f>IF(OR(ISBLANK(BG709), ISBLANK(BH709)),"Incomplete",(SUM(BH709-BG709)))</f>
        <v>Incomplete</v>
      </c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91" t="str">
        <f t="shared" si="222"/>
        <v>Incomplete</v>
      </c>
      <c r="BX709" s="91" t="str">
        <f>_xlfn.XLOOKUP(BW709,'Normative data'!$V$3:$V$6,'Normative data'!$W$3:$W$6,"Not Found",-1)</f>
        <v>Very low risk</v>
      </c>
      <c r="BY709" s="91" t="str">
        <f t="shared" si="223"/>
        <v>Incomplete</v>
      </c>
      <c r="BZ709" s="91" t="str">
        <f>_xlfn.XLOOKUP(BY709,'Normative data'!$V$3:$V$6,'Normative data'!$W$3:$W$6,"Not Found",-1)</f>
        <v>Very low risk</v>
      </c>
      <c r="CA709" s="20"/>
      <c r="CC709" s="20"/>
      <c r="CE709" s="20">
        <v>1</v>
      </c>
      <c r="CG709" s="20"/>
      <c r="CH709" s="20" t="str">
        <f>_xlfn.XLOOKUP(CG709, 'Normative data'!$S$9:$S$15,'Normative data'!$T$9:$T$15, "Not Found", -1)</f>
        <v>not completed</v>
      </c>
      <c r="CI709" s="20"/>
      <c r="CJ709" s="20" t="str">
        <f>_xlfn.XLOOKUP(CI709, 'Normative data'!$S$9:$S$15, 'Normative data'!$T$9:$T$15, "Not Found", -1)</f>
        <v>not completed</v>
      </c>
      <c r="CK709" s="20" t="s">
        <v>327</v>
      </c>
      <c r="CL709" s="20" t="s">
        <v>624</v>
      </c>
      <c r="CN709" s="20" t="s">
        <v>136</v>
      </c>
      <c r="CO709" s="20" t="s">
        <v>1145</v>
      </c>
      <c r="CQ709" s="20"/>
      <c r="CR709" s="20" t="str" cm="1">
        <f t="array" ref="CR709">IF(OR(ISBLANK(E709),ISBLANK(CQ709)),"Incomplete",_xlfn.XLOOKUP(CQ709,_xlfn.XLOOKUP(E709,'Normative data'!$Y$3:$Y$6,'Normative data'!$Z$3:$AG$6,,-1),'Normative data'!$Z$2:$AG$2,"Not Found",-1))</f>
        <v>Incomplete</v>
      </c>
      <c r="CS709" s="20"/>
      <c r="CT709" s="20"/>
      <c r="CU709" s="20" t="str" cm="1">
        <f t="array" ref="CU709">_xlfn.XLOOKUP(CS709&amp;CT709,(VLOOKUP!$A$3:$A$250)&amp;(VLOOKUP!$B$3:$B$250),VLOOKUP!$C$3:$C$250,"Incomplete",-1)</f>
        <v>Incomplete</v>
      </c>
      <c r="CV709" s="20" t="str" cm="1">
        <f t="array" ref="CV709">_xlfn.XLOOKUP(CU709, _xlfn.XLOOKUP(E709, 'Normative data'!$Y$11:$Y$14, 'Normative data'!$Z$11:$AG$14, ,-1), 'Normative data'!$Z$10:$AG$10, "Not Found", -1)</f>
        <v>Excellent</v>
      </c>
      <c r="CW709" s="20" t="str" cm="1">
        <f t="array" ref="CW709">IF(OR(ISBLANK(CS709),ISBLANK(CT709)),"Incomplete",_xlfn.XLOOKUP(CS709&amp;CT709,VLOOKUP!$A$4:$A$250&amp;VLOOKUP!$B$4:$B$250,VLOOKUP!$D$4:$D$250,"0"))</f>
        <v>Incomplete</v>
      </c>
    </row>
    <row r="710" spans="1:101" ht="13.9" customHeight="1">
      <c r="A710" s="17" t="s">
        <v>1349</v>
      </c>
      <c r="B710" s="17" t="s">
        <v>1350</v>
      </c>
      <c r="C710" s="17" t="s">
        <v>86</v>
      </c>
      <c r="D710" s="26"/>
      <c r="F710" s="20" t="s">
        <v>110</v>
      </c>
      <c r="G710" s="17">
        <v>2026</v>
      </c>
      <c r="I710" s="20">
        <v>2</v>
      </c>
      <c r="J710" s="20"/>
      <c r="K710" s="20"/>
      <c r="L710" s="20"/>
      <c r="S710" s="20">
        <v>86.6</v>
      </c>
      <c r="T710" s="20">
        <v>162.19999999999999</v>
      </c>
      <c r="AY710" s="41" t="str">
        <f t="shared" si="218"/>
        <v>Incomplete</v>
      </c>
      <c r="BA710" s="20" t="str">
        <f t="shared" si="219"/>
        <v>Incomplete</v>
      </c>
      <c r="BC710" s="20" t="str">
        <f t="shared" si="220"/>
        <v>Incomplete</v>
      </c>
      <c r="BE710" s="20" t="str">
        <f t="shared" si="221"/>
        <v>Incomplete</v>
      </c>
      <c r="BG710" s="17">
        <v>11.1</v>
      </c>
      <c r="BH710" s="17">
        <v>51</v>
      </c>
      <c r="BI710" s="20">
        <f>IF(OR(ISBLANK(BG710), ISBLANK(BH710)),"Incomplete",(SUM(BH710-BG710)))</f>
        <v>39.9</v>
      </c>
      <c r="BJ710" s="20"/>
      <c r="BL710" s="20"/>
      <c r="BN710" s="20"/>
      <c r="BW710" s="91">
        <f t="shared" si="222"/>
        <v>0</v>
      </c>
      <c r="BX710" s="91" t="str">
        <f>_xlfn.XLOOKUP(BW710,'Normative data'!$V$3:$V$6,'Normative data'!$W$3:$W$6,"Not Found",-1)</f>
        <v>Not completed</v>
      </c>
      <c r="BY710" s="91">
        <f t="shared" si="223"/>
        <v>0</v>
      </c>
      <c r="BZ710" s="91" t="str">
        <f>_xlfn.XLOOKUP(BY710,'Normative data'!$V$3:$V$6,'Normative data'!$W$3:$W$6,"Not Found",-1)</f>
        <v>Not completed</v>
      </c>
      <c r="CG710" s="20"/>
      <c r="CH710" s="20" t="str">
        <f>_xlfn.XLOOKUP(CG710, 'Normative data'!$S$9:$S$15,'Normative data'!$T$9:$T$15, "Not Found", -1)</f>
        <v>not completed</v>
      </c>
      <c r="CI710" s="20"/>
      <c r="CJ710" s="20" t="str">
        <f>_xlfn.XLOOKUP(CI710, 'Normative data'!$S$9:$S$15, 'Normative data'!$T$9:$T$15, "Not Found", -1)</f>
        <v>not completed</v>
      </c>
      <c r="CK710" s="21"/>
      <c r="CL710" s="21"/>
      <c r="CM710" s="21"/>
      <c r="CN710" s="21"/>
      <c r="CO710" s="21"/>
      <c r="CR710" s="20" t="str" cm="1">
        <f t="array" ref="CR710">IF(OR(ISBLANK(E710),ISBLANK(CQ710)),"Incomplete",_xlfn.XLOOKUP(CQ710,_xlfn.XLOOKUP(E710,'Normative data'!$Y$3:$Y$6,'Normative data'!$Z$3:$AG$6,,-1),'Normative data'!$Z$2:$AG$2,"Not Found",-1))</f>
        <v>Incomplete</v>
      </c>
      <c r="CS710" s="20"/>
      <c r="CT710" s="20"/>
      <c r="CU710" s="20" t="str" cm="1">
        <f t="array" ref="CU710">_xlfn.XLOOKUP(CS710&amp;CT710,(VLOOKUP!$A$3:$A$250)&amp;(VLOOKUP!$B$3:$B$250),VLOOKUP!$C$3:$C$250,"Incomplete",-1)</f>
        <v>Incomplete</v>
      </c>
      <c r="CV710" s="20" t="str" cm="1">
        <f t="array" ref="CV710">_xlfn.XLOOKUP(CU710, _xlfn.XLOOKUP(E710, 'Normative data'!$Y$11:$Y$14, 'Normative data'!$Z$11:$AG$14, ,-1), 'Normative data'!$Z$10:$AG$10, "Not Found", -1)</f>
        <v>Excellent</v>
      </c>
      <c r="CW710" s="20" t="str" cm="1">
        <f t="array" ref="CW710">IF(OR(ISBLANK(CS710),ISBLANK(CT710)),"Incomplete",_xlfn.XLOOKUP(CS710&amp;CT710,VLOOKUP!$A$4:$A$250&amp;VLOOKUP!$B$4:$B$250,VLOOKUP!$D$4:$D$250,"0"))</f>
        <v>Incomplete</v>
      </c>
    </row>
    <row r="711" spans="1:101" ht="13.9" customHeight="1">
      <c r="A711" s="22" t="s">
        <v>894</v>
      </c>
      <c r="B711" s="22" t="s">
        <v>893</v>
      </c>
      <c r="C711" s="17" t="s">
        <v>86</v>
      </c>
      <c r="D711" s="23">
        <v>40613</v>
      </c>
      <c r="F711" s="17">
        <v>8</v>
      </c>
      <c r="G711" s="17">
        <v>2025</v>
      </c>
      <c r="J711" s="17" t="s">
        <v>122</v>
      </c>
      <c r="S711" s="20"/>
      <c r="T711" s="20">
        <v>161</v>
      </c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41" t="str">
        <f t="shared" si="218"/>
        <v>Incomplete</v>
      </c>
      <c r="AZ711" s="20"/>
      <c r="BA711" s="20" t="str">
        <f t="shared" si="219"/>
        <v>Incomplete</v>
      </c>
      <c r="BB711" s="20"/>
      <c r="BC711" s="20" t="str">
        <f t="shared" si="220"/>
        <v>Incomplete</v>
      </c>
      <c r="BD711" s="20"/>
      <c r="BE711" s="20" t="str">
        <f t="shared" si="221"/>
        <v>Incomplete</v>
      </c>
      <c r="BF711" s="20"/>
      <c r="BG711" s="20">
        <v>16</v>
      </c>
      <c r="BH711" s="20">
        <v>49.9</v>
      </c>
      <c r="BI711" s="20" t="e">
        <f>IF(OR(ISBLANK(#REF!), ISBLANK(#REF!)),"Incomplete",(SUM(#REF!-#REF!)))</f>
        <v>#REF!</v>
      </c>
      <c r="BJ711" s="20"/>
      <c r="BK711" s="20">
        <v>8</v>
      </c>
      <c r="BL711" s="20"/>
      <c r="BM711" s="20">
        <v>7</v>
      </c>
      <c r="BN711" s="20"/>
      <c r="BO711" s="20"/>
      <c r="BP711" s="20"/>
      <c r="BQ711" s="20"/>
      <c r="BR711" s="20"/>
      <c r="BS711" s="20"/>
      <c r="BT711" s="20"/>
      <c r="BU711" s="20"/>
      <c r="BV711" s="20"/>
      <c r="BW711" s="91">
        <f t="shared" si="222"/>
        <v>0</v>
      </c>
      <c r="BX711" s="91" t="str">
        <f>_xlfn.XLOOKUP(BW711,'Normative data'!$V$3:$V$6,'Normative data'!$W$3:$W$6,"Not Found",-1)</f>
        <v>Not completed</v>
      </c>
      <c r="BY711" s="91">
        <f t="shared" si="223"/>
        <v>0</v>
      </c>
      <c r="BZ711" s="91" t="str">
        <f>_xlfn.XLOOKUP(BY711,'Normative data'!$V$3:$V$6,'Normative data'!$W$3:$W$6,"Not Found",-1)</f>
        <v>Not completed</v>
      </c>
      <c r="CA711" s="20"/>
      <c r="CC711" s="20"/>
      <c r="CE711" s="20"/>
      <c r="CG711" s="20">
        <v>18.52</v>
      </c>
      <c r="CH711" s="20" t="e">
        <f>_xlfn.XLOOKUP(#REF!, 'Normative data'!$S$9:$S$15,'Normative data'!$T$9:$T$15, "Not Found", -1)</f>
        <v>#REF!</v>
      </c>
      <c r="CI711" s="20">
        <v>17.329999999999998</v>
      </c>
      <c r="CJ711" s="20" t="e">
        <f>_xlfn.XLOOKUP(#REF!, 'Normative data'!$S$9:$S$15, 'Normative data'!$T$9:$T$15, "Not Found", -1)</f>
        <v>#REF!</v>
      </c>
      <c r="CK711" s="24">
        <v>2.19</v>
      </c>
      <c r="CL711" s="24">
        <v>4.57</v>
      </c>
      <c r="CM711" s="21"/>
      <c r="CN711" s="24">
        <v>6.83</v>
      </c>
      <c r="CO711" s="24">
        <v>7.32</v>
      </c>
      <c r="CP711" s="24"/>
      <c r="CQ711" s="20"/>
      <c r="CR711" s="20" t="str" cm="1">
        <f t="array" ref="CR711">IF(OR(ISBLANK(E711),ISBLANK(CQ711)),"Incomplete",_xlfn.XLOOKUP(CQ711,_xlfn.XLOOKUP(E711,'Normative data'!$Y$3:$Y$6,'Normative data'!$Z$3:$AG$6,,-1),'Normative data'!$Z$2:$AG$2,"Not Found",-1))</f>
        <v>Incomplete</v>
      </c>
      <c r="CS711" s="20"/>
      <c r="CT711" s="20"/>
      <c r="CU711" s="20" t="str" cm="1">
        <f t="array" ref="CU711">_xlfn.XLOOKUP(CS711&amp;CT711,(VLOOKUP!$A$3:$A$250)&amp;(VLOOKUP!$B$3:$B$250),VLOOKUP!$C$3:$C$250,"Incomplete",-1)</f>
        <v>Incomplete</v>
      </c>
      <c r="CV711" s="20" t="str" cm="1">
        <f t="array" ref="CV711">_xlfn.XLOOKUP(CU711, _xlfn.XLOOKUP(E711, 'Normative data'!$Y$11:$Y$14, 'Normative data'!$Z$11:$AG$14, ,-1), 'Normative data'!$Z$10:$AG$10, "Not Found", -1)</f>
        <v>Excellent</v>
      </c>
      <c r="CW711" s="20" t="str" cm="1">
        <f t="array" ref="CW711">IF(OR(ISBLANK(CS711),ISBLANK(CT711)),"Incomplete",_xlfn.XLOOKUP(CS711&amp;CT711,VLOOKUP!$A$4:$A$250&amp;VLOOKUP!$B$4:$B$250,VLOOKUP!$D$4:$D$250,"0"))</f>
        <v>Incomplete</v>
      </c>
    </row>
    <row r="712" spans="1:101">
      <c r="A712" s="17" t="s">
        <v>894</v>
      </c>
      <c r="B712" s="17" t="s">
        <v>893</v>
      </c>
      <c r="C712" s="17" t="s">
        <v>86</v>
      </c>
      <c r="D712" s="23">
        <v>40613</v>
      </c>
      <c r="G712" s="17">
        <v>2025</v>
      </c>
      <c r="S712" s="20"/>
      <c r="T712" s="20" t="s">
        <v>1351</v>
      </c>
      <c r="U712" s="20" t="s">
        <v>1352</v>
      </c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41" t="str">
        <f>IF(OR(ISBLANK(#REF!), ISBLANK(AQ712)), "Incomplete", (60.7*AQ712)+(45.3*#REF!)-2055)</f>
        <v>Incomplete</v>
      </c>
      <c r="AZ712" s="20"/>
      <c r="BA712" s="20" t="str">
        <f>IF(OR(ISBLANK(#REF!), ISBLANK(AS712)), "Incomplete", (60.7*AS712)+(45.3*#REF!)-2055)</f>
        <v>Incomplete</v>
      </c>
      <c r="BB712" s="20"/>
      <c r="BC712" s="20" t="str">
        <f>IF(OR(ISBLANK(#REF!), ISBLANK(AU712)), "Incomplete", (60.7*AU712)+(45.3*#REF!)-2055)</f>
        <v>Incomplete</v>
      </c>
      <c r="BD712" s="20"/>
      <c r="BE712" s="20" t="str">
        <f>IF(OR(ISBLANK(#REF!), ISBLANK(AW712)), "Incomplete", (60.7*AW712)+(45.3*#REF!)-2055)</f>
        <v>Incomplete</v>
      </c>
      <c r="BF712" s="20"/>
      <c r="BG712" s="20"/>
      <c r="BH712" s="20"/>
      <c r="BI712" s="20" t="str">
        <f>IF(OR(ISBLANK(BG712), ISBLANK(BH712)),"Incomplete",(SUM(BH712-BG712)))</f>
        <v>Incomplete</v>
      </c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91" t="str">
        <f>IFERROR(SUM(BQ712+BR712+BS712)/(3*(#REF!-S712))*100, "Incomplete")</f>
        <v>Incomplete</v>
      </c>
      <c r="BX712" s="91" t="str">
        <f>_xlfn.XLOOKUP(BW712,'Normative data'!$V$3:$V$6,'Normative data'!$W$3:$W$6,"Not Found",-1)</f>
        <v>Very low risk</v>
      </c>
      <c r="BY712" s="91" t="str">
        <f>IFERROR(SUM(BT712+BU712+BV712)/(3*(#REF!-S712))*100, "Incomplete")</f>
        <v>Incomplete</v>
      </c>
      <c r="BZ712" s="91" t="str">
        <f>_xlfn.XLOOKUP(BY712,'Normative data'!$V$3:$V$6,'Normative data'!$W$3:$W$6,"Not Found",-1)</f>
        <v>Very low risk</v>
      </c>
      <c r="CA712" s="20"/>
      <c r="CC712" s="20"/>
      <c r="CE712" s="20">
        <v>15</v>
      </c>
      <c r="CG712" s="20">
        <v>17.57</v>
      </c>
      <c r="CH712" s="20" t="str">
        <f>_xlfn.XLOOKUP(CG712, 'Normative data'!$S$9:$S$15,'Normative data'!$T$9:$T$15, "Not Found", -1)</f>
        <v>Above Average</v>
      </c>
      <c r="CI712" s="20">
        <v>17.37</v>
      </c>
      <c r="CJ712" s="20" t="str">
        <f>_xlfn.XLOOKUP(CI712, 'Normative data'!$S$9:$S$15, 'Normative data'!$T$9:$T$15, "Not Found", -1)</f>
        <v>Above Average</v>
      </c>
      <c r="CK712" s="21"/>
      <c r="CL712" s="21"/>
      <c r="CM712" s="21"/>
      <c r="CN712" s="21"/>
      <c r="CO712" s="21"/>
      <c r="CQ712" s="20"/>
      <c r="CR712" s="20" t="str" cm="1">
        <f t="array" ref="CR712">IF(OR(ISBLANK(E712),ISBLANK(CQ712)),"Incomplete",_xlfn.XLOOKUP(CQ712,_xlfn.XLOOKUP(E712,'Normative data'!$Y$3:$Y$6,'Normative data'!$Z$3:$AG$6,,-1),'Normative data'!$Z$2:$AG$2,"Not Found",-1))</f>
        <v>Incomplete</v>
      </c>
      <c r="CS712" s="20"/>
      <c r="CT712" s="20"/>
      <c r="CU712" s="20" t="str" cm="1">
        <f t="array" ref="CU712">_xlfn.XLOOKUP(CS712&amp;CT712,(VLOOKUP!$A$3:$A$250)&amp;(VLOOKUP!$B$3:$B$250),VLOOKUP!$C$3:$C$250,"Incomplete",-1)</f>
        <v>Incomplete</v>
      </c>
      <c r="CV712" s="20" t="str" cm="1">
        <f t="array" ref="CV712">_xlfn.XLOOKUP(CU712, _xlfn.XLOOKUP(E712, 'Normative data'!$Y$11:$Y$14, 'Normative data'!$Z$11:$AG$14, ,-1), 'Normative data'!$Z$10:$AG$10, "Not Found", -1)</f>
        <v>Excellent</v>
      </c>
      <c r="CW712" s="20" t="str" cm="1">
        <f t="array" ref="CW712">IF(OR(ISBLANK(CS712),ISBLANK(CT712)),"Incomplete",_xlfn.XLOOKUP(CS712&amp;CT712,VLOOKUP!$A$4:$A$250&amp;VLOOKUP!$B$4:$B$250,VLOOKUP!$D$4:$D$250,"0"))</f>
        <v>Incomplete</v>
      </c>
    </row>
    <row r="713" spans="1:101">
      <c r="A713" s="17" t="s">
        <v>1353</v>
      </c>
      <c r="B713" s="17" t="s">
        <v>893</v>
      </c>
      <c r="C713" s="17" t="s">
        <v>86</v>
      </c>
      <c r="D713" s="23">
        <v>40613</v>
      </c>
      <c r="G713" s="17">
        <v>2026</v>
      </c>
      <c r="H713" s="20" t="s">
        <v>114</v>
      </c>
      <c r="I713" s="17">
        <v>1</v>
      </c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 t="s">
        <v>1354</v>
      </c>
      <c r="AR713" s="20" t="s">
        <v>1355</v>
      </c>
      <c r="AS713" s="20" t="s">
        <v>1356</v>
      </c>
      <c r="AT713" s="20" t="s">
        <v>1357</v>
      </c>
      <c r="AU713" s="20" t="s">
        <v>1358</v>
      </c>
      <c r="AV713" s="20" t="s">
        <v>1359</v>
      </c>
      <c r="AW713" s="20" t="s">
        <v>1151</v>
      </c>
      <c r="AX713" s="20" t="s">
        <v>1152</v>
      </c>
      <c r="AY713" s="41" t="str">
        <f>IF(OR(ISBLANK(U713), ISBLANK(AQ713)), "Incomplete", (60.7*AQ713)+(45.3*U713)-2055)</f>
        <v>Incomplete</v>
      </c>
      <c r="AZ713" s="20"/>
      <c r="BA713" s="20" t="str">
        <f>IF(OR(ISBLANK(U713), ISBLANK(AS713)), "Incomplete", (60.7*AS713)+(45.3*U713)-2055)</f>
        <v>Incomplete</v>
      </c>
      <c r="BB713" s="20"/>
      <c r="BC713" s="20" t="str">
        <f>IF(OR(ISBLANK(U713), ISBLANK(AU713)), "Incomplete", (60.7*AU713)+(45.3*U713)-2055)</f>
        <v>Incomplete</v>
      </c>
      <c r="BD713" s="20"/>
      <c r="BE713" s="20" t="str">
        <f>IF(OR(ISBLANK(U713), ISBLANK(AW713)), "Incomplete", (60.7*AW713)+(45.3*U713)-2055)</f>
        <v>Incomplete</v>
      </c>
      <c r="BF713" s="20"/>
      <c r="BG713" s="20" t="s">
        <v>536</v>
      </c>
      <c r="BH713" s="20">
        <v>54</v>
      </c>
      <c r="BI713" s="20" t="e">
        <f>IF(OR(ISBLANK(BG713), ISBLANK(BH713)),"Incomplete",(SUM(BH713-BG713)))</f>
        <v>#VALUE!</v>
      </c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91" t="str">
        <f>IFERROR(SUM(BQ713+BR713+BS713)/(3*(T713-S713))*100, "Incomplete")</f>
        <v>Incomplete</v>
      </c>
      <c r="BX713" s="91" t="str">
        <f>_xlfn.XLOOKUP(BW713,'Normative data'!$V$3:$V$6,'Normative data'!$W$3:$W$6,"Not Found",-1)</f>
        <v>Very low risk</v>
      </c>
      <c r="BY713" s="91" t="str">
        <f>IFERROR(SUM(BT713+BU713+BV713)/(3*(T713-S713))*100, "Incomplete")</f>
        <v>Incomplete</v>
      </c>
      <c r="BZ713" s="91" t="str">
        <f>_xlfn.XLOOKUP(BY713,'Normative data'!$V$3:$V$6,'Normative data'!$W$3:$W$6,"Not Found",-1)</f>
        <v>Very low risk</v>
      </c>
      <c r="CA713" s="20"/>
      <c r="CC713" s="20">
        <v>47</v>
      </c>
      <c r="CE713" s="20">
        <v>16</v>
      </c>
      <c r="CG713" s="20" t="s">
        <v>1360</v>
      </c>
      <c r="CH713" s="20" t="str">
        <f>_xlfn.XLOOKUP(CG713, 'Normative data'!$S$9:$S$15,'Normative data'!$T$9:$T$15, "Not Found", -1)</f>
        <v>Poor</v>
      </c>
      <c r="CI713" s="20" t="s">
        <v>1361</v>
      </c>
      <c r="CJ713" s="20" t="str">
        <f>_xlfn.XLOOKUP(CI713, 'Normative data'!$S$9:$S$15, 'Normative data'!$T$9:$T$15, "Not Found", -1)</f>
        <v>Poor</v>
      </c>
      <c r="CK713" s="20" t="s">
        <v>596</v>
      </c>
      <c r="CL713" s="20" t="s">
        <v>597</v>
      </c>
      <c r="CN713" s="20" t="s">
        <v>147</v>
      </c>
      <c r="CO713" s="20" t="s">
        <v>1362</v>
      </c>
      <c r="CQ713" s="20" t="s">
        <v>1363</v>
      </c>
      <c r="CR713" s="20" t="str" cm="1">
        <f t="array" ref="CR713">IF(OR(ISBLANK(E713),ISBLANK(CQ713)),"Incomplete",_xlfn.XLOOKUP(CQ713,_xlfn.XLOOKUP(E713,'Normative data'!$Y$3:$Y$6,'Normative data'!$Z$3:$AG$6,,-1),'Normative data'!$Z$2:$AG$2,"Not Found",-1))</f>
        <v>Incomplete</v>
      </c>
      <c r="CS713" s="20">
        <v>15</v>
      </c>
      <c r="CT713" s="20">
        <v>3</v>
      </c>
      <c r="CU713" s="20" cm="1">
        <f t="array" ref="CU713">_xlfn.XLOOKUP(CS713&amp;CT713,(VLOOKUP!$A$3:$A$250)&amp;(VLOOKUP!$B$3:$B$250),VLOOKUP!$C$3:$C$250,"Incomplete",-1)</f>
        <v>2940</v>
      </c>
      <c r="CV713" s="20" t="str" cm="1">
        <f t="array" ref="CV713">_xlfn.XLOOKUP(CU713, _xlfn.XLOOKUP(E713, 'Normative data'!$Y$11:$Y$14, 'Normative data'!$Z$11:$AG$14, ,-1), 'Normative data'!$Z$10:$AG$10, "Not Found", -1)</f>
        <v>Excellent</v>
      </c>
      <c r="CW713" s="20" cm="1">
        <f t="array" ref="CW713">IF(OR(ISBLANK(CS713),ISBLANK(CT713)),"Incomplete",_xlfn.XLOOKUP(CS713&amp;CT713,VLOOKUP!$A$4:$A$250&amp;VLOOKUP!$B$4:$B$250,VLOOKUP!$D$4:$D$250,"0"))</f>
        <v>65</v>
      </c>
    </row>
    <row r="714" spans="1:101">
      <c r="A714" s="18" t="s">
        <v>645</v>
      </c>
      <c r="B714" s="18" t="s">
        <v>893</v>
      </c>
      <c r="C714" s="17" t="s">
        <v>86</v>
      </c>
      <c r="D714" s="19">
        <v>39526</v>
      </c>
      <c r="F714" s="17">
        <v>11</v>
      </c>
      <c r="G714" s="17">
        <v>2025</v>
      </c>
      <c r="J714" s="17" t="s">
        <v>122</v>
      </c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41" t="str">
        <f>IF(OR(ISBLANK(U714), ISBLANK(AQ714)), "Incomplete", (60.7*AQ714)+(45.3*U714)-2055)</f>
        <v>Incomplete</v>
      </c>
      <c r="AZ714" s="20"/>
      <c r="BA714" s="20" t="str">
        <f>IF(OR(ISBLANK(U714), ISBLANK(AS714)), "Incomplete", (60.7*AS714)+(45.3*U714)-2055)</f>
        <v>Incomplete</v>
      </c>
      <c r="BB714" s="20"/>
      <c r="BC714" s="20" t="str">
        <f>IF(OR(ISBLANK(U714), ISBLANK(AU714)), "Incomplete", (60.7*AU714)+(45.3*U714)-2055)</f>
        <v>Incomplete</v>
      </c>
      <c r="BD714" s="20"/>
      <c r="BE714" s="20" t="str">
        <f>IF(OR(ISBLANK(U714), ISBLANK(AW714)), "Incomplete", (60.7*AW714)+(45.3*U714)-2055)</f>
        <v>Incomplete</v>
      </c>
      <c r="BF714" s="20"/>
      <c r="BG714" s="20">
        <v>17</v>
      </c>
      <c r="BH714" s="20">
        <v>39</v>
      </c>
      <c r="BI714" s="20" t="e">
        <f>IF(OR(ISBLANK(#REF!), ISBLANK(#REF!)),"Incomplete",(SUM(#REF!-#REF!)))</f>
        <v>#REF!</v>
      </c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91" t="str">
        <f>IFERROR(SUM(BQ714+BR714+BS714)/(3*(T714-S714))*100, "Incomplete")</f>
        <v>Incomplete</v>
      </c>
      <c r="BX714" s="91" t="str">
        <f>_xlfn.XLOOKUP(BW714,'Normative data'!$V$3:$V$6,'Normative data'!$W$3:$W$6,"Not Found",-1)</f>
        <v>Very low risk</v>
      </c>
      <c r="BY714" s="91" t="str">
        <f>IFERROR(SUM(BT714+BU714+BV714)/(3*(T714-S714))*100, "Incomplete")</f>
        <v>Incomplete</v>
      </c>
      <c r="BZ714" s="91" t="str">
        <f>_xlfn.XLOOKUP(BY714,'Normative data'!$V$3:$V$6,'Normative data'!$W$3:$W$6,"Not Found",-1)</f>
        <v>Very low risk</v>
      </c>
      <c r="CA714" s="20"/>
      <c r="CC714" s="20"/>
      <c r="CE714" s="20"/>
      <c r="CG714" s="20">
        <v>18.079999999999998</v>
      </c>
      <c r="CH714" s="20" t="str">
        <f>_xlfn.XLOOKUP(CG714, 'Normative data'!$S$9:$S$15,'Normative data'!$T$9:$T$15, "Not Found", -1)</f>
        <v>Average</v>
      </c>
      <c r="CI714" s="20">
        <v>17.64</v>
      </c>
      <c r="CJ714" s="20" t="str">
        <f>_xlfn.XLOOKUP(CI714, 'Normative data'!$S$9:$S$15, 'Normative data'!$T$9:$T$15, "Not Found", -1)</f>
        <v>Above Average</v>
      </c>
      <c r="CK714" s="21">
        <v>2.21</v>
      </c>
      <c r="CL714" s="21">
        <v>4.5199999999999996</v>
      </c>
      <c r="CM714" s="21"/>
      <c r="CN714" s="21">
        <v>6.97</v>
      </c>
      <c r="CO714" s="21">
        <v>7.17</v>
      </c>
      <c r="CQ714" s="20"/>
      <c r="CR714" s="20" t="str" cm="1">
        <f t="array" ref="CR714">IF(OR(ISBLANK(E714),ISBLANK(CQ714)),"Incomplete",_xlfn.XLOOKUP(CQ714,_xlfn.XLOOKUP(E714,'Normative data'!$Y$3:$Y$6,'Normative data'!$Z$3:$AG$6,,-1),'Normative data'!$Z$2:$AG$2,"Not Found",-1))</f>
        <v>Incomplete</v>
      </c>
      <c r="CS714" s="20"/>
      <c r="CT714" s="20"/>
      <c r="CU714" s="20" t="str" cm="1">
        <f t="array" ref="CU714">_xlfn.XLOOKUP(CS714&amp;CT714,(VLOOKUP!$A$3:$A$250)&amp;(VLOOKUP!$B$3:$B$250),VLOOKUP!$C$3:$C$250,"Incomplete",-1)</f>
        <v>Incomplete</v>
      </c>
      <c r="CV714" s="20" t="str" cm="1">
        <f t="array" ref="CV714">_xlfn.XLOOKUP(CU714, _xlfn.XLOOKUP(E714, 'Normative data'!$Y$11:$Y$14, 'Normative data'!$Z$11:$AG$14, ,-1), 'Normative data'!$Z$10:$AG$10, "Not Found", -1)</f>
        <v>Excellent</v>
      </c>
      <c r="CW714" s="20" t="str" cm="1">
        <f t="array" ref="CW714">IF(OR(ISBLANK(CS714),ISBLANK(CT714)),"Incomplete",_xlfn.XLOOKUP(CS714&amp;CT714,VLOOKUP!$A$4:$A$250&amp;VLOOKUP!$B$4:$B$250,VLOOKUP!$D$4:$D$250,"0"))</f>
        <v>Incomplete</v>
      </c>
    </row>
    <row r="715" spans="1:101">
      <c r="A715" s="17" t="s">
        <v>645</v>
      </c>
      <c r="B715" s="17" t="s">
        <v>893</v>
      </c>
      <c r="C715" s="17" t="s">
        <v>86</v>
      </c>
      <c r="D715" s="19">
        <v>39526</v>
      </c>
      <c r="G715" s="17">
        <v>2025</v>
      </c>
      <c r="S715" s="20"/>
      <c r="T715" s="20" t="s">
        <v>1364</v>
      </c>
      <c r="U715" s="20" t="s">
        <v>1365</v>
      </c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41" t="str">
        <f>IF(OR(ISBLANK(#REF!), ISBLANK(AQ715)), "Incomplete", (60.7*AQ715)+(45.3*#REF!)-2055)</f>
        <v>Incomplete</v>
      </c>
      <c r="AZ715" s="20"/>
      <c r="BA715" s="20" t="str">
        <f>IF(OR(ISBLANK(#REF!), ISBLANK(AS715)), "Incomplete", (60.7*AS715)+(45.3*#REF!)-2055)</f>
        <v>Incomplete</v>
      </c>
      <c r="BB715" s="20"/>
      <c r="BC715" s="20" t="str">
        <f>IF(OR(ISBLANK(#REF!), ISBLANK(AU715)), "Incomplete", (60.7*AU715)+(45.3*#REF!)-2055)</f>
        <v>Incomplete</v>
      </c>
      <c r="BD715" s="20"/>
      <c r="BE715" s="20" t="str">
        <f>IF(OR(ISBLANK(#REF!), ISBLANK(AW715)), "Incomplete", (60.7*AW715)+(45.3*#REF!)-2055)</f>
        <v>Incomplete</v>
      </c>
      <c r="BF715" s="20"/>
      <c r="BG715" s="20"/>
      <c r="BH715" s="20"/>
      <c r="BI715" s="20" t="str">
        <f>IF(OR(ISBLANK(BG715), ISBLANK(BH715)),"Incomplete",(SUM(BH715-BG715)))</f>
        <v>Incomplete</v>
      </c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91" t="str">
        <f>IFERROR(SUM(BQ715+BR715+BS715)/(3*(#REF!-S715))*100, "Incomplete")</f>
        <v>Incomplete</v>
      </c>
      <c r="BX715" s="91" t="str">
        <f>_xlfn.XLOOKUP(BW715,'Normative data'!$V$3:$V$6,'Normative data'!$W$3:$W$6,"Not Found",-1)</f>
        <v>Very low risk</v>
      </c>
      <c r="BY715" s="91" t="str">
        <f>IFERROR(SUM(BT715+BU715+BV715)/(3*(#REF!-S715))*100, "Incomplete")</f>
        <v>Incomplete</v>
      </c>
      <c r="BZ715" s="91" t="str">
        <f>_xlfn.XLOOKUP(BY715,'Normative data'!$V$3:$V$6,'Normative data'!$W$3:$W$6,"Not Found",-1)</f>
        <v>Very low risk</v>
      </c>
      <c r="CA715" s="20"/>
      <c r="CC715" s="20"/>
      <c r="CE715" s="20">
        <v>8</v>
      </c>
      <c r="CG715" s="20">
        <v>18.149999999999999</v>
      </c>
      <c r="CH715" s="20" t="str">
        <f>_xlfn.XLOOKUP(CG715, 'Normative data'!$S$9:$S$15,'Normative data'!$T$9:$T$15, "Not Found", -1)</f>
        <v>Average</v>
      </c>
      <c r="CI715" s="20">
        <v>17.989999999999998</v>
      </c>
      <c r="CJ715" s="20" t="str">
        <f>_xlfn.XLOOKUP(CI715, 'Normative data'!$S$9:$S$15, 'Normative data'!$T$9:$T$15, "Not Found", -1)</f>
        <v>Above Average</v>
      </c>
      <c r="CK715" s="20" t="s">
        <v>145</v>
      </c>
      <c r="CL715" s="20" t="s">
        <v>146</v>
      </c>
      <c r="CM715" s="21"/>
      <c r="CN715" s="20" t="s">
        <v>598</v>
      </c>
      <c r="CO715" s="20" t="s">
        <v>599</v>
      </c>
      <c r="CQ715" s="20"/>
      <c r="CR715" s="20" t="str" cm="1">
        <f t="array" ref="CR715">IF(OR(ISBLANK(E715),ISBLANK(CQ715)),"Incomplete",_xlfn.XLOOKUP(CQ715,_xlfn.XLOOKUP(E715,'Normative data'!$Y$3:$Y$6,'Normative data'!$Z$3:$AG$6,,-1),'Normative data'!$Z$2:$AG$2,"Not Found",-1))</f>
        <v>Incomplete</v>
      </c>
      <c r="CS715" s="20"/>
      <c r="CT715" s="20"/>
      <c r="CU715" s="20" t="str" cm="1">
        <f t="array" ref="CU715">_xlfn.XLOOKUP(CS715&amp;CT715,(VLOOKUP!$A$3:$A$250)&amp;(VLOOKUP!$B$3:$B$250),VLOOKUP!$C$3:$C$250,"Incomplete",-1)</f>
        <v>Incomplete</v>
      </c>
      <c r="CV715" s="20" t="str" cm="1">
        <f t="array" ref="CV715">_xlfn.XLOOKUP(CU715, _xlfn.XLOOKUP(E715, 'Normative data'!$Y$11:$Y$14, 'Normative data'!$Z$11:$AG$14, ,-1), 'Normative data'!$Z$10:$AG$10, "Not Found", -1)</f>
        <v>Excellent</v>
      </c>
      <c r="CW715" s="20" t="str" cm="1">
        <f t="array" ref="CW715">IF(OR(ISBLANK(CS715),ISBLANK(CT715)),"Incomplete",_xlfn.XLOOKUP(CS715&amp;CT715,VLOOKUP!$A$4:$A$250&amp;VLOOKUP!$B$4:$B$250,VLOOKUP!$D$4:$D$250,"0"))</f>
        <v>Incomplete</v>
      </c>
    </row>
    <row r="716" spans="1:101">
      <c r="A716" s="17" t="s">
        <v>645</v>
      </c>
      <c r="B716" s="17" t="s">
        <v>893</v>
      </c>
      <c r="C716" s="17" t="s">
        <v>86</v>
      </c>
      <c r="D716" s="19">
        <v>39526</v>
      </c>
      <c r="G716" s="17">
        <v>2026</v>
      </c>
      <c r="H716" s="20" t="s">
        <v>114</v>
      </c>
      <c r="I716" s="17">
        <v>1</v>
      </c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41" t="str">
        <f t="shared" ref="AY716:AY734" si="224">IF(OR(ISBLANK(U716), ISBLANK(AQ716)), "Incomplete", (60.7*AQ716)+(45.3*U716)-2055)</f>
        <v>Incomplete</v>
      </c>
      <c r="AZ716" s="20"/>
      <c r="BA716" s="20" t="str">
        <f t="shared" ref="BA716:BA734" si="225">IF(OR(ISBLANK(U716), ISBLANK(AS716)), "Incomplete", (60.7*AS716)+(45.3*U716)-2055)</f>
        <v>Incomplete</v>
      </c>
      <c r="BB716" s="20"/>
      <c r="BC716" s="20" t="str">
        <f t="shared" ref="BC716:BC734" si="226">IF(OR(ISBLANK(U716), ISBLANK(AU716)), "Incomplete", (60.7*AU716)+(45.3*U716)-2055)</f>
        <v>Incomplete</v>
      </c>
      <c r="BD716" s="20"/>
      <c r="BE716" s="20" t="str">
        <f t="shared" ref="BE716:BE734" si="227">IF(OR(ISBLANK(U716), ISBLANK(AW716)), "Incomplete", (60.7*AW716)+(45.3*U716)-2055)</f>
        <v>Incomplete</v>
      </c>
      <c r="BF716" s="20"/>
      <c r="BG716" s="30">
        <v>11</v>
      </c>
      <c r="BH716" s="30">
        <v>26</v>
      </c>
      <c r="BI716" s="20">
        <f>IF(OR(ISBLANK(BG716), ISBLANK(BH716)),"Incomplete",(SUM(BH716-BG716)))</f>
        <v>15</v>
      </c>
      <c r="BJ716" s="20"/>
      <c r="BK716" s="20"/>
      <c r="BL716" s="20"/>
      <c r="BM716" s="20"/>
      <c r="BN716" s="20"/>
      <c r="BO716" s="20"/>
      <c r="BP716" s="20"/>
      <c r="BQ716" s="20"/>
      <c r="BR716" s="20"/>
      <c r="BS716" s="20"/>
      <c r="BT716" s="20"/>
      <c r="BU716" s="20"/>
      <c r="BV716" s="20"/>
      <c r="BW716" s="91" t="str">
        <f t="shared" ref="BW716:BW734" si="228">IFERROR(SUM(BQ716+BR716+BS716)/(3*(T716-S716))*100, "Incomplete")</f>
        <v>Incomplete</v>
      </c>
      <c r="BX716" s="91" t="str">
        <f>_xlfn.XLOOKUP(BW716,'Normative data'!$V$3:$V$6,'Normative data'!$W$3:$W$6,"Not Found",-1)</f>
        <v>Very low risk</v>
      </c>
      <c r="BY716" s="91" t="str">
        <f t="shared" ref="BY716:BY734" si="229">IFERROR(SUM(BT716+BU716+BV716)/(3*(T716-S716))*100, "Incomplete")</f>
        <v>Incomplete</v>
      </c>
      <c r="BZ716" s="91" t="str">
        <f>_xlfn.XLOOKUP(BY716,'Normative data'!$V$3:$V$6,'Normative data'!$W$3:$W$6,"Not Found",-1)</f>
        <v>Very low risk</v>
      </c>
      <c r="CA716" s="20"/>
      <c r="CC716" s="30">
        <v>51</v>
      </c>
      <c r="CD716" s="30"/>
      <c r="CE716" s="30">
        <v>7</v>
      </c>
      <c r="CF716" s="30"/>
      <c r="CG716" s="30">
        <v>18.149999999999999</v>
      </c>
      <c r="CH716" s="20" t="str">
        <f>_xlfn.XLOOKUP(CG716, 'Normative data'!$S$9:$S$15,'Normative data'!$T$9:$T$15, "Not Found", -1)</f>
        <v>Average</v>
      </c>
      <c r="CI716" s="30">
        <v>17.989999999999998</v>
      </c>
      <c r="CJ716" s="20" t="str">
        <f>_xlfn.XLOOKUP(CI716, 'Normative data'!$S$9:$S$15, 'Normative data'!$T$9:$T$15, "Not Found", -1)</f>
        <v>Above Average</v>
      </c>
      <c r="CK716" s="21"/>
      <c r="CL716" s="21"/>
      <c r="CM716" s="21"/>
      <c r="CN716" s="21"/>
      <c r="CO716" s="21"/>
      <c r="CP716" s="30"/>
      <c r="CQ716" s="20"/>
      <c r="CR716" s="20" t="str" cm="1">
        <f t="array" ref="CR716">IF(OR(ISBLANK(E716),ISBLANK(CQ716)),"Incomplete",_xlfn.XLOOKUP(CQ716,_xlfn.XLOOKUP(E716,'Normative data'!$Y$3:$Y$6,'Normative data'!$Z$3:$AG$6,,-1),'Normative data'!$Z$2:$AG$2,"Not Found",-1))</f>
        <v>Incomplete</v>
      </c>
      <c r="CS716" s="20"/>
      <c r="CT716" s="20"/>
      <c r="CU716" s="20" t="str" cm="1">
        <f t="array" ref="CU716">_xlfn.XLOOKUP(CS716&amp;CT716,(VLOOKUP!$A$3:$A$250)&amp;(VLOOKUP!$B$3:$B$250),VLOOKUP!$C$3:$C$250,"Incomplete",-1)</f>
        <v>Incomplete</v>
      </c>
      <c r="CV716" s="20" t="str" cm="1">
        <f t="array" ref="CV716">_xlfn.XLOOKUP(CU716, _xlfn.XLOOKUP(E716, 'Normative data'!$Y$11:$Y$14, 'Normative data'!$Z$11:$AG$14, ,-1), 'Normative data'!$Z$10:$AG$10, "Not Found", -1)</f>
        <v>Excellent</v>
      </c>
      <c r="CW716" s="20" t="str" cm="1">
        <f t="array" ref="CW716">IF(OR(ISBLANK(CS716),ISBLANK(CT716)),"Incomplete",_xlfn.XLOOKUP(CS716&amp;CT716,VLOOKUP!$A$4:$A$250&amp;VLOOKUP!$B$4:$B$250,VLOOKUP!$D$4:$D$250,"0"))</f>
        <v>Incomplete</v>
      </c>
    </row>
    <row r="717" spans="1:101">
      <c r="A717" s="17" t="s">
        <v>1289</v>
      </c>
      <c r="B717" s="17" t="s">
        <v>1366</v>
      </c>
      <c r="C717" s="17" t="s">
        <v>86</v>
      </c>
      <c r="D717" s="19">
        <v>39526</v>
      </c>
      <c r="G717" s="17">
        <v>2026</v>
      </c>
      <c r="H717" s="20" t="s">
        <v>114</v>
      </c>
      <c r="I717" s="17">
        <v>1</v>
      </c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30" t="s">
        <v>1367</v>
      </c>
      <c r="AR717" s="30" t="s">
        <v>1368</v>
      </c>
      <c r="AS717" s="30" t="s">
        <v>1369</v>
      </c>
      <c r="AT717" s="30" t="s">
        <v>1370</v>
      </c>
      <c r="AU717" s="30" t="s">
        <v>1371</v>
      </c>
      <c r="AV717" s="30" t="s">
        <v>1372</v>
      </c>
      <c r="AW717" s="30" t="s">
        <v>1371</v>
      </c>
      <c r="AX717" s="30" t="s">
        <v>1372</v>
      </c>
      <c r="AY717" s="41" t="str">
        <f t="shared" si="224"/>
        <v>Incomplete</v>
      </c>
      <c r="AZ717" s="20"/>
      <c r="BA717" s="20" t="str">
        <f t="shared" si="225"/>
        <v>Incomplete</v>
      </c>
      <c r="BB717" s="20"/>
      <c r="BC717" s="20" t="str">
        <f t="shared" si="226"/>
        <v>Incomplete</v>
      </c>
      <c r="BD717" s="20"/>
      <c r="BE717" s="20" t="str">
        <f t="shared" si="227"/>
        <v>Incomplete</v>
      </c>
      <c r="BF717" s="20"/>
      <c r="BG717" s="30">
        <v>11</v>
      </c>
      <c r="BH717" s="30">
        <v>33</v>
      </c>
      <c r="BI717" s="20">
        <f>IF(OR(ISBLANK(BG717), ISBLANK(BH717)),"Incomplete",(SUM(BH717-BG717)))</f>
        <v>22</v>
      </c>
      <c r="BJ717" s="20"/>
      <c r="BK717" s="20"/>
      <c r="BL717" s="20"/>
      <c r="BM717" s="20"/>
      <c r="BN717" s="20"/>
      <c r="BO717" s="20"/>
      <c r="BP717" s="20"/>
      <c r="BQ717" s="20"/>
      <c r="BR717" s="20"/>
      <c r="BS717" s="20"/>
      <c r="BT717" s="20"/>
      <c r="BU717" s="20"/>
      <c r="BV717" s="20"/>
      <c r="BW717" s="91" t="str">
        <f t="shared" si="228"/>
        <v>Incomplete</v>
      </c>
      <c r="BX717" s="91" t="str">
        <f>_xlfn.XLOOKUP(BW717,'Normative data'!$V$3:$V$6,'Normative data'!$W$3:$W$6,"Not Found",-1)</f>
        <v>Very low risk</v>
      </c>
      <c r="BY717" s="91" t="str">
        <f t="shared" si="229"/>
        <v>Incomplete</v>
      </c>
      <c r="BZ717" s="91" t="str">
        <f>_xlfn.XLOOKUP(BY717,'Normative data'!$V$3:$V$6,'Normative data'!$W$3:$W$6,"Not Found",-1)</f>
        <v>Very low risk</v>
      </c>
      <c r="CA717" s="20"/>
      <c r="CC717" s="30">
        <v>49</v>
      </c>
      <c r="CD717" s="30"/>
      <c r="CE717" s="30">
        <v>14</v>
      </c>
      <c r="CF717" s="30"/>
      <c r="CG717" s="30" t="s">
        <v>1373</v>
      </c>
      <c r="CH717" s="20" t="str">
        <f>_xlfn.XLOOKUP(CG717, 'Normative data'!$S$9:$S$15,'Normative data'!$T$9:$T$15, "Not Found", -1)</f>
        <v>Poor</v>
      </c>
      <c r="CI717" s="30" t="s">
        <v>1374</v>
      </c>
      <c r="CJ717" s="20" t="str">
        <f>_xlfn.XLOOKUP(CI717, 'Normative data'!$S$9:$S$15, 'Normative data'!$T$9:$T$15, "Not Found", -1)</f>
        <v>Poor</v>
      </c>
      <c r="CK717" s="30" t="s">
        <v>328</v>
      </c>
      <c r="CL717" s="30" t="s">
        <v>784</v>
      </c>
      <c r="CM717" s="30"/>
      <c r="CN717" s="30" t="s">
        <v>483</v>
      </c>
      <c r="CO717" s="30" t="s">
        <v>482</v>
      </c>
      <c r="CP717" s="30"/>
      <c r="CQ717" s="30" t="s">
        <v>1375</v>
      </c>
      <c r="CR717" s="20" t="str" cm="1">
        <f t="array" ref="CR717">IF(OR(ISBLANK(E717),ISBLANK(CQ717)),"Incomplete",_xlfn.XLOOKUP(CQ717,_xlfn.XLOOKUP(E717,'Normative data'!$Y$3:$Y$6,'Normative data'!$Z$3:$AG$6,,-1),'Normative data'!$Z$2:$AG$2,"Not Found",-1))</f>
        <v>Incomplete</v>
      </c>
      <c r="CS717" s="20">
        <v>15</v>
      </c>
      <c r="CT717" s="20">
        <v>1</v>
      </c>
      <c r="CU717" s="20" cm="1">
        <f t="array" ref="CU717">_xlfn.XLOOKUP(CS717&amp;CT717,(VLOOKUP!$A$3:$A$250)&amp;(VLOOKUP!$B$3:$B$250),VLOOKUP!$C$3:$C$250,"Incomplete",-1)</f>
        <v>2900</v>
      </c>
      <c r="CV717" s="20" t="str" cm="1">
        <f t="array" ref="CV717">_xlfn.XLOOKUP(CU717, _xlfn.XLOOKUP(E717, 'Normative data'!$Y$11:$Y$14, 'Normative data'!$Z$11:$AG$14, ,-1), 'Normative data'!$Z$10:$AG$10, "Not Found", -1)</f>
        <v>Excellent</v>
      </c>
      <c r="CW717" s="20" cm="1">
        <f t="array" ref="CW717">IF(OR(ISBLANK(CS717),ISBLANK(CT717)),"Incomplete",_xlfn.XLOOKUP(CS717&amp;CT717,VLOOKUP!$A$4:$A$250&amp;VLOOKUP!$B$4:$B$250,VLOOKUP!$D$4:$D$250,"0"))</f>
        <v>64</v>
      </c>
    </row>
    <row r="718" spans="1:101">
      <c r="A718" s="18" t="s">
        <v>1078</v>
      </c>
      <c r="B718" s="18" t="s">
        <v>1077</v>
      </c>
      <c r="C718" s="17" t="s">
        <v>86</v>
      </c>
      <c r="D718" s="19">
        <v>40169</v>
      </c>
      <c r="F718" s="17">
        <v>10</v>
      </c>
      <c r="G718" s="17">
        <v>2025</v>
      </c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41" t="str">
        <f t="shared" si="224"/>
        <v>Incomplete</v>
      </c>
      <c r="AZ718" s="20"/>
      <c r="BA718" s="20" t="str">
        <f t="shared" si="225"/>
        <v>Incomplete</v>
      </c>
      <c r="BB718" s="20"/>
      <c r="BC718" s="20" t="str">
        <f t="shared" si="226"/>
        <v>Incomplete</v>
      </c>
      <c r="BD718" s="20"/>
      <c r="BE718" s="20" t="str">
        <f t="shared" si="227"/>
        <v>Incomplete</v>
      </c>
      <c r="BF718" s="20"/>
      <c r="BG718" s="20">
        <v>14</v>
      </c>
      <c r="BH718" s="20">
        <v>36</v>
      </c>
      <c r="BI718" s="20" t="e">
        <f>IF(OR(ISBLANK(#REF!), ISBLANK(#REF!)),"Incomplete",(SUM(#REF!-#REF!)))</f>
        <v>#REF!</v>
      </c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91" t="str">
        <f t="shared" si="228"/>
        <v>Incomplete</v>
      </c>
      <c r="BX718" s="91" t="str">
        <f>_xlfn.XLOOKUP(BW718,'Normative data'!$V$3:$V$6,'Normative data'!$W$3:$W$6,"Not Found",-1)</f>
        <v>Very low risk</v>
      </c>
      <c r="BY718" s="91" t="str">
        <f t="shared" si="229"/>
        <v>Incomplete</v>
      </c>
      <c r="BZ718" s="91" t="str">
        <f>_xlfn.XLOOKUP(BY718,'Normative data'!$V$3:$V$6,'Normative data'!$W$3:$W$6,"Not Found",-1)</f>
        <v>Very low risk</v>
      </c>
      <c r="CA718" s="20"/>
      <c r="CC718" s="20"/>
      <c r="CE718" s="20">
        <v>1</v>
      </c>
      <c r="CG718" s="20"/>
      <c r="CH718" s="20" t="str">
        <f>_xlfn.XLOOKUP(CG718, 'Normative data'!$S$9:$S$15,'Normative data'!$T$9:$T$15, "Not Found", -1)</f>
        <v>not completed</v>
      </c>
      <c r="CI718" s="20"/>
      <c r="CJ718" s="20" t="str">
        <f>_xlfn.XLOOKUP(CI718, 'Normative data'!$S$9:$S$15, 'Normative data'!$T$9:$T$15, "Not Found", -1)</f>
        <v>not completed</v>
      </c>
      <c r="CK718" s="21">
        <v>2.25</v>
      </c>
      <c r="CL718" s="21">
        <v>4.4400000000000004</v>
      </c>
      <c r="CM718" s="21"/>
      <c r="CN718" s="21">
        <v>6.75</v>
      </c>
      <c r="CO718" s="21">
        <v>7.41</v>
      </c>
      <c r="CP718" s="21"/>
      <c r="CQ718" s="20"/>
      <c r="CR718" s="20" t="str" cm="1">
        <f t="array" ref="CR718">IF(OR(ISBLANK(E718),ISBLANK(CQ718)),"Incomplete",_xlfn.XLOOKUP(CQ718,_xlfn.XLOOKUP(E718,'Normative data'!$Y$3:$Y$6,'Normative data'!$Z$3:$AG$6,,-1),'Normative data'!$Z$2:$AG$2,"Not Found",-1))</f>
        <v>Incomplete</v>
      </c>
      <c r="CS718" s="20"/>
      <c r="CT718" s="20"/>
      <c r="CU718" s="20" t="str" cm="1">
        <f t="array" ref="CU718">_xlfn.XLOOKUP(CS718&amp;CT718,(VLOOKUP!$A$3:$A$250)&amp;(VLOOKUP!$B$3:$B$250),VLOOKUP!$C$3:$C$250,"Incomplete",-1)</f>
        <v>Incomplete</v>
      </c>
      <c r="CV718" s="20" t="str" cm="1">
        <f t="array" ref="CV718">_xlfn.XLOOKUP(CU718, _xlfn.XLOOKUP(E718, 'Normative data'!$Y$11:$Y$14, 'Normative data'!$Z$11:$AG$14, ,-1), 'Normative data'!$Z$10:$AG$10, "Not Found", -1)</f>
        <v>Excellent</v>
      </c>
      <c r="CW718" s="20" t="str" cm="1">
        <f t="array" ref="CW718">IF(OR(ISBLANK(CS718),ISBLANK(CT718)),"Incomplete",_xlfn.XLOOKUP(CS718&amp;CT718,VLOOKUP!$A$4:$A$250&amp;VLOOKUP!$B$4:$B$250,VLOOKUP!$D$4:$D$250,"0"))</f>
        <v>Incomplete</v>
      </c>
    </row>
    <row r="719" spans="1:101">
      <c r="A719" s="17" t="s">
        <v>1078</v>
      </c>
      <c r="B719" s="17" t="s">
        <v>1077</v>
      </c>
      <c r="C719" s="17" t="s">
        <v>86</v>
      </c>
      <c r="D719" s="19">
        <v>40169</v>
      </c>
      <c r="F719" s="17">
        <v>10</v>
      </c>
      <c r="G719" s="17">
        <v>2025</v>
      </c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41" t="str">
        <f t="shared" si="224"/>
        <v>Incomplete</v>
      </c>
      <c r="AZ719" s="20"/>
      <c r="BA719" s="20" t="str">
        <f t="shared" si="225"/>
        <v>Incomplete</v>
      </c>
      <c r="BB719" s="20"/>
      <c r="BC719" s="20" t="str">
        <f t="shared" si="226"/>
        <v>Incomplete</v>
      </c>
      <c r="BD719" s="20"/>
      <c r="BE719" s="20" t="str">
        <f t="shared" si="227"/>
        <v>Incomplete</v>
      </c>
      <c r="BF719" s="20"/>
      <c r="BG719" s="20"/>
      <c r="BH719" s="20"/>
      <c r="BI719" s="20" t="str">
        <f>IF(OR(ISBLANK(BG719), ISBLANK(BH719)),"Incomplete",(SUM(BH719-BG719)))</f>
        <v>Incomplete</v>
      </c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91" t="str">
        <f t="shared" si="228"/>
        <v>Incomplete</v>
      </c>
      <c r="BX719" s="91" t="str">
        <f>_xlfn.XLOOKUP(BW719,'Normative data'!$V$3:$V$6,'Normative data'!$W$3:$W$6,"Not Found",-1)</f>
        <v>Very low risk</v>
      </c>
      <c r="BY719" s="91" t="str">
        <f t="shared" si="229"/>
        <v>Incomplete</v>
      </c>
      <c r="BZ719" s="91" t="str">
        <f>_xlfn.XLOOKUP(BY719,'Normative data'!$V$3:$V$6,'Normative data'!$W$3:$W$6,"Not Found",-1)</f>
        <v>Very low risk</v>
      </c>
      <c r="CA719" s="20"/>
      <c r="CC719" s="20"/>
      <c r="CE719" s="20"/>
      <c r="CG719" s="20"/>
      <c r="CH719" s="20" t="str">
        <f>_xlfn.XLOOKUP(CG719, 'Normative data'!$S$9:$S$15,'Normative data'!$T$9:$T$15, "Not Found", -1)</f>
        <v>not completed</v>
      </c>
      <c r="CI719" s="20"/>
      <c r="CJ719" s="20" t="str">
        <f>_xlfn.XLOOKUP(CI719, 'Normative data'!$S$9:$S$15, 'Normative data'!$T$9:$T$15, "Not Found", -1)</f>
        <v>not completed</v>
      </c>
      <c r="CK719" s="20" t="s">
        <v>327</v>
      </c>
      <c r="CL719" s="20" t="s">
        <v>624</v>
      </c>
      <c r="CN719" s="20" t="s">
        <v>826</v>
      </c>
      <c r="CO719" s="20" t="s">
        <v>827</v>
      </c>
      <c r="CQ719" s="20"/>
      <c r="CR719" s="20" t="str" cm="1">
        <f t="array" ref="CR719">IF(OR(ISBLANK(E719),ISBLANK(CQ719)),"Incomplete",_xlfn.XLOOKUP(CQ719,_xlfn.XLOOKUP(E719,'Normative data'!$Y$3:$Y$6,'Normative data'!$Z$3:$AG$6,,-1),'Normative data'!$Z$2:$AG$2,"Not Found",-1))</f>
        <v>Incomplete</v>
      </c>
      <c r="CS719" s="20"/>
      <c r="CT719" s="20"/>
      <c r="CU719" s="20" t="str" cm="1">
        <f t="array" ref="CU719">_xlfn.XLOOKUP(CS719&amp;CT719,(VLOOKUP!$A$3:$A$250)&amp;(VLOOKUP!$B$3:$B$250),VLOOKUP!$C$3:$C$250,"Incomplete",-1)</f>
        <v>Incomplete</v>
      </c>
      <c r="CV719" s="20" t="str" cm="1">
        <f t="array" ref="CV719">_xlfn.XLOOKUP(CU719, _xlfn.XLOOKUP(E719, 'Normative data'!$Y$11:$Y$14, 'Normative data'!$Z$11:$AG$14, ,-1), 'Normative data'!$Z$10:$AG$10, "Not Found", -1)</f>
        <v>Excellent</v>
      </c>
      <c r="CW719" s="20" t="str" cm="1">
        <f t="array" ref="CW719">IF(OR(ISBLANK(CS719),ISBLANK(CT719)),"Incomplete",_xlfn.XLOOKUP(CS719&amp;CT719,VLOOKUP!$A$4:$A$250&amp;VLOOKUP!$B$4:$B$250,VLOOKUP!$D$4:$D$250,"0"))</f>
        <v>Incomplete</v>
      </c>
    </row>
    <row r="720" spans="1:101">
      <c r="A720" s="18" t="s">
        <v>1376</v>
      </c>
      <c r="B720" s="18" t="s">
        <v>1377</v>
      </c>
      <c r="C720" s="17" t="s">
        <v>86</v>
      </c>
      <c r="D720" s="19">
        <v>40473</v>
      </c>
      <c r="F720" s="17">
        <v>9</v>
      </c>
      <c r="G720" s="17">
        <v>2025</v>
      </c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41" t="str">
        <f t="shared" si="224"/>
        <v>Incomplete</v>
      </c>
      <c r="AZ720" s="20"/>
      <c r="BA720" s="20" t="str">
        <f t="shared" si="225"/>
        <v>Incomplete</v>
      </c>
      <c r="BB720" s="20"/>
      <c r="BC720" s="20" t="str">
        <f t="shared" si="226"/>
        <v>Incomplete</v>
      </c>
      <c r="BD720" s="20"/>
      <c r="BE720" s="20" t="str">
        <f t="shared" si="227"/>
        <v>Incomplete</v>
      </c>
      <c r="BF720" s="20"/>
      <c r="BG720" s="20">
        <v>12</v>
      </c>
      <c r="BH720" s="20">
        <v>29.7</v>
      </c>
      <c r="BI720" s="20" t="e">
        <f>IF(OR(ISBLANK(#REF!), ISBLANK(#REF!)),"Incomplete",(SUM(#REF!-#REF!)))</f>
        <v>#REF!</v>
      </c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91" t="str">
        <f t="shared" si="228"/>
        <v>Incomplete</v>
      </c>
      <c r="BX720" s="91" t="str">
        <f>_xlfn.XLOOKUP(BW720,'Normative data'!$V$3:$V$6,'Normative data'!$W$3:$W$6,"Not Found",-1)</f>
        <v>Very low risk</v>
      </c>
      <c r="BY720" s="91" t="str">
        <f t="shared" si="229"/>
        <v>Incomplete</v>
      </c>
      <c r="BZ720" s="91" t="str">
        <f>_xlfn.XLOOKUP(BY720,'Normative data'!$V$3:$V$6,'Normative data'!$W$3:$W$6,"Not Found",-1)</f>
        <v>Very low risk</v>
      </c>
      <c r="CA720" s="20"/>
      <c r="CC720" s="20"/>
      <c r="CE720" s="20"/>
      <c r="CG720" s="20"/>
      <c r="CH720" s="20" t="str">
        <f>_xlfn.XLOOKUP(CG720, 'Normative data'!$S$9:$S$15,'Normative data'!$T$9:$T$15, "Not Found", -1)</f>
        <v>not completed</v>
      </c>
      <c r="CI720" s="20"/>
      <c r="CJ720" s="20" t="str">
        <f>_xlfn.XLOOKUP(CI720, 'Normative data'!$S$9:$S$15, 'Normative data'!$T$9:$T$15, "Not Found", -1)</f>
        <v>not completed</v>
      </c>
      <c r="CK720" s="21">
        <v>2.39</v>
      </c>
      <c r="CL720" s="21">
        <v>4.18</v>
      </c>
      <c r="CM720" s="21"/>
      <c r="CN720" s="21">
        <v>7.45</v>
      </c>
      <c r="CO720" s="21">
        <v>6.71</v>
      </c>
      <c r="CP720" s="21"/>
      <c r="CQ720" s="20"/>
      <c r="CR720" s="20" t="str" cm="1">
        <f t="array" ref="CR720">IF(OR(ISBLANK(E720),ISBLANK(CQ720)),"Incomplete",_xlfn.XLOOKUP(CQ720,_xlfn.XLOOKUP(E720,'Normative data'!$Y$3:$Y$6,'Normative data'!$Z$3:$AG$6,,-1),'Normative data'!$Z$2:$AG$2,"Not Found",-1))</f>
        <v>Incomplete</v>
      </c>
      <c r="CS720" s="20"/>
      <c r="CT720" s="20"/>
      <c r="CU720" s="20" t="str" cm="1">
        <f t="array" ref="CU720">_xlfn.XLOOKUP(CS720&amp;CT720,(VLOOKUP!$A$3:$A$250)&amp;(VLOOKUP!$B$3:$B$250),VLOOKUP!$C$3:$C$250,"Incomplete",-1)</f>
        <v>Incomplete</v>
      </c>
      <c r="CV720" s="20" t="str" cm="1">
        <f t="array" ref="CV720">_xlfn.XLOOKUP(CU720, _xlfn.XLOOKUP(E720, 'Normative data'!$Y$11:$Y$14, 'Normative data'!$Z$11:$AG$14, ,-1), 'Normative data'!$Z$10:$AG$10, "Not Found", -1)</f>
        <v>Excellent</v>
      </c>
      <c r="CW720" s="20" t="str" cm="1">
        <f t="array" ref="CW720">IF(OR(ISBLANK(CS720),ISBLANK(CT720)),"Incomplete",_xlfn.XLOOKUP(CS720&amp;CT720,VLOOKUP!$A$4:$A$250&amp;VLOOKUP!$B$4:$B$250,VLOOKUP!$D$4:$D$250,"0"))</f>
        <v>Incomplete</v>
      </c>
    </row>
    <row r="721" spans="1:101">
      <c r="A721" s="17" t="s">
        <v>1378</v>
      </c>
      <c r="B721" s="17" t="s">
        <v>1377</v>
      </c>
      <c r="C721" s="17" t="s">
        <v>86</v>
      </c>
      <c r="D721" s="19">
        <v>40473</v>
      </c>
      <c r="F721" s="17">
        <v>9</v>
      </c>
      <c r="G721" s="17">
        <v>2025</v>
      </c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41" t="str">
        <f t="shared" si="224"/>
        <v>Incomplete</v>
      </c>
      <c r="AZ721" s="20"/>
      <c r="BA721" s="20" t="str">
        <f t="shared" si="225"/>
        <v>Incomplete</v>
      </c>
      <c r="BB721" s="20"/>
      <c r="BC721" s="20" t="str">
        <f t="shared" si="226"/>
        <v>Incomplete</v>
      </c>
      <c r="BD721" s="20"/>
      <c r="BE721" s="20" t="str">
        <f t="shared" si="227"/>
        <v>Incomplete</v>
      </c>
      <c r="BF721" s="20"/>
      <c r="BG721" s="20"/>
      <c r="BH721" s="20"/>
      <c r="BI721" s="20" t="str">
        <f>IF(OR(ISBLANK(BG721), ISBLANK(BH721)),"Incomplete",(SUM(BH721-BG721)))</f>
        <v>Incomplete</v>
      </c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91" t="str">
        <f t="shared" si="228"/>
        <v>Incomplete</v>
      </c>
      <c r="BX721" s="91" t="str">
        <f>_xlfn.XLOOKUP(BW721,'Normative data'!$V$3:$V$6,'Normative data'!$W$3:$W$6,"Not Found",-1)</f>
        <v>Very low risk</v>
      </c>
      <c r="BY721" s="91" t="str">
        <f t="shared" si="229"/>
        <v>Incomplete</v>
      </c>
      <c r="BZ721" s="91" t="str">
        <f>_xlfn.XLOOKUP(BY721,'Normative data'!$V$3:$V$6,'Normative data'!$W$3:$W$6,"Not Found",-1)</f>
        <v>Very low risk</v>
      </c>
      <c r="CA721" s="20"/>
      <c r="CC721" s="20"/>
      <c r="CE721" s="20"/>
      <c r="CG721" s="20"/>
      <c r="CH721" s="20" t="str">
        <f>_xlfn.XLOOKUP(CG721, 'Normative data'!$S$9:$S$15,'Normative data'!$T$9:$T$15, "Not Found", -1)</f>
        <v>not completed</v>
      </c>
      <c r="CI721" s="20"/>
      <c r="CJ721" s="20" t="str">
        <f>_xlfn.XLOOKUP(CI721, 'Normative data'!$S$9:$S$15, 'Normative data'!$T$9:$T$15, "Not Found", -1)</f>
        <v>not completed</v>
      </c>
      <c r="CK721" s="20" t="s">
        <v>1291</v>
      </c>
      <c r="CL721" s="20" t="s">
        <v>507</v>
      </c>
      <c r="CN721" s="20" t="s">
        <v>356</v>
      </c>
      <c r="CO721" s="20" t="s">
        <v>355</v>
      </c>
      <c r="CQ721" s="20"/>
      <c r="CR721" s="20" t="str" cm="1">
        <f t="array" ref="CR721">IF(OR(ISBLANK(E721),ISBLANK(CQ721)),"Incomplete",_xlfn.XLOOKUP(CQ721,_xlfn.XLOOKUP(E721,'Normative data'!$Y$3:$Y$6,'Normative data'!$Z$3:$AG$6,,-1),'Normative data'!$Z$2:$AG$2,"Not Found",-1))</f>
        <v>Incomplete</v>
      </c>
      <c r="CS721" s="20"/>
      <c r="CT721" s="20"/>
      <c r="CU721" s="20" t="str" cm="1">
        <f t="array" ref="CU721">_xlfn.XLOOKUP(CS721&amp;CT721,(VLOOKUP!$A$3:$A$250)&amp;(VLOOKUP!$B$3:$B$250),VLOOKUP!$C$3:$C$250,"Incomplete",-1)</f>
        <v>Incomplete</v>
      </c>
      <c r="CV721" s="20" t="str" cm="1">
        <f t="array" ref="CV721">_xlfn.XLOOKUP(CU721, _xlfn.XLOOKUP(E721, 'Normative data'!$Y$11:$Y$14, 'Normative data'!$Z$11:$AG$14, ,-1), 'Normative data'!$Z$10:$AG$10, "Not Found", -1)</f>
        <v>Excellent</v>
      </c>
      <c r="CW721" s="20" t="str" cm="1">
        <f t="array" ref="CW721">IF(OR(ISBLANK(CS721),ISBLANK(CT721)),"Incomplete",_xlfn.XLOOKUP(CS721&amp;CT721,VLOOKUP!$A$4:$A$250&amp;VLOOKUP!$B$4:$B$250,VLOOKUP!$D$4:$D$250,"0"))</f>
        <v>Incomplete</v>
      </c>
    </row>
    <row r="722" spans="1:101">
      <c r="A722" s="17" t="s">
        <v>1179</v>
      </c>
      <c r="B722" s="17" t="s">
        <v>1178</v>
      </c>
      <c r="C722" s="17" t="s">
        <v>86</v>
      </c>
      <c r="D722" s="26">
        <v>40088</v>
      </c>
      <c r="F722" s="17">
        <v>10</v>
      </c>
      <c r="G722" s="17">
        <v>2025</v>
      </c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41" t="str">
        <f t="shared" si="224"/>
        <v>Incomplete</v>
      </c>
      <c r="AZ722" s="20"/>
      <c r="BA722" s="20" t="str">
        <f t="shared" si="225"/>
        <v>Incomplete</v>
      </c>
      <c r="BB722" s="20"/>
      <c r="BC722" s="20" t="str">
        <f t="shared" si="226"/>
        <v>Incomplete</v>
      </c>
      <c r="BD722" s="20"/>
      <c r="BE722" s="20" t="str">
        <f t="shared" si="227"/>
        <v>Incomplete</v>
      </c>
      <c r="BF722" s="20"/>
      <c r="BG722" s="20">
        <v>13.5</v>
      </c>
      <c r="BH722" s="20"/>
      <c r="BI722" s="20" t="str">
        <f>IF(OR(ISBLANK(#REF!), ISBLANK(BH722)),"Incomplete",(SUM(BH722-#REF!)))</f>
        <v>Incomplete</v>
      </c>
      <c r="BJ722" s="20"/>
      <c r="BK722" s="20">
        <v>6</v>
      </c>
      <c r="BL722" s="20"/>
      <c r="BM722" s="20">
        <v>7</v>
      </c>
      <c r="BN722" s="20"/>
      <c r="BO722" s="20"/>
      <c r="BP722" s="20"/>
      <c r="BQ722" s="20"/>
      <c r="BR722" s="20"/>
      <c r="BS722" s="20"/>
      <c r="BT722" s="20"/>
      <c r="BU722" s="20"/>
      <c r="BV722" s="20"/>
      <c r="BW722" s="91" t="str">
        <f t="shared" si="228"/>
        <v>Incomplete</v>
      </c>
      <c r="BX722" s="91" t="str">
        <f>_xlfn.XLOOKUP(BW722,'Normative data'!$V$3:$V$6,'Normative data'!$W$3:$W$6,"Not Found",-1)</f>
        <v>Very low risk</v>
      </c>
      <c r="BY722" s="91" t="str">
        <f t="shared" si="229"/>
        <v>Incomplete</v>
      </c>
      <c r="BZ722" s="91" t="str">
        <f>_xlfn.XLOOKUP(BY722,'Normative data'!$V$3:$V$6,'Normative data'!$W$3:$W$6,"Not Found",-1)</f>
        <v>Very low risk</v>
      </c>
      <c r="CA722" s="20"/>
      <c r="CC722" s="20"/>
      <c r="CE722" s="20">
        <v>23</v>
      </c>
      <c r="CG722" s="20"/>
      <c r="CH722" s="20" t="str">
        <f>_xlfn.XLOOKUP(CG722, 'Normative data'!$S$9:$S$15,'Normative data'!$T$9:$T$15, "Not Found", -1)</f>
        <v>not completed</v>
      </c>
      <c r="CI722" s="20"/>
      <c r="CJ722" s="20" t="str">
        <f>_xlfn.XLOOKUP(CI722, 'Normative data'!$S$9:$S$15, 'Normative data'!$T$9:$T$15, "Not Found", -1)</f>
        <v>not completed</v>
      </c>
      <c r="CK722" s="21">
        <v>2.2200000000000002</v>
      </c>
      <c r="CL722" s="21">
        <v>4.5</v>
      </c>
      <c r="CM722" s="21"/>
      <c r="CN722" s="21">
        <v>6.68</v>
      </c>
      <c r="CO722" s="21">
        <v>7.49</v>
      </c>
      <c r="CP722" s="21"/>
      <c r="CQ722" s="20"/>
      <c r="CR722" s="20" t="str" cm="1">
        <f t="array" ref="CR722">IF(OR(ISBLANK(E722),ISBLANK(CQ722)),"Incomplete",_xlfn.XLOOKUP(CQ722,_xlfn.XLOOKUP(E722,'Normative data'!$Y$3:$Y$6,'Normative data'!$Z$3:$AG$6,,-1),'Normative data'!$Z$2:$AG$2,"Not Found",-1))</f>
        <v>Incomplete</v>
      </c>
      <c r="CS722" s="20"/>
      <c r="CT722" s="20"/>
      <c r="CU722" s="20" t="str" cm="1">
        <f t="array" ref="CU722">_xlfn.XLOOKUP(CS722&amp;CT722,(VLOOKUP!$A$3:$A$250)&amp;(VLOOKUP!$B$3:$B$250),VLOOKUP!$C$3:$C$250,"Incomplete",-1)</f>
        <v>Incomplete</v>
      </c>
      <c r="CV722" s="20" t="str" cm="1">
        <f t="array" ref="CV722">_xlfn.XLOOKUP(CU722, _xlfn.XLOOKUP(E722, 'Normative data'!$Y$11:$Y$14, 'Normative data'!$Z$11:$AG$14, ,-1), 'Normative data'!$Z$10:$AG$10, "Not Found", -1)</f>
        <v>Excellent</v>
      </c>
      <c r="CW722" s="20" t="str" cm="1">
        <f t="array" ref="CW722">IF(OR(ISBLANK(CS722),ISBLANK(CT722)),"Incomplete",_xlfn.XLOOKUP(CS722&amp;CT722,VLOOKUP!$A$4:$A$250&amp;VLOOKUP!$B$4:$B$250,VLOOKUP!$D$4:$D$250,"0"))</f>
        <v>Incomplete</v>
      </c>
    </row>
    <row r="723" spans="1:101">
      <c r="A723" s="17" t="s">
        <v>1179</v>
      </c>
      <c r="B723" s="17" t="s">
        <v>1178</v>
      </c>
      <c r="C723" s="17" t="s">
        <v>86</v>
      </c>
      <c r="D723" s="26">
        <v>40088</v>
      </c>
      <c r="G723" s="17">
        <v>2025</v>
      </c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41" t="str">
        <f t="shared" si="224"/>
        <v>Incomplete</v>
      </c>
      <c r="AZ723" s="20"/>
      <c r="BA723" s="20" t="str">
        <f t="shared" si="225"/>
        <v>Incomplete</v>
      </c>
      <c r="BB723" s="20"/>
      <c r="BC723" s="20" t="str">
        <f t="shared" si="226"/>
        <v>Incomplete</v>
      </c>
      <c r="BD723" s="20"/>
      <c r="BE723" s="20" t="str">
        <f t="shared" si="227"/>
        <v>Incomplete</v>
      </c>
      <c r="BF723" s="20"/>
      <c r="BG723" s="20"/>
      <c r="BH723" s="20"/>
      <c r="BI723" s="20" t="str">
        <f t="shared" ref="BI723:BI732" si="230">IF(OR(ISBLANK(BG723), ISBLANK(BH723)),"Incomplete",(SUM(BH723-BG723)))</f>
        <v>Incomplete</v>
      </c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91" t="str">
        <f t="shared" si="228"/>
        <v>Incomplete</v>
      </c>
      <c r="BX723" s="91" t="str">
        <f>_xlfn.XLOOKUP(BW723,'Normative data'!$V$3:$V$6,'Normative data'!$W$3:$W$6,"Not Found",-1)</f>
        <v>Very low risk</v>
      </c>
      <c r="BY723" s="91" t="str">
        <f t="shared" si="229"/>
        <v>Incomplete</v>
      </c>
      <c r="BZ723" s="91" t="str">
        <f>_xlfn.XLOOKUP(BY723,'Normative data'!$V$3:$V$6,'Normative data'!$W$3:$W$6,"Not Found",-1)</f>
        <v>Very low risk</v>
      </c>
      <c r="CA723" s="20"/>
      <c r="CC723" s="20"/>
      <c r="CE723" s="20"/>
      <c r="CG723" s="20"/>
      <c r="CH723" s="20" t="str">
        <f>_xlfn.XLOOKUP(CG723, 'Normative data'!$S$9:$S$15,'Normative data'!$T$9:$T$15, "Not Found", -1)</f>
        <v>not completed</v>
      </c>
      <c r="CI723" s="20"/>
      <c r="CJ723" s="20" t="str">
        <f>_xlfn.XLOOKUP(CI723, 'Normative data'!$S$9:$S$15, 'Normative data'!$T$9:$T$15, "Not Found", -1)</f>
        <v>not completed</v>
      </c>
      <c r="CK723" s="20" t="s">
        <v>335</v>
      </c>
      <c r="CL723" s="20" t="s">
        <v>336</v>
      </c>
      <c r="CN723" s="20" t="s">
        <v>737</v>
      </c>
      <c r="CO723" s="20" t="s">
        <v>736</v>
      </c>
      <c r="CQ723" s="20"/>
      <c r="CR723" s="20" t="str" cm="1">
        <f t="array" ref="CR723">IF(OR(ISBLANK(E723),ISBLANK(CQ723)),"Incomplete",_xlfn.XLOOKUP(CQ723,_xlfn.XLOOKUP(E723,'Normative data'!$Y$3:$Y$6,'Normative data'!$Z$3:$AG$6,,-1),'Normative data'!$Z$2:$AG$2,"Not Found",-1))</f>
        <v>Incomplete</v>
      </c>
      <c r="CS723" s="20"/>
      <c r="CT723" s="20"/>
      <c r="CU723" s="20" t="str" cm="1">
        <f t="array" ref="CU723">_xlfn.XLOOKUP(CS723&amp;CT723,(VLOOKUP!$A$3:$A$250)&amp;(VLOOKUP!$B$3:$B$250),VLOOKUP!$C$3:$C$250,"Incomplete",-1)</f>
        <v>Incomplete</v>
      </c>
      <c r="CV723" s="20" t="str" cm="1">
        <f t="array" ref="CV723">_xlfn.XLOOKUP(CU723, _xlfn.XLOOKUP(E723, 'Normative data'!$Y$11:$Y$14, 'Normative data'!$Z$11:$AG$14, ,-1), 'Normative data'!$Z$10:$AG$10, "Not Found", -1)</f>
        <v>Excellent</v>
      </c>
      <c r="CW723" s="20" t="str" cm="1">
        <f t="array" ref="CW723">IF(OR(ISBLANK(CS723),ISBLANK(CT723)),"Incomplete",_xlfn.XLOOKUP(CS723&amp;CT723,VLOOKUP!$A$4:$A$250&amp;VLOOKUP!$B$4:$B$250,VLOOKUP!$D$4:$D$250,"0"))</f>
        <v>Incomplete</v>
      </c>
    </row>
    <row r="724" spans="1:101">
      <c r="A724" s="17" t="s">
        <v>1179</v>
      </c>
      <c r="B724" s="17" t="s">
        <v>1379</v>
      </c>
      <c r="C724" s="17" t="s">
        <v>86</v>
      </c>
      <c r="D724" s="26">
        <v>40088</v>
      </c>
      <c r="G724" s="17">
        <v>2026</v>
      </c>
      <c r="H724" s="20" t="s">
        <v>114</v>
      </c>
      <c r="I724" s="17">
        <v>1</v>
      </c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41" t="str">
        <f t="shared" si="224"/>
        <v>Incomplete</v>
      </c>
      <c r="AZ724" s="20"/>
      <c r="BA724" s="20" t="str">
        <f t="shared" si="225"/>
        <v>Incomplete</v>
      </c>
      <c r="BB724" s="20"/>
      <c r="BC724" s="20" t="str">
        <f t="shared" si="226"/>
        <v>Incomplete</v>
      </c>
      <c r="BD724" s="20"/>
      <c r="BE724" s="20" t="str">
        <f t="shared" si="227"/>
        <v>Incomplete</v>
      </c>
      <c r="BF724" s="20"/>
      <c r="BG724" s="20"/>
      <c r="BH724" s="20"/>
      <c r="BI724" s="20" t="str">
        <f t="shared" si="230"/>
        <v>Incomplete</v>
      </c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91" t="str">
        <f t="shared" si="228"/>
        <v>Incomplete</v>
      </c>
      <c r="BX724" s="91" t="str">
        <f>_xlfn.XLOOKUP(BW724,'Normative data'!$V$3:$V$6,'Normative data'!$W$3:$W$6,"Not Found",-1)</f>
        <v>Very low risk</v>
      </c>
      <c r="BY724" s="91" t="str">
        <f t="shared" si="229"/>
        <v>Incomplete</v>
      </c>
      <c r="BZ724" s="91" t="str">
        <f>_xlfn.XLOOKUP(BY724,'Normative data'!$V$3:$V$6,'Normative data'!$W$3:$W$6,"Not Found",-1)</f>
        <v>Very low risk</v>
      </c>
      <c r="CA724" s="20"/>
      <c r="CC724" s="20"/>
      <c r="CE724" s="20"/>
      <c r="CG724" s="20"/>
      <c r="CH724" s="20" t="str">
        <f>_xlfn.XLOOKUP(CG724, 'Normative data'!$S$9:$S$15,'Normative data'!$T$9:$T$15, "Not Found", -1)</f>
        <v>not completed</v>
      </c>
      <c r="CI724" s="20"/>
      <c r="CJ724" s="20" t="str">
        <f>_xlfn.XLOOKUP(CI724, 'Normative data'!$S$9:$S$15, 'Normative data'!$T$9:$T$15, "Not Found", -1)</f>
        <v>not completed</v>
      </c>
      <c r="CK724" s="20" t="s">
        <v>335</v>
      </c>
      <c r="CL724" s="20" t="s">
        <v>336</v>
      </c>
      <c r="CN724" s="20" t="s">
        <v>737</v>
      </c>
      <c r="CO724" s="20" t="s">
        <v>736</v>
      </c>
      <c r="CQ724" s="20"/>
      <c r="CR724" s="20" t="str" cm="1">
        <f t="array" ref="CR724">IF(OR(ISBLANK(E724),ISBLANK(CQ724)),"Incomplete",_xlfn.XLOOKUP(CQ724,_xlfn.XLOOKUP(E724,'Normative data'!$Y$3:$Y$6,'Normative data'!$Z$3:$AG$6,,-1),'Normative data'!$Z$2:$AG$2,"Not Found",-1))</f>
        <v>Incomplete</v>
      </c>
      <c r="CS724" s="20"/>
      <c r="CT724" s="20"/>
      <c r="CU724" s="20" t="str" cm="1">
        <f t="array" ref="CU724">_xlfn.XLOOKUP(CS724&amp;CT724,(VLOOKUP!$A$3:$A$250)&amp;(VLOOKUP!$B$3:$B$250),VLOOKUP!$C$3:$C$250,"Incomplete",-1)</f>
        <v>Incomplete</v>
      </c>
      <c r="CV724" s="20" t="str" cm="1">
        <f t="array" ref="CV724">_xlfn.XLOOKUP(CU724, _xlfn.XLOOKUP(E724, 'Normative data'!$Y$11:$Y$14, 'Normative data'!$Z$11:$AG$14, ,-1), 'Normative data'!$Z$10:$AG$10, "Not Found", -1)</f>
        <v>Excellent</v>
      </c>
      <c r="CW724" s="20" t="str" cm="1">
        <f t="array" ref="CW724">IF(OR(ISBLANK(CS724),ISBLANK(CT724)),"Incomplete",_xlfn.XLOOKUP(CS724&amp;CT724,VLOOKUP!$A$4:$A$250&amp;VLOOKUP!$B$4:$B$250,VLOOKUP!$D$4:$D$250,"0"))</f>
        <v>Incomplete</v>
      </c>
    </row>
    <row r="725" spans="1:101">
      <c r="A725" s="18" t="s">
        <v>929</v>
      </c>
      <c r="B725" s="18" t="s">
        <v>932</v>
      </c>
      <c r="C725" s="17" t="s">
        <v>86</v>
      </c>
      <c r="D725" s="19">
        <v>40770</v>
      </c>
      <c r="F725" s="17">
        <v>8</v>
      </c>
      <c r="G725" s="17">
        <v>2025</v>
      </c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41" t="str">
        <f t="shared" si="224"/>
        <v>Incomplete</v>
      </c>
      <c r="AZ725" s="20"/>
      <c r="BA725" s="20" t="str">
        <f t="shared" si="225"/>
        <v>Incomplete</v>
      </c>
      <c r="BB725" s="20"/>
      <c r="BC725" s="20" t="str">
        <f t="shared" si="226"/>
        <v>Incomplete</v>
      </c>
      <c r="BD725" s="20"/>
      <c r="BE725" s="20" t="str">
        <f t="shared" si="227"/>
        <v>Incomplete</v>
      </c>
      <c r="BF725" s="20"/>
      <c r="BG725" s="20"/>
      <c r="BH725" s="20"/>
      <c r="BI725" s="20" t="str">
        <f t="shared" si="230"/>
        <v>Incomplete</v>
      </c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91" t="str">
        <f t="shared" si="228"/>
        <v>Incomplete</v>
      </c>
      <c r="BX725" s="91" t="str">
        <f>_xlfn.XLOOKUP(BW725,'Normative data'!$V$3:$V$6,'Normative data'!$W$3:$W$6,"Not Found",-1)</f>
        <v>Very low risk</v>
      </c>
      <c r="BY725" s="91" t="str">
        <f t="shared" si="229"/>
        <v>Incomplete</v>
      </c>
      <c r="BZ725" s="91" t="str">
        <f>_xlfn.XLOOKUP(BY725,'Normative data'!$V$3:$V$6,'Normative data'!$W$3:$W$6,"Not Found",-1)</f>
        <v>Very low risk</v>
      </c>
      <c r="CA725" s="20"/>
      <c r="CC725" s="20"/>
      <c r="CE725" s="20"/>
      <c r="CG725" s="20"/>
      <c r="CH725" s="20" t="str">
        <f>_xlfn.XLOOKUP(CG725, 'Normative data'!$S$9:$S$15,'Normative data'!$T$9:$T$15, "Not Found", -1)</f>
        <v>not completed</v>
      </c>
      <c r="CI725" s="20"/>
      <c r="CJ725" s="20" t="str">
        <f>_xlfn.XLOOKUP(CI725, 'Normative data'!$S$9:$S$15, 'Normative data'!$T$9:$T$15, "Not Found", -1)</f>
        <v>not completed</v>
      </c>
      <c r="CK725" s="21">
        <v>2.2999999999999998</v>
      </c>
      <c r="CL725" s="21">
        <v>4.3499999999999996</v>
      </c>
      <c r="CM725" s="21"/>
      <c r="CN725" s="21">
        <v>7.44</v>
      </c>
      <c r="CO725" s="21">
        <v>6.72</v>
      </c>
      <c r="CP725" s="21"/>
      <c r="CQ725" s="20"/>
      <c r="CR725" s="20" t="str" cm="1">
        <f t="array" ref="CR725">IF(OR(ISBLANK(E725),ISBLANK(CQ725)),"Incomplete",_xlfn.XLOOKUP(CQ725,_xlfn.XLOOKUP(E725,'Normative data'!$Y$3:$Y$6,'Normative data'!$Z$3:$AG$6,,-1),'Normative data'!$Z$2:$AG$2,"Not Found",-1))</f>
        <v>Incomplete</v>
      </c>
      <c r="CS725" s="20"/>
      <c r="CT725" s="20"/>
      <c r="CU725" s="20" t="str" cm="1">
        <f t="array" ref="CU725">_xlfn.XLOOKUP(CS725&amp;CT725,(VLOOKUP!$A$3:$A$250)&amp;(VLOOKUP!$B$3:$B$250),VLOOKUP!$C$3:$C$250,"Incomplete",-1)</f>
        <v>Incomplete</v>
      </c>
      <c r="CV725" s="20" t="str" cm="1">
        <f t="array" ref="CV725">_xlfn.XLOOKUP(CU725, _xlfn.XLOOKUP(E725, 'Normative data'!$Y$11:$Y$14, 'Normative data'!$Z$11:$AG$14, ,-1), 'Normative data'!$Z$10:$AG$10, "Not Found", -1)</f>
        <v>Excellent</v>
      </c>
      <c r="CW725" s="20" t="str" cm="1">
        <f t="array" ref="CW725">IF(OR(ISBLANK(CS725),ISBLANK(CT725)),"Incomplete",_xlfn.XLOOKUP(CS725&amp;CT725,VLOOKUP!$A$4:$A$250&amp;VLOOKUP!$B$4:$B$250,VLOOKUP!$D$4:$D$250,"0"))</f>
        <v>Incomplete</v>
      </c>
    </row>
    <row r="726" spans="1:101">
      <c r="A726" s="17" t="s">
        <v>1380</v>
      </c>
      <c r="B726" s="17" t="s">
        <v>1381</v>
      </c>
      <c r="C726" s="17" t="s">
        <v>86</v>
      </c>
      <c r="D726" s="26">
        <v>40907</v>
      </c>
      <c r="F726" s="20" t="s">
        <v>154</v>
      </c>
      <c r="G726" s="17">
        <v>2026</v>
      </c>
      <c r="I726" s="20">
        <v>2</v>
      </c>
      <c r="J726" s="20"/>
      <c r="K726" s="20"/>
      <c r="L726" s="20"/>
      <c r="S726" s="20">
        <v>81.2</v>
      </c>
      <c r="T726" s="20">
        <v>156.19999999999999</v>
      </c>
      <c r="U726" s="17">
        <v>43.6</v>
      </c>
      <c r="V726" s="17">
        <v>24</v>
      </c>
      <c r="W726" s="17">
        <v>10.9</v>
      </c>
      <c r="X726" s="17">
        <v>2.7</v>
      </c>
      <c r="Y726" s="17">
        <v>17.3</v>
      </c>
      <c r="Z726" s="17">
        <v>17.899999999999999</v>
      </c>
      <c r="AA726" s="17">
        <v>25</v>
      </c>
      <c r="AB726" s="17">
        <v>4.68</v>
      </c>
      <c r="AC726" s="17">
        <v>91.7</v>
      </c>
      <c r="AD726" s="17">
        <v>4.67</v>
      </c>
      <c r="AE726" s="17">
        <v>91.5</v>
      </c>
      <c r="AF726" s="17">
        <v>1.8</v>
      </c>
      <c r="AG726" s="17">
        <v>94.4</v>
      </c>
      <c r="AH726" s="17">
        <v>1.8</v>
      </c>
      <c r="AI726" s="17">
        <v>94.5</v>
      </c>
      <c r="AJ726" s="17">
        <v>365.3</v>
      </c>
      <c r="AK726" s="17">
        <v>368.2</v>
      </c>
      <c r="AL726" s="17">
        <v>332.7</v>
      </c>
      <c r="AM726" s="17">
        <v>335.5</v>
      </c>
      <c r="AN726" s="17">
        <v>92</v>
      </c>
      <c r="AO726" s="17">
        <v>0.84</v>
      </c>
      <c r="AP726" s="17">
        <v>4.9000000000000004</v>
      </c>
      <c r="AY726" s="41" t="str">
        <f t="shared" si="224"/>
        <v>Incomplete</v>
      </c>
      <c r="BA726" s="20" t="str">
        <f t="shared" si="225"/>
        <v>Incomplete</v>
      </c>
      <c r="BC726" s="20" t="str">
        <f t="shared" si="226"/>
        <v>Incomplete</v>
      </c>
      <c r="BE726" s="20" t="str">
        <f t="shared" si="227"/>
        <v>Incomplete</v>
      </c>
      <c r="BG726" s="17">
        <v>10.5</v>
      </c>
      <c r="BH726" s="17">
        <v>25</v>
      </c>
      <c r="BI726" s="20">
        <f t="shared" si="230"/>
        <v>14.5</v>
      </c>
      <c r="BJ726" s="20"/>
      <c r="BK726" s="17">
        <v>10.5</v>
      </c>
      <c r="BL726" s="20"/>
      <c r="BM726" s="17">
        <v>10.5</v>
      </c>
      <c r="BN726" s="20"/>
      <c r="BO726" s="17">
        <v>40.6</v>
      </c>
      <c r="BP726" s="17">
        <v>43.2</v>
      </c>
      <c r="BW726" s="91">
        <f t="shared" si="228"/>
        <v>0</v>
      </c>
      <c r="BX726" s="91" t="str">
        <f>_xlfn.XLOOKUP(BW726,'Normative data'!$V$3:$V$6,'Normative data'!$W$3:$W$6,"Not Found",-1)</f>
        <v>Not completed</v>
      </c>
      <c r="BY726" s="91">
        <f t="shared" si="229"/>
        <v>0</v>
      </c>
      <c r="BZ726" s="91" t="str">
        <f>_xlfn.XLOOKUP(BY726,'Normative data'!$V$3:$V$6,'Normative data'!$W$3:$W$6,"Not Found",-1)</f>
        <v>Not completed</v>
      </c>
      <c r="CA726" s="17">
        <v>32</v>
      </c>
      <c r="CC726" s="20"/>
      <c r="CE726" s="17">
        <v>11</v>
      </c>
      <c r="CH726" s="20" t="str">
        <f>_xlfn.XLOOKUP(CG726, 'Normative data'!$S$9:$S$15,'Normative data'!$T$9:$T$15, "Not Found", -1)</f>
        <v>not completed</v>
      </c>
      <c r="CI726" s="17">
        <v>20.95</v>
      </c>
      <c r="CJ726" s="20" t="str">
        <f>_xlfn.XLOOKUP(CI726, 'Normative data'!$S$9:$S$15, 'Normative data'!$T$9:$T$15, "Not Found", -1)</f>
        <v>Average</v>
      </c>
      <c r="CK726" s="17">
        <v>2.2999999999999998</v>
      </c>
      <c r="CL726" s="17">
        <v>4.3499999999999996</v>
      </c>
      <c r="CN726" s="17">
        <v>7.33</v>
      </c>
      <c r="CO726" s="17">
        <v>6.82</v>
      </c>
      <c r="CQ726" s="17">
        <v>3.4</v>
      </c>
      <c r="CR726" s="20" t="str" cm="1">
        <f t="array" ref="CR726">IF(OR(ISBLANK(E726),ISBLANK(CQ726)),"Incomplete",_xlfn.XLOOKUP(CQ726,_xlfn.XLOOKUP(E726,'Normative data'!$Y$3:$Y$6,'Normative data'!$Z$3:$AG$6,,-1),'Normative data'!$Z$2:$AG$2,"Not Found",-1))</f>
        <v>Incomplete</v>
      </c>
      <c r="CS726" s="20">
        <v>3</v>
      </c>
      <c r="CT726" s="20">
        <v>4</v>
      </c>
      <c r="CU726" s="20" cm="1">
        <f t="array" ref="CU726">_xlfn.XLOOKUP(CS726&amp;CT726,(VLOOKUP!$A$3:$A$250)&amp;(VLOOKUP!$B$3:$B$250),VLOOKUP!$C$3:$C$250,"Incomplete",-1)</f>
        <v>380</v>
      </c>
      <c r="CV726" s="20" t="str" cm="1">
        <f t="array" ref="CV726">_xlfn.XLOOKUP(CU726, _xlfn.XLOOKUP(E726, 'Normative data'!$Y$11:$Y$14, 'Normative data'!$Z$11:$AG$14, ,-1), 'Normative data'!$Z$10:$AG$10, "Not Found", -1)</f>
        <v xml:space="preserve">Very poor </v>
      </c>
      <c r="CW726" s="20" cm="1">
        <f t="array" ref="CW726">IF(OR(ISBLANK(CS726),ISBLANK(CT726)),"Incomplete",_xlfn.XLOOKUP(CS726&amp;CT726,VLOOKUP!$A$4:$A$250&amp;VLOOKUP!$B$4:$B$250,VLOOKUP!$D$4:$D$250,"0"))</f>
        <v>24</v>
      </c>
    </row>
    <row r="727" spans="1:101">
      <c r="A727" s="17" t="s">
        <v>942</v>
      </c>
      <c r="B727" s="17" t="s">
        <v>700</v>
      </c>
      <c r="C727" s="17" t="s">
        <v>86</v>
      </c>
      <c r="D727" s="26">
        <v>40731</v>
      </c>
      <c r="E727" s="17">
        <v>14.8</v>
      </c>
      <c r="F727" s="20" t="s">
        <v>217</v>
      </c>
      <c r="G727" s="17">
        <v>2026</v>
      </c>
      <c r="I727" s="20">
        <v>2</v>
      </c>
      <c r="J727" s="20" t="s">
        <v>88</v>
      </c>
      <c r="K727" s="20" t="s">
        <v>194</v>
      </c>
      <c r="L727" s="20"/>
      <c r="S727" s="20">
        <v>88</v>
      </c>
      <c r="T727" s="20">
        <v>167.4</v>
      </c>
      <c r="U727" s="17">
        <v>55.4</v>
      </c>
      <c r="V727" s="17">
        <v>31</v>
      </c>
      <c r="W727" s="17">
        <v>25.5</v>
      </c>
      <c r="X727" s="17">
        <v>42.5</v>
      </c>
      <c r="Y727" s="17">
        <v>23.2</v>
      </c>
      <c r="Z727" s="17">
        <v>24.3</v>
      </c>
      <c r="AA727" s="17">
        <v>37.6</v>
      </c>
      <c r="AB727" s="17">
        <v>6.57</v>
      </c>
      <c r="AC727" s="17">
        <v>90.8</v>
      </c>
      <c r="AD727" s="17">
        <v>6.62</v>
      </c>
      <c r="AE727" s="17">
        <v>91.5</v>
      </c>
      <c r="AF727" s="17">
        <v>3.7</v>
      </c>
      <c r="AG727" s="17">
        <v>141.6</v>
      </c>
      <c r="AH727" s="17">
        <v>3.7</v>
      </c>
      <c r="AI727" s="17">
        <v>142.19999999999999</v>
      </c>
      <c r="AJ727" s="17">
        <v>350.8</v>
      </c>
      <c r="AK727" s="17">
        <v>345.6</v>
      </c>
      <c r="AL727" s="17">
        <v>311.39999999999998</v>
      </c>
      <c r="AM727" s="17">
        <v>306</v>
      </c>
      <c r="AN727" s="17">
        <v>82</v>
      </c>
      <c r="AO727" s="17">
        <v>0.97</v>
      </c>
      <c r="AP727" s="17">
        <v>6.2</v>
      </c>
      <c r="AQ727" s="17">
        <v>22.9</v>
      </c>
      <c r="AR727" s="17">
        <v>0.432</v>
      </c>
      <c r="AS727" s="17">
        <v>23</v>
      </c>
      <c r="AT727" s="17">
        <v>0.433</v>
      </c>
      <c r="AU727" s="17">
        <v>10.1</v>
      </c>
      <c r="AV727" s="17">
        <v>0.28699999999999998</v>
      </c>
      <c r="AW727" s="17">
        <v>12.4</v>
      </c>
      <c r="AX727" s="17">
        <v>0.318</v>
      </c>
      <c r="AY727" s="41">
        <f t="shared" si="224"/>
        <v>1844.6499999999996</v>
      </c>
      <c r="BA727" s="20">
        <f t="shared" si="225"/>
        <v>1850.7200000000003</v>
      </c>
      <c r="BC727" s="20">
        <f t="shared" si="226"/>
        <v>1067.69</v>
      </c>
      <c r="BE727" s="20">
        <f t="shared" si="227"/>
        <v>1207.3000000000002</v>
      </c>
      <c r="BG727" s="17">
        <v>13</v>
      </c>
      <c r="BH727" s="17">
        <v>39</v>
      </c>
      <c r="BI727" s="20">
        <f t="shared" si="230"/>
        <v>26</v>
      </c>
      <c r="BJ727" s="20"/>
      <c r="BK727" s="17">
        <v>8</v>
      </c>
      <c r="BL727" s="20"/>
      <c r="BM727" s="17">
        <v>10</v>
      </c>
      <c r="BN727" s="20"/>
      <c r="BO727" s="17">
        <v>52</v>
      </c>
      <c r="BP727" s="17">
        <v>53.5</v>
      </c>
      <c r="BQ727" s="17">
        <v>80</v>
      </c>
      <c r="BR727" s="17">
        <v>70</v>
      </c>
      <c r="BS727" s="17">
        <v>75</v>
      </c>
      <c r="BT727" s="17">
        <v>87</v>
      </c>
      <c r="BU727" s="17">
        <v>74</v>
      </c>
      <c r="BV727" s="17">
        <v>76</v>
      </c>
      <c r="BW727" s="91">
        <f t="shared" si="228"/>
        <v>94.458438287153641</v>
      </c>
      <c r="BX727" s="91" t="str">
        <f>_xlfn.XLOOKUP(BW727,'Normative data'!$V$3:$V$6,'Normative data'!$W$3:$W$6,"Not Found",-1)</f>
        <v>High risk</v>
      </c>
      <c r="BY727" s="91">
        <f t="shared" si="229"/>
        <v>99.496221662468514</v>
      </c>
      <c r="BZ727" s="91" t="str">
        <f>_xlfn.XLOOKUP(BY727,'Normative data'!$V$3:$V$6,'Normative data'!$W$3:$W$6,"Not Found",-1)</f>
        <v>Low risk</v>
      </c>
      <c r="CA727" s="17">
        <v>22</v>
      </c>
      <c r="CC727" s="20"/>
      <c r="CE727" s="17">
        <v>10</v>
      </c>
      <c r="CG727" s="17">
        <v>19.47</v>
      </c>
      <c r="CH727" s="20" t="str">
        <f>_xlfn.XLOOKUP(CG727, 'Normative data'!$S$9:$S$15,'Normative data'!$T$9:$T$15, "Not Found", -1)</f>
        <v>Average</v>
      </c>
      <c r="CI727" s="17">
        <v>18.96</v>
      </c>
      <c r="CJ727" s="20" t="str">
        <f>_xlfn.XLOOKUP(CI727, 'Normative data'!$S$9:$S$15, 'Normative data'!$T$9:$T$15, "Not Found", -1)</f>
        <v>Average</v>
      </c>
      <c r="CK727" s="17">
        <v>2.4900000000000002</v>
      </c>
      <c r="CL727" s="17">
        <v>4.0199999999999996</v>
      </c>
      <c r="CN727" s="17">
        <v>7.73</v>
      </c>
      <c r="CO727" s="17">
        <v>6.47</v>
      </c>
      <c r="CQ727" s="17">
        <v>3.8</v>
      </c>
      <c r="CR727" s="20" t="str" cm="1">
        <f t="array" ref="CR727">IF(OR(ISBLANK(E727),ISBLANK(CQ727)),"Incomplete",_xlfn.XLOOKUP(CQ727,_xlfn.XLOOKUP(E727,'Normative data'!$Y$3:$Y$6,'Normative data'!$Z$3:$AG$6,,-1),'Normative data'!$Z$2:$AG$2,"Not Found",-1))</f>
        <v>Poor</v>
      </c>
      <c r="CS727" s="20">
        <v>3</v>
      </c>
      <c r="CT727" s="20">
        <v>8</v>
      </c>
      <c r="CU727" s="20" cm="1">
        <f t="array" ref="CU727">_xlfn.XLOOKUP(CS727&amp;CT727,(VLOOKUP!$A$3:$A$250)&amp;(VLOOKUP!$B$3:$B$250),VLOOKUP!$C$3:$C$250,"Incomplete",-1)</f>
        <v>460</v>
      </c>
      <c r="CV727" s="20" t="str" cm="1">
        <f t="array" ref="CV727">_xlfn.XLOOKUP(CU727, _xlfn.XLOOKUP(E727, 'Normative data'!$Y$11:$Y$14, 'Normative data'!$Z$11:$AG$14, ,-1), 'Normative data'!$Z$10:$AG$10, "Not Found", -1)</f>
        <v xml:space="preserve">Poor </v>
      </c>
      <c r="CW727" s="20" cm="1">
        <f t="array" ref="CW727">IF(OR(ISBLANK(CS727),ISBLANK(CT727)),"Incomplete",_xlfn.XLOOKUP(CS727&amp;CT727,VLOOKUP!$A$4:$A$250&amp;VLOOKUP!$B$4:$B$250,VLOOKUP!$D$4:$D$250,"0"))</f>
        <v>26</v>
      </c>
    </row>
    <row r="728" spans="1:101">
      <c r="A728" s="17" t="s">
        <v>1382</v>
      </c>
      <c r="B728" s="17" t="s">
        <v>700</v>
      </c>
      <c r="C728" s="17" t="s">
        <v>86</v>
      </c>
      <c r="D728" s="26">
        <v>40931</v>
      </c>
      <c r="E728" s="17">
        <v>14.4</v>
      </c>
      <c r="F728" s="20" t="s">
        <v>97</v>
      </c>
      <c r="G728" s="17">
        <v>2026</v>
      </c>
      <c r="I728" s="20">
        <v>2</v>
      </c>
      <c r="J728" s="20" t="s">
        <v>88</v>
      </c>
      <c r="K728" s="20" t="s">
        <v>196</v>
      </c>
      <c r="L728" s="20"/>
      <c r="S728" s="20">
        <v>83.7</v>
      </c>
      <c r="T728" s="20">
        <v>160.4</v>
      </c>
      <c r="U728" s="17">
        <v>45.3</v>
      </c>
      <c r="V728" s="17">
        <v>26.1</v>
      </c>
      <c r="W728" s="17">
        <v>9.6</v>
      </c>
      <c r="X728" s="17">
        <v>35.700000000000003</v>
      </c>
      <c r="Y728" s="17">
        <v>19</v>
      </c>
      <c r="Z728" s="17">
        <v>17.600000000000001</v>
      </c>
      <c r="AA728" s="17">
        <v>21.3</v>
      </c>
      <c r="AB728" s="17">
        <v>5.59</v>
      </c>
      <c r="AC728" s="17">
        <v>106.8</v>
      </c>
      <c r="AD728" s="17">
        <v>5.54</v>
      </c>
      <c r="AE728" s="17">
        <v>105.9</v>
      </c>
      <c r="AF728" s="17">
        <v>1.8</v>
      </c>
      <c r="AG728" s="17">
        <v>80</v>
      </c>
      <c r="AH728" s="17">
        <v>1.7</v>
      </c>
      <c r="AI728" s="17">
        <v>79.400000000000006</v>
      </c>
      <c r="AJ728" s="17">
        <v>291.2</v>
      </c>
      <c r="AK728" s="17">
        <v>294.39999999999998</v>
      </c>
      <c r="AL728" s="17">
        <v>263.89999999999998</v>
      </c>
      <c r="AM728" s="17">
        <v>268.7</v>
      </c>
      <c r="AN728" s="17">
        <v>97</v>
      </c>
      <c r="AQ728" s="20"/>
      <c r="AR728" s="20"/>
      <c r="AS728" s="20"/>
      <c r="AT728" s="20"/>
      <c r="AU728" s="20"/>
      <c r="AV728" s="20"/>
      <c r="AW728" s="20"/>
      <c r="AX728" s="20"/>
      <c r="AY728" s="41" t="str">
        <f t="shared" si="224"/>
        <v>Incomplete</v>
      </c>
      <c r="BA728" s="20" t="str">
        <f t="shared" si="225"/>
        <v>Incomplete</v>
      </c>
      <c r="BC728" s="20" t="str">
        <f t="shared" si="226"/>
        <v>Incomplete</v>
      </c>
      <c r="BE728" s="20" t="str">
        <f t="shared" si="227"/>
        <v>Incomplete</v>
      </c>
      <c r="BG728" s="17">
        <v>11.7</v>
      </c>
      <c r="BH728" s="17">
        <v>44.6</v>
      </c>
      <c r="BI728" s="20">
        <f t="shared" si="230"/>
        <v>32.900000000000006</v>
      </c>
      <c r="BJ728" s="20"/>
      <c r="BK728" s="17">
        <v>7</v>
      </c>
      <c r="BL728" s="20"/>
      <c r="BM728" s="17">
        <v>7</v>
      </c>
      <c r="BN728" s="20"/>
      <c r="BO728" s="17">
        <v>43</v>
      </c>
      <c r="BP728" s="17">
        <v>43</v>
      </c>
      <c r="BQ728" s="17">
        <v>74</v>
      </c>
      <c r="BR728" s="17">
        <v>78</v>
      </c>
      <c r="BS728" s="17">
        <v>77</v>
      </c>
      <c r="BT728" s="17">
        <v>74</v>
      </c>
      <c r="BU728" s="17">
        <v>80</v>
      </c>
      <c r="BV728" s="17">
        <v>82</v>
      </c>
      <c r="BW728" s="91">
        <f t="shared" si="228"/>
        <v>99.521946979574082</v>
      </c>
      <c r="BX728" s="91" t="str">
        <f>_xlfn.XLOOKUP(BW728,'Normative data'!$V$3:$V$6,'Normative data'!$W$3:$W$6,"Not Found",-1)</f>
        <v>Low risk</v>
      </c>
      <c r="BY728" s="91">
        <f t="shared" si="229"/>
        <v>102.56410256410255</v>
      </c>
      <c r="BZ728" s="91" t="str">
        <f>_xlfn.XLOOKUP(BY728,'Normative data'!$V$3:$V$6,'Normative data'!$W$3:$W$6,"Not Found",-1)</f>
        <v>Low risk</v>
      </c>
      <c r="CA728" s="17">
        <v>30</v>
      </c>
      <c r="CC728" s="20"/>
      <c r="CE728" s="17">
        <v>21</v>
      </c>
      <c r="CG728" s="20"/>
      <c r="CH728" s="20" t="str">
        <f>_xlfn.XLOOKUP(CG728, 'Normative data'!$S$9:$S$15,'Normative data'!$T$9:$T$15, "Not Found", -1)</f>
        <v>not completed</v>
      </c>
      <c r="CI728" s="20"/>
      <c r="CJ728" s="20" t="str">
        <f>_xlfn.XLOOKUP(CI728, 'Normative data'!$S$9:$S$15, 'Normative data'!$T$9:$T$15, "Not Found", -1)</f>
        <v>not completed</v>
      </c>
      <c r="CK728" s="17">
        <v>2.2999999999999998</v>
      </c>
      <c r="CL728" s="17">
        <v>4.3499999999999996</v>
      </c>
      <c r="CN728" s="17">
        <v>7.06</v>
      </c>
      <c r="CO728" s="17">
        <v>7.08</v>
      </c>
      <c r="CR728" s="20" t="str" cm="1">
        <f t="array" ref="CR728">IF(OR(ISBLANK(E728),ISBLANK(CQ728)),"Incomplete",_xlfn.XLOOKUP(CQ728,_xlfn.XLOOKUP(E728,'Normative data'!$Y$3:$Y$6,'Normative data'!$Z$3:$AG$6,,-1),'Normative data'!$Z$2:$AG$2,"Not Found",-1))</f>
        <v>Incomplete</v>
      </c>
      <c r="CS728" s="20"/>
      <c r="CT728" s="20"/>
      <c r="CU728" s="20" t="str" cm="1">
        <f t="array" ref="CU728">_xlfn.XLOOKUP(CS728&amp;CT728,(VLOOKUP!$A$3:$A$250)&amp;(VLOOKUP!$B$3:$B$250),VLOOKUP!$C$3:$C$250,"Incomplete",-1)</f>
        <v>Incomplete</v>
      </c>
      <c r="CV728" s="20" t="str" cm="1">
        <f t="array" ref="CV728">_xlfn.XLOOKUP(CU728, _xlfn.XLOOKUP(E728, 'Normative data'!$Y$11:$Y$14, 'Normative data'!$Z$11:$AG$14, ,-1), 'Normative data'!$Z$10:$AG$10, "Not Found", -1)</f>
        <v>Excellent</v>
      </c>
      <c r="CW728" s="20" t="str" cm="1">
        <f t="array" ref="CW728">IF(OR(ISBLANK(CS728),ISBLANK(CT728)),"Incomplete",_xlfn.XLOOKUP(CS728&amp;CT728,VLOOKUP!$A$4:$A$250&amp;VLOOKUP!$B$4:$B$250,VLOOKUP!$D$4:$D$250,"0"))</f>
        <v>Incomplete</v>
      </c>
    </row>
    <row r="729" spans="1:101">
      <c r="A729" s="17" t="s">
        <v>1223</v>
      </c>
      <c r="B729" s="17" t="s">
        <v>700</v>
      </c>
      <c r="C729" s="17" t="s">
        <v>86</v>
      </c>
      <c r="D729" s="26">
        <v>40786</v>
      </c>
      <c r="F729" s="20" t="s">
        <v>104</v>
      </c>
      <c r="G729" s="17">
        <v>2026</v>
      </c>
      <c r="I729" s="20">
        <v>2</v>
      </c>
      <c r="J729" s="20" t="s">
        <v>100</v>
      </c>
      <c r="K729" s="20" t="s">
        <v>105</v>
      </c>
      <c r="L729" s="20"/>
      <c r="S729" s="20">
        <v>87.9</v>
      </c>
      <c r="T729" s="20">
        <v>160.9</v>
      </c>
      <c r="U729" s="17">
        <v>60.4</v>
      </c>
      <c r="V729" s="17">
        <v>33.9</v>
      </c>
      <c r="W729" s="17">
        <v>14</v>
      </c>
      <c r="X729" s="17">
        <v>46.4</v>
      </c>
      <c r="Y729" s="17">
        <v>25.9</v>
      </c>
      <c r="AA729" s="17">
        <v>23.2</v>
      </c>
      <c r="AB729" s="17">
        <v>6.72</v>
      </c>
      <c r="AC729" s="17">
        <v>105.4</v>
      </c>
      <c r="AD729" s="17">
        <v>6.75</v>
      </c>
      <c r="AE729" s="17">
        <v>106</v>
      </c>
      <c r="AF729" s="17">
        <v>2.1</v>
      </c>
      <c r="AG729" s="17">
        <v>92.2</v>
      </c>
      <c r="AH729" s="17">
        <v>2.1</v>
      </c>
      <c r="AI729" s="17">
        <v>92.4</v>
      </c>
      <c r="AJ729" s="17">
        <v>303</v>
      </c>
      <c r="AK729" s="17">
        <v>299.10000000000002</v>
      </c>
      <c r="AL729" s="17">
        <v>263.39999999999998</v>
      </c>
      <c r="AM729" s="17">
        <v>259.10000000000002</v>
      </c>
      <c r="AN729" s="17">
        <v>101</v>
      </c>
      <c r="AY729" s="41" t="str">
        <f t="shared" si="224"/>
        <v>Incomplete</v>
      </c>
      <c r="BA729" s="20" t="str">
        <f t="shared" si="225"/>
        <v>Incomplete</v>
      </c>
      <c r="BC729" s="20" t="str">
        <f t="shared" si="226"/>
        <v>Incomplete</v>
      </c>
      <c r="BE729" s="20" t="str">
        <f t="shared" si="227"/>
        <v>Incomplete</v>
      </c>
      <c r="BG729" s="17">
        <v>9.1</v>
      </c>
      <c r="BH729" s="17">
        <v>37.200000000000003</v>
      </c>
      <c r="BI729" s="20">
        <f t="shared" si="230"/>
        <v>28.1</v>
      </c>
      <c r="BJ729" s="20"/>
      <c r="BK729" s="17">
        <v>6</v>
      </c>
      <c r="BL729" s="20"/>
      <c r="BM729" s="17">
        <v>5</v>
      </c>
      <c r="BN729" s="20"/>
      <c r="BO729" s="17">
        <v>55</v>
      </c>
      <c r="BP729" s="17">
        <v>54</v>
      </c>
      <c r="BQ729" s="17">
        <v>74</v>
      </c>
      <c r="BR729" s="17">
        <v>86</v>
      </c>
      <c r="BS729" s="17">
        <v>77</v>
      </c>
      <c r="BT729" s="17">
        <v>71</v>
      </c>
      <c r="BU729" s="17">
        <v>81</v>
      </c>
      <c r="BV729" s="17">
        <v>70</v>
      </c>
      <c r="BW729" s="91">
        <f t="shared" si="228"/>
        <v>108.21917808219179</v>
      </c>
      <c r="BX729" s="91" t="str">
        <f>_xlfn.XLOOKUP(BW729,'Normative data'!$V$3:$V$6,'Normative data'!$W$3:$W$6,"Not Found",-1)</f>
        <v>Low risk</v>
      </c>
      <c r="BY729" s="91">
        <f t="shared" si="229"/>
        <v>101.36986301369863</v>
      </c>
      <c r="BZ729" s="91" t="str">
        <f>_xlfn.XLOOKUP(BY729,'Normative data'!$V$3:$V$6,'Normative data'!$W$3:$W$6,"Not Found",-1)</f>
        <v>Low risk</v>
      </c>
      <c r="CA729" s="17">
        <v>33</v>
      </c>
      <c r="CC729" s="20"/>
      <c r="CE729" s="17">
        <v>8</v>
      </c>
      <c r="CH729" s="20" t="str">
        <f>_xlfn.XLOOKUP(CG729, 'Normative data'!$S$9:$S$15,'Normative data'!$T$9:$T$15, "Not Found", -1)</f>
        <v>not completed</v>
      </c>
      <c r="CI729" s="17">
        <v>19.18</v>
      </c>
      <c r="CJ729" s="20" t="str">
        <f>_xlfn.XLOOKUP(CI729, 'Normative data'!$S$9:$S$15, 'Normative data'!$T$9:$T$15, "Not Found", -1)</f>
        <v>Average</v>
      </c>
      <c r="CK729" s="17">
        <v>2.2599999999999998</v>
      </c>
      <c r="CL729" s="17">
        <v>7.72</v>
      </c>
      <c r="CN729" s="17">
        <v>7.01</v>
      </c>
      <c r="CO729" s="17">
        <v>7.12</v>
      </c>
      <c r="CR729" s="20" t="str" cm="1">
        <f t="array" ref="CR729">IF(OR(ISBLANK(E729),ISBLANK(CQ729)),"Incomplete",_xlfn.XLOOKUP(CQ729,_xlfn.XLOOKUP(E729,'Normative data'!$Y$3:$Y$6,'Normative data'!$Z$3:$AG$6,,-1),'Normative data'!$Z$2:$AG$2,"Not Found",-1))</f>
        <v>Incomplete</v>
      </c>
      <c r="CS729" s="20"/>
      <c r="CT729" s="20"/>
      <c r="CU729" s="20" t="str" cm="1">
        <f t="array" ref="CU729">_xlfn.XLOOKUP(CS729&amp;CT729,(VLOOKUP!$A$3:$A$250)&amp;(VLOOKUP!$B$3:$B$250),VLOOKUP!$C$3:$C$250,"Incomplete",-1)</f>
        <v>Incomplete</v>
      </c>
      <c r="CV729" s="20" t="str" cm="1">
        <f t="array" ref="CV729">_xlfn.XLOOKUP(CU729, _xlfn.XLOOKUP(E729, 'Normative data'!$Y$11:$Y$14, 'Normative data'!$Z$11:$AG$14, ,-1), 'Normative data'!$Z$10:$AG$10, "Not Found", -1)</f>
        <v>Excellent</v>
      </c>
      <c r="CW729" s="20" t="str" cm="1">
        <f t="array" ref="CW729">IF(OR(ISBLANK(CS729),ISBLANK(CT729)),"Incomplete",_xlfn.XLOOKUP(CS729&amp;CT729,VLOOKUP!$A$4:$A$250&amp;VLOOKUP!$B$4:$B$250,VLOOKUP!$D$4:$D$250,"0"))</f>
        <v>Incomplete</v>
      </c>
    </row>
    <row r="730" spans="1:101">
      <c r="A730" s="17" t="s">
        <v>1383</v>
      </c>
      <c r="B730" s="17" t="s">
        <v>1384</v>
      </c>
      <c r="C730" s="17" t="s">
        <v>86</v>
      </c>
      <c r="D730" s="26">
        <v>40672</v>
      </c>
      <c r="F730" s="20" t="s">
        <v>154</v>
      </c>
      <c r="G730" s="17">
        <v>2026</v>
      </c>
      <c r="I730" s="20">
        <v>2</v>
      </c>
      <c r="J730" s="20" t="s">
        <v>88</v>
      </c>
      <c r="K730" s="20" t="s">
        <v>93</v>
      </c>
      <c r="L730" s="20"/>
      <c r="S730" s="20">
        <v>77.8</v>
      </c>
      <c r="T730" s="20">
        <v>145.80000000000001</v>
      </c>
      <c r="U730" s="17">
        <v>43.2</v>
      </c>
      <c r="V730" s="17">
        <v>21.9</v>
      </c>
      <c r="W730" s="17">
        <v>13.4</v>
      </c>
      <c r="X730" s="17">
        <v>29.8</v>
      </c>
      <c r="Y730" s="17">
        <v>15.7</v>
      </c>
      <c r="Z730" s="17">
        <v>20.3</v>
      </c>
      <c r="AA730" s="17">
        <v>30.9</v>
      </c>
      <c r="AB730" s="17">
        <v>4.0999999999999996</v>
      </c>
      <c r="AC730" s="17">
        <v>95</v>
      </c>
      <c r="AD730" s="17">
        <v>4.1500000000000004</v>
      </c>
      <c r="AE730" s="17">
        <v>96.3</v>
      </c>
      <c r="AF730" s="17">
        <v>2.2000000000000002</v>
      </c>
      <c r="AG730" s="17">
        <v>162.69999999999999</v>
      </c>
      <c r="AH730" s="17">
        <v>2.2000000000000002</v>
      </c>
      <c r="AI730" s="17">
        <v>162.30000000000001</v>
      </c>
      <c r="AJ730" s="17">
        <v>323.5</v>
      </c>
      <c r="AK730" s="17">
        <v>314.3</v>
      </c>
      <c r="AL730" s="17">
        <v>288.10000000000002</v>
      </c>
      <c r="AM730" s="17">
        <v>282.3</v>
      </c>
      <c r="AN730" s="17">
        <v>54</v>
      </c>
      <c r="AO730" s="17">
        <v>0.81</v>
      </c>
      <c r="AP730" s="17">
        <v>5</v>
      </c>
      <c r="AY730" s="41" t="str">
        <f t="shared" si="224"/>
        <v>Incomplete</v>
      </c>
      <c r="BA730" s="20" t="str">
        <f t="shared" si="225"/>
        <v>Incomplete</v>
      </c>
      <c r="BC730" s="20" t="str">
        <f t="shared" si="226"/>
        <v>Incomplete</v>
      </c>
      <c r="BE730" s="20" t="str">
        <f t="shared" si="227"/>
        <v>Incomplete</v>
      </c>
      <c r="BG730" s="17">
        <v>18</v>
      </c>
      <c r="BH730" s="17">
        <v>42</v>
      </c>
      <c r="BI730" s="20">
        <f t="shared" si="230"/>
        <v>24</v>
      </c>
      <c r="BJ730" s="20"/>
      <c r="BK730" s="17">
        <v>2.5</v>
      </c>
      <c r="BL730" s="20"/>
      <c r="BM730" s="17">
        <v>3.5</v>
      </c>
      <c r="BN730" s="20"/>
      <c r="BW730" s="91">
        <f t="shared" si="228"/>
        <v>0</v>
      </c>
      <c r="BX730" s="91" t="str">
        <f>_xlfn.XLOOKUP(BW730,'Normative data'!$V$3:$V$6,'Normative data'!$W$3:$W$6,"Not Found",-1)</f>
        <v>Not completed</v>
      </c>
      <c r="BY730" s="91">
        <f t="shared" si="229"/>
        <v>0</v>
      </c>
      <c r="BZ730" s="91" t="str">
        <f>_xlfn.XLOOKUP(BY730,'Normative data'!$V$3:$V$6,'Normative data'!$W$3:$W$6,"Not Found",-1)</f>
        <v>Not completed</v>
      </c>
      <c r="CA730" s="17">
        <v>40</v>
      </c>
      <c r="CC730" s="20"/>
      <c r="CE730" s="17">
        <v>15</v>
      </c>
      <c r="CH730" s="20" t="str">
        <f>_xlfn.XLOOKUP(CG730, 'Normative data'!$S$9:$S$15,'Normative data'!$T$9:$T$15, "Not Found", -1)</f>
        <v>not completed</v>
      </c>
      <c r="CI730" s="17">
        <v>20.73</v>
      </c>
      <c r="CJ730" s="20" t="str">
        <f>_xlfn.XLOOKUP(CI730, 'Normative data'!$S$9:$S$15, 'Normative data'!$T$9:$T$15, "Not Found", -1)</f>
        <v>Average</v>
      </c>
      <c r="CK730" s="17">
        <v>2.4900000000000002</v>
      </c>
      <c r="CL730" s="17">
        <v>4.0199999999999996</v>
      </c>
      <c r="CN730" s="17">
        <v>7.32</v>
      </c>
      <c r="CO730" s="17">
        <v>6.83</v>
      </c>
      <c r="CQ730" s="17">
        <v>3.4</v>
      </c>
      <c r="CR730" s="20" t="str" cm="1">
        <f t="array" ref="CR730">IF(OR(ISBLANK(E730),ISBLANK(CQ730)),"Incomplete",_xlfn.XLOOKUP(CQ730,_xlfn.XLOOKUP(E730,'Normative data'!$Y$3:$Y$6,'Normative data'!$Z$3:$AG$6,,-1),'Normative data'!$Z$2:$AG$2,"Not Found",-1))</f>
        <v>Incomplete</v>
      </c>
      <c r="CS730" s="20">
        <v>3</v>
      </c>
      <c r="CT730" s="20">
        <v>4</v>
      </c>
      <c r="CU730" s="20" cm="1">
        <f t="array" ref="CU730">_xlfn.XLOOKUP(CS730&amp;CT730,(VLOOKUP!$A$3:$A$250)&amp;(VLOOKUP!$B$3:$B$250),VLOOKUP!$C$3:$C$250,"Incomplete",-1)</f>
        <v>380</v>
      </c>
      <c r="CV730" s="20" t="str" cm="1">
        <f t="array" ref="CV730">_xlfn.XLOOKUP(CU730, _xlfn.XLOOKUP(E730, 'Normative data'!$Y$11:$Y$14, 'Normative data'!$Z$11:$AG$14, ,-1), 'Normative data'!$Z$10:$AG$10, "Not Found", -1)</f>
        <v xml:space="preserve">Very poor </v>
      </c>
      <c r="CW730" s="20" cm="1">
        <f t="array" ref="CW730">IF(OR(ISBLANK(CS730),ISBLANK(CT730)),"Incomplete",_xlfn.XLOOKUP(CS730&amp;CT730,VLOOKUP!$A$4:$A$250&amp;VLOOKUP!$B$4:$B$250,VLOOKUP!$D$4:$D$250,"0"))</f>
        <v>24</v>
      </c>
    </row>
    <row r="731" spans="1:101">
      <c r="A731" s="17" t="s">
        <v>1385</v>
      </c>
      <c r="B731" s="17" t="s">
        <v>1386</v>
      </c>
      <c r="C731" s="17" t="s">
        <v>86</v>
      </c>
      <c r="D731" s="26">
        <v>40801</v>
      </c>
      <c r="F731" s="20" t="s">
        <v>87</v>
      </c>
      <c r="G731" s="17">
        <v>2026</v>
      </c>
      <c r="I731" s="20">
        <v>2</v>
      </c>
      <c r="J731" s="20" t="s">
        <v>100</v>
      </c>
      <c r="K731" s="20" t="s">
        <v>556</v>
      </c>
      <c r="L731" s="20"/>
      <c r="S731" s="20">
        <v>78.3</v>
      </c>
      <c r="T731" s="20">
        <v>164.3</v>
      </c>
      <c r="U731" s="17">
        <v>56.7</v>
      </c>
      <c r="V731" s="17">
        <v>33.9</v>
      </c>
      <c r="W731" s="17">
        <v>10.4</v>
      </c>
      <c r="X731" s="17">
        <v>46.3</v>
      </c>
      <c r="Y731" s="17">
        <v>25.7</v>
      </c>
      <c r="AA731" s="17">
        <v>18.399999999999999</v>
      </c>
      <c r="AB731" s="17">
        <v>6.73</v>
      </c>
      <c r="AC731" s="17">
        <v>102.7</v>
      </c>
      <c r="AD731" s="17">
        <v>6.71</v>
      </c>
      <c r="AE731" s="17">
        <v>102.3</v>
      </c>
      <c r="AF731" s="17">
        <v>1.6</v>
      </c>
      <c r="AG731" s="17">
        <v>66.099999999999994</v>
      </c>
      <c r="AH731" s="17">
        <v>1.6</v>
      </c>
      <c r="AI731" s="17">
        <v>65.8</v>
      </c>
      <c r="AJ731" s="17">
        <v>320.89999999999998</v>
      </c>
      <c r="AK731" s="17">
        <v>322.8</v>
      </c>
      <c r="AL731" s="17">
        <v>281.10000000000002</v>
      </c>
      <c r="AM731" s="17">
        <v>283.8</v>
      </c>
      <c r="AN731" s="17">
        <v>105</v>
      </c>
      <c r="AQ731" s="17">
        <v>25</v>
      </c>
      <c r="AR731" s="17">
        <v>0.45200000000000001</v>
      </c>
      <c r="AS731" s="17">
        <v>31.8</v>
      </c>
      <c r="AT731" s="17">
        <v>0.50900000000000001</v>
      </c>
      <c r="AU731" s="17">
        <v>13.6</v>
      </c>
      <c r="AV731" s="17">
        <v>0.33300000000000002</v>
      </c>
      <c r="AW731" s="17">
        <v>14.6</v>
      </c>
      <c r="AX731" s="17">
        <v>0.34499999999999997</v>
      </c>
      <c r="AY731" s="41">
        <f t="shared" si="224"/>
        <v>2031.0099999999998</v>
      </c>
      <c r="BA731" s="20">
        <f t="shared" si="225"/>
        <v>2443.7700000000004</v>
      </c>
      <c r="BC731" s="20">
        <f t="shared" si="226"/>
        <v>1339.0299999999997</v>
      </c>
      <c r="BE731" s="20">
        <f t="shared" si="227"/>
        <v>1399.7299999999996</v>
      </c>
      <c r="BG731" s="17">
        <v>11</v>
      </c>
      <c r="BH731" s="17">
        <v>29</v>
      </c>
      <c r="BI731" s="20">
        <f t="shared" si="230"/>
        <v>18</v>
      </c>
      <c r="BJ731" s="20"/>
      <c r="BK731" s="17">
        <v>6</v>
      </c>
      <c r="BL731" s="20"/>
      <c r="BM731" s="17">
        <v>8</v>
      </c>
      <c r="BN731" s="20"/>
      <c r="BO731" s="17">
        <v>48</v>
      </c>
      <c r="BP731" s="17">
        <v>48</v>
      </c>
      <c r="BQ731" s="17">
        <v>78</v>
      </c>
      <c r="BR731" s="17">
        <v>83</v>
      </c>
      <c r="BS731" s="17">
        <v>77</v>
      </c>
      <c r="BT731" s="17">
        <v>73</v>
      </c>
      <c r="BU731" s="17">
        <v>88</v>
      </c>
      <c r="BV731" s="17">
        <v>78</v>
      </c>
      <c r="BW731" s="91">
        <f t="shared" si="228"/>
        <v>92.248062015503848</v>
      </c>
      <c r="BX731" s="91" t="str">
        <f>_xlfn.XLOOKUP(BW731,'Normative data'!$V$3:$V$6,'Normative data'!$W$3:$W$6,"Not Found",-1)</f>
        <v>High risk</v>
      </c>
      <c r="BY731" s="91">
        <f t="shared" si="229"/>
        <v>92.635658914728651</v>
      </c>
      <c r="BZ731" s="91" t="str">
        <f>_xlfn.XLOOKUP(BY731,'Normative data'!$V$3:$V$6,'Normative data'!$W$3:$W$6,"Not Found",-1)</f>
        <v>High risk</v>
      </c>
      <c r="CA731" s="17">
        <v>32</v>
      </c>
      <c r="CC731" s="20"/>
      <c r="CE731" s="17">
        <v>32</v>
      </c>
      <c r="CG731" s="17">
        <v>17.079999999999998</v>
      </c>
      <c r="CH731" s="20" t="str">
        <f>_xlfn.XLOOKUP(CG731, 'Normative data'!$S$9:$S$15,'Normative data'!$T$9:$T$15, "Not Found", -1)</f>
        <v>Above Average</v>
      </c>
      <c r="CI731" s="17">
        <v>17.649999999999999</v>
      </c>
      <c r="CJ731" s="20" t="str">
        <f>_xlfn.XLOOKUP(CI731, 'Normative data'!$S$9:$S$15, 'Normative data'!$T$9:$T$15, "Not Found", -1)</f>
        <v>Above Average</v>
      </c>
      <c r="CK731" s="17">
        <v>2.1</v>
      </c>
      <c r="CL731" s="17">
        <v>4.76</v>
      </c>
      <c r="CN731" s="17">
        <v>6.3</v>
      </c>
      <c r="CO731" s="17">
        <v>7.94</v>
      </c>
      <c r="CQ731" s="17">
        <v>6.2</v>
      </c>
      <c r="CR731" s="20" t="str" cm="1">
        <f t="array" ref="CR731">IF(OR(ISBLANK(E731),ISBLANK(CQ731)),"Incomplete",_xlfn.XLOOKUP(CQ731,_xlfn.XLOOKUP(E731,'Normative data'!$Y$3:$Y$6,'Normative data'!$Z$3:$AG$6,,-1),'Normative data'!$Z$2:$AG$2,"Not Found",-1))</f>
        <v>Incomplete</v>
      </c>
      <c r="CS731" s="20">
        <v>6</v>
      </c>
      <c r="CT731" s="20">
        <v>2</v>
      </c>
      <c r="CU731" s="20" cm="1">
        <f t="array" ref="CU731">_xlfn.XLOOKUP(CS731&amp;CT731,(VLOOKUP!$A$3:$A$250)&amp;(VLOOKUP!$B$3:$B$250),VLOOKUP!$C$3:$C$250,"Incomplete",-1)</f>
        <v>860</v>
      </c>
      <c r="CV731" s="20" t="str" cm="1">
        <f t="array" ref="CV731">_xlfn.XLOOKUP(CU731, _xlfn.XLOOKUP(E731, 'Normative data'!$Y$11:$Y$14, 'Normative data'!$Z$11:$AG$14, ,-1), 'Normative data'!$Z$10:$AG$10, "Not Found", -1)</f>
        <v xml:space="preserve">Fair </v>
      </c>
      <c r="CW731" s="20" cm="1">
        <f t="array" ref="CW731">IF(OR(ISBLANK(CS731),ISBLANK(CT731)),"Incomplete",_xlfn.XLOOKUP(CS731&amp;CT731,VLOOKUP!$A$4:$A$250&amp;VLOOKUP!$B$4:$B$250,VLOOKUP!$D$4:$D$250,"0"))</f>
        <v>34</v>
      </c>
    </row>
    <row r="732" spans="1:101">
      <c r="A732" s="22" t="s">
        <v>1387</v>
      </c>
      <c r="B732" s="22" t="s">
        <v>1136</v>
      </c>
      <c r="C732" s="17" t="s">
        <v>86</v>
      </c>
      <c r="D732" s="23">
        <v>39476</v>
      </c>
      <c r="F732" s="17">
        <v>11</v>
      </c>
      <c r="G732" s="17">
        <v>2025</v>
      </c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41" t="str">
        <f t="shared" si="224"/>
        <v>Incomplete</v>
      </c>
      <c r="AZ732" s="20"/>
      <c r="BA732" s="20" t="str">
        <f t="shared" si="225"/>
        <v>Incomplete</v>
      </c>
      <c r="BB732" s="20"/>
      <c r="BC732" s="20" t="str">
        <f t="shared" si="226"/>
        <v>Incomplete</v>
      </c>
      <c r="BD732" s="20"/>
      <c r="BE732" s="20" t="str">
        <f t="shared" si="227"/>
        <v>Incomplete</v>
      </c>
      <c r="BF732" s="20"/>
      <c r="BG732" s="20">
        <v>13</v>
      </c>
      <c r="BH732" s="20">
        <v>31.6</v>
      </c>
      <c r="BI732" s="20">
        <f t="shared" si="230"/>
        <v>18.600000000000001</v>
      </c>
      <c r="BJ732" s="20"/>
      <c r="BK732" s="20">
        <v>9</v>
      </c>
      <c r="BL732" s="20"/>
      <c r="BM732" s="20">
        <v>10</v>
      </c>
      <c r="BN732" s="20"/>
      <c r="BO732" s="20"/>
      <c r="BP732" s="20"/>
      <c r="BQ732" s="20"/>
      <c r="BR732" s="20"/>
      <c r="BS732" s="20"/>
      <c r="BT732" s="20"/>
      <c r="BU732" s="20"/>
      <c r="BV732" s="20"/>
      <c r="BW732" s="91" t="str">
        <f t="shared" si="228"/>
        <v>Incomplete</v>
      </c>
      <c r="BX732" s="91" t="str">
        <f>_xlfn.XLOOKUP(BW732,'Normative data'!$V$3:$V$6,'Normative data'!$W$3:$W$6,"Not Found",-1)</f>
        <v>Very low risk</v>
      </c>
      <c r="BY732" s="91" t="str">
        <f t="shared" si="229"/>
        <v>Incomplete</v>
      </c>
      <c r="BZ732" s="91" t="str">
        <f>_xlfn.XLOOKUP(BY732,'Normative data'!$V$3:$V$6,'Normative data'!$W$3:$W$6,"Not Found",-1)</f>
        <v>Very low risk</v>
      </c>
      <c r="CA732" s="20"/>
      <c r="CC732" s="20"/>
      <c r="CE732" s="20">
        <v>13</v>
      </c>
      <c r="CG732" s="20"/>
      <c r="CH732" s="20" t="str">
        <f>_xlfn.XLOOKUP(CG732, 'Normative data'!$S$9:$S$15,'Normative data'!$T$9:$T$15, "Not Found", -1)</f>
        <v>not completed</v>
      </c>
      <c r="CI732" s="20"/>
      <c r="CJ732" s="20" t="str">
        <f>_xlfn.XLOOKUP(CI732, 'Normative data'!$S$9:$S$15, 'Normative data'!$T$9:$T$15, "Not Found", -1)</f>
        <v>not completed</v>
      </c>
      <c r="CK732" s="24">
        <v>2.12</v>
      </c>
      <c r="CL732" s="24">
        <v>4.72</v>
      </c>
      <c r="CM732" s="21"/>
      <c r="CN732" s="24">
        <v>6.62</v>
      </c>
      <c r="CO732" s="24">
        <v>7.55</v>
      </c>
      <c r="CP732" s="24"/>
      <c r="CQ732" s="20"/>
      <c r="CR732" s="20" t="str" cm="1">
        <f t="array" ref="CR732">IF(OR(ISBLANK(E732),ISBLANK(CQ732)),"Incomplete",_xlfn.XLOOKUP(CQ732,_xlfn.XLOOKUP(E732,'Normative data'!$Y$3:$Y$6,'Normative data'!$Z$3:$AG$6,,-1),'Normative data'!$Z$2:$AG$2,"Not Found",-1))</f>
        <v>Incomplete</v>
      </c>
      <c r="CS732" s="20"/>
      <c r="CT732" s="20"/>
      <c r="CU732" s="20" t="str" cm="1">
        <f t="array" ref="CU732">_xlfn.XLOOKUP(CS732&amp;CT732,(VLOOKUP!$A$3:$A$250)&amp;(VLOOKUP!$B$3:$B$250),VLOOKUP!$C$3:$C$250,"Incomplete",-1)</f>
        <v>Incomplete</v>
      </c>
      <c r="CV732" s="20" t="str" cm="1">
        <f t="array" ref="CV732">_xlfn.XLOOKUP(CU732, _xlfn.XLOOKUP(E732, 'Normative data'!$Y$11:$Y$14, 'Normative data'!$Z$11:$AG$14, ,-1), 'Normative data'!$Z$10:$AG$10, "Not Found", -1)</f>
        <v>Excellent</v>
      </c>
      <c r="CW732" s="20" t="str" cm="1">
        <f t="array" ref="CW732">IF(OR(ISBLANK(CS732),ISBLANK(CT732)),"Incomplete",_xlfn.XLOOKUP(CS732&amp;CT732,VLOOKUP!$A$4:$A$250&amp;VLOOKUP!$B$4:$B$250,VLOOKUP!$D$4:$D$250,"0"))</f>
        <v>Incomplete</v>
      </c>
    </row>
    <row r="733" spans="1:101">
      <c r="A733" s="18" t="s">
        <v>1137</v>
      </c>
      <c r="B733" s="18" t="s">
        <v>1136</v>
      </c>
      <c r="C733" s="17" t="s">
        <v>86</v>
      </c>
      <c r="D733" s="19">
        <v>40414</v>
      </c>
      <c r="F733" s="17">
        <v>9</v>
      </c>
      <c r="G733" s="17">
        <v>2025</v>
      </c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41" t="str">
        <f t="shared" si="224"/>
        <v>Incomplete</v>
      </c>
      <c r="AZ733" s="20"/>
      <c r="BA733" s="20" t="str">
        <f t="shared" si="225"/>
        <v>Incomplete</v>
      </c>
      <c r="BB733" s="20"/>
      <c r="BC733" s="20" t="str">
        <f t="shared" si="226"/>
        <v>Incomplete</v>
      </c>
      <c r="BD733" s="20"/>
      <c r="BE733" s="20" t="str">
        <f t="shared" si="227"/>
        <v>Incomplete</v>
      </c>
      <c r="BF733" s="20"/>
      <c r="BG733" s="20">
        <v>18</v>
      </c>
      <c r="BH733" s="20">
        <v>33.4</v>
      </c>
      <c r="BI733" s="20" t="e">
        <f>IF(OR(ISBLANK(#REF!), ISBLANK(#REF!)),"Incomplete",(SUM(#REF!-#REF!)))</f>
        <v>#REF!</v>
      </c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91" t="str">
        <f t="shared" si="228"/>
        <v>Incomplete</v>
      </c>
      <c r="BX733" s="91" t="str">
        <f>_xlfn.XLOOKUP(BW733,'Normative data'!$V$3:$V$6,'Normative data'!$W$3:$W$6,"Not Found",-1)</f>
        <v>Very low risk</v>
      </c>
      <c r="BY733" s="91" t="str">
        <f t="shared" si="229"/>
        <v>Incomplete</v>
      </c>
      <c r="BZ733" s="91" t="str">
        <f>_xlfn.XLOOKUP(BY733,'Normative data'!$V$3:$V$6,'Normative data'!$W$3:$W$6,"Not Found",-1)</f>
        <v>Very low risk</v>
      </c>
      <c r="CA733" s="20"/>
      <c r="CC733" s="20"/>
      <c r="CE733" s="20"/>
      <c r="CG733" s="20"/>
      <c r="CH733" s="20" t="str">
        <f>_xlfn.XLOOKUP(CG733, 'Normative data'!$S$9:$S$15,'Normative data'!$T$9:$T$15, "Not Found", -1)</f>
        <v>not completed</v>
      </c>
      <c r="CI733" s="20"/>
      <c r="CJ733" s="20" t="str">
        <f>_xlfn.XLOOKUP(CI733, 'Normative data'!$S$9:$S$15, 'Normative data'!$T$9:$T$15, "Not Found", -1)</f>
        <v>not completed</v>
      </c>
      <c r="CK733" s="21">
        <v>2.27</v>
      </c>
      <c r="CL733" s="21">
        <v>4.41</v>
      </c>
      <c r="CM733" s="21"/>
      <c r="CN733" s="21">
        <v>7.15</v>
      </c>
      <c r="CO733" s="21">
        <v>6.99</v>
      </c>
      <c r="CP733" s="21"/>
      <c r="CQ733" s="20"/>
      <c r="CR733" s="20" t="str" cm="1">
        <f t="array" ref="CR733">IF(OR(ISBLANK(E733),ISBLANK(CQ733)),"Incomplete",_xlfn.XLOOKUP(CQ733,_xlfn.XLOOKUP(E733,'Normative data'!$Y$3:$Y$6,'Normative data'!$Z$3:$AG$6,,-1),'Normative data'!$Z$2:$AG$2,"Not Found",-1))</f>
        <v>Incomplete</v>
      </c>
      <c r="CS733" s="20"/>
      <c r="CT733" s="20"/>
      <c r="CU733" s="20" t="str" cm="1">
        <f t="array" ref="CU733">_xlfn.XLOOKUP(CS733&amp;CT733,(VLOOKUP!$A$3:$A$250)&amp;(VLOOKUP!$B$3:$B$250),VLOOKUP!$C$3:$C$250,"Incomplete",-1)</f>
        <v>Incomplete</v>
      </c>
      <c r="CV733" s="20" t="str" cm="1">
        <f t="array" ref="CV733">_xlfn.XLOOKUP(CU733, _xlfn.XLOOKUP(E733, 'Normative data'!$Y$11:$Y$14, 'Normative data'!$Z$11:$AG$14, ,-1), 'Normative data'!$Z$10:$AG$10, "Not Found", -1)</f>
        <v>Excellent</v>
      </c>
      <c r="CW733" s="20" t="str" cm="1">
        <f t="array" ref="CW733">IF(OR(ISBLANK(CS733),ISBLANK(CT733)),"Incomplete",_xlfn.XLOOKUP(CS733&amp;CT733,VLOOKUP!$A$4:$A$250&amp;VLOOKUP!$B$4:$B$250,VLOOKUP!$D$4:$D$250,"0"))</f>
        <v>Incomplete</v>
      </c>
    </row>
    <row r="734" spans="1:101">
      <c r="A734" s="22" t="s">
        <v>274</v>
      </c>
      <c r="B734" s="22" t="s">
        <v>1136</v>
      </c>
      <c r="C734" s="17" t="s">
        <v>86</v>
      </c>
      <c r="D734" s="26">
        <v>40258</v>
      </c>
      <c r="F734" s="17">
        <v>9</v>
      </c>
      <c r="G734" s="17">
        <v>2025</v>
      </c>
      <c r="J734" s="17" t="s">
        <v>122</v>
      </c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41" t="str">
        <f t="shared" si="224"/>
        <v>Incomplete</v>
      </c>
      <c r="AZ734" s="20"/>
      <c r="BA734" s="20" t="str">
        <f t="shared" si="225"/>
        <v>Incomplete</v>
      </c>
      <c r="BB734" s="20"/>
      <c r="BC734" s="20" t="str">
        <f t="shared" si="226"/>
        <v>Incomplete</v>
      </c>
      <c r="BD734" s="20"/>
      <c r="BE734" s="20" t="str">
        <f t="shared" si="227"/>
        <v>Incomplete</v>
      </c>
      <c r="BF734" s="20"/>
      <c r="BG734" s="20">
        <v>14.5</v>
      </c>
      <c r="BH734" s="20">
        <v>35.4</v>
      </c>
      <c r="BI734" s="20" t="e">
        <f>IF(OR(ISBLANK(#REF!), ISBLANK(#REF!)),"Incomplete",(SUM(#REF!-#REF!)))</f>
        <v>#REF!</v>
      </c>
      <c r="BJ734" s="20"/>
      <c r="BK734" s="20">
        <v>7</v>
      </c>
      <c r="BL734" s="20"/>
      <c r="BM734" s="20">
        <v>5</v>
      </c>
      <c r="BN734" s="20"/>
      <c r="BO734" s="20"/>
      <c r="BP734" s="20"/>
      <c r="BQ734" s="20"/>
      <c r="BR734" s="20"/>
      <c r="BS734" s="20"/>
      <c r="BT734" s="20"/>
      <c r="BU734" s="20"/>
      <c r="BV734" s="20"/>
      <c r="BW734" s="91" t="str">
        <f t="shared" si="228"/>
        <v>Incomplete</v>
      </c>
      <c r="BX734" s="91" t="str">
        <f>_xlfn.XLOOKUP(BW734,'Normative data'!$V$3:$V$6,'Normative data'!$W$3:$W$6,"Not Found",-1)</f>
        <v>Very low risk</v>
      </c>
      <c r="BY734" s="91" t="str">
        <f t="shared" si="229"/>
        <v>Incomplete</v>
      </c>
      <c r="BZ734" s="91" t="str">
        <f>_xlfn.XLOOKUP(BY734,'Normative data'!$V$3:$V$6,'Normative data'!$W$3:$W$6,"Not Found",-1)</f>
        <v>Very low risk</v>
      </c>
      <c r="CA734" s="20"/>
      <c r="CC734" s="20"/>
      <c r="CE734" s="20">
        <v>7</v>
      </c>
      <c r="CG734" s="20">
        <v>17.79</v>
      </c>
      <c r="CH734" s="20" t="e">
        <f>_xlfn.XLOOKUP(#REF!, 'Normative data'!$S$9:$S$15,'Normative data'!$T$9:$T$15, "Not Found", -1)</f>
        <v>#REF!</v>
      </c>
      <c r="CI734" s="20">
        <v>18.73</v>
      </c>
      <c r="CJ734" s="20" t="e">
        <f>_xlfn.XLOOKUP(#REF!, 'Normative data'!$S$9:$S$15, 'Normative data'!$T$9:$T$15, "Not Found", -1)</f>
        <v>#REF!</v>
      </c>
      <c r="CK734" s="25">
        <v>2.25</v>
      </c>
      <c r="CL734" s="25">
        <v>4.4400000000000004</v>
      </c>
      <c r="CM734" s="25"/>
      <c r="CN734" s="25">
        <v>6.86</v>
      </c>
      <c r="CO734" s="25">
        <v>7.29</v>
      </c>
      <c r="CP734" s="25"/>
      <c r="CQ734" s="20"/>
      <c r="CR734" s="20" t="str" cm="1">
        <f t="array" ref="CR734">IF(OR(ISBLANK(E734),ISBLANK(CQ734)),"Incomplete",_xlfn.XLOOKUP(CQ734,_xlfn.XLOOKUP(E734,'Normative data'!$Y$3:$Y$6,'Normative data'!$Z$3:$AG$6,,-1),'Normative data'!$Z$2:$AG$2,"Not Found",-1))</f>
        <v>Incomplete</v>
      </c>
      <c r="CS734" s="20"/>
      <c r="CT734" s="20"/>
      <c r="CU734" s="20" t="str" cm="1">
        <f t="array" ref="CU734">_xlfn.XLOOKUP(CS734&amp;CT734,(VLOOKUP!$A$3:$A$250)&amp;(VLOOKUP!$B$3:$B$250),VLOOKUP!$C$3:$C$250,"Incomplete",-1)</f>
        <v>Incomplete</v>
      </c>
      <c r="CV734" s="20" t="str" cm="1">
        <f t="array" ref="CV734">_xlfn.XLOOKUP(CU734, _xlfn.XLOOKUP(E734, 'Normative data'!$Y$11:$Y$14, 'Normative data'!$Z$11:$AG$14, ,-1), 'Normative data'!$Z$10:$AG$10, "Not Found", -1)</f>
        <v>Excellent</v>
      </c>
      <c r="CW734" s="20" t="str" cm="1">
        <f t="array" ref="CW734">IF(OR(ISBLANK(CS734),ISBLANK(CT734)),"Incomplete",_xlfn.XLOOKUP(CS734&amp;CT734,VLOOKUP!$A$4:$A$250&amp;VLOOKUP!$B$4:$B$250,VLOOKUP!$D$4:$D$250,"0"))</f>
        <v>Incomplete</v>
      </c>
    </row>
    <row r="735" spans="1:101">
      <c r="A735" s="17" t="s">
        <v>274</v>
      </c>
      <c r="B735" s="17" t="s">
        <v>1136</v>
      </c>
      <c r="C735" s="17" t="s">
        <v>86</v>
      </c>
      <c r="D735" s="26">
        <v>40258</v>
      </c>
      <c r="G735" s="17">
        <v>2025</v>
      </c>
      <c r="S735" s="20"/>
      <c r="T735" s="20" t="s">
        <v>1388</v>
      </c>
      <c r="U735" s="20" t="s">
        <v>393</v>
      </c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>
        <v>32.1</v>
      </c>
      <c r="AR735" s="20">
        <v>0.51200000000000001</v>
      </c>
      <c r="AS735" s="20">
        <v>39.5</v>
      </c>
      <c r="AT735" s="20">
        <v>0.56599999999999995</v>
      </c>
      <c r="AU735" s="20">
        <v>21</v>
      </c>
      <c r="AV735" s="20">
        <v>0.41399999999999998</v>
      </c>
      <c r="AW735" s="20">
        <v>21</v>
      </c>
      <c r="AX735" s="20">
        <v>0.41399999999999998</v>
      </c>
      <c r="AY735" s="41" t="e">
        <f>IF(OR(ISBLANK(#REF!), ISBLANK(AQ735)), "Incomplete", (60.7*AQ735)+(45.3*#REF!)-2055)</f>
        <v>#REF!</v>
      </c>
      <c r="AZ735" s="20"/>
      <c r="BA735" s="20" t="e">
        <f>IF(OR(ISBLANK(#REF!), ISBLANK(AS735)), "Incomplete", (60.7*AS735)+(45.3*#REF!)-2055)</f>
        <v>#REF!</v>
      </c>
      <c r="BB735" s="20"/>
      <c r="BC735" s="20" t="e">
        <f>IF(OR(ISBLANK(#REF!), ISBLANK(AU735)), "Incomplete", (60.7*AU735)+(45.3*#REF!)-2055)</f>
        <v>#REF!</v>
      </c>
      <c r="BD735" s="20"/>
      <c r="BE735" s="20" t="e">
        <f>IF(OR(ISBLANK(#REF!), ISBLANK(AW735)), "Incomplete", (60.7*AW735)+(45.3*#REF!)-2055)</f>
        <v>#REF!</v>
      </c>
      <c r="BF735" s="20"/>
      <c r="BG735" s="20"/>
      <c r="BH735" s="20"/>
      <c r="BI735" s="20" t="str">
        <f>IF(OR(ISBLANK(BG735), ISBLANK(BH735)),"Incomplete",(SUM(BH735-BG735)))</f>
        <v>Incomplete</v>
      </c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  <c r="BW735" s="91" t="str">
        <f>IFERROR(SUM(BQ735+BR735+BS735)/(3*(#REF!-S735))*100, "Incomplete")</f>
        <v>Incomplete</v>
      </c>
      <c r="BX735" s="91" t="str">
        <f>_xlfn.XLOOKUP(BW735,'Normative data'!$V$3:$V$6,'Normative data'!$W$3:$W$6,"Not Found",-1)</f>
        <v>Very low risk</v>
      </c>
      <c r="BY735" s="91" t="str">
        <f>IFERROR(SUM(BT735+BU735+BV735)/(3*(#REF!-S735))*100, "Incomplete")</f>
        <v>Incomplete</v>
      </c>
      <c r="BZ735" s="91" t="str">
        <f>_xlfn.XLOOKUP(BY735,'Normative data'!$V$3:$V$6,'Normative data'!$W$3:$W$6,"Not Found",-1)</f>
        <v>Very low risk</v>
      </c>
      <c r="CA735" s="20"/>
      <c r="CC735" s="20"/>
      <c r="CE735" s="20"/>
      <c r="CG735" s="20">
        <v>17.78</v>
      </c>
      <c r="CH735" s="20" t="e">
        <f>_xlfn.XLOOKUP(#REF!, 'Normative data'!$S$9:$S$15,'Normative data'!$T$9:$T$15, "Not Found", -1)</f>
        <v>#REF!</v>
      </c>
      <c r="CI735" s="20">
        <v>17.27</v>
      </c>
      <c r="CJ735" s="20" t="e">
        <f>_xlfn.XLOOKUP(#REF!, 'Normative data'!$S$9:$S$15, 'Normative data'!$T$9:$T$15, "Not Found", -1)</f>
        <v>#REF!</v>
      </c>
      <c r="CK735" s="20" t="s">
        <v>344</v>
      </c>
      <c r="CL735" s="20" t="s">
        <v>345</v>
      </c>
      <c r="CM735" s="21"/>
      <c r="CN735" s="20" t="s">
        <v>718</v>
      </c>
      <c r="CO735" s="20" t="s">
        <v>551</v>
      </c>
      <c r="CQ735" s="20"/>
      <c r="CR735" s="20" t="str" cm="1">
        <f t="array" ref="CR735">IF(OR(ISBLANK(E735),ISBLANK(CQ735)),"Incomplete",_xlfn.XLOOKUP(CQ735,_xlfn.XLOOKUP(E735,'Normative data'!$Y$3:$Y$6,'Normative data'!$Z$3:$AG$6,,-1),'Normative data'!$Z$2:$AG$2,"Not Found",-1))</f>
        <v>Incomplete</v>
      </c>
      <c r="CS735" s="20"/>
      <c r="CT735" s="20"/>
      <c r="CU735" s="20" t="str" cm="1">
        <f t="array" ref="CU735">_xlfn.XLOOKUP(CS735&amp;CT735,(VLOOKUP!$A$3:$A$250)&amp;(VLOOKUP!$B$3:$B$250),VLOOKUP!$C$3:$C$250,"Incomplete",-1)</f>
        <v>Incomplete</v>
      </c>
      <c r="CV735" s="20" t="str" cm="1">
        <f t="array" ref="CV735">_xlfn.XLOOKUP(CU735, _xlfn.XLOOKUP(E735, 'Normative data'!$Y$11:$Y$14, 'Normative data'!$Z$11:$AG$14, ,-1), 'Normative data'!$Z$10:$AG$10, "Not Found", -1)</f>
        <v>Excellent</v>
      </c>
      <c r="CW735" s="20" t="str" cm="1">
        <f t="array" ref="CW735">IF(OR(ISBLANK(CS735),ISBLANK(CT735)),"Incomplete",_xlfn.XLOOKUP(CS735&amp;CT735,VLOOKUP!$A$4:$A$250&amp;VLOOKUP!$B$4:$B$250,VLOOKUP!$D$4:$D$250,"0"))</f>
        <v>Incomplete</v>
      </c>
    </row>
    <row r="736" spans="1:101">
      <c r="A736" s="17" t="s">
        <v>274</v>
      </c>
      <c r="B736" s="17" t="s">
        <v>1136</v>
      </c>
      <c r="C736" s="17" t="s">
        <v>86</v>
      </c>
      <c r="D736" s="26">
        <v>40258</v>
      </c>
      <c r="G736" s="17">
        <v>2025</v>
      </c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41" t="str">
        <f t="shared" ref="AY736:AY767" si="231">IF(OR(ISBLANK(U736), ISBLANK(AQ736)), "Incomplete", (60.7*AQ736)+(45.3*U736)-2055)</f>
        <v>Incomplete</v>
      </c>
      <c r="AZ736" s="20"/>
      <c r="BA736" s="20" t="str">
        <f t="shared" ref="BA736:BA767" si="232">IF(OR(ISBLANK(U736), ISBLANK(AS736)), "Incomplete", (60.7*AS736)+(45.3*U736)-2055)</f>
        <v>Incomplete</v>
      </c>
      <c r="BB736" s="20"/>
      <c r="BC736" s="20" t="str">
        <f t="shared" ref="BC736:BC767" si="233">IF(OR(ISBLANK(U736), ISBLANK(AU736)), "Incomplete", (60.7*AU736)+(45.3*U736)-2055)</f>
        <v>Incomplete</v>
      </c>
      <c r="BD736" s="20"/>
      <c r="BE736" s="20" t="str">
        <f t="shared" ref="BE736:BE767" si="234">IF(OR(ISBLANK(U736), ISBLANK(AW736)), "Incomplete", (60.7*AW736)+(45.3*U736)-2055)</f>
        <v>Incomplete</v>
      </c>
      <c r="BF736" s="20"/>
      <c r="BG736" s="20"/>
      <c r="BH736" s="20"/>
      <c r="BI736" s="20" t="str">
        <f>IF(OR(ISBLANK(BG736), ISBLANK(BH736)),"Incomplete",(SUM(BH736-BG736)))</f>
        <v>Incomplete</v>
      </c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91" t="str">
        <f t="shared" ref="BW736:BW767" si="235">IFERROR(SUM(BQ736+BR736+BS736)/(3*(T736-S736))*100, "Incomplete")</f>
        <v>Incomplete</v>
      </c>
      <c r="BX736" s="91" t="str">
        <f>_xlfn.XLOOKUP(BW736,'Normative data'!$V$3:$V$6,'Normative data'!$W$3:$W$6,"Not Found",-1)</f>
        <v>Very low risk</v>
      </c>
      <c r="BY736" s="91" t="str">
        <f t="shared" ref="BY736:BY767" si="236">IFERROR(SUM(BT736+BU736+BV736)/(3*(T736-S736))*100, "Incomplete")</f>
        <v>Incomplete</v>
      </c>
      <c r="BZ736" s="91" t="str">
        <f>_xlfn.XLOOKUP(BY736,'Normative data'!$V$3:$V$6,'Normative data'!$W$3:$W$6,"Not Found",-1)</f>
        <v>Very low risk</v>
      </c>
      <c r="CA736" s="20"/>
      <c r="CC736" s="20"/>
      <c r="CE736" s="20"/>
      <c r="CG736" s="20">
        <v>17.62</v>
      </c>
      <c r="CH736" s="20" t="str">
        <f>_xlfn.XLOOKUP(CG735, 'Normative data'!$S$9:$S$15,'Normative data'!$T$9:$T$15, "Not Found", -1)</f>
        <v>Above Average</v>
      </c>
      <c r="CI736" s="20">
        <v>17.77</v>
      </c>
      <c r="CJ736" s="20" t="str">
        <f>_xlfn.XLOOKUP(CI735, 'Normative data'!$S$9:$S$15, 'Normative data'!$T$9:$T$15, "Not Found", -1)</f>
        <v>Above Average</v>
      </c>
      <c r="CK736" s="21"/>
      <c r="CL736" s="21"/>
      <c r="CM736" s="21"/>
      <c r="CN736" s="21"/>
      <c r="CO736" s="21"/>
      <c r="CQ736" s="20"/>
      <c r="CR736" s="20" t="str" cm="1">
        <f t="array" ref="CR736">IF(OR(ISBLANK(E736),ISBLANK(CQ736)),"Incomplete",_xlfn.XLOOKUP(CQ736,_xlfn.XLOOKUP(E736,'Normative data'!$Y$3:$Y$6,'Normative data'!$Z$3:$AG$6,,-1),'Normative data'!$Z$2:$AG$2,"Not Found",-1))</f>
        <v>Incomplete</v>
      </c>
      <c r="CS736" s="20"/>
      <c r="CT736" s="20"/>
      <c r="CU736" s="20" t="str" cm="1">
        <f t="array" ref="CU736">_xlfn.XLOOKUP(CS736&amp;CT736,(VLOOKUP!$A$3:$A$250)&amp;(VLOOKUP!$B$3:$B$250),VLOOKUP!$C$3:$C$250,"Incomplete",-1)</f>
        <v>Incomplete</v>
      </c>
      <c r="CV736" s="20" t="str" cm="1">
        <f t="array" ref="CV736">_xlfn.XLOOKUP(CU736, _xlfn.XLOOKUP(E736, 'Normative data'!$Y$11:$Y$14, 'Normative data'!$Z$11:$AG$14, ,-1), 'Normative data'!$Z$10:$AG$10, "Not Found", -1)</f>
        <v>Excellent</v>
      </c>
      <c r="CW736" s="20" t="str" cm="1">
        <f t="array" ref="CW736">IF(OR(ISBLANK(CS736),ISBLANK(CT736)),"Incomplete",_xlfn.XLOOKUP(CS736&amp;CT736,VLOOKUP!$A$4:$A$250&amp;VLOOKUP!$B$4:$B$250,VLOOKUP!$D$4:$D$250,"0"))</f>
        <v>Incomplete</v>
      </c>
    </row>
    <row r="737" spans="1:101">
      <c r="A737" s="17" t="s">
        <v>276</v>
      </c>
      <c r="B737" s="17" t="s">
        <v>1389</v>
      </c>
      <c r="C737" s="17" t="s">
        <v>86</v>
      </c>
      <c r="D737" s="26">
        <v>40258</v>
      </c>
      <c r="G737" s="17">
        <v>2026</v>
      </c>
      <c r="H737" s="20" t="s">
        <v>114</v>
      </c>
      <c r="I737" s="17">
        <v>1</v>
      </c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30" t="s">
        <v>1390</v>
      </c>
      <c r="AR737" s="30" t="s">
        <v>1391</v>
      </c>
      <c r="AS737" s="30" t="s">
        <v>461</v>
      </c>
      <c r="AT737" s="30" t="s">
        <v>462</v>
      </c>
      <c r="AU737" s="30" t="s">
        <v>285</v>
      </c>
      <c r="AV737" s="30" t="s">
        <v>286</v>
      </c>
      <c r="AW737" s="30" t="s">
        <v>1392</v>
      </c>
      <c r="AX737" s="30" t="s">
        <v>1393</v>
      </c>
      <c r="AY737" s="41" t="str">
        <f t="shared" si="231"/>
        <v>Incomplete</v>
      </c>
      <c r="AZ737" s="20"/>
      <c r="BA737" s="20" t="str">
        <f t="shared" si="232"/>
        <v>Incomplete</v>
      </c>
      <c r="BB737" s="20"/>
      <c r="BC737" s="20" t="str">
        <f t="shared" si="233"/>
        <v>Incomplete</v>
      </c>
      <c r="BD737" s="20"/>
      <c r="BE737" s="20" t="str">
        <f t="shared" si="234"/>
        <v>Incomplete</v>
      </c>
      <c r="BF737" s="20"/>
      <c r="BG737" s="30" t="s">
        <v>633</v>
      </c>
      <c r="BH737" s="30">
        <v>51</v>
      </c>
      <c r="BI737" s="20" t="e">
        <f>IF(OR(ISBLANK(BG737), ISBLANK(BH737)),"Incomplete",(SUM(BH737-BG737)))</f>
        <v>#VALUE!</v>
      </c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91" t="str">
        <f t="shared" si="235"/>
        <v>Incomplete</v>
      </c>
      <c r="BX737" s="91" t="str">
        <f>_xlfn.XLOOKUP(BW737,'Normative data'!$V$3:$V$6,'Normative data'!$W$3:$W$6,"Not Found",-1)</f>
        <v>Very low risk</v>
      </c>
      <c r="BY737" s="91" t="str">
        <f t="shared" si="236"/>
        <v>Incomplete</v>
      </c>
      <c r="BZ737" s="91" t="str">
        <f>_xlfn.XLOOKUP(BY737,'Normative data'!$V$3:$V$6,'Normative data'!$W$3:$W$6,"Not Found",-1)</f>
        <v>Very low risk</v>
      </c>
      <c r="CA737" s="20"/>
      <c r="CC737" s="30">
        <v>48</v>
      </c>
      <c r="CD737" s="30"/>
      <c r="CE737" s="30">
        <v>14</v>
      </c>
      <c r="CF737" s="30"/>
      <c r="CG737" s="30" t="s">
        <v>1164</v>
      </c>
      <c r="CH737" s="20" t="str">
        <f>_xlfn.XLOOKUP(CG737, 'Normative data'!$S$9:$S$15,'Normative data'!$T$9:$T$15, "Not Found", -1)</f>
        <v>Poor</v>
      </c>
      <c r="CI737" s="30" t="s">
        <v>1394</v>
      </c>
      <c r="CJ737" s="20" t="str">
        <f>_xlfn.XLOOKUP(CI737, 'Normative data'!$S$9:$S$15, 'Normative data'!$T$9:$T$15, "Not Found", -1)</f>
        <v>Poor</v>
      </c>
      <c r="CK737" s="30" t="s">
        <v>1395</v>
      </c>
      <c r="CL737" s="30" t="s">
        <v>1396</v>
      </c>
      <c r="CM737" s="30"/>
      <c r="CN737" s="30" t="s">
        <v>540</v>
      </c>
      <c r="CO737" s="30" t="s">
        <v>541</v>
      </c>
      <c r="CP737" s="30"/>
      <c r="CQ737" s="30" t="s">
        <v>711</v>
      </c>
      <c r="CR737" s="20" t="str" cm="1">
        <f t="array" ref="CR737">IF(OR(ISBLANK(E737),ISBLANK(CQ737)),"Incomplete",_xlfn.XLOOKUP(CQ737,_xlfn.XLOOKUP(E737,'Normative data'!$Y$3:$Y$6,'Normative data'!$Z$3:$AG$6,,-1),'Normative data'!$Z$2:$AG$2,"Not Found",-1))</f>
        <v>Incomplete</v>
      </c>
      <c r="CS737" s="20">
        <v>11</v>
      </c>
      <c r="CT737" s="20">
        <v>1</v>
      </c>
      <c r="CU737" s="20" cm="1">
        <f t="array" ref="CU737">_xlfn.XLOOKUP(CS737&amp;CT737,(VLOOKUP!$A$3:$A$250)&amp;(VLOOKUP!$B$3:$B$250),VLOOKUP!$C$3:$C$250,"Incomplete",-1)</f>
        <v>1900</v>
      </c>
      <c r="CV737" s="20" t="str" cm="1">
        <f t="array" ref="CV737">_xlfn.XLOOKUP(CU737, _xlfn.XLOOKUP(E737, 'Normative data'!$Y$11:$Y$14, 'Normative data'!$Z$11:$AG$14, ,-1), 'Normative data'!$Z$10:$AG$10, "Not Found", -1)</f>
        <v xml:space="preserve">Good </v>
      </c>
      <c r="CW737" s="20" cm="1">
        <f t="array" ref="CW737">IF(OR(ISBLANK(CS737),ISBLANK(CT737)),"Incomplete",_xlfn.XLOOKUP(CS737&amp;CT737,VLOOKUP!$A$4:$A$250&amp;VLOOKUP!$B$4:$B$250,VLOOKUP!$D$4:$D$250,"0"))</f>
        <v>51</v>
      </c>
    </row>
    <row r="738" spans="1:101">
      <c r="A738" s="17" t="s">
        <v>150</v>
      </c>
      <c r="B738" s="17" t="s">
        <v>1346</v>
      </c>
      <c r="C738" s="17" t="s">
        <v>86</v>
      </c>
      <c r="D738" s="26">
        <v>39938</v>
      </c>
      <c r="F738" s="17">
        <v>10</v>
      </c>
      <c r="G738" s="17">
        <v>2025</v>
      </c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41" t="str">
        <f t="shared" si="231"/>
        <v>Incomplete</v>
      </c>
      <c r="AZ738" s="20"/>
      <c r="BA738" s="20" t="str">
        <f t="shared" si="232"/>
        <v>Incomplete</v>
      </c>
      <c r="BB738" s="20"/>
      <c r="BC738" s="20" t="str">
        <f t="shared" si="233"/>
        <v>Incomplete</v>
      </c>
      <c r="BD738" s="20"/>
      <c r="BE738" s="20" t="str">
        <f t="shared" si="234"/>
        <v>Incomplete</v>
      </c>
      <c r="BF738" s="20"/>
      <c r="BG738" s="20"/>
      <c r="BH738" s="20"/>
      <c r="BI738" s="20" t="str">
        <f>IF(OR(ISBLANK(BG738), ISBLANK(BH738)),"Incomplete",(SUM(BH738-BG738)))</f>
        <v>Incomplete</v>
      </c>
      <c r="BJ738" s="20"/>
      <c r="BK738" s="20">
        <v>11</v>
      </c>
      <c r="BL738" s="20"/>
      <c r="BM738" s="20">
        <v>11</v>
      </c>
      <c r="BN738" s="20"/>
      <c r="BO738" s="20"/>
      <c r="BP738" s="20"/>
      <c r="BQ738" s="20"/>
      <c r="BR738" s="20"/>
      <c r="BS738" s="20"/>
      <c r="BT738" s="20"/>
      <c r="BU738" s="20"/>
      <c r="BV738" s="20"/>
      <c r="BW738" s="91" t="str">
        <f t="shared" si="235"/>
        <v>Incomplete</v>
      </c>
      <c r="BX738" s="91" t="str">
        <f>_xlfn.XLOOKUP(BW738,'Normative data'!$V$3:$V$6,'Normative data'!$W$3:$W$6,"Not Found",-1)</f>
        <v>Very low risk</v>
      </c>
      <c r="BY738" s="91" t="str">
        <f t="shared" si="236"/>
        <v>Incomplete</v>
      </c>
      <c r="BZ738" s="91" t="str">
        <f>_xlfn.XLOOKUP(BY738,'Normative data'!$V$3:$V$6,'Normative data'!$W$3:$W$6,"Not Found",-1)</f>
        <v>Very low risk</v>
      </c>
      <c r="CA738" s="20"/>
      <c r="CC738" s="20"/>
      <c r="CE738" s="20">
        <v>3</v>
      </c>
      <c r="CG738" s="20"/>
      <c r="CH738" s="20" t="str">
        <f>_xlfn.XLOOKUP(CG738, 'Normative data'!$S$9:$S$15,'Normative data'!$T$9:$T$15, "Not Found", -1)</f>
        <v>not completed</v>
      </c>
      <c r="CI738" s="20"/>
      <c r="CJ738" s="20" t="str">
        <f>_xlfn.XLOOKUP(CI738, 'Normative data'!$S$9:$S$15, 'Normative data'!$T$9:$T$15, "Not Found", -1)</f>
        <v>not completed</v>
      </c>
      <c r="CK738" s="21">
        <v>2.67</v>
      </c>
      <c r="CL738" s="21">
        <v>3.75</v>
      </c>
      <c r="CM738" s="21"/>
      <c r="CN738" s="21">
        <v>8.32</v>
      </c>
      <c r="CO738" s="21">
        <v>6.01</v>
      </c>
      <c r="CP738" s="21"/>
      <c r="CQ738" s="20"/>
      <c r="CR738" s="20" t="str" cm="1">
        <f t="array" ref="CR738">IF(OR(ISBLANK(E738),ISBLANK(CQ738)),"Incomplete",_xlfn.XLOOKUP(CQ738,_xlfn.XLOOKUP(E738,'Normative data'!$Y$3:$Y$6,'Normative data'!$Z$3:$AG$6,,-1),'Normative data'!$Z$2:$AG$2,"Not Found",-1))</f>
        <v>Incomplete</v>
      </c>
      <c r="CS738" s="20"/>
      <c r="CT738" s="20"/>
      <c r="CU738" s="20" t="str" cm="1">
        <f t="array" ref="CU738">_xlfn.XLOOKUP(CS738&amp;CT738,(VLOOKUP!$A$3:$A$250)&amp;(VLOOKUP!$B$3:$B$250),VLOOKUP!$C$3:$C$250,"Incomplete",-1)</f>
        <v>Incomplete</v>
      </c>
      <c r="CV738" s="20" t="str" cm="1">
        <f t="array" ref="CV738">_xlfn.XLOOKUP(CU738, _xlfn.XLOOKUP(E738, 'Normative data'!$Y$11:$Y$14, 'Normative data'!$Z$11:$AG$14, ,-1), 'Normative data'!$Z$10:$AG$10, "Not Found", -1)</f>
        <v>Excellent</v>
      </c>
      <c r="CW738" s="20" t="str" cm="1">
        <f t="array" ref="CW738">IF(OR(ISBLANK(CS738),ISBLANK(CT738)),"Incomplete",_xlfn.XLOOKUP(CS738&amp;CT738,VLOOKUP!$A$4:$A$250&amp;VLOOKUP!$B$4:$B$250,VLOOKUP!$D$4:$D$250,"0"))</f>
        <v>Incomplete</v>
      </c>
    </row>
    <row r="739" spans="1:101">
      <c r="A739" s="17" t="s">
        <v>150</v>
      </c>
      <c r="B739" s="17" t="s">
        <v>1346</v>
      </c>
      <c r="C739" s="17" t="s">
        <v>86</v>
      </c>
      <c r="D739" s="26">
        <v>39938</v>
      </c>
      <c r="F739" s="17">
        <v>10</v>
      </c>
      <c r="G739" s="17">
        <v>2025</v>
      </c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41" t="str">
        <f t="shared" si="231"/>
        <v>Incomplete</v>
      </c>
      <c r="AZ739" s="20"/>
      <c r="BA739" s="20" t="str">
        <f t="shared" si="232"/>
        <v>Incomplete</v>
      </c>
      <c r="BB739" s="20"/>
      <c r="BC739" s="20" t="str">
        <f t="shared" si="233"/>
        <v>Incomplete</v>
      </c>
      <c r="BD739" s="20"/>
      <c r="BE739" s="20" t="str">
        <f t="shared" si="234"/>
        <v>Incomplete</v>
      </c>
      <c r="BF739" s="20"/>
      <c r="BG739" s="20">
        <v>14</v>
      </c>
      <c r="BH739" s="20">
        <v>38</v>
      </c>
      <c r="BI739" s="20" t="e">
        <f>IF(OR(ISBLANK(#REF!), ISBLANK(#REF!)),"Incomplete",(SUM(#REF!-#REF!)))</f>
        <v>#REF!</v>
      </c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91" t="str">
        <f t="shared" si="235"/>
        <v>Incomplete</v>
      </c>
      <c r="BX739" s="91" t="str">
        <f>_xlfn.XLOOKUP(BW739,'Normative data'!$V$3:$V$6,'Normative data'!$W$3:$W$6,"Not Found",-1)</f>
        <v>Very low risk</v>
      </c>
      <c r="BY739" s="91" t="str">
        <f t="shared" si="236"/>
        <v>Incomplete</v>
      </c>
      <c r="BZ739" s="91" t="str">
        <f>_xlfn.XLOOKUP(BY739,'Normative data'!$V$3:$V$6,'Normative data'!$W$3:$W$6,"Not Found",-1)</f>
        <v>Very low risk</v>
      </c>
      <c r="CA739" s="20"/>
      <c r="CC739" s="20"/>
      <c r="CE739" s="20"/>
      <c r="CG739" s="20"/>
      <c r="CH739" s="20" t="str">
        <f>_xlfn.XLOOKUP(CG739, 'Normative data'!$S$9:$S$15,'Normative data'!$T$9:$T$15, "Not Found", -1)</f>
        <v>not completed</v>
      </c>
      <c r="CI739" s="20"/>
      <c r="CJ739" s="20" t="str">
        <f>_xlfn.XLOOKUP(CI739, 'Normative data'!$S$9:$S$15, 'Normative data'!$T$9:$T$15, "Not Found", -1)</f>
        <v>not completed</v>
      </c>
      <c r="CK739" s="21">
        <v>2.67</v>
      </c>
      <c r="CL739" s="21">
        <v>3.75</v>
      </c>
      <c r="CM739" s="21"/>
      <c r="CN739" s="21">
        <v>8.32</v>
      </c>
      <c r="CO739" s="21">
        <v>6.01</v>
      </c>
      <c r="CP739" s="21"/>
      <c r="CQ739" s="20"/>
      <c r="CR739" s="20" t="str" cm="1">
        <f t="array" ref="CR739">IF(OR(ISBLANK(E739),ISBLANK(CQ739)),"Incomplete",_xlfn.XLOOKUP(CQ739,_xlfn.XLOOKUP(E739,'Normative data'!$Y$3:$Y$6,'Normative data'!$Z$3:$AG$6,,-1),'Normative data'!$Z$2:$AG$2,"Not Found",-1))</f>
        <v>Incomplete</v>
      </c>
      <c r="CS739" s="20"/>
      <c r="CT739" s="20"/>
      <c r="CU739" s="20" t="str" cm="1">
        <f t="array" ref="CU739">_xlfn.XLOOKUP(CS739&amp;CT739,(VLOOKUP!$A$3:$A$250)&amp;(VLOOKUP!$B$3:$B$250),VLOOKUP!$C$3:$C$250,"Incomplete",-1)</f>
        <v>Incomplete</v>
      </c>
      <c r="CV739" s="20" t="str" cm="1">
        <f t="array" ref="CV739">_xlfn.XLOOKUP(CU739, _xlfn.XLOOKUP(E739, 'Normative data'!$Y$11:$Y$14, 'Normative data'!$Z$11:$AG$14, ,-1), 'Normative data'!$Z$10:$AG$10, "Not Found", -1)</f>
        <v>Excellent</v>
      </c>
      <c r="CW739" s="20" t="str" cm="1">
        <f t="array" ref="CW739">IF(OR(ISBLANK(CS739),ISBLANK(CT739)),"Incomplete",_xlfn.XLOOKUP(CS739&amp;CT739,VLOOKUP!$A$4:$A$250&amp;VLOOKUP!$B$4:$B$250,VLOOKUP!$D$4:$D$250,"0"))</f>
        <v>Incomplete</v>
      </c>
    </row>
    <row r="740" spans="1:101">
      <c r="A740" s="17" t="s">
        <v>1397</v>
      </c>
      <c r="B740" s="17" t="s">
        <v>1346</v>
      </c>
      <c r="C740" s="17" t="s">
        <v>86</v>
      </c>
      <c r="D740" s="26">
        <v>41194</v>
      </c>
      <c r="E740" s="17">
        <v>13.4</v>
      </c>
      <c r="F740" s="20" t="s">
        <v>235</v>
      </c>
      <c r="G740" s="17">
        <v>2026</v>
      </c>
      <c r="I740" s="20">
        <v>2</v>
      </c>
      <c r="J740" s="20" t="s">
        <v>88</v>
      </c>
      <c r="K740" s="20" t="s">
        <v>170</v>
      </c>
      <c r="L740" s="20"/>
      <c r="S740" s="20"/>
      <c r="T740" s="20">
        <v>165.6</v>
      </c>
      <c r="U740" s="17">
        <v>60.1</v>
      </c>
      <c r="V740" s="17">
        <v>31.8</v>
      </c>
      <c r="W740" s="17">
        <v>16.600000000000001</v>
      </c>
      <c r="X740" s="17">
        <v>43.5</v>
      </c>
      <c r="Y740" s="17">
        <v>23.8</v>
      </c>
      <c r="Z740" s="17">
        <v>21.9</v>
      </c>
      <c r="AA740" s="17">
        <v>27.6</v>
      </c>
      <c r="AB740" s="17">
        <v>6.61</v>
      </c>
      <c r="AC740" s="17">
        <v>96.4</v>
      </c>
      <c r="AD740" s="17">
        <v>6.56</v>
      </c>
      <c r="AE740" s="17">
        <v>95.7</v>
      </c>
      <c r="AF740" s="17">
        <v>2.6</v>
      </c>
      <c r="AG740" s="17">
        <v>101.1</v>
      </c>
      <c r="AH740" s="17">
        <v>2.5</v>
      </c>
      <c r="AI740" s="17">
        <v>100.6</v>
      </c>
      <c r="AJ740" s="17">
        <v>327.9</v>
      </c>
      <c r="AK740" s="17">
        <v>332.3</v>
      </c>
      <c r="AL740" s="17">
        <v>293.39999999999998</v>
      </c>
      <c r="AM740" s="17">
        <v>298.89999999999998</v>
      </c>
      <c r="AN740" s="17">
        <v>104</v>
      </c>
      <c r="AO740" s="17">
        <v>0.88</v>
      </c>
      <c r="AP740" s="17">
        <v>6.3</v>
      </c>
      <c r="AQ740" s="17">
        <v>20.399999999999999</v>
      </c>
      <c r="AR740" s="17">
        <v>0.40799999999999997</v>
      </c>
      <c r="AS740" s="17">
        <v>29.2</v>
      </c>
      <c r="AT740" s="17">
        <v>0.48799999999999999</v>
      </c>
      <c r="AU740" s="17">
        <v>10.1</v>
      </c>
      <c r="AV740" s="17">
        <v>0.28699999999999998</v>
      </c>
      <c r="AW740" s="17">
        <v>11.6</v>
      </c>
      <c r="AX740" s="17">
        <v>0.307</v>
      </c>
      <c r="AY740" s="41">
        <f t="shared" si="231"/>
        <v>1905.8099999999995</v>
      </c>
      <c r="BA740" s="20">
        <f t="shared" si="232"/>
        <v>2439.9699999999993</v>
      </c>
      <c r="BC740" s="20">
        <f t="shared" si="233"/>
        <v>1280.5999999999999</v>
      </c>
      <c r="BE740" s="20">
        <f t="shared" si="234"/>
        <v>1371.6499999999996</v>
      </c>
      <c r="BG740" s="17">
        <v>15.2</v>
      </c>
      <c r="BH740" s="17">
        <v>47.2</v>
      </c>
      <c r="BI740" s="20">
        <f t="shared" ref="BI740:BI752" si="237">IF(OR(ISBLANK(BG740), ISBLANK(BH740)),"Incomplete",(SUM(BH740-BG740)))</f>
        <v>32</v>
      </c>
      <c r="BJ740" s="20"/>
      <c r="BK740" s="17">
        <v>22</v>
      </c>
      <c r="BL740" s="20"/>
      <c r="BM740" s="17">
        <v>21</v>
      </c>
      <c r="BN740" s="20"/>
      <c r="BO740" s="17">
        <v>46.8</v>
      </c>
      <c r="BP740" s="17">
        <v>47</v>
      </c>
      <c r="BQ740" s="17">
        <v>86</v>
      </c>
      <c r="BR740" s="17">
        <v>80</v>
      </c>
      <c r="BS740" s="17">
        <v>78</v>
      </c>
      <c r="BT740" s="17">
        <v>86</v>
      </c>
      <c r="BU740" s="17">
        <v>92</v>
      </c>
      <c r="BV740" s="17">
        <v>71</v>
      </c>
      <c r="BW740" s="91">
        <f t="shared" si="235"/>
        <v>49.114331723027384</v>
      </c>
      <c r="BX740" s="91" t="str">
        <f>_xlfn.XLOOKUP(BW740,'Normative data'!$V$3:$V$6,'Normative data'!$W$3:$W$6,"Not Found",-1)</f>
        <v>High risk</v>
      </c>
      <c r="BY740" s="91">
        <f t="shared" si="236"/>
        <v>50.120772946859901</v>
      </c>
      <c r="BZ740" s="91" t="str">
        <f>_xlfn.XLOOKUP(BY740,'Normative data'!$V$3:$V$6,'Normative data'!$W$3:$W$6,"Not Found",-1)</f>
        <v>High risk</v>
      </c>
      <c r="CA740" s="17">
        <v>53</v>
      </c>
      <c r="CC740" s="20"/>
      <c r="CE740" s="17">
        <v>12</v>
      </c>
      <c r="CH740" s="20" t="str">
        <f>_xlfn.XLOOKUP(CG740, 'Normative data'!$S$9:$S$15,'Normative data'!$T$9:$T$15, "Not Found", -1)</f>
        <v>not completed</v>
      </c>
      <c r="CI740" s="17">
        <v>18.23</v>
      </c>
      <c r="CJ740" s="20" t="str">
        <f>_xlfn.XLOOKUP(CI740, 'Normative data'!$S$9:$S$15, 'Normative data'!$T$9:$T$15, "Not Found", -1)</f>
        <v>Average</v>
      </c>
      <c r="CK740" s="17">
        <v>2.14</v>
      </c>
      <c r="CL740" s="17">
        <v>4.67</v>
      </c>
      <c r="CN740" s="17">
        <v>6.49</v>
      </c>
      <c r="CO740" s="17">
        <v>7.7</v>
      </c>
      <c r="CQ740" s="17">
        <v>7.3</v>
      </c>
      <c r="CR740" s="20" t="str" cm="1">
        <f t="array" ref="CR740">IF(OR(ISBLANK(E740),ISBLANK(CQ740)),"Incomplete",_xlfn.XLOOKUP(CQ740,_xlfn.XLOOKUP(E740,'Normative data'!$Y$3:$Y$6,'Normative data'!$Z$3:$AG$6,,-1),'Normative data'!$Z$2:$AG$2,"Not Found",-1))</f>
        <v>Good</v>
      </c>
      <c r="CS740" s="20">
        <v>7</v>
      </c>
      <c r="CT740" s="20">
        <v>3</v>
      </c>
      <c r="CU740" s="20" cm="1">
        <f t="array" ref="CU740">_xlfn.XLOOKUP(CS740&amp;CT740,(VLOOKUP!$A$3:$A$250)&amp;(VLOOKUP!$B$3:$B$250),VLOOKUP!$C$3:$C$250,"Incomplete",-1)</f>
        <v>1080</v>
      </c>
      <c r="CV740" s="20" t="str" cm="1">
        <f t="array" ref="CV740">_xlfn.XLOOKUP(CU740, _xlfn.XLOOKUP(E740, 'Normative data'!$Y$11:$Y$14, 'Normative data'!$Z$11:$AG$14, ,-1), 'Normative data'!$Z$10:$AG$10, "Not Found", -1)</f>
        <v xml:space="preserve">Good </v>
      </c>
      <c r="CW740" s="20" cm="1">
        <f t="array" ref="CW740">IF(OR(ISBLANK(CS740),ISBLANK(CT740)),"Incomplete",_xlfn.XLOOKUP(CS740&amp;CT740,VLOOKUP!$A$4:$A$250&amp;VLOOKUP!$B$4:$B$250,VLOOKUP!$D$4:$D$250,"0"))</f>
        <v>37</v>
      </c>
    </row>
    <row r="741" spans="1:101">
      <c r="A741" s="17" t="s">
        <v>1347</v>
      </c>
      <c r="B741" s="17" t="s">
        <v>1346</v>
      </c>
      <c r="C741" s="17" t="s">
        <v>86</v>
      </c>
      <c r="D741" s="26">
        <v>40437</v>
      </c>
      <c r="F741" s="20" t="s">
        <v>87</v>
      </c>
      <c r="G741" s="17">
        <v>2026</v>
      </c>
      <c r="I741" s="20">
        <v>2</v>
      </c>
      <c r="J741" s="20" t="s">
        <v>100</v>
      </c>
      <c r="K741" s="20" t="s">
        <v>105</v>
      </c>
      <c r="L741" s="20"/>
      <c r="S741" s="20">
        <v>83.2</v>
      </c>
      <c r="T741" s="20">
        <v>156.6</v>
      </c>
      <c r="U741" s="17">
        <v>66.8</v>
      </c>
      <c r="V741" s="17">
        <v>30.8</v>
      </c>
      <c r="W741" s="17">
        <v>24.7</v>
      </c>
      <c r="X741" s="17">
        <v>42.1</v>
      </c>
      <c r="Y741" s="17">
        <v>23.3</v>
      </c>
      <c r="AA741" s="17">
        <v>37</v>
      </c>
      <c r="AB741" s="17">
        <v>6.26</v>
      </c>
      <c r="AC741" s="17">
        <v>101.8</v>
      </c>
      <c r="AD741" s="17">
        <v>6.29</v>
      </c>
      <c r="AE741" s="17">
        <v>102.4</v>
      </c>
      <c r="AF741" s="17">
        <v>3.6</v>
      </c>
      <c r="AG741" s="17">
        <v>186.6</v>
      </c>
      <c r="AH741" s="17">
        <v>3.6</v>
      </c>
      <c r="AI741" s="17">
        <v>187.5</v>
      </c>
      <c r="AJ741" s="17">
        <v>286.89999999999998</v>
      </c>
      <c r="AK741" s="17">
        <v>283.3</v>
      </c>
      <c r="AL741" s="17">
        <v>251.2</v>
      </c>
      <c r="AM741" s="17">
        <v>245.9</v>
      </c>
      <c r="AN741" s="17">
        <v>70</v>
      </c>
      <c r="AQ741" s="17">
        <v>19.8</v>
      </c>
      <c r="AR741" s="17">
        <v>0.40200000000000002</v>
      </c>
      <c r="AS741" s="17">
        <v>23</v>
      </c>
      <c r="AT741" s="17">
        <v>0.433</v>
      </c>
      <c r="AU741" s="17">
        <v>9.6999999999999993</v>
      </c>
      <c r="AV741" s="17">
        <v>0.28199999999999997</v>
      </c>
      <c r="AW741" s="17">
        <v>8</v>
      </c>
      <c r="AX741" s="17">
        <v>0.25600000000000001</v>
      </c>
      <c r="AY741" s="41">
        <f t="shared" si="231"/>
        <v>2172.8999999999996</v>
      </c>
      <c r="BA741" s="20">
        <f t="shared" si="232"/>
        <v>2367.1399999999994</v>
      </c>
      <c r="BC741" s="20">
        <f t="shared" si="233"/>
        <v>1559.8299999999995</v>
      </c>
      <c r="BE741" s="20">
        <f t="shared" si="234"/>
        <v>1456.6399999999994</v>
      </c>
      <c r="BG741" s="17">
        <v>8.5</v>
      </c>
      <c r="BH741" s="17">
        <v>23</v>
      </c>
      <c r="BI741" s="20">
        <f t="shared" si="237"/>
        <v>14.5</v>
      </c>
      <c r="BJ741" s="20"/>
      <c r="BK741" s="17">
        <v>8.5</v>
      </c>
      <c r="BL741" s="20"/>
      <c r="BM741" s="17">
        <v>4</v>
      </c>
      <c r="BN741" s="20"/>
      <c r="BO741" s="17">
        <v>55</v>
      </c>
      <c r="BP741" s="17">
        <v>53</v>
      </c>
      <c r="BQ741" s="17">
        <v>62</v>
      </c>
      <c r="BR741" s="17">
        <v>83</v>
      </c>
      <c r="BS741" s="17">
        <v>61</v>
      </c>
      <c r="BT741" s="17">
        <v>55</v>
      </c>
      <c r="BU741" s="17">
        <v>70</v>
      </c>
      <c r="BV741" s="17">
        <v>70</v>
      </c>
      <c r="BW741" s="91">
        <f t="shared" si="235"/>
        <v>93.551316984559492</v>
      </c>
      <c r="BX741" s="91" t="str">
        <f>_xlfn.XLOOKUP(BW741,'Normative data'!$V$3:$V$6,'Normative data'!$W$3:$W$6,"Not Found",-1)</f>
        <v>High risk</v>
      </c>
      <c r="BY741" s="91">
        <f t="shared" si="236"/>
        <v>88.555858310626718</v>
      </c>
      <c r="BZ741" s="91" t="str">
        <f>_xlfn.XLOOKUP(BY741,'Normative data'!$V$3:$V$6,'Normative data'!$W$3:$W$6,"Not Found",-1)</f>
        <v>High risk</v>
      </c>
      <c r="CA741" s="17">
        <v>20</v>
      </c>
      <c r="CC741" s="20"/>
      <c r="CE741" s="17">
        <v>25</v>
      </c>
      <c r="CG741" s="17">
        <v>20.89</v>
      </c>
      <c r="CH741" s="20" t="str">
        <f>_xlfn.XLOOKUP(CG741, 'Normative data'!$S$9:$S$15,'Normative data'!$T$9:$T$15, "Not Found", -1)</f>
        <v>Average</v>
      </c>
      <c r="CI741" s="17">
        <v>20.11</v>
      </c>
      <c r="CJ741" s="20" t="str">
        <f>_xlfn.XLOOKUP(CI741, 'Normative data'!$S$9:$S$15, 'Normative data'!$T$9:$T$15, "Not Found", -1)</f>
        <v>Average</v>
      </c>
      <c r="CK741" s="17">
        <v>2.35</v>
      </c>
      <c r="CL741" s="17">
        <v>4.26</v>
      </c>
      <c r="CN741" s="17">
        <v>7.78</v>
      </c>
      <c r="CO741" s="17">
        <v>6.43</v>
      </c>
      <c r="CQ741" s="17">
        <v>4.3</v>
      </c>
      <c r="CR741" s="20" t="str" cm="1">
        <f t="array" ref="CR741">IF(OR(ISBLANK(E741),ISBLANK(CQ741)),"Incomplete",_xlfn.XLOOKUP(CQ741,_xlfn.XLOOKUP(E741,'Normative data'!$Y$3:$Y$6,'Normative data'!$Z$3:$AG$6,,-1),'Normative data'!$Z$2:$AG$2,"Not Found",-1))</f>
        <v>Incomplete</v>
      </c>
      <c r="CS741" s="20">
        <v>4</v>
      </c>
      <c r="CT741" s="20">
        <v>3</v>
      </c>
      <c r="CU741" s="20" cm="1">
        <f t="array" ref="CU741">_xlfn.XLOOKUP(CS741&amp;CT741,(VLOOKUP!$A$3:$A$250)&amp;(VLOOKUP!$B$3:$B$250),VLOOKUP!$C$3:$C$250,"Incomplete",-1)</f>
        <v>520</v>
      </c>
      <c r="CV741" s="20" t="str" cm="1">
        <f t="array" ref="CV741">_xlfn.XLOOKUP(CU741, _xlfn.XLOOKUP(E741, 'Normative data'!$Y$11:$Y$14, 'Normative data'!$Z$11:$AG$14, ,-1), 'Normative data'!$Z$10:$AG$10, "Not Found", -1)</f>
        <v xml:space="preserve">Very poor </v>
      </c>
      <c r="CW741" s="20" cm="1">
        <f t="array" ref="CW741">IF(OR(ISBLANK(CS741),ISBLANK(CT741)),"Incomplete",_xlfn.XLOOKUP(CS741&amp;CT741,VLOOKUP!$A$4:$A$250&amp;VLOOKUP!$B$4:$B$250,VLOOKUP!$D$4:$D$250,"0"))</f>
        <v>27</v>
      </c>
    </row>
    <row r="742" spans="1:101">
      <c r="A742" s="17" t="s">
        <v>1065</v>
      </c>
      <c r="B742" s="17" t="s">
        <v>1346</v>
      </c>
      <c r="C742" s="17" t="s">
        <v>86</v>
      </c>
      <c r="D742" s="26">
        <v>40830</v>
      </c>
      <c r="E742" s="17">
        <v>14.5</v>
      </c>
      <c r="F742" s="20" t="s">
        <v>92</v>
      </c>
      <c r="G742" s="17">
        <v>2026</v>
      </c>
      <c r="I742" s="20">
        <v>2</v>
      </c>
      <c r="J742" s="20" t="s">
        <v>88</v>
      </c>
      <c r="K742" s="20" t="s">
        <v>765</v>
      </c>
      <c r="L742" s="20"/>
      <c r="S742" s="20">
        <v>91.7</v>
      </c>
      <c r="T742" s="20">
        <v>178.6</v>
      </c>
      <c r="U742" s="17">
        <v>70.8</v>
      </c>
      <c r="V742" s="17">
        <v>39.299999999999997</v>
      </c>
      <c r="W742" s="17">
        <v>17.100000000000001</v>
      </c>
      <c r="X742" s="17">
        <v>53.7</v>
      </c>
      <c r="Y742" s="17">
        <v>29.7</v>
      </c>
      <c r="Z742" s="17">
        <v>22.2</v>
      </c>
      <c r="AA742" s="17">
        <v>24.1</v>
      </c>
      <c r="AB742" s="17">
        <v>8.8000000000000007</v>
      </c>
      <c r="AC742" s="17">
        <v>109.9</v>
      </c>
      <c r="AD742" s="17">
        <v>8.75</v>
      </c>
      <c r="AE742" s="17">
        <v>109.3</v>
      </c>
      <c r="AF742" s="17">
        <v>2.7</v>
      </c>
      <c r="AG742" s="17">
        <v>91.3</v>
      </c>
      <c r="AH742" s="17">
        <v>2.7</v>
      </c>
      <c r="AI742" s="17">
        <v>91.3</v>
      </c>
      <c r="AJ742" s="17">
        <v>288.60000000000002</v>
      </c>
      <c r="AK742" s="17">
        <v>291</v>
      </c>
      <c r="AL742" s="17">
        <v>258.7</v>
      </c>
      <c r="AM742" s="17">
        <v>261.8</v>
      </c>
      <c r="AN742" s="17">
        <v>130</v>
      </c>
      <c r="AO742" s="17">
        <v>0.87</v>
      </c>
      <c r="AP742" s="17">
        <v>7.2</v>
      </c>
      <c r="AQ742" s="17">
        <v>25.2</v>
      </c>
      <c r="AR742" s="17">
        <v>0.45300000000000001</v>
      </c>
      <c r="AS742" s="17">
        <v>26.2</v>
      </c>
      <c r="AT742" s="17">
        <v>0.46200000000000002</v>
      </c>
      <c r="AU742" s="17">
        <v>12.7</v>
      </c>
      <c r="AV742" s="17">
        <v>0.32200000000000001</v>
      </c>
      <c r="AW742" s="17">
        <v>10.7</v>
      </c>
      <c r="AX742" s="17">
        <v>0.29599999999999999</v>
      </c>
      <c r="AY742" s="41">
        <f t="shared" si="231"/>
        <v>2681.88</v>
      </c>
      <c r="BA742" s="20">
        <f t="shared" si="232"/>
        <v>2742.58</v>
      </c>
      <c r="BC742" s="20">
        <f t="shared" si="233"/>
        <v>1923.1299999999997</v>
      </c>
      <c r="BE742" s="20">
        <f t="shared" si="234"/>
        <v>1801.7299999999996</v>
      </c>
      <c r="BG742" s="17">
        <v>4.5</v>
      </c>
      <c r="BH742" s="17">
        <v>37.200000000000003</v>
      </c>
      <c r="BI742" s="20">
        <f t="shared" si="237"/>
        <v>32.700000000000003</v>
      </c>
      <c r="BJ742" s="20"/>
      <c r="BK742" s="17">
        <v>11</v>
      </c>
      <c r="BL742" s="20"/>
      <c r="BM742" s="17">
        <v>12.5</v>
      </c>
      <c r="BN742" s="20"/>
      <c r="BO742" s="17">
        <v>46</v>
      </c>
      <c r="BP742" s="17">
        <v>47</v>
      </c>
      <c r="BQ742" s="17">
        <v>83</v>
      </c>
      <c r="BR742" s="17">
        <v>89</v>
      </c>
      <c r="BS742" s="17">
        <v>77</v>
      </c>
      <c r="BT742" s="17">
        <v>85</v>
      </c>
      <c r="BU742" s="17">
        <v>88</v>
      </c>
      <c r="BV742" s="17">
        <v>80</v>
      </c>
      <c r="BW742" s="91">
        <f t="shared" si="235"/>
        <v>95.512082853855006</v>
      </c>
      <c r="BX742" s="91" t="str">
        <f>_xlfn.XLOOKUP(BW742,'Normative data'!$V$3:$V$6,'Normative data'!$W$3:$W$6,"Not Found",-1)</f>
        <v>High risk</v>
      </c>
      <c r="BY742" s="91">
        <f t="shared" si="236"/>
        <v>97.046413502109701</v>
      </c>
      <c r="BZ742" s="91" t="str">
        <f>_xlfn.XLOOKUP(BY742,'Normative data'!$V$3:$V$6,'Normative data'!$W$3:$W$6,"Not Found",-1)</f>
        <v>Low risk</v>
      </c>
      <c r="CA742" s="17">
        <v>31</v>
      </c>
      <c r="CC742" s="20"/>
      <c r="CE742" s="17">
        <v>2</v>
      </c>
      <c r="CG742" s="17">
        <v>18.600000000000001</v>
      </c>
      <c r="CH742" s="20" t="str">
        <f>_xlfn.XLOOKUP(CG742, 'Normative data'!$S$9:$S$15,'Normative data'!$T$9:$T$15, "Not Found", -1)</f>
        <v>Average</v>
      </c>
      <c r="CI742" s="17">
        <v>18.440000000000001</v>
      </c>
      <c r="CJ742" s="20" t="str">
        <f>_xlfn.XLOOKUP(CI742, 'Normative data'!$S$9:$S$15, 'Normative data'!$T$9:$T$15, "Not Found", -1)</f>
        <v>Average</v>
      </c>
      <c r="CK742" s="17">
        <v>2.06</v>
      </c>
      <c r="CL742" s="17">
        <v>4.8499999999999996</v>
      </c>
      <c r="CN742" s="17">
        <v>6.71</v>
      </c>
      <c r="CO742" s="17">
        <v>7.45</v>
      </c>
      <c r="CQ742" s="17">
        <v>8.1</v>
      </c>
      <c r="CR742" s="20" t="str" cm="1">
        <f t="array" ref="CR742">IF(OR(ISBLANK(E742),ISBLANK(CQ742)),"Incomplete",_xlfn.XLOOKUP(CQ742,_xlfn.XLOOKUP(E742,'Normative data'!$Y$3:$Y$6,'Normative data'!$Z$3:$AG$6,,-1),'Normative data'!$Z$2:$AG$2,"Not Found",-1))</f>
        <v>Good</v>
      </c>
      <c r="CS742" s="20">
        <v>8</v>
      </c>
      <c r="CT742" s="20">
        <v>1</v>
      </c>
      <c r="CU742" s="20" cm="1">
        <f t="array" ref="CU742">_xlfn.XLOOKUP(CS742&amp;CT742,(VLOOKUP!$A$3:$A$250)&amp;(VLOOKUP!$B$3:$B$250),VLOOKUP!$C$3:$C$250,"Incomplete",-1)</f>
        <v>1240</v>
      </c>
      <c r="CV742" s="20" t="str" cm="1">
        <f t="array" ref="CV742">_xlfn.XLOOKUP(CU742, _xlfn.XLOOKUP(E742, 'Normative data'!$Y$11:$Y$14, 'Normative data'!$Z$11:$AG$14, ,-1), 'Normative data'!$Z$10:$AG$10, "Not Found", -1)</f>
        <v>Average</v>
      </c>
      <c r="CW742" s="20" cm="1">
        <f t="array" ref="CW742">IF(OR(ISBLANK(CS742),ISBLANK(CT742)),"Incomplete",_xlfn.XLOOKUP(CS742&amp;CT742,VLOOKUP!$A$4:$A$250&amp;VLOOKUP!$B$4:$B$250,VLOOKUP!$D$4:$D$250,"0"))</f>
        <v>40</v>
      </c>
    </row>
    <row r="743" spans="1:101">
      <c r="A743" s="17" t="s">
        <v>1398</v>
      </c>
      <c r="B743" s="17" t="s">
        <v>1346</v>
      </c>
      <c r="C743" s="17" t="s">
        <v>86</v>
      </c>
      <c r="D743" s="26">
        <v>41079</v>
      </c>
      <c r="E743" s="17">
        <v>13.8</v>
      </c>
      <c r="F743" s="20" t="s">
        <v>251</v>
      </c>
      <c r="G743" s="17">
        <v>2026</v>
      </c>
      <c r="I743" s="20">
        <v>2</v>
      </c>
      <c r="J743" s="20" t="s">
        <v>100</v>
      </c>
      <c r="K743" s="20" t="s">
        <v>236</v>
      </c>
      <c r="L743" s="20"/>
      <c r="S743" s="20">
        <v>81.3</v>
      </c>
      <c r="T743" s="20">
        <v>160.9</v>
      </c>
      <c r="U743" s="17">
        <v>57.9</v>
      </c>
      <c r="V743" s="17">
        <v>30.3</v>
      </c>
      <c r="W743" s="17">
        <v>16.3</v>
      </c>
      <c r="X743" s="17">
        <v>41.6</v>
      </c>
      <c r="Y743" s="17">
        <v>22.7</v>
      </c>
      <c r="Z743" s="17">
        <v>22.4</v>
      </c>
      <c r="AA743" s="17">
        <v>28.1</v>
      </c>
      <c r="AB743" s="17">
        <v>6.14</v>
      </c>
      <c r="AC743" s="17">
        <v>99.4</v>
      </c>
      <c r="AD743" s="17">
        <v>6.09</v>
      </c>
      <c r="AE743" s="17">
        <v>98.6</v>
      </c>
      <c r="AF743" s="17">
        <v>2.6</v>
      </c>
      <c r="AG743" s="17">
        <v>116.7</v>
      </c>
      <c r="AH743" s="17">
        <v>2.6</v>
      </c>
      <c r="AI743" s="17">
        <v>116</v>
      </c>
      <c r="AJ743" s="17">
        <v>312.5</v>
      </c>
      <c r="AK743" s="17">
        <v>316.8</v>
      </c>
      <c r="AL743" s="17">
        <v>274.8</v>
      </c>
      <c r="AM743" s="17">
        <v>279.89999999999998</v>
      </c>
      <c r="AN743" s="17">
        <v>91</v>
      </c>
      <c r="AO743" s="17">
        <v>0.85</v>
      </c>
      <c r="AP743" s="17">
        <v>6.2</v>
      </c>
      <c r="AQ743" s="17">
        <v>18.5</v>
      </c>
      <c r="AR743" s="17">
        <v>0.38800000000000001</v>
      </c>
      <c r="AS743" s="17">
        <v>21.1</v>
      </c>
      <c r="AT743" s="17">
        <v>0.41499999999999998</v>
      </c>
      <c r="AU743" s="17">
        <v>8.8000000000000007</v>
      </c>
      <c r="AV743" s="17">
        <v>0.26800000000000002</v>
      </c>
      <c r="AW743" s="17">
        <v>10.7</v>
      </c>
      <c r="AX743" s="17">
        <v>0.29499999999999998</v>
      </c>
      <c r="AY743" s="41">
        <f t="shared" si="231"/>
        <v>1690.8199999999997</v>
      </c>
      <c r="BA743" s="20">
        <f t="shared" si="232"/>
        <v>1848.6400000000003</v>
      </c>
      <c r="BC743" s="20">
        <f t="shared" si="233"/>
        <v>1102.0299999999997</v>
      </c>
      <c r="BE743" s="20">
        <f t="shared" si="234"/>
        <v>1217.3599999999997</v>
      </c>
      <c r="BG743" s="17">
        <v>18</v>
      </c>
      <c r="BH743" s="17">
        <v>52</v>
      </c>
      <c r="BI743" s="20">
        <f t="shared" si="237"/>
        <v>34</v>
      </c>
      <c r="BJ743" s="20"/>
      <c r="BK743" s="17">
        <v>6.2</v>
      </c>
      <c r="BL743" s="20"/>
      <c r="BM743" s="17">
        <v>5.5</v>
      </c>
      <c r="BN743" s="20"/>
      <c r="BO743" s="17">
        <v>48</v>
      </c>
      <c r="BP743" s="17">
        <v>48</v>
      </c>
      <c r="BQ743" s="17">
        <v>74</v>
      </c>
      <c r="BR743" s="17">
        <v>77</v>
      </c>
      <c r="BS743" s="17">
        <v>67</v>
      </c>
      <c r="BT743" s="17">
        <v>81</v>
      </c>
      <c r="BU743" s="17">
        <v>69</v>
      </c>
      <c r="BV743" s="17">
        <v>70</v>
      </c>
      <c r="BW743" s="91">
        <f t="shared" si="235"/>
        <v>91.289782244556108</v>
      </c>
      <c r="BX743" s="91" t="str">
        <f>_xlfn.XLOOKUP(BW743,'Normative data'!$V$3:$V$6,'Normative data'!$W$3:$W$6,"Not Found",-1)</f>
        <v>High risk</v>
      </c>
      <c r="BY743" s="91">
        <f t="shared" si="236"/>
        <v>92.127303182579553</v>
      </c>
      <c r="BZ743" s="91" t="str">
        <f>_xlfn.XLOOKUP(BY743,'Normative data'!$V$3:$V$6,'Normative data'!$W$3:$W$6,"Not Found",-1)</f>
        <v>High risk</v>
      </c>
      <c r="CA743" s="17">
        <v>25</v>
      </c>
      <c r="CC743" s="20"/>
      <c r="CE743" s="17">
        <v>1</v>
      </c>
      <c r="CG743" s="17">
        <v>21.38</v>
      </c>
      <c r="CH743" s="20" t="str">
        <f>_xlfn.XLOOKUP(CG743, 'Normative data'!$S$9:$S$15,'Normative data'!$T$9:$T$15, "Not Found", -1)</f>
        <v>Average</v>
      </c>
      <c r="CI743" s="17">
        <v>19</v>
      </c>
      <c r="CJ743" s="20" t="str">
        <f>_xlfn.XLOOKUP(CI743, 'Normative data'!$S$9:$S$15, 'Normative data'!$T$9:$T$15, "Not Found", -1)</f>
        <v>Average</v>
      </c>
      <c r="CK743" s="17">
        <v>2.0499999999999998</v>
      </c>
      <c r="CL743" s="17">
        <v>4.88</v>
      </c>
      <c r="CN743" s="17">
        <v>6.7</v>
      </c>
      <c r="CO743" s="17">
        <v>7.46</v>
      </c>
      <c r="CQ743" s="17">
        <v>3.3</v>
      </c>
      <c r="CR743" s="20" t="str" cm="1">
        <f t="array" ref="CR743">IF(OR(ISBLANK(E743),ISBLANK(CQ743)),"Incomplete",_xlfn.XLOOKUP(CQ743,_xlfn.XLOOKUP(E743,'Normative data'!$Y$3:$Y$6,'Normative data'!$Z$3:$AG$6,,-1),'Normative data'!$Z$2:$AG$2,"Not Found",-1))</f>
        <v>Poor</v>
      </c>
      <c r="CS743" s="20">
        <v>3</v>
      </c>
      <c r="CT743" s="20">
        <v>3</v>
      </c>
      <c r="CU743" s="20" cm="1">
        <f t="array" ref="CU743">_xlfn.XLOOKUP(CS743&amp;CT743,(VLOOKUP!$A$3:$A$250)&amp;(VLOOKUP!$B$3:$B$250),VLOOKUP!$C$3:$C$250,"Incomplete",-1)</f>
        <v>360</v>
      </c>
      <c r="CV743" s="20" t="str" cm="1">
        <f t="array" ref="CV743">_xlfn.XLOOKUP(CU743, _xlfn.XLOOKUP(E743, 'Normative data'!$Y$11:$Y$14, 'Normative data'!$Z$11:$AG$14, ,-1), 'Normative data'!$Z$10:$AG$10, "Not Found", -1)</f>
        <v xml:space="preserve">Poor </v>
      </c>
      <c r="CW743" s="20" cm="1">
        <f t="array" ref="CW743">IF(OR(ISBLANK(CS743),ISBLANK(CT743)),"Incomplete",_xlfn.XLOOKUP(CS743&amp;CT743,VLOOKUP!$A$4:$A$250&amp;VLOOKUP!$B$4:$B$250,VLOOKUP!$D$4:$D$250,"0"))</f>
        <v>24</v>
      </c>
    </row>
    <row r="744" spans="1:101">
      <c r="A744" s="17" t="s">
        <v>1399</v>
      </c>
      <c r="B744" s="17" t="s">
        <v>1400</v>
      </c>
      <c r="C744" s="17" t="s">
        <v>86</v>
      </c>
      <c r="D744" s="26">
        <v>40802</v>
      </c>
      <c r="E744" s="17">
        <v>14.7</v>
      </c>
      <c r="F744" s="20" t="s">
        <v>154</v>
      </c>
      <c r="G744" s="17">
        <v>2026</v>
      </c>
      <c r="I744" s="20">
        <v>2</v>
      </c>
      <c r="J744" s="20" t="s">
        <v>100</v>
      </c>
      <c r="K744" s="20" t="s">
        <v>297</v>
      </c>
      <c r="L744" s="20" t="s">
        <v>224</v>
      </c>
      <c r="S744" s="20">
        <v>77.8</v>
      </c>
      <c r="T744" s="20">
        <v>154.6</v>
      </c>
      <c r="U744" s="17">
        <v>47.9</v>
      </c>
      <c r="V744" s="17">
        <v>27.8</v>
      </c>
      <c r="W744" s="17">
        <v>9.8000000000000007</v>
      </c>
      <c r="X744" s="17">
        <v>38.1</v>
      </c>
      <c r="Y744" s="17">
        <v>20.7</v>
      </c>
      <c r="Z744" s="17">
        <v>20</v>
      </c>
      <c r="AA744" s="17">
        <v>20.5</v>
      </c>
      <c r="AB744" s="17">
        <v>5.4</v>
      </c>
      <c r="AC744" s="17">
        <v>99.9</v>
      </c>
      <c r="AD744" s="17">
        <v>5.47</v>
      </c>
      <c r="AE744" s="17">
        <v>101.1</v>
      </c>
      <c r="AF744" s="17">
        <v>1.7</v>
      </c>
      <c r="AG744" s="17">
        <v>96.1</v>
      </c>
      <c r="AH744" s="17">
        <v>1.7</v>
      </c>
      <c r="AI744" s="17">
        <v>96.4</v>
      </c>
      <c r="AJ744" s="17">
        <v>311.89999999999998</v>
      </c>
      <c r="AK744" s="17">
        <v>303.5</v>
      </c>
      <c r="AL744" s="17">
        <v>274.10000000000002</v>
      </c>
      <c r="AM744" s="17">
        <v>266.8</v>
      </c>
      <c r="AN744" s="17">
        <v>91</v>
      </c>
      <c r="AO744" s="17">
        <v>0.79</v>
      </c>
      <c r="AP744" s="17">
        <v>6</v>
      </c>
      <c r="AQ744" s="17">
        <v>29.3</v>
      </c>
      <c r="AR744" s="17">
        <v>0.48899999999999999</v>
      </c>
      <c r="AS744" s="17">
        <v>34.299999999999997</v>
      </c>
      <c r="AT744" s="17">
        <v>0.52900000000000003</v>
      </c>
      <c r="AU744" s="17">
        <v>17.2</v>
      </c>
      <c r="AV744" s="17">
        <v>0.375</v>
      </c>
      <c r="AW744" s="17">
        <v>16.2</v>
      </c>
      <c r="AX744" s="17">
        <v>0.36399999999999999</v>
      </c>
      <c r="AY744" s="41">
        <f t="shared" si="231"/>
        <v>1893.38</v>
      </c>
      <c r="BA744" s="20">
        <f t="shared" si="232"/>
        <v>2196.8799999999992</v>
      </c>
      <c r="BC744" s="20">
        <f t="shared" si="233"/>
        <v>1158.9099999999999</v>
      </c>
      <c r="BE744" s="20">
        <f t="shared" si="234"/>
        <v>1098.21</v>
      </c>
      <c r="BG744" s="17">
        <v>20</v>
      </c>
      <c r="BH744" s="17">
        <v>44</v>
      </c>
      <c r="BI744" s="20">
        <f t="shared" si="237"/>
        <v>24</v>
      </c>
      <c r="BJ744" s="20"/>
      <c r="BK744" s="17">
        <v>13</v>
      </c>
      <c r="BL744" s="20"/>
      <c r="BM744" s="17">
        <v>8</v>
      </c>
      <c r="BN744" s="20"/>
      <c r="BO744" s="17">
        <v>44.5</v>
      </c>
      <c r="BP744" s="17">
        <v>44</v>
      </c>
      <c r="BQ744" s="17">
        <v>76</v>
      </c>
      <c r="BR744" s="17">
        <v>66</v>
      </c>
      <c r="BS744" s="17">
        <v>81</v>
      </c>
      <c r="BT744" s="17">
        <v>79</v>
      </c>
      <c r="BU744" s="17">
        <v>78</v>
      </c>
      <c r="BV744" s="17">
        <v>81</v>
      </c>
      <c r="BW744" s="91">
        <f t="shared" si="235"/>
        <v>96.788194444444457</v>
      </c>
      <c r="BX744" s="91" t="str">
        <f>_xlfn.XLOOKUP(BW744,'Normative data'!$V$3:$V$6,'Normative data'!$W$3:$W$6,"Not Found",-1)</f>
        <v>Low risk</v>
      </c>
      <c r="BY744" s="91">
        <f t="shared" si="236"/>
        <v>103.29861111111111</v>
      </c>
      <c r="BZ744" s="91" t="str">
        <f>_xlfn.XLOOKUP(BY744,'Normative data'!$V$3:$V$6,'Normative data'!$W$3:$W$6,"Not Found",-1)</f>
        <v>Low risk</v>
      </c>
      <c r="CA744" s="17">
        <v>32</v>
      </c>
      <c r="CC744" s="20"/>
      <c r="CE744" s="17">
        <v>30</v>
      </c>
      <c r="CG744" s="17">
        <v>17.170000000000002</v>
      </c>
      <c r="CH744" s="20" t="str">
        <f>_xlfn.XLOOKUP(CG744, 'Normative data'!$S$9:$S$15,'Normative data'!$T$9:$T$15, "Not Found", -1)</f>
        <v>Above Average</v>
      </c>
      <c r="CI744" s="17">
        <v>17.03</v>
      </c>
      <c r="CJ744" s="20" t="str">
        <f>_xlfn.XLOOKUP(CI744, 'Normative data'!$S$9:$S$15, 'Normative data'!$T$9:$T$15, "Not Found", -1)</f>
        <v>Above Average</v>
      </c>
      <c r="CK744" s="17">
        <v>1.97</v>
      </c>
      <c r="CL744" s="17">
        <v>5.08</v>
      </c>
      <c r="CN744" s="17">
        <v>6.06</v>
      </c>
      <c r="CO744" s="17">
        <v>8.25</v>
      </c>
      <c r="CQ744" s="17">
        <v>7.2</v>
      </c>
      <c r="CR744" s="20" t="str" cm="1">
        <f t="array" ref="CR744">IF(OR(ISBLANK(E744),ISBLANK(CQ744)),"Incomplete",_xlfn.XLOOKUP(CQ744,_xlfn.XLOOKUP(E744,'Normative data'!$Y$3:$Y$6,'Normative data'!$Z$3:$AG$6,,-1),'Normative data'!$Z$2:$AG$2,"Not Found",-1))</f>
        <v>Average</v>
      </c>
      <c r="CS744" s="20">
        <v>7</v>
      </c>
      <c r="CT744" s="20">
        <v>2</v>
      </c>
      <c r="CU744" s="20" cm="1">
        <f t="array" ref="CU744">_xlfn.XLOOKUP(CS744&amp;CT744,(VLOOKUP!$A$3:$A$250)&amp;(VLOOKUP!$B$3:$B$250),VLOOKUP!$C$3:$C$250,"Incomplete",-1)</f>
        <v>1060</v>
      </c>
      <c r="CV744" s="20" t="str" cm="1">
        <f t="array" ref="CV744">_xlfn.XLOOKUP(CU744, _xlfn.XLOOKUP(E744, 'Normative data'!$Y$11:$Y$14, 'Normative data'!$Z$11:$AG$14, ,-1), 'Normative data'!$Z$10:$AG$10, "Not Found", -1)</f>
        <v>Average</v>
      </c>
      <c r="CW744" s="20" cm="1">
        <f t="array" ref="CW744">IF(OR(ISBLANK(CS744),ISBLANK(CT744)),"Incomplete",_xlfn.XLOOKUP(CS744&amp;CT744,VLOOKUP!$A$4:$A$250&amp;VLOOKUP!$B$4:$B$250,VLOOKUP!$D$4:$D$250,"0"))</f>
        <v>37</v>
      </c>
    </row>
    <row r="745" spans="1:101">
      <c r="A745" s="22" t="s">
        <v>1401</v>
      </c>
      <c r="B745" s="22" t="s">
        <v>1402</v>
      </c>
      <c r="C745" s="17" t="s">
        <v>86</v>
      </c>
      <c r="D745" s="23">
        <v>40495</v>
      </c>
      <c r="F745" s="17">
        <v>9</v>
      </c>
      <c r="G745" s="17">
        <v>2025</v>
      </c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41" t="str">
        <f t="shared" si="231"/>
        <v>Incomplete</v>
      </c>
      <c r="AZ745" s="20"/>
      <c r="BA745" s="20" t="str">
        <f t="shared" si="232"/>
        <v>Incomplete</v>
      </c>
      <c r="BB745" s="20"/>
      <c r="BC745" s="20" t="str">
        <f t="shared" si="233"/>
        <v>Incomplete</v>
      </c>
      <c r="BD745" s="20"/>
      <c r="BE745" s="20" t="str">
        <f t="shared" si="234"/>
        <v>Incomplete</v>
      </c>
      <c r="BF745" s="20"/>
      <c r="BG745" s="20">
        <v>9</v>
      </c>
      <c r="BH745" s="20">
        <v>28.2</v>
      </c>
      <c r="BI745" s="20">
        <f t="shared" si="237"/>
        <v>19.2</v>
      </c>
      <c r="BJ745" s="20"/>
      <c r="BK745" s="20">
        <v>10</v>
      </c>
      <c r="BL745" s="20"/>
      <c r="BM745" s="20">
        <v>9</v>
      </c>
      <c r="BN745" s="20"/>
      <c r="BO745" s="20"/>
      <c r="BP745" s="20"/>
      <c r="BQ745" s="20"/>
      <c r="BR745" s="20"/>
      <c r="BS745" s="20"/>
      <c r="BT745" s="20"/>
      <c r="BU745" s="20"/>
      <c r="BV745" s="20"/>
      <c r="BW745" s="91" t="str">
        <f t="shared" si="235"/>
        <v>Incomplete</v>
      </c>
      <c r="BX745" s="91" t="str">
        <f>_xlfn.XLOOKUP(BW745,'Normative data'!$V$3:$V$6,'Normative data'!$W$3:$W$6,"Not Found",-1)</f>
        <v>Very low risk</v>
      </c>
      <c r="BY745" s="91" t="str">
        <f t="shared" si="236"/>
        <v>Incomplete</v>
      </c>
      <c r="BZ745" s="91" t="str">
        <f>_xlfn.XLOOKUP(BY745,'Normative data'!$V$3:$V$6,'Normative data'!$W$3:$W$6,"Not Found",-1)</f>
        <v>Very low risk</v>
      </c>
      <c r="CA745" s="20"/>
      <c r="CC745" s="20"/>
      <c r="CE745" s="20"/>
      <c r="CG745" s="20"/>
      <c r="CH745" s="20" t="str">
        <f>_xlfn.XLOOKUP(CG745, 'Normative data'!$S$9:$S$15,'Normative data'!$T$9:$T$15, "Not Found", -1)</f>
        <v>not completed</v>
      </c>
      <c r="CI745" s="20"/>
      <c r="CJ745" s="20" t="str">
        <f>_xlfn.XLOOKUP(CI745, 'Normative data'!$S$9:$S$15, 'Normative data'!$T$9:$T$15, "Not Found", -1)</f>
        <v>not completed</v>
      </c>
      <c r="CK745" s="24">
        <v>2.2999999999999998</v>
      </c>
      <c r="CL745" s="24">
        <v>4.3499999999999996</v>
      </c>
      <c r="CM745" s="21"/>
      <c r="CN745" s="24">
        <v>7.27</v>
      </c>
      <c r="CO745" s="24">
        <v>6.88</v>
      </c>
      <c r="CP745" s="24"/>
      <c r="CQ745" s="20"/>
      <c r="CR745" s="20" t="str" cm="1">
        <f t="array" ref="CR745">IF(OR(ISBLANK(E745),ISBLANK(CQ745)),"Incomplete",_xlfn.XLOOKUP(CQ745,_xlfn.XLOOKUP(E745,'Normative data'!$Y$3:$Y$6,'Normative data'!$Z$3:$AG$6,,-1),'Normative data'!$Z$2:$AG$2,"Not Found",-1))</f>
        <v>Incomplete</v>
      </c>
      <c r="CS745" s="20"/>
      <c r="CT745" s="20"/>
      <c r="CU745" s="20" t="str" cm="1">
        <f t="array" ref="CU745">_xlfn.XLOOKUP(CS745&amp;CT745,(VLOOKUP!$A$3:$A$250)&amp;(VLOOKUP!$B$3:$B$250),VLOOKUP!$C$3:$C$250,"Incomplete",-1)</f>
        <v>Incomplete</v>
      </c>
      <c r="CV745" s="20" t="str" cm="1">
        <f t="array" ref="CV745">_xlfn.XLOOKUP(CU745, _xlfn.XLOOKUP(E745, 'Normative data'!$Y$11:$Y$14, 'Normative data'!$Z$11:$AG$14, ,-1), 'Normative data'!$Z$10:$AG$10, "Not Found", -1)</f>
        <v>Excellent</v>
      </c>
      <c r="CW745" s="20" t="str" cm="1">
        <f t="array" ref="CW745">IF(OR(ISBLANK(CS745),ISBLANK(CT745)),"Incomplete",_xlfn.XLOOKUP(CS745&amp;CT745,VLOOKUP!$A$4:$A$250&amp;VLOOKUP!$B$4:$B$250,VLOOKUP!$D$4:$D$250,"0"))</f>
        <v>Incomplete</v>
      </c>
    </row>
    <row r="746" spans="1:101">
      <c r="A746" s="17" t="s">
        <v>1401</v>
      </c>
      <c r="B746" s="17" t="s">
        <v>1402</v>
      </c>
      <c r="C746" s="17" t="s">
        <v>86</v>
      </c>
      <c r="D746" s="23">
        <v>40495</v>
      </c>
      <c r="F746" s="17">
        <v>9</v>
      </c>
      <c r="G746" s="17">
        <v>2025</v>
      </c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41" t="str">
        <f t="shared" si="231"/>
        <v>Incomplete</v>
      </c>
      <c r="AZ746" s="20"/>
      <c r="BA746" s="20" t="str">
        <f t="shared" si="232"/>
        <v>Incomplete</v>
      </c>
      <c r="BB746" s="20"/>
      <c r="BC746" s="20" t="str">
        <f t="shared" si="233"/>
        <v>Incomplete</v>
      </c>
      <c r="BD746" s="20"/>
      <c r="BE746" s="20" t="str">
        <f t="shared" si="234"/>
        <v>Incomplete</v>
      </c>
      <c r="BF746" s="20"/>
      <c r="BG746" s="20"/>
      <c r="BH746" s="20"/>
      <c r="BI746" s="20" t="str">
        <f t="shared" si="237"/>
        <v>Incomplete</v>
      </c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91" t="str">
        <f t="shared" si="235"/>
        <v>Incomplete</v>
      </c>
      <c r="BX746" s="91" t="str">
        <f>_xlfn.XLOOKUP(BW746,'Normative data'!$V$3:$V$6,'Normative data'!$W$3:$W$6,"Not Found",-1)</f>
        <v>Very low risk</v>
      </c>
      <c r="BY746" s="91" t="str">
        <f t="shared" si="236"/>
        <v>Incomplete</v>
      </c>
      <c r="BZ746" s="91" t="str">
        <f>_xlfn.XLOOKUP(BY746,'Normative data'!$V$3:$V$6,'Normative data'!$W$3:$W$6,"Not Found",-1)</f>
        <v>Very low risk</v>
      </c>
      <c r="CA746" s="20"/>
      <c r="CC746" s="20"/>
      <c r="CE746" s="20"/>
      <c r="CG746" s="20"/>
      <c r="CH746" s="20" t="str">
        <f>_xlfn.XLOOKUP(CG746, 'Normative data'!$S$9:$S$15,'Normative data'!$T$9:$T$15, "Not Found", -1)</f>
        <v>not completed</v>
      </c>
      <c r="CI746" s="20"/>
      <c r="CJ746" s="20" t="str">
        <f>_xlfn.XLOOKUP(CI746, 'Normative data'!$S$9:$S$15, 'Normative data'!$T$9:$T$15, "Not Found", -1)</f>
        <v>not completed</v>
      </c>
      <c r="CK746" s="20" t="s">
        <v>397</v>
      </c>
      <c r="CL746" s="20" t="s">
        <v>398</v>
      </c>
      <c r="CN746" s="20" t="s">
        <v>1403</v>
      </c>
      <c r="CO746" s="20" t="s">
        <v>1404</v>
      </c>
      <c r="CQ746" s="20"/>
      <c r="CR746" s="20" t="str" cm="1">
        <f t="array" ref="CR746">IF(OR(ISBLANK(E746),ISBLANK(CQ746)),"Incomplete",_xlfn.XLOOKUP(CQ746,_xlfn.XLOOKUP(E746,'Normative data'!$Y$3:$Y$6,'Normative data'!$Z$3:$AG$6,,-1),'Normative data'!$Z$2:$AG$2,"Not Found",-1))</f>
        <v>Incomplete</v>
      </c>
      <c r="CS746" s="20"/>
      <c r="CT746" s="20"/>
      <c r="CU746" s="20" t="str" cm="1">
        <f t="array" ref="CU746">_xlfn.XLOOKUP(CS746&amp;CT746,(VLOOKUP!$A$3:$A$250)&amp;(VLOOKUP!$B$3:$B$250),VLOOKUP!$C$3:$C$250,"Incomplete",-1)</f>
        <v>Incomplete</v>
      </c>
      <c r="CV746" s="20" t="str" cm="1">
        <f t="array" ref="CV746">_xlfn.XLOOKUP(CU746, _xlfn.XLOOKUP(E746, 'Normative data'!$Y$11:$Y$14, 'Normative data'!$Z$11:$AG$14, ,-1), 'Normative data'!$Z$10:$AG$10, "Not Found", -1)</f>
        <v>Excellent</v>
      </c>
      <c r="CW746" s="20" t="str" cm="1">
        <f t="array" ref="CW746">IF(OR(ISBLANK(CS746),ISBLANK(CT746)),"Incomplete",_xlfn.XLOOKUP(CS746&amp;CT746,VLOOKUP!$A$4:$A$250&amp;VLOOKUP!$B$4:$B$250,VLOOKUP!$D$4:$D$250,"0"))</f>
        <v>Incomplete</v>
      </c>
    </row>
    <row r="747" spans="1:101">
      <c r="A747" s="17" t="s">
        <v>1405</v>
      </c>
      <c r="B747" s="17" t="s">
        <v>1406</v>
      </c>
      <c r="C747" s="17" t="s">
        <v>86</v>
      </c>
      <c r="D747" s="26">
        <v>40913</v>
      </c>
      <c r="E747" s="17">
        <v>13.9</v>
      </c>
      <c r="F747" s="20" t="s">
        <v>107</v>
      </c>
      <c r="G747" s="17">
        <v>2026</v>
      </c>
      <c r="I747" s="20">
        <v>2</v>
      </c>
      <c r="J747" s="20" t="s">
        <v>122</v>
      </c>
      <c r="K747" s="20" t="s">
        <v>108</v>
      </c>
      <c r="L747" s="20"/>
      <c r="S747" s="20">
        <v>77.599999999999994</v>
      </c>
      <c r="T747" s="20">
        <v>152.6</v>
      </c>
      <c r="U747" s="17">
        <v>65.599999999999994</v>
      </c>
      <c r="V747" s="17">
        <v>25.5</v>
      </c>
      <c r="W747" s="17">
        <v>30.6</v>
      </c>
      <c r="X747" s="17">
        <v>35</v>
      </c>
      <c r="Y747" s="17">
        <v>18.7</v>
      </c>
      <c r="Z747" s="17">
        <v>28.4</v>
      </c>
      <c r="AA747" s="17">
        <v>46.7</v>
      </c>
      <c r="AB747" s="17">
        <v>4.96</v>
      </c>
      <c r="AC747" s="17">
        <v>85.3</v>
      </c>
      <c r="AD747" s="17">
        <v>4.92</v>
      </c>
      <c r="AE747" s="17">
        <v>84.6</v>
      </c>
      <c r="AF747" s="17">
        <v>4.4000000000000004</v>
      </c>
      <c r="AG747" s="17">
        <v>266.7</v>
      </c>
      <c r="AH747" s="17">
        <v>4.4000000000000004</v>
      </c>
      <c r="AI747" s="17">
        <v>266.2</v>
      </c>
      <c r="AJ747" s="17">
        <v>323.8</v>
      </c>
      <c r="AK747" s="17">
        <v>328.9</v>
      </c>
      <c r="AL747" s="17">
        <v>288.7</v>
      </c>
      <c r="AM747" s="17">
        <v>293.60000000000002</v>
      </c>
      <c r="AN747" s="17">
        <v>56</v>
      </c>
      <c r="AO747" s="17">
        <v>0.95</v>
      </c>
      <c r="AP747" s="17">
        <v>5.8</v>
      </c>
      <c r="AQ747" s="20"/>
      <c r="AR747" s="20"/>
      <c r="AS747" s="20"/>
      <c r="AT747" s="20"/>
      <c r="AU747" s="20"/>
      <c r="AV747" s="20"/>
      <c r="AW747" s="20"/>
      <c r="AX747" s="20"/>
      <c r="AY747" s="41" t="str">
        <f t="shared" si="231"/>
        <v>Incomplete</v>
      </c>
      <c r="BA747" s="20" t="str">
        <f t="shared" si="232"/>
        <v>Incomplete</v>
      </c>
      <c r="BC747" s="20" t="str">
        <f t="shared" si="233"/>
        <v>Incomplete</v>
      </c>
      <c r="BE747" s="20" t="str">
        <f t="shared" si="234"/>
        <v>Incomplete</v>
      </c>
      <c r="BH747" s="17">
        <v>19.2</v>
      </c>
      <c r="BI747" s="20" t="str">
        <f t="shared" si="237"/>
        <v>Incomplete</v>
      </c>
      <c r="BJ747" s="20"/>
      <c r="BK747" s="17">
        <v>6.1</v>
      </c>
      <c r="BL747" s="20"/>
      <c r="BM747" s="17">
        <v>6.5</v>
      </c>
      <c r="BN747" s="20"/>
      <c r="BW747" s="91">
        <f t="shared" si="235"/>
        <v>0</v>
      </c>
      <c r="BX747" s="91" t="str">
        <f>_xlfn.XLOOKUP(BW747,'Normative data'!$V$3:$V$6,'Normative data'!$W$3:$W$6,"Not Found",-1)</f>
        <v>Not completed</v>
      </c>
      <c r="BY747" s="91">
        <f t="shared" si="236"/>
        <v>0</v>
      </c>
      <c r="BZ747" s="91" t="str">
        <f>_xlfn.XLOOKUP(BY747,'Normative data'!$V$3:$V$6,'Normative data'!$W$3:$W$6,"Not Found",-1)</f>
        <v>Not completed</v>
      </c>
      <c r="CA747" s="20"/>
      <c r="CC747" s="20"/>
      <c r="CE747" s="17">
        <v>6</v>
      </c>
      <c r="CG747" s="17">
        <v>23.71</v>
      </c>
      <c r="CH747" s="20" t="str">
        <f>_xlfn.XLOOKUP(CG747, 'Normative data'!$S$9:$S$15,'Normative data'!$T$9:$T$15, "Not Found", -1)</f>
        <v>Poor</v>
      </c>
      <c r="CI747" s="17">
        <v>22.39</v>
      </c>
      <c r="CJ747" s="20" t="str">
        <f>_xlfn.XLOOKUP(CI747, 'Normative data'!$S$9:$S$15, 'Normative data'!$T$9:$T$15, "Not Found", -1)</f>
        <v>Below Average</v>
      </c>
      <c r="CK747" s="17">
        <v>2.48</v>
      </c>
      <c r="CL747" s="17">
        <v>4.03</v>
      </c>
      <c r="CN747" s="17">
        <v>8.0299999999999994</v>
      </c>
      <c r="CO747" s="17">
        <v>6.23</v>
      </c>
      <c r="CR747" s="20" t="str" cm="1">
        <f t="array" ref="CR747">IF(OR(ISBLANK(E747),ISBLANK(CQ747)),"Incomplete",_xlfn.XLOOKUP(CQ747,_xlfn.XLOOKUP(E747,'Normative data'!$Y$3:$Y$6,'Normative data'!$Z$3:$AG$6,,-1),'Normative data'!$Z$2:$AG$2,"Not Found",-1))</f>
        <v>Incomplete</v>
      </c>
      <c r="CS747" s="20"/>
      <c r="CT747" s="20"/>
      <c r="CU747" s="20" t="str" cm="1">
        <f t="array" ref="CU747">_xlfn.XLOOKUP(CS747&amp;CT747,(VLOOKUP!$A$3:$A$250)&amp;(VLOOKUP!$B$3:$B$250),VLOOKUP!$C$3:$C$250,"Incomplete",-1)</f>
        <v>Incomplete</v>
      </c>
      <c r="CV747" s="20" t="str" cm="1">
        <f t="array" ref="CV747">_xlfn.XLOOKUP(CU747, _xlfn.XLOOKUP(E747, 'Normative data'!$Y$11:$Y$14, 'Normative data'!$Z$11:$AG$14, ,-1), 'Normative data'!$Z$10:$AG$10, "Not Found", -1)</f>
        <v>Excellent</v>
      </c>
      <c r="CW747" s="20" t="str" cm="1">
        <f t="array" ref="CW747">IF(OR(ISBLANK(CS747),ISBLANK(CT747)),"Incomplete",_xlfn.XLOOKUP(CS747&amp;CT747,VLOOKUP!$A$4:$A$250&amp;VLOOKUP!$B$4:$B$250,VLOOKUP!$D$4:$D$250,"0"))</f>
        <v>Incomplete</v>
      </c>
    </row>
    <row r="748" spans="1:101">
      <c r="A748" s="17" t="s">
        <v>937</v>
      </c>
      <c r="B748" s="17" t="s">
        <v>936</v>
      </c>
      <c r="C748" s="17" t="s">
        <v>86</v>
      </c>
      <c r="D748" s="26"/>
      <c r="F748" s="20" t="s">
        <v>99</v>
      </c>
      <c r="G748" s="17">
        <v>2026</v>
      </c>
      <c r="I748" s="20">
        <v>2</v>
      </c>
      <c r="J748" s="20"/>
      <c r="K748" s="20"/>
      <c r="L748" s="20"/>
      <c r="S748" s="20">
        <v>82.8</v>
      </c>
      <c r="T748" s="20">
        <v>160.30000000000001</v>
      </c>
      <c r="AQ748" s="20"/>
      <c r="AR748" s="20"/>
      <c r="AS748" s="20"/>
      <c r="AT748" s="20"/>
      <c r="AU748" s="20"/>
      <c r="AV748" s="20"/>
      <c r="AW748" s="20"/>
      <c r="AX748" s="20"/>
      <c r="AY748" s="41" t="str">
        <f t="shared" si="231"/>
        <v>Incomplete</v>
      </c>
      <c r="BA748" s="20" t="str">
        <f t="shared" si="232"/>
        <v>Incomplete</v>
      </c>
      <c r="BC748" s="20" t="str">
        <f t="shared" si="233"/>
        <v>Incomplete</v>
      </c>
      <c r="BE748" s="20" t="str">
        <f t="shared" si="234"/>
        <v>Incomplete</v>
      </c>
      <c r="BG748" s="17">
        <v>8.3000000000000007</v>
      </c>
      <c r="BH748" s="17">
        <v>49</v>
      </c>
      <c r="BI748" s="20">
        <f t="shared" si="237"/>
        <v>40.700000000000003</v>
      </c>
      <c r="BJ748" s="20"/>
      <c r="BL748" s="20"/>
      <c r="BM748" s="20"/>
      <c r="BN748" s="20"/>
      <c r="BW748" s="91">
        <f t="shared" si="235"/>
        <v>0</v>
      </c>
      <c r="BX748" s="91" t="str">
        <f>_xlfn.XLOOKUP(BW748,'Normative data'!$V$3:$V$6,'Normative data'!$W$3:$W$6,"Not Found",-1)</f>
        <v>Not completed</v>
      </c>
      <c r="BY748" s="91">
        <f t="shared" si="236"/>
        <v>0</v>
      </c>
      <c r="BZ748" s="91" t="str">
        <f>_xlfn.XLOOKUP(BY748,'Normative data'!$V$3:$V$6,'Normative data'!$W$3:$W$6,"Not Found",-1)</f>
        <v>Not completed</v>
      </c>
      <c r="CG748" s="20"/>
      <c r="CH748" s="20" t="str">
        <f>_xlfn.XLOOKUP(CG748, 'Normative data'!$S$9:$S$15,'Normative data'!$T$9:$T$15, "Not Found", -1)</f>
        <v>not completed</v>
      </c>
      <c r="CI748" s="20"/>
      <c r="CJ748" s="20" t="str">
        <f>_xlfn.XLOOKUP(CI748, 'Normative data'!$S$9:$S$15, 'Normative data'!$T$9:$T$15, "Not Found", -1)</f>
        <v>not completed</v>
      </c>
      <c r="CK748" s="21"/>
      <c r="CL748" s="21"/>
      <c r="CM748" s="21"/>
      <c r="CN748" s="21"/>
      <c r="CO748" s="21"/>
      <c r="CR748" s="20" t="str" cm="1">
        <f t="array" ref="CR748">IF(OR(ISBLANK(E748),ISBLANK(CQ748)),"Incomplete",_xlfn.XLOOKUP(CQ748,_xlfn.XLOOKUP(E748,'Normative data'!$Y$3:$Y$6,'Normative data'!$Z$3:$AG$6,,-1),'Normative data'!$Z$2:$AG$2,"Not Found",-1))</f>
        <v>Incomplete</v>
      </c>
      <c r="CS748" s="20"/>
      <c r="CT748" s="20"/>
      <c r="CU748" s="20" t="str" cm="1">
        <f t="array" ref="CU748">_xlfn.XLOOKUP(CS748&amp;CT748,(VLOOKUP!$A$3:$A$250)&amp;(VLOOKUP!$B$3:$B$250),VLOOKUP!$C$3:$C$250,"Incomplete",-1)</f>
        <v>Incomplete</v>
      </c>
      <c r="CV748" s="20" t="str" cm="1">
        <f t="array" ref="CV748">_xlfn.XLOOKUP(CU748, _xlfn.XLOOKUP(E748, 'Normative data'!$Y$11:$Y$14, 'Normative data'!$Z$11:$AG$14, ,-1), 'Normative data'!$Z$10:$AG$10, "Not Found", -1)</f>
        <v>Excellent</v>
      </c>
      <c r="CW748" s="20" t="str" cm="1">
        <f t="array" ref="CW748">IF(OR(ISBLANK(CS748),ISBLANK(CT748)),"Incomplete",_xlfn.XLOOKUP(CS748&amp;CT748,VLOOKUP!$A$4:$A$250&amp;VLOOKUP!$B$4:$B$250,VLOOKUP!$D$4:$D$250,"0"))</f>
        <v>Incomplete</v>
      </c>
    </row>
    <row r="749" spans="1:101">
      <c r="A749" s="17" t="s">
        <v>1407</v>
      </c>
      <c r="B749" s="17" t="s">
        <v>936</v>
      </c>
      <c r="C749" s="17" t="s">
        <v>86</v>
      </c>
      <c r="D749" s="26">
        <v>40727</v>
      </c>
      <c r="F749" s="20" t="s">
        <v>92</v>
      </c>
      <c r="G749" s="17">
        <v>2026</v>
      </c>
      <c r="I749" s="20">
        <v>2</v>
      </c>
      <c r="J749" s="20" t="s">
        <v>88</v>
      </c>
      <c r="K749" s="20" t="s">
        <v>89</v>
      </c>
      <c r="L749" s="20"/>
      <c r="S749" s="20" t="s">
        <v>1408</v>
      </c>
      <c r="T749" s="20" t="s">
        <v>1409</v>
      </c>
      <c r="U749" s="17">
        <v>57.1</v>
      </c>
      <c r="V749" s="17">
        <v>30.1</v>
      </c>
      <c r="W749" s="17">
        <v>15.9</v>
      </c>
      <c r="X749" s="17">
        <v>41.2</v>
      </c>
      <c r="Y749" s="17">
        <v>22.6</v>
      </c>
      <c r="Z749" s="17">
        <v>23.8</v>
      </c>
      <c r="AA749" s="17">
        <v>27.8</v>
      </c>
      <c r="AB749" s="17">
        <v>5.79</v>
      </c>
      <c r="AC749" s="17">
        <v>101.1</v>
      </c>
      <c r="AD749" s="17">
        <v>5.82</v>
      </c>
      <c r="AE749" s="17">
        <v>101.5</v>
      </c>
      <c r="AF749" s="17">
        <v>2.4</v>
      </c>
      <c r="AG749" s="17">
        <v>137.6</v>
      </c>
      <c r="AH749" s="17">
        <v>2.4</v>
      </c>
      <c r="AI749" s="17">
        <v>137.30000000000001</v>
      </c>
      <c r="AJ749" s="17">
        <v>285.10000000000002</v>
      </c>
      <c r="AK749" s="17">
        <v>281.39999999999998</v>
      </c>
      <c r="AL749" s="17">
        <v>246.9</v>
      </c>
      <c r="AM749" s="17">
        <v>244</v>
      </c>
      <c r="AN749" s="17">
        <v>77</v>
      </c>
      <c r="AO749" s="17">
        <v>0.85</v>
      </c>
      <c r="AP749" s="17">
        <v>6.6</v>
      </c>
      <c r="AY749" s="41" t="str">
        <f t="shared" si="231"/>
        <v>Incomplete</v>
      </c>
      <c r="BA749" s="20" t="str">
        <f t="shared" si="232"/>
        <v>Incomplete</v>
      </c>
      <c r="BC749" s="20" t="str">
        <f t="shared" si="233"/>
        <v>Incomplete</v>
      </c>
      <c r="BE749" s="20" t="str">
        <f t="shared" si="234"/>
        <v>Incomplete</v>
      </c>
      <c r="BH749" s="20"/>
      <c r="BI749" s="20" t="str">
        <f t="shared" si="237"/>
        <v>Incomplete</v>
      </c>
      <c r="BJ749" s="20"/>
      <c r="BK749" s="17">
        <v>7.5</v>
      </c>
      <c r="BL749" s="20"/>
      <c r="BM749" s="17">
        <v>10.5</v>
      </c>
      <c r="BN749" s="20"/>
      <c r="BO749" s="17">
        <v>48.3</v>
      </c>
      <c r="BP749" s="17">
        <v>47</v>
      </c>
      <c r="BW749" s="91">
        <f t="shared" si="235"/>
        <v>0</v>
      </c>
      <c r="BX749" s="91" t="str">
        <f>_xlfn.XLOOKUP(BW749,'Normative data'!$V$3:$V$6,'Normative data'!$W$3:$W$6,"Not Found",-1)</f>
        <v>Not completed</v>
      </c>
      <c r="BY749" s="91">
        <f t="shared" si="236"/>
        <v>0</v>
      </c>
      <c r="BZ749" s="91" t="str">
        <f>_xlfn.XLOOKUP(BY749,'Normative data'!$V$3:$V$6,'Normative data'!$W$3:$W$6,"Not Found",-1)</f>
        <v>Not completed</v>
      </c>
      <c r="CA749" s="17">
        <v>31</v>
      </c>
      <c r="CC749" s="20"/>
      <c r="CE749" s="17">
        <v>20</v>
      </c>
      <c r="CG749" s="17">
        <v>17.899999999999999</v>
      </c>
      <c r="CH749" s="20" t="str">
        <f>_xlfn.XLOOKUP(CG749, 'Normative data'!$S$9:$S$15,'Normative data'!$T$9:$T$15, "Not Found", -1)</f>
        <v>Above Average</v>
      </c>
      <c r="CI749" s="17">
        <v>18.45</v>
      </c>
      <c r="CJ749" s="20" t="str">
        <f>_xlfn.XLOOKUP(CI749, 'Normative data'!$S$9:$S$15, 'Normative data'!$T$9:$T$15, "Not Found", -1)</f>
        <v>Average</v>
      </c>
      <c r="CK749" s="17">
        <v>2.15</v>
      </c>
      <c r="CL749" s="17">
        <v>4.67</v>
      </c>
      <c r="CN749" s="17">
        <v>6.4</v>
      </c>
      <c r="CO749" s="17">
        <v>7.81</v>
      </c>
      <c r="CQ749" s="17">
        <v>8.1999999999999993</v>
      </c>
      <c r="CR749" s="20" t="str" cm="1">
        <f t="array" ref="CR749">IF(OR(ISBLANK(E749),ISBLANK(CQ749)),"Incomplete",_xlfn.XLOOKUP(CQ749,_xlfn.XLOOKUP(E749,'Normative data'!$Y$3:$Y$6,'Normative data'!$Z$3:$AG$6,,-1),'Normative data'!$Z$2:$AG$2,"Not Found",-1))</f>
        <v>Incomplete</v>
      </c>
      <c r="CS749" s="20">
        <v>8</v>
      </c>
      <c r="CT749" s="20">
        <v>2</v>
      </c>
      <c r="CU749" s="20" cm="1">
        <f t="array" ref="CU749">_xlfn.XLOOKUP(CS749&amp;CT749,(VLOOKUP!$A$3:$A$250)&amp;(VLOOKUP!$B$3:$B$250),VLOOKUP!$C$3:$C$250,"Incomplete",-1)</f>
        <v>1260</v>
      </c>
      <c r="CV749" s="20" t="str" cm="1">
        <f t="array" ref="CV749">_xlfn.XLOOKUP(CU749, _xlfn.XLOOKUP(E749, 'Normative data'!$Y$11:$Y$14, 'Normative data'!$Z$11:$AG$14, ,-1), 'Normative data'!$Z$10:$AG$10, "Not Found", -1)</f>
        <v>Average</v>
      </c>
      <c r="CW749" s="20" cm="1">
        <f t="array" ref="CW749">IF(OR(ISBLANK(CS749),ISBLANK(CT749)),"Incomplete",_xlfn.XLOOKUP(CS749&amp;CT749,VLOOKUP!$A$4:$A$250&amp;VLOOKUP!$B$4:$B$250,VLOOKUP!$D$4:$D$250,"0"))</f>
        <v>41</v>
      </c>
    </row>
    <row r="750" spans="1:101">
      <c r="A750" s="17" t="s">
        <v>770</v>
      </c>
      <c r="B750" s="17" t="s">
        <v>1410</v>
      </c>
      <c r="C750" s="17" t="s">
        <v>86</v>
      </c>
      <c r="D750" s="20"/>
      <c r="F750" s="20" t="s">
        <v>97</v>
      </c>
      <c r="G750" s="17">
        <v>2026</v>
      </c>
      <c r="I750" s="20">
        <v>2</v>
      </c>
      <c r="J750" s="20"/>
      <c r="K750" s="20"/>
      <c r="L750" s="20"/>
      <c r="S750" s="20">
        <v>79.099999999999994</v>
      </c>
      <c r="T750" s="20">
        <v>160.30000000000001</v>
      </c>
      <c r="U750" s="17">
        <v>54.9</v>
      </c>
      <c r="AQ750" s="17">
        <v>18.600000000000001</v>
      </c>
      <c r="AR750" s="17">
        <v>0.39</v>
      </c>
      <c r="AS750" s="17">
        <v>23.9</v>
      </c>
      <c r="AT750" s="17">
        <v>0.442</v>
      </c>
      <c r="AU750" s="17">
        <v>10.3</v>
      </c>
      <c r="AV750" s="17">
        <v>0.28999999999999998</v>
      </c>
      <c r="AW750" s="17">
        <v>13.7</v>
      </c>
      <c r="AX750" s="17">
        <v>0.33400000000000002</v>
      </c>
      <c r="AY750" s="41">
        <f t="shared" si="231"/>
        <v>1560.9899999999998</v>
      </c>
      <c r="BA750" s="20">
        <f t="shared" si="232"/>
        <v>1882.6999999999998</v>
      </c>
      <c r="BC750" s="20">
        <f t="shared" si="233"/>
        <v>1057.1799999999998</v>
      </c>
      <c r="BE750" s="20">
        <f t="shared" si="234"/>
        <v>1263.56</v>
      </c>
      <c r="BG750" s="17">
        <v>8</v>
      </c>
      <c r="BH750" s="17">
        <v>22.5</v>
      </c>
      <c r="BI750" s="20">
        <f t="shared" si="237"/>
        <v>14.5</v>
      </c>
      <c r="BJ750" s="20"/>
      <c r="BK750" s="17">
        <v>6</v>
      </c>
      <c r="BL750" s="20"/>
      <c r="BM750" s="17">
        <v>6</v>
      </c>
      <c r="BN750" s="20"/>
      <c r="BO750" s="17">
        <v>46</v>
      </c>
      <c r="BP750" s="17">
        <v>45.5</v>
      </c>
      <c r="BQ750" s="17">
        <v>77</v>
      </c>
      <c r="BR750" s="17">
        <v>80</v>
      </c>
      <c r="BS750" s="17">
        <v>71</v>
      </c>
      <c r="BT750" s="17">
        <v>81</v>
      </c>
      <c r="BU750" s="17">
        <v>81</v>
      </c>
      <c r="BV750" s="17">
        <v>81</v>
      </c>
      <c r="BW750" s="91">
        <f t="shared" si="235"/>
        <v>93.596059113300484</v>
      </c>
      <c r="BX750" s="91" t="str">
        <f>_xlfn.XLOOKUP(BW750,'Normative data'!$V$3:$V$6,'Normative data'!$W$3:$W$6,"Not Found",-1)</f>
        <v>High risk</v>
      </c>
      <c r="BY750" s="91">
        <f t="shared" si="236"/>
        <v>99.753694581280769</v>
      </c>
      <c r="BZ750" s="91" t="str">
        <f>_xlfn.XLOOKUP(BY750,'Normative data'!$V$3:$V$6,'Normative data'!$W$3:$W$6,"Not Found",-1)</f>
        <v>Low risk</v>
      </c>
      <c r="CA750" s="17">
        <v>44</v>
      </c>
      <c r="CC750" s="20"/>
      <c r="CE750" s="17">
        <v>11</v>
      </c>
      <c r="CG750" s="20"/>
      <c r="CH750" s="20" t="str">
        <f>_xlfn.XLOOKUP(CG750, 'Normative data'!$S$9:$S$15,'Normative data'!$T$9:$T$15, "Not Found", -1)</f>
        <v>not completed</v>
      </c>
      <c r="CI750" s="20"/>
      <c r="CJ750" s="20" t="str">
        <f>_xlfn.XLOOKUP(CI750, 'Normative data'!$S$9:$S$15, 'Normative data'!$T$9:$T$15, "Not Found", -1)</f>
        <v>not completed</v>
      </c>
      <c r="CK750" s="17">
        <v>2.08</v>
      </c>
      <c r="CL750" s="17">
        <v>4.8099999999999996</v>
      </c>
      <c r="CN750" s="17">
        <v>6.64</v>
      </c>
      <c r="CO750" s="17">
        <v>7.53</v>
      </c>
      <c r="CR750" s="20" t="str" cm="1">
        <f t="array" ref="CR750">IF(OR(ISBLANK(E750),ISBLANK(CQ750)),"Incomplete",_xlfn.XLOOKUP(CQ750,_xlfn.XLOOKUP(E750,'Normative data'!$Y$3:$Y$6,'Normative data'!$Z$3:$AG$6,,-1),'Normative data'!$Z$2:$AG$2,"Not Found",-1))</f>
        <v>Incomplete</v>
      </c>
      <c r="CS750" s="20"/>
      <c r="CT750" s="20"/>
      <c r="CU750" s="20" t="str" cm="1">
        <f t="array" ref="CU750">_xlfn.XLOOKUP(CS750&amp;CT750,(VLOOKUP!$A$3:$A$250)&amp;(VLOOKUP!$B$3:$B$250),VLOOKUP!$C$3:$C$250,"Incomplete",-1)</f>
        <v>Incomplete</v>
      </c>
      <c r="CV750" s="20" t="str" cm="1">
        <f t="array" ref="CV750">_xlfn.XLOOKUP(CU750, _xlfn.XLOOKUP(E750, 'Normative data'!$Y$11:$Y$14, 'Normative data'!$Z$11:$AG$14, ,-1), 'Normative data'!$Z$10:$AG$10, "Not Found", -1)</f>
        <v>Excellent</v>
      </c>
      <c r="CW750" s="20" t="str" cm="1">
        <f t="array" ref="CW750">IF(OR(ISBLANK(CS750),ISBLANK(CT750)),"Incomplete",_xlfn.XLOOKUP(CS750&amp;CT750,VLOOKUP!$A$4:$A$250&amp;VLOOKUP!$B$4:$B$250,VLOOKUP!$D$4:$D$250,"0"))</f>
        <v>Incomplete</v>
      </c>
    </row>
    <row r="751" spans="1:101">
      <c r="A751" s="17" t="s">
        <v>1126</v>
      </c>
      <c r="B751" s="17" t="s">
        <v>1125</v>
      </c>
      <c r="C751" s="17" t="s">
        <v>86</v>
      </c>
      <c r="D751" s="26">
        <v>40417</v>
      </c>
      <c r="F751" s="17">
        <v>8</v>
      </c>
      <c r="G751" s="17">
        <v>2025</v>
      </c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41" t="str">
        <f t="shared" si="231"/>
        <v>Incomplete</v>
      </c>
      <c r="AZ751" s="20"/>
      <c r="BA751" s="20" t="str">
        <f t="shared" si="232"/>
        <v>Incomplete</v>
      </c>
      <c r="BB751" s="20"/>
      <c r="BC751" s="20" t="str">
        <f t="shared" si="233"/>
        <v>Incomplete</v>
      </c>
      <c r="BD751" s="20"/>
      <c r="BE751" s="20" t="str">
        <f t="shared" si="234"/>
        <v>Incomplete</v>
      </c>
      <c r="BF751" s="20"/>
      <c r="BG751" s="20"/>
      <c r="BH751" s="20"/>
      <c r="BI751" s="20" t="str">
        <f t="shared" si="237"/>
        <v>Incomplete</v>
      </c>
      <c r="BJ751" s="20"/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  <c r="BW751" s="91" t="str">
        <f t="shared" si="235"/>
        <v>Incomplete</v>
      </c>
      <c r="BX751" s="91" t="str">
        <f>_xlfn.XLOOKUP(BW751,'Normative data'!$V$3:$V$6,'Normative data'!$W$3:$W$6,"Not Found",-1)</f>
        <v>Very low risk</v>
      </c>
      <c r="BY751" s="91" t="str">
        <f t="shared" si="236"/>
        <v>Incomplete</v>
      </c>
      <c r="BZ751" s="91" t="str">
        <f>_xlfn.XLOOKUP(BY751,'Normative data'!$V$3:$V$6,'Normative data'!$W$3:$W$6,"Not Found",-1)</f>
        <v>Very low risk</v>
      </c>
      <c r="CA751" s="20"/>
      <c r="CC751" s="20"/>
      <c r="CE751" s="20"/>
      <c r="CG751" s="20"/>
      <c r="CH751" s="20" t="str">
        <f>_xlfn.XLOOKUP(CG751, 'Normative data'!$S$9:$S$15,'Normative data'!$T$9:$T$15, "Not Found", -1)</f>
        <v>not completed</v>
      </c>
      <c r="CI751" s="20"/>
      <c r="CJ751" s="20" t="str">
        <f>_xlfn.XLOOKUP(CI751, 'Normative data'!$S$9:$S$15, 'Normative data'!$T$9:$T$15, "Not Found", -1)</f>
        <v>not completed</v>
      </c>
      <c r="CK751" s="20">
        <v>2.64</v>
      </c>
      <c r="CL751" s="20">
        <v>3.79</v>
      </c>
      <c r="CN751" s="20">
        <v>8.67</v>
      </c>
      <c r="CO751" s="20">
        <v>5.77</v>
      </c>
      <c r="CQ751" s="20"/>
      <c r="CR751" s="20" t="str" cm="1">
        <f t="array" ref="CR751">IF(OR(ISBLANK(E751),ISBLANK(CQ751)),"Incomplete",_xlfn.XLOOKUP(CQ751,_xlfn.XLOOKUP(E751,'Normative data'!$Y$3:$Y$6,'Normative data'!$Z$3:$AG$6,,-1),'Normative data'!$Z$2:$AG$2,"Not Found",-1))</f>
        <v>Incomplete</v>
      </c>
      <c r="CS751" s="20"/>
      <c r="CT751" s="20"/>
      <c r="CU751" s="20" t="str" cm="1">
        <f t="array" ref="CU751">_xlfn.XLOOKUP(CS751&amp;CT751,(VLOOKUP!$A$3:$A$250)&amp;(VLOOKUP!$B$3:$B$250),VLOOKUP!$C$3:$C$250,"Incomplete",-1)</f>
        <v>Incomplete</v>
      </c>
      <c r="CV751" s="20" t="str" cm="1">
        <f t="array" ref="CV751">_xlfn.XLOOKUP(CU751, _xlfn.XLOOKUP(E751, 'Normative data'!$Y$11:$Y$14, 'Normative data'!$Z$11:$AG$14, ,-1), 'Normative data'!$Z$10:$AG$10, "Not Found", -1)</f>
        <v>Excellent</v>
      </c>
      <c r="CW751" s="20" t="str" cm="1">
        <f t="array" ref="CW751">IF(OR(ISBLANK(CS751),ISBLANK(CT751)),"Incomplete",_xlfn.XLOOKUP(CS751&amp;CT751,VLOOKUP!$A$4:$A$250&amp;VLOOKUP!$B$4:$B$250,VLOOKUP!$D$4:$D$250,"0"))</f>
        <v>Incomplete</v>
      </c>
    </row>
    <row r="752" spans="1:101">
      <c r="A752" s="17" t="s">
        <v>1126</v>
      </c>
      <c r="B752" s="17" t="s">
        <v>1125</v>
      </c>
      <c r="C752" s="17" t="s">
        <v>86</v>
      </c>
      <c r="D752" s="26">
        <v>40417</v>
      </c>
      <c r="F752" s="17">
        <v>8</v>
      </c>
      <c r="G752" s="17">
        <v>2025</v>
      </c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41" t="str">
        <f t="shared" si="231"/>
        <v>Incomplete</v>
      </c>
      <c r="AZ752" s="20"/>
      <c r="BA752" s="20" t="str">
        <f t="shared" si="232"/>
        <v>Incomplete</v>
      </c>
      <c r="BB752" s="20"/>
      <c r="BC752" s="20" t="str">
        <f t="shared" si="233"/>
        <v>Incomplete</v>
      </c>
      <c r="BD752" s="20"/>
      <c r="BE752" s="20" t="str">
        <f t="shared" si="234"/>
        <v>Incomplete</v>
      </c>
      <c r="BF752" s="20"/>
      <c r="BG752" s="20"/>
      <c r="BH752" s="20"/>
      <c r="BI752" s="20" t="str">
        <f t="shared" si="237"/>
        <v>Incomplete</v>
      </c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91" t="str">
        <f t="shared" si="235"/>
        <v>Incomplete</v>
      </c>
      <c r="BX752" s="91" t="str">
        <f>_xlfn.XLOOKUP(BW752,'Normative data'!$V$3:$V$6,'Normative data'!$W$3:$W$6,"Not Found",-1)</f>
        <v>Very low risk</v>
      </c>
      <c r="BY752" s="91" t="str">
        <f t="shared" si="236"/>
        <v>Incomplete</v>
      </c>
      <c r="BZ752" s="91" t="str">
        <f>_xlfn.XLOOKUP(BY752,'Normative data'!$V$3:$V$6,'Normative data'!$W$3:$W$6,"Not Found",-1)</f>
        <v>Very low risk</v>
      </c>
      <c r="CA752" s="20"/>
      <c r="CC752" s="20"/>
      <c r="CE752" s="20"/>
      <c r="CG752" s="20"/>
      <c r="CH752" s="20" t="str">
        <f>_xlfn.XLOOKUP(CG752, 'Normative data'!$S$9:$S$15,'Normative data'!$T$9:$T$15, "Not Found", -1)</f>
        <v>not completed</v>
      </c>
      <c r="CI752" s="20"/>
      <c r="CJ752" s="20" t="str">
        <f>_xlfn.XLOOKUP(CI752, 'Normative data'!$S$9:$S$15, 'Normative data'!$T$9:$T$15, "Not Found", -1)</f>
        <v>not completed</v>
      </c>
      <c r="CK752" s="20" t="s">
        <v>1297</v>
      </c>
      <c r="CL752" s="20" t="s">
        <v>1298</v>
      </c>
      <c r="CN752" s="20" t="s">
        <v>1411</v>
      </c>
      <c r="CO752" s="20" t="s">
        <v>1412</v>
      </c>
      <c r="CQ752" s="20"/>
      <c r="CR752" s="20" t="str" cm="1">
        <f t="array" ref="CR752">IF(OR(ISBLANK(E752),ISBLANK(CQ752)),"Incomplete",_xlfn.XLOOKUP(CQ752,_xlfn.XLOOKUP(E752,'Normative data'!$Y$3:$Y$6,'Normative data'!$Z$3:$AG$6,,-1),'Normative data'!$Z$2:$AG$2,"Not Found",-1))</f>
        <v>Incomplete</v>
      </c>
      <c r="CS752" s="20"/>
      <c r="CT752" s="20"/>
      <c r="CU752" s="20" t="str" cm="1">
        <f t="array" ref="CU752">_xlfn.XLOOKUP(CS752&amp;CT752,(VLOOKUP!$A$3:$A$250)&amp;(VLOOKUP!$B$3:$B$250),VLOOKUP!$C$3:$C$250,"Incomplete",-1)</f>
        <v>Incomplete</v>
      </c>
      <c r="CV752" s="20" t="str" cm="1">
        <f t="array" ref="CV752">_xlfn.XLOOKUP(CU752, _xlfn.XLOOKUP(E752, 'Normative data'!$Y$11:$Y$14, 'Normative data'!$Z$11:$AG$14, ,-1), 'Normative data'!$Z$10:$AG$10, "Not Found", -1)</f>
        <v>Excellent</v>
      </c>
      <c r="CW752" s="20" t="str" cm="1">
        <f t="array" ref="CW752">IF(OR(ISBLANK(CS752),ISBLANK(CT752)),"Incomplete",_xlfn.XLOOKUP(CS752&amp;CT752,VLOOKUP!$A$4:$A$250&amp;VLOOKUP!$B$4:$B$250,VLOOKUP!$D$4:$D$250,"0"))</f>
        <v>Incomplete</v>
      </c>
    </row>
    <row r="753" spans="1:101">
      <c r="A753" s="18" t="s">
        <v>1284</v>
      </c>
      <c r="B753" s="18" t="s">
        <v>1088</v>
      </c>
      <c r="C753" s="17" t="s">
        <v>86</v>
      </c>
      <c r="D753" s="19">
        <v>40454</v>
      </c>
      <c r="F753" s="17">
        <v>9</v>
      </c>
      <c r="G753" s="17">
        <v>2025</v>
      </c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41" t="str">
        <f t="shared" si="231"/>
        <v>Incomplete</v>
      </c>
      <c r="AZ753" s="20"/>
      <c r="BA753" s="20" t="str">
        <f t="shared" si="232"/>
        <v>Incomplete</v>
      </c>
      <c r="BB753" s="20"/>
      <c r="BC753" s="20" t="str">
        <f t="shared" si="233"/>
        <v>Incomplete</v>
      </c>
      <c r="BD753" s="20"/>
      <c r="BE753" s="20" t="str">
        <f t="shared" si="234"/>
        <v>Incomplete</v>
      </c>
      <c r="BF753" s="20"/>
      <c r="BG753" s="20">
        <v>16.5</v>
      </c>
      <c r="BH753" s="20">
        <v>39</v>
      </c>
      <c r="BI753" s="20" t="e">
        <f>IF(OR(ISBLANK(#REF!), ISBLANK(#REF!)),"Incomplete",(SUM(#REF!-#REF!)))</f>
        <v>#REF!</v>
      </c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91" t="str">
        <f t="shared" si="235"/>
        <v>Incomplete</v>
      </c>
      <c r="BX753" s="91" t="str">
        <f>_xlfn.XLOOKUP(BW753,'Normative data'!$V$3:$V$6,'Normative data'!$W$3:$W$6,"Not Found",-1)</f>
        <v>Very low risk</v>
      </c>
      <c r="BY753" s="91" t="str">
        <f t="shared" si="236"/>
        <v>Incomplete</v>
      </c>
      <c r="BZ753" s="91" t="str">
        <f>_xlfn.XLOOKUP(BY753,'Normative data'!$V$3:$V$6,'Normative data'!$W$3:$W$6,"Not Found",-1)</f>
        <v>Very low risk</v>
      </c>
      <c r="CA753" s="20"/>
      <c r="CC753" s="20"/>
      <c r="CE753" s="20"/>
      <c r="CG753" s="20"/>
      <c r="CH753" s="20" t="str">
        <f>_xlfn.XLOOKUP(CG753, 'Normative data'!$S$9:$S$15,'Normative data'!$T$9:$T$15, "Not Found", -1)</f>
        <v>not completed</v>
      </c>
      <c r="CI753" s="20"/>
      <c r="CJ753" s="20" t="str">
        <f>_xlfn.XLOOKUP(CI753, 'Normative data'!$S$9:$S$15, 'Normative data'!$T$9:$T$15, "Not Found", -1)</f>
        <v>not completed</v>
      </c>
      <c r="CK753" s="21">
        <v>2.14</v>
      </c>
      <c r="CL753" s="21">
        <v>4.67</v>
      </c>
      <c r="CM753" s="21"/>
      <c r="CN753" s="21">
        <v>6.96</v>
      </c>
      <c r="CO753" s="21">
        <v>7.18</v>
      </c>
      <c r="CP753" s="21"/>
      <c r="CQ753" s="20"/>
      <c r="CR753" s="20" t="str" cm="1">
        <f t="array" ref="CR753">IF(OR(ISBLANK(E753),ISBLANK(CQ753)),"Incomplete",_xlfn.XLOOKUP(CQ753,_xlfn.XLOOKUP(E753,'Normative data'!$Y$3:$Y$6,'Normative data'!$Z$3:$AG$6,,-1),'Normative data'!$Z$2:$AG$2,"Not Found",-1))</f>
        <v>Incomplete</v>
      </c>
      <c r="CS753" s="20"/>
      <c r="CT753" s="20"/>
      <c r="CU753" s="20" t="str" cm="1">
        <f t="array" ref="CU753">_xlfn.XLOOKUP(CS753&amp;CT753,(VLOOKUP!$A$3:$A$250)&amp;(VLOOKUP!$B$3:$B$250),VLOOKUP!$C$3:$C$250,"Incomplete",-1)</f>
        <v>Incomplete</v>
      </c>
      <c r="CV753" s="20" t="str" cm="1">
        <f t="array" ref="CV753">_xlfn.XLOOKUP(CU753, _xlfn.XLOOKUP(E753, 'Normative data'!$Y$11:$Y$14, 'Normative data'!$Z$11:$AG$14, ,-1), 'Normative data'!$Z$10:$AG$10, "Not Found", -1)</f>
        <v>Excellent</v>
      </c>
      <c r="CW753" s="20" t="str" cm="1">
        <f t="array" ref="CW753">IF(OR(ISBLANK(CS753),ISBLANK(CT753)),"Incomplete",_xlfn.XLOOKUP(CS753&amp;CT753,VLOOKUP!$A$4:$A$250&amp;VLOOKUP!$B$4:$B$250,VLOOKUP!$D$4:$D$250,"0"))</f>
        <v>Incomplete</v>
      </c>
    </row>
    <row r="754" spans="1:101">
      <c r="A754" s="17" t="s">
        <v>1413</v>
      </c>
      <c r="B754" s="17" t="s">
        <v>1088</v>
      </c>
      <c r="C754" s="17" t="s">
        <v>86</v>
      </c>
      <c r="D754" s="19">
        <v>40454</v>
      </c>
      <c r="F754" s="17">
        <v>9</v>
      </c>
      <c r="G754" s="17">
        <v>2025</v>
      </c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41" t="str">
        <f t="shared" si="231"/>
        <v>Incomplete</v>
      </c>
      <c r="AZ754" s="20"/>
      <c r="BA754" s="20" t="str">
        <f t="shared" si="232"/>
        <v>Incomplete</v>
      </c>
      <c r="BB754" s="20"/>
      <c r="BC754" s="20" t="str">
        <f t="shared" si="233"/>
        <v>Incomplete</v>
      </c>
      <c r="BD754" s="20"/>
      <c r="BE754" s="20" t="str">
        <f t="shared" si="234"/>
        <v>Incomplete</v>
      </c>
      <c r="BF754" s="20"/>
      <c r="BG754" s="20"/>
      <c r="BH754" s="20"/>
      <c r="BI754" s="20" t="str">
        <f t="shared" ref="BI754:BI759" si="238">IF(OR(ISBLANK(BG754), ISBLANK(BH754)),"Incomplete",(SUM(BH754-BG754)))</f>
        <v>Incomplete</v>
      </c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91" t="str">
        <f t="shared" si="235"/>
        <v>Incomplete</v>
      </c>
      <c r="BX754" s="91" t="str">
        <f>_xlfn.XLOOKUP(BW754,'Normative data'!$V$3:$V$6,'Normative data'!$W$3:$W$6,"Not Found",-1)</f>
        <v>Very low risk</v>
      </c>
      <c r="BY754" s="91" t="str">
        <f t="shared" si="236"/>
        <v>Incomplete</v>
      </c>
      <c r="BZ754" s="91" t="str">
        <f>_xlfn.XLOOKUP(BY754,'Normative data'!$V$3:$V$6,'Normative data'!$W$3:$W$6,"Not Found",-1)</f>
        <v>Very low risk</v>
      </c>
      <c r="CA754" s="20"/>
      <c r="CC754" s="20"/>
      <c r="CE754" s="20">
        <v>24</v>
      </c>
      <c r="CG754" s="20"/>
      <c r="CH754" s="20" t="str">
        <f>_xlfn.XLOOKUP(CG754, 'Normative data'!$S$9:$S$15,'Normative data'!$T$9:$T$15, "Not Found", -1)</f>
        <v>not completed</v>
      </c>
      <c r="CI754" s="20"/>
      <c r="CJ754" s="20" t="str">
        <f>_xlfn.XLOOKUP(CI754, 'Normative data'!$S$9:$S$15, 'Normative data'!$T$9:$T$15, "Not Found", -1)</f>
        <v>not completed</v>
      </c>
      <c r="CK754" s="20" t="s">
        <v>858</v>
      </c>
      <c r="CL754" s="20" t="s">
        <v>920</v>
      </c>
      <c r="CN754" s="20" t="s">
        <v>373</v>
      </c>
      <c r="CO754" s="20" t="s">
        <v>374</v>
      </c>
      <c r="CQ754" s="20"/>
      <c r="CR754" s="20" t="str" cm="1">
        <f t="array" ref="CR754">IF(OR(ISBLANK(E754),ISBLANK(CQ754)),"Incomplete",_xlfn.XLOOKUP(CQ754,_xlfn.XLOOKUP(E754,'Normative data'!$Y$3:$Y$6,'Normative data'!$Z$3:$AG$6,,-1),'Normative data'!$Z$2:$AG$2,"Not Found",-1))</f>
        <v>Incomplete</v>
      </c>
      <c r="CS754" s="20"/>
      <c r="CT754" s="20"/>
      <c r="CU754" s="20" t="str" cm="1">
        <f t="array" ref="CU754">_xlfn.XLOOKUP(CS754&amp;CT754,(VLOOKUP!$A$3:$A$250)&amp;(VLOOKUP!$B$3:$B$250),VLOOKUP!$C$3:$C$250,"Incomplete",-1)</f>
        <v>Incomplete</v>
      </c>
      <c r="CV754" s="20" t="str" cm="1">
        <f t="array" ref="CV754">_xlfn.XLOOKUP(CU754, _xlfn.XLOOKUP(E754, 'Normative data'!$Y$11:$Y$14, 'Normative data'!$Z$11:$AG$14, ,-1), 'Normative data'!$Z$10:$AG$10, "Not Found", -1)</f>
        <v>Excellent</v>
      </c>
      <c r="CW754" s="20" t="str" cm="1">
        <f t="array" ref="CW754">IF(OR(ISBLANK(CS754),ISBLANK(CT754)),"Incomplete",_xlfn.XLOOKUP(CS754&amp;CT754,VLOOKUP!$A$4:$A$250&amp;VLOOKUP!$B$4:$B$250,VLOOKUP!$D$4:$D$250,"0"))</f>
        <v>Incomplete</v>
      </c>
    </row>
    <row r="755" spans="1:101">
      <c r="A755" s="22" t="s">
        <v>1414</v>
      </c>
      <c r="B755" s="22" t="s">
        <v>1088</v>
      </c>
      <c r="C755" s="17" t="s">
        <v>86</v>
      </c>
      <c r="D755" s="23">
        <v>39470</v>
      </c>
      <c r="F755" s="17">
        <v>11</v>
      </c>
      <c r="G755" s="17">
        <v>2025</v>
      </c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41" t="str">
        <f t="shared" si="231"/>
        <v>Incomplete</v>
      </c>
      <c r="AZ755" s="20"/>
      <c r="BA755" s="20" t="str">
        <f t="shared" si="232"/>
        <v>Incomplete</v>
      </c>
      <c r="BB755" s="20"/>
      <c r="BC755" s="20" t="str">
        <f t="shared" si="233"/>
        <v>Incomplete</v>
      </c>
      <c r="BD755" s="20"/>
      <c r="BE755" s="20" t="str">
        <f t="shared" si="234"/>
        <v>Incomplete</v>
      </c>
      <c r="BF755" s="20"/>
      <c r="BG755" s="20">
        <v>16</v>
      </c>
      <c r="BH755" s="20">
        <v>23.8</v>
      </c>
      <c r="BI755" s="20">
        <f t="shared" si="238"/>
        <v>7.8000000000000007</v>
      </c>
      <c r="BJ755" s="20"/>
      <c r="BK755" s="20">
        <v>9</v>
      </c>
      <c r="BL755" s="20"/>
      <c r="BM755" s="20">
        <v>10</v>
      </c>
      <c r="BN755" s="20"/>
      <c r="BO755" s="20"/>
      <c r="BP755" s="20"/>
      <c r="BQ755" s="20"/>
      <c r="BR755" s="20"/>
      <c r="BS755" s="20"/>
      <c r="BT755" s="20"/>
      <c r="BU755" s="20"/>
      <c r="BV755" s="20"/>
      <c r="BW755" s="91" t="str">
        <f t="shared" si="235"/>
        <v>Incomplete</v>
      </c>
      <c r="BX755" s="91" t="str">
        <f>_xlfn.XLOOKUP(BW755,'Normative data'!$V$3:$V$6,'Normative data'!$W$3:$W$6,"Not Found",-1)</f>
        <v>Very low risk</v>
      </c>
      <c r="BY755" s="91" t="str">
        <f t="shared" si="236"/>
        <v>Incomplete</v>
      </c>
      <c r="BZ755" s="91" t="str">
        <f>_xlfn.XLOOKUP(BY755,'Normative data'!$V$3:$V$6,'Normative data'!$W$3:$W$6,"Not Found",-1)</f>
        <v>Very low risk</v>
      </c>
      <c r="CA755" s="20"/>
      <c r="CC755" s="20"/>
      <c r="CE755" s="20"/>
      <c r="CG755" s="20"/>
      <c r="CH755" s="20" t="str">
        <f>_xlfn.XLOOKUP(CG755, 'Normative data'!$S$9:$S$15,'Normative data'!$T$9:$T$15, "Not Found", -1)</f>
        <v>not completed</v>
      </c>
      <c r="CI755" s="20"/>
      <c r="CJ755" s="20" t="str">
        <f>_xlfn.XLOOKUP(CI755, 'Normative data'!$S$9:$S$15, 'Normative data'!$T$9:$T$15, "Not Found", -1)</f>
        <v>not completed</v>
      </c>
      <c r="CK755" s="24">
        <v>2.2599999999999998</v>
      </c>
      <c r="CL755" s="24">
        <v>4.42</v>
      </c>
      <c r="CM755" s="21"/>
      <c r="CN755" s="24">
        <v>7.03</v>
      </c>
      <c r="CO755" s="24">
        <v>7.11</v>
      </c>
      <c r="CP755" s="24"/>
      <c r="CQ755" s="20"/>
      <c r="CR755" s="20" t="str" cm="1">
        <f t="array" ref="CR755">IF(OR(ISBLANK(E755),ISBLANK(CQ755)),"Incomplete",_xlfn.XLOOKUP(CQ755,_xlfn.XLOOKUP(E755,'Normative data'!$Y$3:$Y$6,'Normative data'!$Z$3:$AG$6,,-1),'Normative data'!$Z$2:$AG$2,"Not Found",-1))</f>
        <v>Incomplete</v>
      </c>
      <c r="CS755" s="20"/>
      <c r="CT755" s="20"/>
      <c r="CU755" s="20" t="str" cm="1">
        <f t="array" ref="CU755">_xlfn.XLOOKUP(CS755&amp;CT755,(VLOOKUP!$A$3:$A$250)&amp;(VLOOKUP!$B$3:$B$250),VLOOKUP!$C$3:$C$250,"Incomplete",-1)</f>
        <v>Incomplete</v>
      </c>
      <c r="CV755" s="20" t="str" cm="1">
        <f t="array" ref="CV755">_xlfn.XLOOKUP(CU755, _xlfn.XLOOKUP(E755, 'Normative data'!$Y$11:$Y$14, 'Normative data'!$Z$11:$AG$14, ,-1), 'Normative data'!$Z$10:$AG$10, "Not Found", -1)</f>
        <v>Excellent</v>
      </c>
      <c r="CW755" s="20" t="str" cm="1">
        <f t="array" ref="CW755">IF(OR(ISBLANK(CS755),ISBLANK(CT755)),"Incomplete",_xlfn.XLOOKUP(CS755&amp;CT755,VLOOKUP!$A$4:$A$250&amp;VLOOKUP!$B$4:$B$250,VLOOKUP!$D$4:$D$250,"0"))</f>
        <v>Incomplete</v>
      </c>
    </row>
    <row r="756" spans="1:101">
      <c r="A756" s="22" t="s">
        <v>1414</v>
      </c>
      <c r="B756" s="22" t="s">
        <v>1088</v>
      </c>
      <c r="C756" s="17" t="s">
        <v>86</v>
      </c>
      <c r="D756" s="23">
        <v>39470</v>
      </c>
      <c r="F756" s="17">
        <v>11</v>
      </c>
      <c r="G756" s="17">
        <v>2025</v>
      </c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41" t="str">
        <f t="shared" si="231"/>
        <v>Incomplete</v>
      </c>
      <c r="AZ756" s="20"/>
      <c r="BA756" s="20" t="str">
        <f t="shared" si="232"/>
        <v>Incomplete</v>
      </c>
      <c r="BB756" s="20"/>
      <c r="BC756" s="20" t="str">
        <f t="shared" si="233"/>
        <v>Incomplete</v>
      </c>
      <c r="BD756" s="20"/>
      <c r="BE756" s="20" t="str">
        <f t="shared" si="234"/>
        <v>Incomplete</v>
      </c>
      <c r="BF756" s="20"/>
      <c r="BG756" s="20"/>
      <c r="BH756" s="20"/>
      <c r="BI756" s="20" t="str">
        <f t="shared" si="238"/>
        <v>Incomplete</v>
      </c>
      <c r="BJ756" s="20"/>
      <c r="BK756" s="20">
        <v>9</v>
      </c>
      <c r="BL756" s="20"/>
      <c r="BM756" s="20">
        <v>10</v>
      </c>
      <c r="BN756" s="20"/>
      <c r="BO756" s="20"/>
      <c r="BP756" s="20"/>
      <c r="BQ756" s="20"/>
      <c r="BR756" s="20"/>
      <c r="BS756" s="20"/>
      <c r="BT756" s="20"/>
      <c r="BU756" s="20"/>
      <c r="BV756" s="20"/>
      <c r="BW756" s="91" t="str">
        <f t="shared" si="235"/>
        <v>Incomplete</v>
      </c>
      <c r="BX756" s="91" t="str">
        <f>_xlfn.XLOOKUP(BW756,'Normative data'!$V$3:$V$6,'Normative data'!$W$3:$W$6,"Not Found",-1)</f>
        <v>Very low risk</v>
      </c>
      <c r="BY756" s="91" t="str">
        <f t="shared" si="236"/>
        <v>Incomplete</v>
      </c>
      <c r="BZ756" s="91" t="str">
        <f>_xlfn.XLOOKUP(BY756,'Normative data'!$V$3:$V$6,'Normative data'!$W$3:$W$6,"Not Found",-1)</f>
        <v>Very low risk</v>
      </c>
      <c r="CA756" s="20"/>
      <c r="CC756" s="20"/>
      <c r="CE756" s="20"/>
      <c r="CG756" s="20"/>
      <c r="CH756" s="20" t="str">
        <f>_xlfn.XLOOKUP(CG756, 'Normative data'!$S$9:$S$15,'Normative data'!$T$9:$T$15, "Not Found", -1)</f>
        <v>not completed</v>
      </c>
      <c r="CI756" s="20"/>
      <c r="CJ756" s="20" t="str">
        <f>_xlfn.XLOOKUP(CI756, 'Normative data'!$S$9:$S$15, 'Normative data'!$T$9:$T$15, "Not Found", -1)</f>
        <v>not completed</v>
      </c>
      <c r="CK756" s="20" t="s">
        <v>259</v>
      </c>
      <c r="CL756" s="20" t="s">
        <v>653</v>
      </c>
      <c r="CM756" s="21"/>
      <c r="CN756" s="20" t="s">
        <v>148</v>
      </c>
      <c r="CO756" s="20" t="s">
        <v>338</v>
      </c>
      <c r="CP756" s="24"/>
      <c r="CQ756" s="20"/>
      <c r="CR756" s="20" t="str" cm="1">
        <f t="array" ref="CR756">IF(OR(ISBLANK(E756),ISBLANK(CQ756)),"Incomplete",_xlfn.XLOOKUP(CQ756,_xlfn.XLOOKUP(E756,'Normative data'!$Y$3:$Y$6,'Normative data'!$Z$3:$AG$6,,-1),'Normative data'!$Z$2:$AG$2,"Not Found",-1))</f>
        <v>Incomplete</v>
      </c>
      <c r="CS756" s="20"/>
      <c r="CT756" s="20"/>
      <c r="CU756" s="20" t="str" cm="1">
        <f t="array" ref="CU756">_xlfn.XLOOKUP(CS756&amp;CT756,(VLOOKUP!$A$3:$A$250)&amp;(VLOOKUP!$B$3:$B$250),VLOOKUP!$C$3:$C$250,"Incomplete",-1)</f>
        <v>Incomplete</v>
      </c>
      <c r="CV756" s="20" t="str" cm="1">
        <f t="array" ref="CV756">_xlfn.XLOOKUP(CU756, _xlfn.XLOOKUP(E756, 'Normative data'!$Y$11:$Y$14, 'Normative data'!$Z$11:$AG$14, ,-1), 'Normative data'!$Z$10:$AG$10, "Not Found", -1)</f>
        <v>Excellent</v>
      </c>
      <c r="CW756" s="20" t="str" cm="1">
        <f t="array" ref="CW756">IF(OR(ISBLANK(CS756),ISBLANK(CT756)),"Incomplete",_xlfn.XLOOKUP(CS756&amp;CT756,VLOOKUP!$A$4:$A$250&amp;VLOOKUP!$B$4:$B$250,VLOOKUP!$D$4:$D$250,"0"))</f>
        <v>Incomplete</v>
      </c>
    </row>
    <row r="757" spans="1:101">
      <c r="A757" s="17" t="s">
        <v>427</v>
      </c>
      <c r="B757" s="17" t="s">
        <v>426</v>
      </c>
      <c r="C757" s="17" t="s">
        <v>86</v>
      </c>
      <c r="D757" s="26"/>
      <c r="F757" s="20" t="s">
        <v>178</v>
      </c>
      <c r="G757" s="17">
        <v>2026</v>
      </c>
      <c r="I757" s="20">
        <v>2</v>
      </c>
      <c r="J757" s="20" t="s">
        <v>88</v>
      </c>
      <c r="K757" s="20" t="s">
        <v>556</v>
      </c>
      <c r="L757" s="20"/>
      <c r="S757" s="20">
        <v>83.7</v>
      </c>
      <c r="T757" s="20">
        <v>159.4</v>
      </c>
      <c r="AQ757" s="20"/>
      <c r="AR757" s="20"/>
      <c r="AS757" s="20"/>
      <c r="AT757" s="20"/>
      <c r="AU757" s="20"/>
      <c r="AV757" s="20"/>
      <c r="AW757" s="20"/>
      <c r="AX757" s="20"/>
      <c r="AY757" s="41" t="str">
        <f t="shared" si="231"/>
        <v>Incomplete</v>
      </c>
      <c r="BA757" s="20" t="str">
        <f t="shared" si="232"/>
        <v>Incomplete</v>
      </c>
      <c r="BC757" s="20" t="str">
        <f t="shared" si="233"/>
        <v>Incomplete</v>
      </c>
      <c r="BE757" s="20" t="str">
        <f t="shared" si="234"/>
        <v>Incomplete</v>
      </c>
      <c r="BG757" s="17">
        <v>11</v>
      </c>
      <c r="BH757" s="17">
        <v>33.200000000000003</v>
      </c>
      <c r="BI757" s="20">
        <f t="shared" si="238"/>
        <v>22.200000000000003</v>
      </c>
      <c r="BJ757" s="20"/>
      <c r="BL757" s="20"/>
      <c r="BM757" s="20"/>
      <c r="BN757" s="20"/>
      <c r="BQ757" s="17">
        <v>71</v>
      </c>
      <c r="BR757" s="17">
        <v>73</v>
      </c>
      <c r="BS757" s="17">
        <v>74</v>
      </c>
      <c r="BT757" s="17">
        <v>66</v>
      </c>
      <c r="BU757" s="17">
        <v>67</v>
      </c>
      <c r="BV757" s="17">
        <v>64</v>
      </c>
      <c r="BW757" s="91">
        <f t="shared" si="235"/>
        <v>95.992954645530588</v>
      </c>
      <c r="BX757" s="91" t="str">
        <f>_xlfn.XLOOKUP(BW757,'Normative data'!$V$3:$V$6,'Normative data'!$W$3:$W$6,"Not Found",-1)</f>
        <v>Low risk</v>
      </c>
      <c r="BY757" s="91">
        <f t="shared" si="236"/>
        <v>86.745926904447373</v>
      </c>
      <c r="BZ757" s="91" t="str">
        <f>_xlfn.XLOOKUP(BY757,'Normative data'!$V$3:$V$6,'Normative data'!$W$3:$W$6,"Not Found",-1)</f>
        <v>High risk</v>
      </c>
      <c r="CA757" s="17">
        <v>20</v>
      </c>
      <c r="CC757" s="20"/>
      <c r="CE757" s="17">
        <v>15</v>
      </c>
      <c r="CG757" s="17">
        <v>18.899999999999999</v>
      </c>
      <c r="CH757" s="20" t="str">
        <f>_xlfn.XLOOKUP(CG757, 'Normative data'!$S$9:$S$15,'Normative data'!$T$9:$T$15, "Not Found", -1)</f>
        <v>Average</v>
      </c>
      <c r="CI757" s="17">
        <v>19.07</v>
      </c>
      <c r="CJ757" s="20" t="str">
        <f>_xlfn.XLOOKUP(CI757, 'Normative data'!$S$9:$S$15, 'Normative data'!$T$9:$T$15, "Not Found", -1)</f>
        <v>Average</v>
      </c>
      <c r="CK757" s="17">
        <v>2.72</v>
      </c>
      <c r="CL757" s="17">
        <v>3.68</v>
      </c>
      <c r="CN757" s="17">
        <v>8.2799999999999994</v>
      </c>
      <c r="CO757" s="17">
        <v>6.04</v>
      </c>
      <c r="CQ757" s="17">
        <v>5.0999999999999996</v>
      </c>
      <c r="CR757" s="20" t="str" cm="1">
        <f t="array" ref="CR757">IF(OR(ISBLANK(E757),ISBLANK(CQ757)),"Incomplete",_xlfn.XLOOKUP(CQ757,_xlfn.XLOOKUP(E757,'Normative data'!$Y$3:$Y$6,'Normative data'!$Z$3:$AG$6,,-1),'Normative data'!$Z$2:$AG$2,"Not Found",-1))</f>
        <v>Incomplete</v>
      </c>
      <c r="CS757" s="20">
        <v>5</v>
      </c>
      <c r="CT757" s="20">
        <v>1</v>
      </c>
      <c r="CU757" s="20" cm="1">
        <f t="array" ref="CU757">_xlfn.XLOOKUP(CS757&amp;CT757,(VLOOKUP!$A$3:$A$250)&amp;(VLOOKUP!$B$3:$B$250),VLOOKUP!$C$3:$C$250,"Incomplete",-1)</f>
        <v>660</v>
      </c>
      <c r="CV757" s="20" t="str" cm="1">
        <f t="array" ref="CV757">_xlfn.XLOOKUP(CU757, _xlfn.XLOOKUP(E757, 'Normative data'!$Y$11:$Y$14, 'Normative data'!$Z$11:$AG$14, ,-1), 'Normative data'!$Z$10:$AG$10, "Not Found", -1)</f>
        <v xml:space="preserve">Poor </v>
      </c>
      <c r="CW757" s="20" cm="1">
        <f t="array" ref="CW757">IF(OR(ISBLANK(CS757),ISBLANK(CT757)),"Incomplete",_xlfn.XLOOKUP(CS757&amp;CT757,VLOOKUP!$A$4:$A$250&amp;VLOOKUP!$B$4:$B$250,VLOOKUP!$D$4:$D$250,"0"))</f>
        <v>30</v>
      </c>
    </row>
    <row r="758" spans="1:101">
      <c r="A758" s="17" t="s">
        <v>390</v>
      </c>
      <c r="B758" s="17" t="s">
        <v>592</v>
      </c>
      <c r="C758" s="17" t="s">
        <v>86</v>
      </c>
      <c r="D758" s="26">
        <v>40088</v>
      </c>
      <c r="F758" s="17">
        <v>10</v>
      </c>
      <c r="G758" s="17">
        <v>2025</v>
      </c>
      <c r="S758" s="20"/>
      <c r="T758" s="20">
        <v>165.7</v>
      </c>
      <c r="U758" s="20">
        <v>60.5</v>
      </c>
      <c r="V758" s="20"/>
      <c r="W758" s="20">
        <v>13.7</v>
      </c>
      <c r="X758" s="20">
        <f>SUM(T758-W758)</f>
        <v>152</v>
      </c>
      <c r="Y758" s="20">
        <v>26</v>
      </c>
      <c r="Z758" s="20">
        <v>22</v>
      </c>
      <c r="AA758" s="20">
        <v>22.6</v>
      </c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41" t="str">
        <f t="shared" si="231"/>
        <v>Incomplete</v>
      </c>
      <c r="AZ758" s="20"/>
      <c r="BA758" s="20" t="str">
        <f t="shared" si="232"/>
        <v>Incomplete</v>
      </c>
      <c r="BB758" s="20"/>
      <c r="BC758" s="20" t="str">
        <f t="shared" si="233"/>
        <v>Incomplete</v>
      </c>
      <c r="BD758" s="20"/>
      <c r="BE758" s="20" t="str">
        <f t="shared" si="234"/>
        <v>Incomplete</v>
      </c>
      <c r="BF758" s="20"/>
      <c r="BG758" s="20"/>
      <c r="BH758" s="20"/>
      <c r="BI758" s="20" t="str">
        <f t="shared" si="238"/>
        <v>Incomplete</v>
      </c>
      <c r="BJ758" s="20"/>
      <c r="BK758" s="20">
        <v>8</v>
      </c>
      <c r="BL758" s="20"/>
      <c r="BM758" s="20">
        <v>7</v>
      </c>
      <c r="BN758" s="20"/>
      <c r="BO758" s="20"/>
      <c r="BP758" s="20"/>
      <c r="BQ758" s="20"/>
      <c r="BR758" s="20"/>
      <c r="BS758" s="20"/>
      <c r="BT758" s="20"/>
      <c r="BU758" s="20"/>
      <c r="BV758" s="20"/>
      <c r="BW758" s="91">
        <f t="shared" si="235"/>
        <v>0</v>
      </c>
      <c r="BX758" s="91" t="str">
        <f>_xlfn.XLOOKUP(BW758,'Normative data'!$V$3:$V$6,'Normative data'!$W$3:$W$6,"Not Found",-1)</f>
        <v>Not completed</v>
      </c>
      <c r="BY758" s="91">
        <f t="shared" si="236"/>
        <v>0</v>
      </c>
      <c r="BZ758" s="91" t="str">
        <f>_xlfn.XLOOKUP(BY758,'Normative data'!$V$3:$V$6,'Normative data'!$W$3:$W$6,"Not Found",-1)</f>
        <v>Not completed</v>
      </c>
      <c r="CA758" s="20"/>
      <c r="CC758" s="20"/>
      <c r="CE758" s="20"/>
      <c r="CG758" s="20"/>
      <c r="CH758" s="20" t="str">
        <f>_xlfn.XLOOKUP(CG758, 'Normative data'!$S$9:$S$15,'Normative data'!$T$9:$T$15, "Not Found", -1)</f>
        <v>not completed</v>
      </c>
      <c r="CI758" s="20"/>
      <c r="CJ758" s="20" t="str">
        <f>_xlfn.XLOOKUP(CI758, 'Normative data'!$S$9:$S$15, 'Normative data'!$T$9:$T$15, "Not Found", -1)</f>
        <v>not completed</v>
      </c>
      <c r="CK758" s="21">
        <v>2.27</v>
      </c>
      <c r="CL758" s="21">
        <v>4.41</v>
      </c>
      <c r="CM758" s="21"/>
      <c r="CN758" s="21">
        <v>6.89</v>
      </c>
      <c r="CO758" s="21">
        <v>7.26</v>
      </c>
      <c r="CQ758" s="20"/>
      <c r="CR758" s="20" t="str" cm="1">
        <f t="array" ref="CR758">IF(OR(ISBLANK(E758),ISBLANK(CQ758)),"Incomplete",_xlfn.XLOOKUP(CQ758,_xlfn.XLOOKUP(E758,'Normative data'!$Y$3:$Y$6,'Normative data'!$Z$3:$AG$6,,-1),'Normative data'!$Z$2:$AG$2,"Not Found",-1))</f>
        <v>Incomplete</v>
      </c>
      <c r="CS758" s="20"/>
      <c r="CT758" s="20"/>
      <c r="CU758" s="20" t="str" cm="1">
        <f t="array" ref="CU758">_xlfn.XLOOKUP(CS758&amp;CT758,(VLOOKUP!$A$3:$A$250)&amp;(VLOOKUP!$B$3:$B$250),VLOOKUP!$C$3:$C$250,"Incomplete",-1)</f>
        <v>Incomplete</v>
      </c>
      <c r="CV758" s="20" t="str" cm="1">
        <f t="array" ref="CV758">_xlfn.XLOOKUP(CU758, _xlfn.XLOOKUP(E758, 'Normative data'!$Y$11:$Y$14, 'Normative data'!$Z$11:$AG$14, ,-1), 'Normative data'!$Z$10:$AG$10, "Not Found", -1)</f>
        <v>Excellent</v>
      </c>
      <c r="CW758" s="20" t="str" cm="1">
        <f t="array" ref="CW758">IF(OR(ISBLANK(CS758),ISBLANK(CT758)),"Incomplete",_xlfn.XLOOKUP(CS758&amp;CT758,VLOOKUP!$A$4:$A$250&amp;VLOOKUP!$B$4:$B$250,VLOOKUP!$D$4:$D$250,"0"))</f>
        <v>Incomplete</v>
      </c>
    </row>
    <row r="759" spans="1:101">
      <c r="A759" s="17" t="s">
        <v>390</v>
      </c>
      <c r="B759" s="17" t="s">
        <v>592</v>
      </c>
      <c r="C759" s="17" t="s">
        <v>86</v>
      </c>
      <c r="D759" s="26">
        <v>40088</v>
      </c>
      <c r="F759" s="17">
        <v>10</v>
      </c>
      <c r="G759" s="17">
        <v>2025</v>
      </c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41" t="str">
        <f t="shared" si="231"/>
        <v>Incomplete</v>
      </c>
      <c r="AZ759" s="20"/>
      <c r="BA759" s="20" t="str">
        <f t="shared" si="232"/>
        <v>Incomplete</v>
      </c>
      <c r="BB759" s="20"/>
      <c r="BC759" s="20" t="str">
        <f t="shared" si="233"/>
        <v>Incomplete</v>
      </c>
      <c r="BD759" s="20"/>
      <c r="BE759" s="20" t="str">
        <f t="shared" si="234"/>
        <v>Incomplete</v>
      </c>
      <c r="BF759" s="20"/>
      <c r="BG759" s="20"/>
      <c r="BH759" s="20"/>
      <c r="BI759" s="20" t="str">
        <f t="shared" si="238"/>
        <v>Incomplete</v>
      </c>
      <c r="BJ759" s="20"/>
      <c r="BK759" s="20">
        <v>12</v>
      </c>
      <c r="BL759" s="20"/>
      <c r="BM759" s="20">
        <v>11</v>
      </c>
      <c r="BN759" s="20"/>
      <c r="BO759" s="20"/>
      <c r="BP759" s="20"/>
      <c r="BQ759" s="20"/>
      <c r="BR759" s="20"/>
      <c r="BS759" s="20"/>
      <c r="BT759" s="20"/>
      <c r="BU759" s="20"/>
      <c r="BV759" s="20"/>
      <c r="BW759" s="91" t="str">
        <f t="shared" si="235"/>
        <v>Incomplete</v>
      </c>
      <c r="BX759" s="91" t="str">
        <f>_xlfn.XLOOKUP(BW759,'Normative data'!$V$3:$V$6,'Normative data'!$W$3:$W$6,"Not Found",-1)</f>
        <v>Very low risk</v>
      </c>
      <c r="BY759" s="91" t="str">
        <f t="shared" si="236"/>
        <v>Incomplete</v>
      </c>
      <c r="BZ759" s="91" t="str">
        <f>_xlfn.XLOOKUP(BY759,'Normative data'!$V$3:$V$6,'Normative data'!$W$3:$W$6,"Not Found",-1)</f>
        <v>Very low risk</v>
      </c>
      <c r="CA759" s="20"/>
      <c r="CC759" s="20"/>
      <c r="CE759" s="20">
        <v>21</v>
      </c>
      <c r="CG759" s="20"/>
      <c r="CH759" s="20" t="str">
        <f>_xlfn.XLOOKUP(CG759, 'Normative data'!$S$9:$S$15,'Normative data'!$T$9:$T$15, "Not Found", -1)</f>
        <v>not completed</v>
      </c>
      <c r="CI759" s="20"/>
      <c r="CJ759" s="20" t="str">
        <f>_xlfn.XLOOKUP(CI759, 'Normative data'!$S$9:$S$15, 'Normative data'!$T$9:$T$15, "Not Found", -1)</f>
        <v>not completed</v>
      </c>
      <c r="CK759" s="21">
        <v>2.27</v>
      </c>
      <c r="CL759" s="21">
        <v>4.41</v>
      </c>
      <c r="CM759" s="21"/>
      <c r="CN759" s="21">
        <v>6.89</v>
      </c>
      <c r="CO759" s="21">
        <v>7.26</v>
      </c>
      <c r="CP759" s="21"/>
      <c r="CQ759" s="20"/>
      <c r="CR759" s="20" t="str" cm="1">
        <f t="array" ref="CR759">IF(OR(ISBLANK(E759),ISBLANK(CQ759)),"Incomplete",_xlfn.XLOOKUP(CQ759,_xlfn.XLOOKUP(E759,'Normative data'!$Y$3:$Y$6,'Normative data'!$Z$3:$AG$6,,-1),'Normative data'!$Z$2:$AG$2,"Not Found",-1))</f>
        <v>Incomplete</v>
      </c>
      <c r="CS759" s="20"/>
      <c r="CT759" s="20"/>
      <c r="CU759" s="20" t="str" cm="1">
        <f t="array" ref="CU759">_xlfn.XLOOKUP(CS759&amp;CT759,(VLOOKUP!$A$3:$A$250)&amp;(VLOOKUP!$B$3:$B$250),VLOOKUP!$C$3:$C$250,"Incomplete",-1)</f>
        <v>Incomplete</v>
      </c>
      <c r="CV759" s="20" t="str" cm="1">
        <f t="array" ref="CV759">_xlfn.XLOOKUP(CU759, _xlfn.XLOOKUP(E759, 'Normative data'!$Y$11:$Y$14, 'Normative data'!$Z$11:$AG$14, ,-1), 'Normative data'!$Z$10:$AG$10, "Not Found", -1)</f>
        <v>Excellent</v>
      </c>
      <c r="CW759" s="20" t="str" cm="1">
        <f t="array" ref="CW759">IF(OR(ISBLANK(CS759),ISBLANK(CT759)),"Incomplete",_xlfn.XLOOKUP(CS759&amp;CT759,VLOOKUP!$A$4:$A$250&amp;VLOOKUP!$B$4:$B$250,VLOOKUP!$D$4:$D$250,"0"))</f>
        <v>Incomplete</v>
      </c>
    </row>
    <row r="760" spans="1:101">
      <c r="A760" s="17" t="s">
        <v>390</v>
      </c>
      <c r="B760" s="17" t="s">
        <v>592</v>
      </c>
      <c r="C760" s="17" t="s">
        <v>86</v>
      </c>
      <c r="D760" s="26">
        <v>40088</v>
      </c>
      <c r="F760" s="17">
        <v>10</v>
      </c>
      <c r="G760" s="17">
        <v>2025</v>
      </c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41" t="str">
        <f t="shared" si="231"/>
        <v>Incomplete</v>
      </c>
      <c r="AZ760" s="20"/>
      <c r="BA760" s="20" t="str">
        <f t="shared" si="232"/>
        <v>Incomplete</v>
      </c>
      <c r="BB760" s="20"/>
      <c r="BC760" s="20" t="str">
        <f t="shared" si="233"/>
        <v>Incomplete</v>
      </c>
      <c r="BD760" s="20"/>
      <c r="BE760" s="20" t="str">
        <f t="shared" si="234"/>
        <v>Incomplete</v>
      </c>
      <c r="BF760" s="20"/>
      <c r="BG760" s="20">
        <v>19.5</v>
      </c>
      <c r="BH760" s="20">
        <v>41.5</v>
      </c>
      <c r="BI760" s="20" t="e">
        <f>IF(OR(ISBLANK(#REF!), ISBLANK(#REF!)),"Incomplete",(SUM(#REF!-#REF!)))</f>
        <v>#REF!</v>
      </c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91" t="str">
        <f t="shared" si="235"/>
        <v>Incomplete</v>
      </c>
      <c r="BX760" s="91" t="str">
        <f>_xlfn.XLOOKUP(BW760,'Normative data'!$V$3:$V$6,'Normative data'!$W$3:$W$6,"Not Found",-1)</f>
        <v>Very low risk</v>
      </c>
      <c r="BY760" s="91" t="str">
        <f t="shared" si="236"/>
        <v>Incomplete</v>
      </c>
      <c r="BZ760" s="91" t="str">
        <f>_xlfn.XLOOKUP(BY760,'Normative data'!$V$3:$V$6,'Normative data'!$W$3:$W$6,"Not Found",-1)</f>
        <v>Very low risk</v>
      </c>
      <c r="CA760" s="20"/>
      <c r="CC760" s="20"/>
      <c r="CE760" s="20"/>
      <c r="CG760" s="20"/>
      <c r="CH760" s="20" t="str">
        <f>_xlfn.XLOOKUP(CG760, 'Normative data'!$S$9:$S$15,'Normative data'!$T$9:$T$15, "Not Found", -1)</f>
        <v>not completed</v>
      </c>
      <c r="CI760" s="20"/>
      <c r="CJ760" s="20" t="str">
        <f>_xlfn.XLOOKUP(CI760, 'Normative data'!$S$9:$S$15, 'Normative data'!$T$9:$T$15, "Not Found", -1)</f>
        <v>not completed</v>
      </c>
      <c r="CK760" s="20" t="s">
        <v>428</v>
      </c>
      <c r="CL760" s="20" t="s">
        <v>905</v>
      </c>
      <c r="CM760" s="21"/>
      <c r="CN760" s="20" t="s">
        <v>1415</v>
      </c>
      <c r="CO760" s="20" t="s">
        <v>1281</v>
      </c>
      <c r="CQ760" s="20"/>
      <c r="CR760" s="20" t="str" cm="1">
        <f t="array" ref="CR760">IF(OR(ISBLANK(E760),ISBLANK(CQ760)),"Incomplete",_xlfn.XLOOKUP(CQ760,_xlfn.XLOOKUP(E760,'Normative data'!$Y$3:$Y$6,'Normative data'!$Z$3:$AG$6,,-1),'Normative data'!$Z$2:$AG$2,"Not Found",-1))</f>
        <v>Incomplete</v>
      </c>
      <c r="CS760" s="20"/>
      <c r="CT760" s="20"/>
      <c r="CU760" s="20" t="str" cm="1">
        <f t="array" ref="CU760">_xlfn.XLOOKUP(CS760&amp;CT760,(VLOOKUP!$A$3:$A$250)&amp;(VLOOKUP!$B$3:$B$250),VLOOKUP!$C$3:$C$250,"Incomplete",-1)</f>
        <v>Incomplete</v>
      </c>
      <c r="CV760" s="20" t="str" cm="1">
        <f t="array" ref="CV760">_xlfn.XLOOKUP(CU760, _xlfn.XLOOKUP(E760, 'Normative data'!$Y$11:$Y$14, 'Normative data'!$Z$11:$AG$14, ,-1), 'Normative data'!$Z$10:$AG$10, "Not Found", -1)</f>
        <v>Excellent</v>
      </c>
      <c r="CW760" s="20" t="str" cm="1">
        <f t="array" ref="CW760">IF(OR(ISBLANK(CS760),ISBLANK(CT760)),"Incomplete",_xlfn.XLOOKUP(CS760&amp;CT760,VLOOKUP!$A$4:$A$250&amp;VLOOKUP!$B$4:$B$250,VLOOKUP!$D$4:$D$250,"0"))</f>
        <v>Incomplete</v>
      </c>
    </row>
    <row r="761" spans="1:101">
      <c r="A761" s="59" t="s">
        <v>311</v>
      </c>
      <c r="B761" s="59" t="s">
        <v>1416</v>
      </c>
      <c r="C761" s="59" t="s">
        <v>86</v>
      </c>
      <c r="D761" s="60"/>
      <c r="E761" s="59"/>
      <c r="F761" s="61" t="s">
        <v>235</v>
      </c>
      <c r="G761" s="59">
        <v>2026</v>
      </c>
      <c r="H761" s="61"/>
      <c r="I761" s="61">
        <v>2</v>
      </c>
      <c r="J761" s="61" t="s">
        <v>122</v>
      </c>
      <c r="K761" s="61" t="s">
        <v>108</v>
      </c>
      <c r="L761" s="61"/>
      <c r="M761" s="59"/>
      <c r="N761" s="59"/>
      <c r="O761" s="59"/>
      <c r="P761" s="59"/>
      <c r="Q761" s="59"/>
      <c r="R761" s="59"/>
      <c r="S761" s="61">
        <v>84.8</v>
      </c>
      <c r="T761" s="61">
        <v>166.6</v>
      </c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20"/>
      <c r="AR761" s="20"/>
      <c r="AS761" s="20"/>
      <c r="AT761" s="20"/>
      <c r="AU761" s="20"/>
      <c r="AV761" s="20"/>
      <c r="AW761" s="20"/>
      <c r="AX761" s="20"/>
      <c r="AY761" s="41" t="str">
        <f t="shared" si="231"/>
        <v>Incomplete</v>
      </c>
      <c r="AZ761" s="59"/>
      <c r="BA761" s="20" t="str">
        <f t="shared" si="232"/>
        <v>Incomplete</v>
      </c>
      <c r="BB761" s="59"/>
      <c r="BC761" s="20" t="str">
        <f t="shared" si="233"/>
        <v>Incomplete</v>
      </c>
      <c r="BD761" s="59"/>
      <c r="BE761" s="20" t="str">
        <f t="shared" si="234"/>
        <v>Incomplete</v>
      </c>
      <c r="BF761" s="59"/>
      <c r="BG761" s="59"/>
      <c r="BH761" s="59">
        <v>47.4</v>
      </c>
      <c r="BI761" s="20" t="str">
        <f>IF(OR(ISBLANK(BG761), ISBLANK(BH761)),"Incomplete",(SUM(BH761-BG761)))</f>
        <v>Incomplete</v>
      </c>
      <c r="BJ761" s="61"/>
      <c r="BK761" s="59">
        <v>7</v>
      </c>
      <c r="BL761" s="61"/>
      <c r="BM761" s="59">
        <v>8.5</v>
      </c>
      <c r="BN761" s="61"/>
      <c r="BO761" s="59"/>
      <c r="BP761" s="59"/>
      <c r="BQ761" s="59"/>
      <c r="BR761" s="59"/>
      <c r="BS761" s="59"/>
      <c r="BT761" s="59"/>
      <c r="BU761" s="59"/>
      <c r="BV761" s="59"/>
      <c r="BW761" s="91">
        <f t="shared" si="235"/>
        <v>0</v>
      </c>
      <c r="BX761" s="91" t="str">
        <f>_xlfn.XLOOKUP(BW761,'Normative data'!$V$3:$V$6,'Normative data'!$W$3:$W$6,"Not Found",-1)</f>
        <v>Not completed</v>
      </c>
      <c r="BY761" s="91">
        <f t="shared" si="236"/>
        <v>0</v>
      </c>
      <c r="BZ761" s="91" t="str">
        <f>_xlfn.XLOOKUP(BY761,'Normative data'!$V$3:$V$6,'Normative data'!$W$3:$W$6,"Not Found",-1)</f>
        <v>Not completed</v>
      </c>
      <c r="CA761" s="61"/>
      <c r="CB761" s="61"/>
      <c r="CC761" s="20"/>
      <c r="CD761" s="61"/>
      <c r="CE761" s="59">
        <v>18</v>
      </c>
      <c r="CF761" s="130"/>
      <c r="CG761" s="59"/>
      <c r="CH761" s="20" t="str">
        <f>_xlfn.XLOOKUP(CG761, 'Normative data'!$S$9:$S$15,'Normative data'!$T$9:$T$15, "Not Found", -1)</f>
        <v>not completed</v>
      </c>
      <c r="CI761" s="59">
        <v>19.12</v>
      </c>
      <c r="CJ761" s="20" t="str">
        <f>_xlfn.XLOOKUP(CI761, 'Normative data'!$S$9:$S$15, 'Normative data'!$T$9:$T$15, "Not Found", -1)</f>
        <v>Average</v>
      </c>
      <c r="CK761" s="59">
        <v>2.23</v>
      </c>
      <c r="CL761" s="59">
        <v>4.4800000000000004</v>
      </c>
      <c r="CM761" s="61"/>
      <c r="CN761" s="59">
        <v>7.04</v>
      </c>
      <c r="CO761" s="59">
        <v>7.1</v>
      </c>
      <c r="CP761" s="63"/>
      <c r="CQ761" s="62">
        <v>5.3</v>
      </c>
      <c r="CR761" s="20" t="str" cm="1">
        <f t="array" ref="CR761">IF(OR(ISBLANK(E761),ISBLANK(CQ761)),"Incomplete",_xlfn.XLOOKUP(CQ761,_xlfn.XLOOKUP(E761,'Normative data'!$Y$3:$Y$6,'Normative data'!$Z$3:$AG$6,,-1),'Normative data'!$Z$2:$AG$2,"Not Found",-1))</f>
        <v>Incomplete</v>
      </c>
      <c r="CS761" s="63">
        <v>5</v>
      </c>
      <c r="CT761" s="61">
        <v>3</v>
      </c>
      <c r="CU761" s="20" cm="1">
        <f t="array" ref="CU761">_xlfn.XLOOKUP(CS761&amp;CT761,(VLOOKUP!$A$3:$A$250)&amp;(VLOOKUP!$B$3:$B$250),VLOOKUP!$C$3:$C$250,"Incomplete",-1)</f>
        <v>700</v>
      </c>
      <c r="CV761" s="20" t="str" cm="1">
        <f t="array" ref="CV761">_xlfn.XLOOKUP(CU761, _xlfn.XLOOKUP(E761, 'Normative data'!$Y$11:$Y$14, 'Normative data'!$Z$11:$AG$14, ,-1), 'Normative data'!$Z$10:$AG$10, "Not Found", -1)</f>
        <v xml:space="preserve">Poor </v>
      </c>
      <c r="CW761" s="20" cm="1">
        <f t="array" ref="CW761">IF(OR(ISBLANK(CS761),ISBLANK(CT761)),"Incomplete",_xlfn.XLOOKUP(CS761&amp;CT761,VLOOKUP!$A$4:$A$250&amp;VLOOKUP!$B$4:$B$250,VLOOKUP!$D$4:$D$250,"0"))</f>
        <v>31</v>
      </c>
    </row>
    <row r="762" spans="1:101">
      <c r="A762" s="64" t="s">
        <v>1417</v>
      </c>
      <c r="B762" s="64" t="s">
        <v>1418</v>
      </c>
      <c r="C762" s="64" t="s">
        <v>86</v>
      </c>
      <c r="D762" s="74">
        <v>41220</v>
      </c>
      <c r="E762" s="64">
        <v>13.6</v>
      </c>
      <c r="F762" s="66" t="s">
        <v>97</v>
      </c>
      <c r="G762" s="64">
        <v>2026</v>
      </c>
      <c r="H762" s="66"/>
      <c r="I762" s="66">
        <v>2</v>
      </c>
      <c r="J762" s="66" t="s">
        <v>88</v>
      </c>
      <c r="K762" s="66" t="s">
        <v>170</v>
      </c>
      <c r="L762" s="66"/>
      <c r="M762" s="64"/>
      <c r="N762" s="64"/>
      <c r="O762" s="64"/>
      <c r="P762" s="64"/>
      <c r="Q762" s="64"/>
      <c r="R762" s="64"/>
      <c r="S762" s="66">
        <v>75</v>
      </c>
      <c r="T762" s="66">
        <v>150</v>
      </c>
      <c r="U762" s="64">
        <v>49.5</v>
      </c>
      <c r="V762" s="64">
        <v>23.2</v>
      </c>
      <c r="W762" s="64">
        <v>17.7</v>
      </c>
      <c r="X762" s="64">
        <v>31.8</v>
      </c>
      <c r="Y762" s="64">
        <v>16.7</v>
      </c>
      <c r="Z762" s="64">
        <v>22</v>
      </c>
      <c r="AA762" s="64">
        <v>35.9</v>
      </c>
      <c r="AB762" s="64">
        <v>4.4000000000000004</v>
      </c>
      <c r="AC762" s="64">
        <v>89</v>
      </c>
      <c r="AD762" s="64">
        <v>4.42</v>
      </c>
      <c r="AE762" s="64">
        <v>89.4</v>
      </c>
      <c r="AF762" s="64">
        <v>2.8</v>
      </c>
      <c r="AG762" s="64">
        <v>188.9</v>
      </c>
      <c r="AH762" s="64">
        <v>2.9</v>
      </c>
      <c r="AI762" s="64">
        <v>189.3</v>
      </c>
      <c r="AJ762" s="64">
        <v>348.5</v>
      </c>
      <c r="AK762" s="64">
        <v>345.7</v>
      </c>
      <c r="AL762" s="64">
        <v>312.89999999999998</v>
      </c>
      <c r="AM762" s="64">
        <v>310.2</v>
      </c>
      <c r="AN762" s="64">
        <v>68</v>
      </c>
      <c r="AO762" s="64"/>
      <c r="AP762" s="64"/>
      <c r="AQ762" s="20"/>
      <c r="AR762" s="20"/>
      <c r="AS762" s="20"/>
      <c r="AT762" s="20"/>
      <c r="AU762" s="20"/>
      <c r="AV762" s="20"/>
      <c r="AW762" s="20"/>
      <c r="AX762" s="20"/>
      <c r="AY762" s="41" t="str">
        <f t="shared" si="231"/>
        <v>Incomplete</v>
      </c>
      <c r="AZ762" s="64"/>
      <c r="BA762" s="20" t="str">
        <f t="shared" si="232"/>
        <v>Incomplete</v>
      </c>
      <c r="BB762" s="64"/>
      <c r="BC762" s="20" t="str">
        <f t="shared" si="233"/>
        <v>Incomplete</v>
      </c>
      <c r="BD762" s="64"/>
      <c r="BE762" s="20" t="str">
        <f t="shared" si="234"/>
        <v>Incomplete</v>
      </c>
      <c r="BF762" s="64"/>
      <c r="BG762" s="64">
        <v>16.5</v>
      </c>
      <c r="BH762" s="64">
        <v>46.7</v>
      </c>
      <c r="BI762" s="20">
        <f>IF(OR(ISBLANK(BG762), ISBLANK(BH762)),"Incomplete",(SUM(BH762-BG762)))</f>
        <v>30.200000000000003</v>
      </c>
      <c r="BJ762" s="66"/>
      <c r="BK762" s="64">
        <v>5</v>
      </c>
      <c r="BL762" s="66"/>
      <c r="BM762" s="64">
        <v>4.5</v>
      </c>
      <c r="BN762" s="66"/>
      <c r="BO762" s="17">
        <v>49</v>
      </c>
      <c r="BP762" s="17">
        <v>50</v>
      </c>
      <c r="BQ762" s="17">
        <v>71</v>
      </c>
      <c r="BR762" s="17">
        <v>62</v>
      </c>
      <c r="BS762" s="17">
        <v>62</v>
      </c>
      <c r="BT762" s="17">
        <v>67</v>
      </c>
      <c r="BU762" s="17">
        <v>59</v>
      </c>
      <c r="BV762" s="17">
        <v>63</v>
      </c>
      <c r="BW762" s="91">
        <f t="shared" si="235"/>
        <v>86.666666666666671</v>
      </c>
      <c r="BX762" s="91" t="str">
        <f>_xlfn.XLOOKUP(BW762,'Normative data'!$V$3:$V$6,'Normative data'!$W$3:$W$6,"Not Found",-1)</f>
        <v>High risk</v>
      </c>
      <c r="BY762" s="91">
        <f t="shared" si="236"/>
        <v>84</v>
      </c>
      <c r="BZ762" s="91" t="str">
        <f>_xlfn.XLOOKUP(BY762,'Normative data'!$V$3:$V$6,'Normative data'!$W$3:$W$6,"Not Found",-1)</f>
        <v>High risk</v>
      </c>
      <c r="CA762" s="17">
        <v>17</v>
      </c>
      <c r="CB762" s="66"/>
      <c r="CC762" s="20"/>
      <c r="CD762" s="66"/>
      <c r="CE762" s="64">
        <v>22</v>
      </c>
      <c r="CF762" s="66"/>
      <c r="CG762" s="64">
        <v>18.59</v>
      </c>
      <c r="CH762" s="20" t="str">
        <f>_xlfn.XLOOKUP(CG762, 'Normative data'!$S$9:$S$15,'Normative data'!$T$9:$T$15, "Not Found", -1)</f>
        <v>Average</v>
      </c>
      <c r="CI762" s="64">
        <v>17.97</v>
      </c>
      <c r="CJ762" s="20" t="str">
        <f>_xlfn.XLOOKUP(CI762, 'Normative data'!$S$9:$S$15, 'Normative data'!$T$9:$T$15, "Not Found", -1)</f>
        <v>Above Average</v>
      </c>
      <c r="CK762" s="64">
        <v>2.21</v>
      </c>
      <c r="CL762" s="64">
        <v>4.5199999999999996</v>
      </c>
      <c r="CM762" s="66"/>
      <c r="CN762" s="64">
        <v>7.2</v>
      </c>
      <c r="CO762" s="64">
        <v>6.94</v>
      </c>
      <c r="CP762" s="68"/>
      <c r="CQ762" s="67"/>
      <c r="CR762" s="20" t="str" cm="1">
        <f t="array" ref="CR762">IF(OR(ISBLANK(E762),ISBLANK(CQ762)),"Incomplete",_xlfn.XLOOKUP(CQ762,_xlfn.XLOOKUP(E762,'Normative data'!$Y$3:$Y$6,'Normative data'!$Z$3:$AG$6,,-1),'Normative data'!$Z$2:$AG$2,"Not Found",-1))</f>
        <v>Incomplete</v>
      </c>
      <c r="CS762" s="68"/>
      <c r="CT762" s="66"/>
      <c r="CU762" s="20" t="str" cm="1">
        <f t="array" ref="CU762">_xlfn.XLOOKUP(CS762&amp;CT762,(VLOOKUP!$A$3:$A$250)&amp;(VLOOKUP!$B$3:$B$250),VLOOKUP!$C$3:$C$250,"Incomplete",-1)</f>
        <v>Incomplete</v>
      </c>
      <c r="CV762" s="20" t="str" cm="1">
        <f t="array" ref="CV762">_xlfn.XLOOKUP(CU762, _xlfn.XLOOKUP(E762, 'Normative data'!$Y$11:$Y$14, 'Normative data'!$Z$11:$AG$14, ,-1), 'Normative data'!$Z$10:$AG$10, "Not Found", -1)</f>
        <v>Excellent</v>
      </c>
      <c r="CW762" s="20" t="str" cm="1">
        <f t="array" ref="CW762">IF(OR(ISBLANK(CS762),ISBLANK(CT762)),"Incomplete",_xlfn.XLOOKUP(CS762&amp;CT762,VLOOKUP!$A$4:$A$250&amp;VLOOKUP!$B$4:$B$250,VLOOKUP!$D$4:$D$250,"0"))</f>
        <v>Incomplete</v>
      </c>
    </row>
    <row r="763" spans="1:101">
      <c r="A763" s="94" t="s">
        <v>1419</v>
      </c>
      <c r="B763" s="94" t="s">
        <v>1420</v>
      </c>
      <c r="C763" s="64" t="s">
        <v>86</v>
      </c>
      <c r="D763" s="97">
        <v>40338</v>
      </c>
      <c r="E763" s="64"/>
      <c r="F763" s="64">
        <v>9</v>
      </c>
      <c r="G763" s="64">
        <v>2025</v>
      </c>
      <c r="H763" s="66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6"/>
      <c r="T763" s="66">
        <v>169</v>
      </c>
      <c r="U763" s="66">
        <v>59.2</v>
      </c>
      <c r="V763" s="66"/>
      <c r="W763" s="66">
        <v>18.8</v>
      </c>
      <c r="X763" s="66">
        <f>SUM(T763-W763)</f>
        <v>150.19999999999999</v>
      </c>
      <c r="Y763" s="66">
        <v>21.7</v>
      </c>
      <c r="Z763" s="66">
        <v>20.7</v>
      </c>
      <c r="AA763" s="66">
        <v>31.7</v>
      </c>
      <c r="AB763" s="66"/>
      <c r="AC763" s="66"/>
      <c r="AD763" s="66"/>
      <c r="AE763" s="66"/>
      <c r="AF763" s="66"/>
      <c r="AG763" s="66"/>
      <c r="AH763" s="66"/>
      <c r="AI763" s="66"/>
      <c r="AJ763" s="66"/>
      <c r="AK763" s="66"/>
      <c r="AL763" s="66"/>
      <c r="AM763" s="66"/>
      <c r="AN763" s="66"/>
      <c r="AO763" s="66"/>
      <c r="AP763" s="66"/>
      <c r="AQ763" s="20"/>
      <c r="AR763" s="20"/>
      <c r="AS763" s="20"/>
      <c r="AT763" s="20"/>
      <c r="AU763" s="20"/>
      <c r="AV763" s="20"/>
      <c r="AW763" s="20"/>
      <c r="AX763" s="20"/>
      <c r="AY763" s="41" t="str">
        <f t="shared" si="231"/>
        <v>Incomplete</v>
      </c>
      <c r="AZ763" s="66"/>
      <c r="BA763" s="20" t="str">
        <f t="shared" si="232"/>
        <v>Incomplete</v>
      </c>
      <c r="BB763" s="66"/>
      <c r="BC763" s="20" t="str">
        <f t="shared" si="233"/>
        <v>Incomplete</v>
      </c>
      <c r="BD763" s="66"/>
      <c r="BE763" s="20" t="str">
        <f t="shared" si="234"/>
        <v>Incomplete</v>
      </c>
      <c r="BF763" s="66"/>
      <c r="BG763" s="66">
        <v>15</v>
      </c>
      <c r="BH763" s="66">
        <v>50.4</v>
      </c>
      <c r="BI763" s="20" t="e">
        <f>IF(OR(ISBLANK(#REF!), ISBLANK(#REF!)),"Incomplete",(SUM(#REF!-#REF!)))</f>
        <v>#REF!</v>
      </c>
      <c r="BJ763" s="66"/>
      <c r="BK763" s="66">
        <v>8</v>
      </c>
      <c r="BL763" s="66"/>
      <c r="BM763" s="66">
        <v>7</v>
      </c>
      <c r="BN763" s="66"/>
      <c r="BO763" s="66"/>
      <c r="BP763" s="66"/>
      <c r="BQ763" s="66"/>
      <c r="BR763" s="66"/>
      <c r="BS763" s="66"/>
      <c r="BT763" s="66"/>
      <c r="BU763" s="66"/>
      <c r="BV763" s="66"/>
      <c r="BW763" s="91">
        <f t="shared" si="235"/>
        <v>0</v>
      </c>
      <c r="BX763" s="91" t="str">
        <f>_xlfn.XLOOKUP(BW763,'Normative data'!$V$3:$V$6,'Normative data'!$W$3:$W$6,"Not Found",-1)</f>
        <v>Not completed</v>
      </c>
      <c r="BY763" s="91">
        <f t="shared" si="236"/>
        <v>0</v>
      </c>
      <c r="BZ763" s="91" t="str">
        <f>_xlfn.XLOOKUP(BY763,'Normative data'!$V$3:$V$6,'Normative data'!$W$3:$W$6,"Not Found",-1)</f>
        <v>Not completed</v>
      </c>
      <c r="CA763" s="66"/>
      <c r="CB763" s="66"/>
      <c r="CC763" s="20"/>
      <c r="CD763" s="66"/>
      <c r="CE763" s="66">
        <v>2</v>
      </c>
      <c r="CF763" s="66"/>
      <c r="CG763" s="20"/>
      <c r="CH763" s="20" t="str">
        <f>_xlfn.XLOOKUP(CG763, 'Normative data'!$S$9:$S$15,'Normative data'!$T$9:$T$15, "Not Found", -1)</f>
        <v>not completed</v>
      </c>
      <c r="CI763" s="20"/>
      <c r="CJ763" s="20" t="str">
        <f>_xlfn.XLOOKUP(CI763, 'Normative data'!$S$9:$S$15, 'Normative data'!$T$9:$T$15, "Not Found", -1)</f>
        <v>not completed</v>
      </c>
      <c r="CK763" s="24">
        <v>2.6</v>
      </c>
      <c r="CL763" s="24">
        <v>3.85</v>
      </c>
      <c r="CM763" s="21"/>
      <c r="CN763" s="24">
        <v>7.88</v>
      </c>
      <c r="CO763" s="24">
        <v>6.35</v>
      </c>
      <c r="CP763" s="110"/>
      <c r="CQ763" s="68"/>
      <c r="CR763" s="20" t="str" cm="1">
        <f t="array" ref="CR763">IF(OR(ISBLANK(E763),ISBLANK(CQ763)),"Incomplete",_xlfn.XLOOKUP(CQ763,_xlfn.XLOOKUP(E763,'Normative data'!$Y$3:$Y$6,'Normative data'!$Z$3:$AG$6,,-1),'Normative data'!$Z$2:$AG$2,"Not Found",-1))</f>
        <v>Incomplete</v>
      </c>
      <c r="CS763" s="68"/>
      <c r="CT763" s="66"/>
      <c r="CU763" s="20" t="str" cm="1">
        <f t="array" ref="CU763">_xlfn.XLOOKUP(CS763&amp;CT763,(VLOOKUP!$A$3:$A$250)&amp;(VLOOKUP!$B$3:$B$250),VLOOKUP!$C$3:$C$250,"Incomplete",-1)</f>
        <v>Incomplete</v>
      </c>
      <c r="CV763" s="20" t="str" cm="1">
        <f t="array" ref="CV763">_xlfn.XLOOKUP(CU763, _xlfn.XLOOKUP(E763, 'Normative data'!$Y$11:$Y$14, 'Normative data'!$Z$11:$AG$14, ,-1), 'Normative data'!$Z$10:$AG$10, "Not Found", -1)</f>
        <v>Excellent</v>
      </c>
      <c r="CW763" s="20" t="str" cm="1">
        <f t="array" ref="CW763">IF(OR(ISBLANK(CS763),ISBLANK(CT763)),"Incomplete",_xlfn.XLOOKUP(CS763&amp;CT763,VLOOKUP!$A$4:$A$250&amp;VLOOKUP!$B$4:$B$250,VLOOKUP!$D$4:$D$250,"0"))</f>
        <v>Incomplete</v>
      </c>
    </row>
    <row r="764" spans="1:101">
      <c r="A764" s="64" t="s">
        <v>1419</v>
      </c>
      <c r="B764" s="64" t="s">
        <v>1420</v>
      </c>
      <c r="C764" s="64" t="s">
        <v>86</v>
      </c>
      <c r="D764" s="97">
        <v>40338</v>
      </c>
      <c r="E764" s="64"/>
      <c r="F764" s="64">
        <v>9</v>
      </c>
      <c r="G764" s="64">
        <v>2025</v>
      </c>
      <c r="H764" s="66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  <c r="AD764" s="66"/>
      <c r="AE764" s="66"/>
      <c r="AF764" s="66"/>
      <c r="AG764" s="66"/>
      <c r="AH764" s="66"/>
      <c r="AI764" s="66"/>
      <c r="AJ764" s="66"/>
      <c r="AK764" s="66"/>
      <c r="AL764" s="66"/>
      <c r="AM764" s="66"/>
      <c r="AN764" s="66"/>
      <c r="AO764" s="66"/>
      <c r="AP764" s="66"/>
      <c r="AQ764" s="20"/>
      <c r="AR764" s="20"/>
      <c r="AS764" s="20"/>
      <c r="AT764" s="20"/>
      <c r="AU764" s="20"/>
      <c r="AV764" s="20"/>
      <c r="AW764" s="20"/>
      <c r="AX764" s="20"/>
      <c r="AY764" s="41" t="str">
        <f t="shared" si="231"/>
        <v>Incomplete</v>
      </c>
      <c r="AZ764" s="66"/>
      <c r="BA764" s="20" t="str">
        <f t="shared" si="232"/>
        <v>Incomplete</v>
      </c>
      <c r="BB764" s="66"/>
      <c r="BC764" s="20" t="str">
        <f t="shared" si="233"/>
        <v>Incomplete</v>
      </c>
      <c r="BD764" s="66"/>
      <c r="BE764" s="20" t="str">
        <f t="shared" si="234"/>
        <v>Incomplete</v>
      </c>
      <c r="BF764" s="66"/>
      <c r="BG764" s="66"/>
      <c r="BH764" s="66"/>
      <c r="BI764" s="20" t="str">
        <f>IF(OR(ISBLANK(BG764), ISBLANK(BH764)),"Incomplete",(SUM(BH764-BG764)))</f>
        <v>Incomplete</v>
      </c>
      <c r="BJ764" s="66"/>
      <c r="BK764" s="66"/>
      <c r="BL764" s="66"/>
      <c r="BM764" s="20"/>
      <c r="BN764" s="66"/>
      <c r="BO764" s="66"/>
      <c r="BP764" s="66"/>
      <c r="BQ764" s="66"/>
      <c r="BR764" s="66"/>
      <c r="BS764" s="66"/>
      <c r="BT764" s="66"/>
      <c r="BU764" s="66"/>
      <c r="BV764" s="66"/>
      <c r="BW764" s="91" t="str">
        <f t="shared" si="235"/>
        <v>Incomplete</v>
      </c>
      <c r="BX764" s="91" t="str">
        <f>_xlfn.XLOOKUP(BW764,'Normative data'!$V$3:$V$6,'Normative data'!$W$3:$W$6,"Not Found",-1)</f>
        <v>Very low risk</v>
      </c>
      <c r="BY764" s="91" t="str">
        <f t="shared" si="236"/>
        <v>Incomplete</v>
      </c>
      <c r="BZ764" s="91" t="str">
        <f>_xlfn.XLOOKUP(BY764,'Normative data'!$V$3:$V$6,'Normative data'!$W$3:$W$6,"Not Found",-1)</f>
        <v>Very low risk</v>
      </c>
      <c r="CA764" s="66"/>
      <c r="CB764" s="66"/>
      <c r="CC764" s="20"/>
      <c r="CD764" s="66"/>
      <c r="CE764" s="66"/>
      <c r="CF764" s="66"/>
      <c r="CG764" s="66"/>
      <c r="CH764" s="20" t="str">
        <f>_xlfn.XLOOKUP(CG764, 'Normative data'!$S$9:$S$15,'Normative data'!$T$9:$T$15, "Not Found", -1)</f>
        <v>not completed</v>
      </c>
      <c r="CI764" s="66"/>
      <c r="CJ764" s="20" t="str">
        <f>_xlfn.XLOOKUP(CI764, 'Normative data'!$S$9:$S$15, 'Normative data'!$T$9:$T$15, "Not Found", -1)</f>
        <v>not completed</v>
      </c>
      <c r="CK764" s="66" t="s">
        <v>360</v>
      </c>
      <c r="CL764" s="66" t="s">
        <v>451</v>
      </c>
      <c r="CM764" s="66"/>
      <c r="CN764" s="66" t="s">
        <v>1411</v>
      </c>
      <c r="CO764" s="66" t="s">
        <v>1421</v>
      </c>
      <c r="CP764" s="68"/>
      <c r="CQ764" s="68"/>
      <c r="CR764" s="20" t="str" cm="1">
        <f t="array" ref="CR764">IF(OR(ISBLANK(E764),ISBLANK(CQ764)),"Incomplete",_xlfn.XLOOKUP(CQ764,_xlfn.XLOOKUP(E764,'Normative data'!$Y$3:$Y$6,'Normative data'!$Z$3:$AG$6,,-1),'Normative data'!$Z$2:$AG$2,"Not Found",-1))</f>
        <v>Incomplete</v>
      </c>
      <c r="CS764" s="68"/>
      <c r="CT764" s="66"/>
      <c r="CU764" s="20" t="str" cm="1">
        <f t="array" ref="CU764">_xlfn.XLOOKUP(CS764&amp;CT764,(VLOOKUP!$A$3:$A$250)&amp;(VLOOKUP!$B$3:$B$250),VLOOKUP!$C$3:$C$250,"Incomplete",-1)</f>
        <v>Incomplete</v>
      </c>
      <c r="CV764" s="20" t="str" cm="1">
        <f t="array" ref="CV764">_xlfn.XLOOKUP(CU764, _xlfn.XLOOKUP(E764, 'Normative data'!$Y$11:$Y$14, 'Normative data'!$Z$11:$AG$14, ,-1), 'Normative data'!$Z$10:$AG$10, "Not Found", -1)</f>
        <v>Excellent</v>
      </c>
      <c r="CW764" s="20" t="str" cm="1">
        <f t="array" ref="CW764">IF(OR(ISBLANK(CS764),ISBLANK(CT764)),"Incomplete",_xlfn.XLOOKUP(CS764&amp;CT764,VLOOKUP!$A$4:$A$250&amp;VLOOKUP!$B$4:$B$250,VLOOKUP!$D$4:$D$250,"0"))</f>
        <v>Incomplete</v>
      </c>
    </row>
    <row r="765" spans="1:101">
      <c r="A765" s="93" t="s">
        <v>180</v>
      </c>
      <c r="B765" s="93" t="s">
        <v>179</v>
      </c>
      <c r="C765" s="64" t="s">
        <v>86</v>
      </c>
      <c r="D765" s="96">
        <v>39879</v>
      </c>
      <c r="E765" s="64"/>
      <c r="F765" s="64">
        <v>10</v>
      </c>
      <c r="G765" s="64">
        <v>2025</v>
      </c>
      <c r="H765" s="66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  <c r="AE765" s="66"/>
      <c r="AF765" s="66"/>
      <c r="AG765" s="66"/>
      <c r="AH765" s="66"/>
      <c r="AI765" s="66"/>
      <c r="AJ765" s="66"/>
      <c r="AK765" s="66"/>
      <c r="AL765" s="66"/>
      <c r="AM765" s="66"/>
      <c r="AN765" s="66"/>
      <c r="AO765" s="66"/>
      <c r="AP765" s="66"/>
      <c r="AQ765" s="20"/>
      <c r="AR765" s="20"/>
      <c r="AS765" s="20"/>
      <c r="AT765" s="20"/>
      <c r="AU765" s="20"/>
      <c r="AV765" s="20"/>
      <c r="AW765" s="20"/>
      <c r="AX765" s="20"/>
      <c r="AY765" s="41" t="str">
        <f t="shared" si="231"/>
        <v>Incomplete</v>
      </c>
      <c r="AZ765" s="66"/>
      <c r="BA765" s="20" t="str">
        <f t="shared" si="232"/>
        <v>Incomplete</v>
      </c>
      <c r="BB765" s="66"/>
      <c r="BC765" s="20" t="str">
        <f t="shared" si="233"/>
        <v>Incomplete</v>
      </c>
      <c r="BD765" s="66"/>
      <c r="BE765" s="20" t="str">
        <f t="shared" si="234"/>
        <v>Incomplete</v>
      </c>
      <c r="BF765" s="66"/>
      <c r="BG765" s="66">
        <v>14.5</v>
      </c>
      <c r="BH765" s="66">
        <v>24</v>
      </c>
      <c r="BI765" s="20" t="e">
        <f>IF(OR(ISBLANK(#REF!), ISBLANK(#REF!)),"Incomplete",(SUM(#REF!-#REF!)))</f>
        <v>#REF!</v>
      </c>
      <c r="BJ765" s="66"/>
      <c r="BK765" s="66"/>
      <c r="BL765" s="66"/>
      <c r="BM765" s="66"/>
      <c r="BN765" s="66"/>
      <c r="BO765" s="66"/>
      <c r="BP765" s="66"/>
      <c r="BQ765" s="66"/>
      <c r="BR765" s="66"/>
      <c r="BS765" s="66"/>
      <c r="BT765" s="66"/>
      <c r="BU765" s="66"/>
      <c r="BV765" s="66"/>
      <c r="BW765" s="91" t="str">
        <f t="shared" si="235"/>
        <v>Incomplete</v>
      </c>
      <c r="BX765" s="91" t="str">
        <f>_xlfn.XLOOKUP(BW765,'Normative data'!$V$3:$V$6,'Normative data'!$W$3:$W$6,"Not Found",-1)</f>
        <v>Very low risk</v>
      </c>
      <c r="BY765" s="91" t="str">
        <f t="shared" si="236"/>
        <v>Incomplete</v>
      </c>
      <c r="BZ765" s="91" t="str">
        <f>_xlfn.XLOOKUP(BY765,'Normative data'!$V$3:$V$6,'Normative data'!$W$3:$W$6,"Not Found",-1)</f>
        <v>Very low risk</v>
      </c>
      <c r="CA765" s="66"/>
      <c r="CB765" s="66"/>
      <c r="CC765" s="20"/>
      <c r="CD765" s="66"/>
      <c r="CE765" s="66"/>
      <c r="CF765" s="66"/>
      <c r="CG765" s="20"/>
      <c r="CH765" s="20" t="str">
        <f>_xlfn.XLOOKUP(CG765, 'Normative data'!$S$9:$S$15,'Normative data'!$T$9:$T$15, "Not Found", -1)</f>
        <v>not completed</v>
      </c>
      <c r="CI765" s="20"/>
      <c r="CJ765" s="20" t="str">
        <f>_xlfn.XLOOKUP(CI765, 'Normative data'!$S$9:$S$15, 'Normative data'!$T$9:$T$15, "Not Found", -1)</f>
        <v>not completed</v>
      </c>
      <c r="CK765" s="21">
        <v>2.36</v>
      </c>
      <c r="CL765" s="21">
        <v>4.24</v>
      </c>
      <c r="CM765" s="21"/>
      <c r="CN765" s="21">
        <v>7.15</v>
      </c>
      <c r="CO765" s="21">
        <v>6.99</v>
      </c>
      <c r="CP765" s="109"/>
      <c r="CQ765" s="68"/>
      <c r="CR765" s="20" t="str" cm="1">
        <f t="array" ref="CR765">IF(OR(ISBLANK(E765),ISBLANK(CQ765)),"Incomplete",_xlfn.XLOOKUP(CQ765,_xlfn.XLOOKUP(E765,'Normative data'!$Y$3:$Y$6,'Normative data'!$Z$3:$AG$6,,-1),'Normative data'!$Z$2:$AG$2,"Not Found",-1))</f>
        <v>Incomplete</v>
      </c>
      <c r="CS765" s="68"/>
      <c r="CT765" s="66"/>
      <c r="CU765" s="20" t="str" cm="1">
        <f t="array" ref="CU765">_xlfn.XLOOKUP(CS765&amp;CT765,(VLOOKUP!$A$3:$A$250)&amp;(VLOOKUP!$B$3:$B$250),VLOOKUP!$C$3:$C$250,"Incomplete",-1)</f>
        <v>Incomplete</v>
      </c>
      <c r="CV765" s="20" t="str" cm="1">
        <f t="array" ref="CV765">_xlfn.XLOOKUP(CU765, _xlfn.XLOOKUP(E765, 'Normative data'!$Y$11:$Y$14, 'Normative data'!$Z$11:$AG$14, ,-1), 'Normative data'!$Z$10:$AG$10, "Not Found", -1)</f>
        <v>Excellent</v>
      </c>
      <c r="CW765" s="20" t="str" cm="1">
        <f t="array" ref="CW765">IF(OR(ISBLANK(CS765),ISBLANK(CT765)),"Incomplete",_xlfn.XLOOKUP(CS765&amp;CT765,VLOOKUP!$A$4:$A$250&amp;VLOOKUP!$B$4:$B$250,VLOOKUP!$D$4:$D$250,"0"))</f>
        <v>Incomplete</v>
      </c>
    </row>
    <row r="766" spans="1:101">
      <c r="A766" s="64" t="s">
        <v>180</v>
      </c>
      <c r="B766" s="64" t="s">
        <v>179</v>
      </c>
      <c r="C766" s="64" t="s">
        <v>86</v>
      </c>
      <c r="D766" s="96">
        <v>39879</v>
      </c>
      <c r="E766" s="64"/>
      <c r="F766" s="64">
        <v>10</v>
      </c>
      <c r="G766" s="64">
        <v>2025</v>
      </c>
      <c r="H766" s="66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  <c r="AE766" s="66"/>
      <c r="AF766" s="66"/>
      <c r="AG766" s="66"/>
      <c r="AH766" s="66"/>
      <c r="AI766" s="66"/>
      <c r="AJ766" s="66"/>
      <c r="AK766" s="66"/>
      <c r="AL766" s="66"/>
      <c r="AM766" s="66"/>
      <c r="AN766" s="66"/>
      <c r="AO766" s="66"/>
      <c r="AP766" s="66"/>
      <c r="AQ766" s="20"/>
      <c r="AR766" s="20"/>
      <c r="AS766" s="20"/>
      <c r="AT766" s="20"/>
      <c r="AU766" s="20"/>
      <c r="AV766" s="20"/>
      <c r="AW766" s="20"/>
      <c r="AX766" s="20"/>
      <c r="AY766" s="41" t="str">
        <f t="shared" si="231"/>
        <v>Incomplete</v>
      </c>
      <c r="AZ766" s="66"/>
      <c r="BA766" s="20" t="str">
        <f t="shared" si="232"/>
        <v>Incomplete</v>
      </c>
      <c r="BB766" s="66"/>
      <c r="BC766" s="20" t="str">
        <f t="shared" si="233"/>
        <v>Incomplete</v>
      </c>
      <c r="BD766" s="66"/>
      <c r="BE766" s="20" t="str">
        <f t="shared" si="234"/>
        <v>Incomplete</v>
      </c>
      <c r="BF766" s="66"/>
      <c r="BG766" s="66"/>
      <c r="BH766" s="20"/>
      <c r="BI766" s="20" t="str">
        <f>IF(OR(ISBLANK(BG766), ISBLANK(BH766)),"Incomplete",(SUM(BH766-BG766)))</f>
        <v>Incomplete</v>
      </c>
      <c r="BJ766" s="66"/>
      <c r="BK766" s="66"/>
      <c r="BL766" s="66"/>
      <c r="BM766" s="20"/>
      <c r="BN766" s="66"/>
      <c r="BO766" s="20"/>
      <c r="BP766" s="20"/>
      <c r="BQ766" s="20"/>
      <c r="BR766" s="20"/>
      <c r="BS766" s="20"/>
      <c r="BT766" s="20"/>
      <c r="BU766" s="20"/>
      <c r="BV766" s="20"/>
      <c r="BW766" s="91" t="str">
        <f t="shared" si="235"/>
        <v>Incomplete</v>
      </c>
      <c r="BX766" s="91" t="str">
        <f>_xlfn.XLOOKUP(BW766,'Normative data'!$V$3:$V$6,'Normative data'!$W$3:$W$6,"Not Found",-1)</f>
        <v>Very low risk</v>
      </c>
      <c r="BY766" s="91" t="str">
        <f t="shared" si="236"/>
        <v>Incomplete</v>
      </c>
      <c r="BZ766" s="91" t="str">
        <f>_xlfn.XLOOKUP(BY766,'Normative data'!$V$3:$V$6,'Normative data'!$W$3:$W$6,"Not Found",-1)</f>
        <v>Very low risk</v>
      </c>
      <c r="CA766" s="20"/>
      <c r="CC766" s="20"/>
      <c r="CE766" s="20"/>
      <c r="CF766" s="66"/>
      <c r="CG766" s="20"/>
      <c r="CH766" s="20" t="str">
        <f>_xlfn.XLOOKUP(CG766, 'Normative data'!$S$9:$S$15,'Normative data'!$T$9:$T$15, "Not Found", -1)</f>
        <v>not completed</v>
      </c>
      <c r="CI766" s="20"/>
      <c r="CJ766" s="20" t="str">
        <f>_xlfn.XLOOKUP(CI766, 'Normative data'!$S$9:$S$15, 'Normative data'!$T$9:$T$15, "Not Found", -1)</f>
        <v>not completed</v>
      </c>
      <c r="CK766" s="20" t="s">
        <v>209</v>
      </c>
      <c r="CL766" s="20" t="s">
        <v>210</v>
      </c>
      <c r="CN766" s="20" t="s">
        <v>1415</v>
      </c>
      <c r="CO766" s="20" t="s">
        <v>1281</v>
      </c>
      <c r="CP766" s="68"/>
      <c r="CQ766" s="68"/>
      <c r="CR766" s="20" t="str" cm="1">
        <f t="array" ref="CR766">IF(OR(ISBLANK(E766),ISBLANK(CQ766)),"Incomplete",_xlfn.XLOOKUP(CQ766,_xlfn.XLOOKUP(E766,'Normative data'!$Y$3:$Y$6,'Normative data'!$Z$3:$AG$6,,-1),'Normative data'!$Z$2:$AG$2,"Not Found",-1))</f>
        <v>Incomplete</v>
      </c>
      <c r="CS766" s="68"/>
      <c r="CT766" s="66"/>
      <c r="CU766" s="20" t="str" cm="1">
        <f t="array" ref="CU766">_xlfn.XLOOKUP(CS766&amp;CT766,(VLOOKUP!$A$3:$A$250)&amp;(VLOOKUP!$B$3:$B$250),VLOOKUP!$C$3:$C$250,"Incomplete",-1)</f>
        <v>Incomplete</v>
      </c>
      <c r="CV766" s="20" t="str" cm="1">
        <f t="array" ref="CV766">_xlfn.XLOOKUP(CU766, _xlfn.XLOOKUP(E766, 'Normative data'!$Y$11:$Y$14, 'Normative data'!$Z$11:$AG$14, ,-1), 'Normative data'!$Z$10:$AG$10, "Not Found", -1)</f>
        <v>Excellent</v>
      </c>
      <c r="CW766" s="20" t="str" cm="1">
        <f t="array" ref="CW766">IF(OR(ISBLANK(CS766),ISBLANK(CT766)),"Incomplete",_xlfn.XLOOKUP(CS766&amp;CT766,VLOOKUP!$A$4:$A$250&amp;VLOOKUP!$B$4:$B$250,VLOOKUP!$D$4:$D$250,"0"))</f>
        <v>Incomplete</v>
      </c>
    </row>
    <row r="767" spans="1:101">
      <c r="A767" s="93" t="s">
        <v>1014</v>
      </c>
      <c r="B767" s="93" t="s">
        <v>1015</v>
      </c>
      <c r="C767" s="64" t="s">
        <v>86</v>
      </c>
      <c r="D767" s="96">
        <v>40125</v>
      </c>
      <c r="E767" s="64"/>
      <c r="F767" s="64">
        <v>10</v>
      </c>
      <c r="G767" s="64">
        <v>2025</v>
      </c>
      <c r="H767" s="66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  <c r="AD767" s="66"/>
      <c r="AE767" s="66"/>
      <c r="AF767" s="66"/>
      <c r="AG767" s="66"/>
      <c r="AH767" s="66"/>
      <c r="AI767" s="66"/>
      <c r="AJ767" s="66"/>
      <c r="AK767" s="66"/>
      <c r="AL767" s="66"/>
      <c r="AM767" s="66"/>
      <c r="AN767" s="66"/>
      <c r="AO767" s="66"/>
      <c r="AP767" s="66"/>
      <c r="AQ767" s="20"/>
      <c r="AR767" s="20"/>
      <c r="AS767" s="20"/>
      <c r="AT767" s="20"/>
      <c r="AU767" s="20"/>
      <c r="AV767" s="20"/>
      <c r="AW767" s="20"/>
      <c r="AX767" s="20"/>
      <c r="AY767" s="41" t="str">
        <f t="shared" si="231"/>
        <v>Incomplete</v>
      </c>
      <c r="AZ767" s="66"/>
      <c r="BA767" s="20" t="str">
        <f t="shared" si="232"/>
        <v>Incomplete</v>
      </c>
      <c r="BB767" s="66"/>
      <c r="BC767" s="20" t="str">
        <f t="shared" si="233"/>
        <v>Incomplete</v>
      </c>
      <c r="BD767" s="66"/>
      <c r="BE767" s="20" t="str">
        <f t="shared" si="234"/>
        <v>Incomplete</v>
      </c>
      <c r="BF767" s="66"/>
      <c r="BG767" s="66">
        <v>18.5</v>
      </c>
      <c r="BH767" s="20">
        <v>36.200000000000003</v>
      </c>
      <c r="BI767" s="20" t="e">
        <f>IF(OR(ISBLANK(#REF!), ISBLANK(#REF!)),"Incomplete",(SUM(#REF!-#REF!)))</f>
        <v>#REF!</v>
      </c>
      <c r="BJ767" s="66"/>
      <c r="BK767" s="66"/>
      <c r="BL767" s="66"/>
      <c r="BM767" s="66"/>
      <c r="BN767" s="66"/>
      <c r="BO767" s="20"/>
      <c r="BP767" s="20"/>
      <c r="BQ767" s="20"/>
      <c r="BR767" s="20"/>
      <c r="BS767" s="20"/>
      <c r="BT767" s="20"/>
      <c r="BU767" s="20"/>
      <c r="BV767" s="20"/>
      <c r="BW767" s="91" t="str">
        <f t="shared" si="235"/>
        <v>Incomplete</v>
      </c>
      <c r="BX767" s="91" t="str">
        <f>_xlfn.XLOOKUP(BW767,'Normative data'!$V$3:$V$6,'Normative data'!$W$3:$W$6,"Not Found",-1)</f>
        <v>Very low risk</v>
      </c>
      <c r="BY767" s="91" t="str">
        <f t="shared" si="236"/>
        <v>Incomplete</v>
      </c>
      <c r="BZ767" s="91" t="str">
        <f>_xlfn.XLOOKUP(BY767,'Normative data'!$V$3:$V$6,'Normative data'!$W$3:$W$6,"Not Found",-1)</f>
        <v>Very low risk</v>
      </c>
      <c r="CA767" s="20"/>
      <c r="CB767" s="66"/>
      <c r="CC767" s="20"/>
      <c r="CD767" s="66"/>
      <c r="CE767" s="66">
        <v>1</v>
      </c>
      <c r="CF767" s="66"/>
      <c r="CG767" s="66"/>
      <c r="CH767" s="20" t="str">
        <f>_xlfn.XLOOKUP(CG767, 'Normative data'!$S$9:$S$15,'Normative data'!$T$9:$T$15, "Not Found", -1)</f>
        <v>not completed</v>
      </c>
      <c r="CI767" s="66"/>
      <c r="CJ767" s="20" t="str">
        <f>_xlfn.XLOOKUP(CI767, 'Normative data'!$S$9:$S$15, 'Normative data'!$T$9:$T$15, "Not Found", -1)</f>
        <v>not completed</v>
      </c>
      <c r="CK767" s="105">
        <v>2.42</v>
      </c>
      <c r="CL767" s="105">
        <v>4.13</v>
      </c>
      <c r="CM767" s="105"/>
      <c r="CN767" s="105">
        <v>7.46</v>
      </c>
      <c r="CO767" s="105">
        <v>7.7</v>
      </c>
      <c r="CP767" s="109"/>
      <c r="CQ767" s="68"/>
      <c r="CR767" s="20" t="str" cm="1">
        <f t="array" ref="CR767">IF(OR(ISBLANK(E767),ISBLANK(CQ767)),"Incomplete",_xlfn.XLOOKUP(CQ767,_xlfn.XLOOKUP(E767,'Normative data'!$Y$3:$Y$6,'Normative data'!$Z$3:$AG$6,,-1),'Normative data'!$Z$2:$AG$2,"Not Found",-1))</f>
        <v>Incomplete</v>
      </c>
      <c r="CS767" s="68"/>
      <c r="CT767" s="66"/>
      <c r="CU767" s="20" t="str" cm="1">
        <f t="array" ref="CU767">_xlfn.XLOOKUP(CS767&amp;CT767,(VLOOKUP!$A$3:$A$250)&amp;(VLOOKUP!$B$3:$B$250),VLOOKUP!$C$3:$C$250,"Incomplete",-1)</f>
        <v>Incomplete</v>
      </c>
      <c r="CV767" s="20" t="str" cm="1">
        <f t="array" ref="CV767">_xlfn.XLOOKUP(CU767, _xlfn.XLOOKUP(E767, 'Normative data'!$Y$11:$Y$14, 'Normative data'!$Z$11:$AG$14, ,-1), 'Normative data'!$Z$10:$AG$10, "Not Found", -1)</f>
        <v>Excellent</v>
      </c>
      <c r="CW767" s="20" t="str" cm="1">
        <f t="array" ref="CW767">IF(OR(ISBLANK(CS767),ISBLANK(CT767)),"Incomplete",_xlfn.XLOOKUP(CS767&amp;CT767,VLOOKUP!$A$4:$A$250&amp;VLOOKUP!$B$4:$B$250,VLOOKUP!$D$4:$D$250,"0"))</f>
        <v>Incomplete</v>
      </c>
    </row>
    <row r="768" spans="1:101">
      <c r="A768" s="64" t="s">
        <v>1014</v>
      </c>
      <c r="B768" s="64" t="s">
        <v>1015</v>
      </c>
      <c r="C768" s="64" t="s">
        <v>86</v>
      </c>
      <c r="D768" s="96">
        <v>40125</v>
      </c>
      <c r="E768" s="64"/>
      <c r="F768" s="64">
        <v>10</v>
      </c>
      <c r="G768" s="64">
        <v>2025</v>
      </c>
      <c r="H768" s="66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  <c r="AE768" s="66"/>
      <c r="AF768" s="66"/>
      <c r="AG768" s="66"/>
      <c r="AH768" s="66"/>
      <c r="AI768" s="66"/>
      <c r="AJ768" s="66"/>
      <c r="AK768" s="66"/>
      <c r="AL768" s="66"/>
      <c r="AM768" s="66"/>
      <c r="AN768" s="66"/>
      <c r="AO768" s="66"/>
      <c r="AP768" s="66"/>
      <c r="AQ768" s="20"/>
      <c r="AR768" s="20"/>
      <c r="AS768" s="20"/>
      <c r="AT768" s="20"/>
      <c r="AU768" s="20"/>
      <c r="AV768" s="20"/>
      <c r="AW768" s="20"/>
      <c r="AX768" s="20"/>
      <c r="AY768" s="41" t="str">
        <f t="shared" ref="AY768:AY795" si="239">IF(OR(ISBLANK(U768), ISBLANK(AQ768)), "Incomplete", (60.7*AQ768)+(45.3*U768)-2055)</f>
        <v>Incomplete</v>
      </c>
      <c r="AZ768" s="66"/>
      <c r="BA768" s="20" t="str">
        <f t="shared" ref="BA768:BA795" si="240">IF(OR(ISBLANK(U768), ISBLANK(AS768)), "Incomplete", (60.7*AS768)+(45.3*U768)-2055)</f>
        <v>Incomplete</v>
      </c>
      <c r="BB768" s="66"/>
      <c r="BC768" s="20" t="str">
        <f t="shared" ref="BC768:BC795" si="241">IF(OR(ISBLANK(U768), ISBLANK(AU768)), "Incomplete", (60.7*AU768)+(45.3*U768)-2055)</f>
        <v>Incomplete</v>
      </c>
      <c r="BD768" s="66"/>
      <c r="BE768" s="20" t="str">
        <f t="shared" ref="BE768:BE795" si="242">IF(OR(ISBLANK(U768), ISBLANK(AW768)), "Incomplete", (60.7*AW768)+(45.3*U768)-2055)</f>
        <v>Incomplete</v>
      </c>
      <c r="BF768" s="66"/>
      <c r="BG768" s="66"/>
      <c r="BH768" s="66"/>
      <c r="BI768" s="20" t="str">
        <f>IF(OR(ISBLANK(BG768), ISBLANK(BH768)),"Incomplete",(SUM(BH768-BG768)))</f>
        <v>Incomplete</v>
      </c>
      <c r="BJ768" s="66"/>
      <c r="BK768" s="66"/>
      <c r="BL768" s="66"/>
      <c r="BM768" s="66"/>
      <c r="BN768" s="66"/>
      <c r="BO768" s="66"/>
      <c r="BP768" s="66"/>
      <c r="BQ768" s="66"/>
      <c r="BR768" s="66"/>
      <c r="BS768" s="66"/>
      <c r="BT768" s="66"/>
      <c r="BU768" s="66"/>
      <c r="BV768" s="66"/>
      <c r="BW768" s="91" t="str">
        <f t="shared" ref="BW768:BW795" si="243">IFERROR(SUM(BQ768+BR768+BS768)/(3*(T768-S768))*100, "Incomplete")</f>
        <v>Incomplete</v>
      </c>
      <c r="BX768" s="91" t="str">
        <f>_xlfn.XLOOKUP(BW768,'Normative data'!$V$3:$V$6,'Normative data'!$W$3:$W$6,"Not Found",-1)</f>
        <v>Very low risk</v>
      </c>
      <c r="BY768" s="91" t="str">
        <f t="shared" ref="BY768:BY795" si="244">IFERROR(SUM(BT768+BU768+BV768)/(3*(T768-S768))*100, "Incomplete")</f>
        <v>Incomplete</v>
      </c>
      <c r="BZ768" s="91" t="str">
        <f>_xlfn.XLOOKUP(BY768,'Normative data'!$V$3:$V$6,'Normative data'!$W$3:$W$6,"Not Found",-1)</f>
        <v>Very low risk</v>
      </c>
      <c r="CA768" s="20"/>
      <c r="CC768" s="20"/>
      <c r="CE768" s="20"/>
      <c r="CF768" s="66"/>
      <c r="CG768" s="20"/>
      <c r="CH768" s="20" t="str">
        <f>_xlfn.XLOOKUP(CG768, 'Normative data'!$S$9:$S$15,'Normative data'!$T$9:$T$15, "Not Found", -1)</f>
        <v>not completed</v>
      </c>
      <c r="CI768" s="20"/>
      <c r="CJ768" s="20" t="str">
        <f>_xlfn.XLOOKUP(CI768, 'Normative data'!$S$9:$S$15, 'Normative data'!$T$9:$T$15, "Not Found", -1)</f>
        <v>not completed</v>
      </c>
      <c r="CK768" s="66" t="s">
        <v>116</v>
      </c>
      <c r="CL768" s="66" t="s">
        <v>117</v>
      </c>
      <c r="CM768" s="66"/>
      <c r="CN768" s="66" t="s">
        <v>1146</v>
      </c>
      <c r="CO768" s="66" t="s">
        <v>1145</v>
      </c>
      <c r="CP768" s="68"/>
      <c r="CQ768" s="68"/>
      <c r="CR768" s="20" t="str" cm="1">
        <f t="array" ref="CR768">IF(OR(ISBLANK(E768),ISBLANK(CQ768)),"Incomplete",_xlfn.XLOOKUP(CQ768,_xlfn.XLOOKUP(E768,'Normative data'!$Y$3:$Y$6,'Normative data'!$Z$3:$AG$6,,-1),'Normative data'!$Z$2:$AG$2,"Not Found",-1))</f>
        <v>Incomplete</v>
      </c>
      <c r="CS768" s="68"/>
      <c r="CT768" s="66"/>
      <c r="CU768" s="20" t="str" cm="1">
        <f t="array" ref="CU768">_xlfn.XLOOKUP(CS768&amp;CT768,(VLOOKUP!$A$3:$A$250)&amp;(VLOOKUP!$B$3:$B$250),VLOOKUP!$C$3:$C$250,"Incomplete",-1)</f>
        <v>Incomplete</v>
      </c>
      <c r="CV768" s="20" t="str" cm="1">
        <f t="array" ref="CV768">_xlfn.XLOOKUP(CU768, _xlfn.XLOOKUP(E768, 'Normative data'!$Y$11:$Y$14, 'Normative data'!$Z$11:$AG$14, ,-1), 'Normative data'!$Z$10:$AG$10, "Not Found", -1)</f>
        <v>Excellent</v>
      </c>
      <c r="CW768" s="20" t="str" cm="1">
        <f t="array" ref="CW768">IF(OR(ISBLANK(CS768),ISBLANK(CT768)),"Incomplete",_xlfn.XLOOKUP(CS768&amp;CT768,VLOOKUP!$A$4:$A$250&amp;VLOOKUP!$B$4:$B$250,VLOOKUP!$D$4:$D$250,"0"))</f>
        <v>Incomplete</v>
      </c>
    </row>
    <row r="769" spans="1:101" ht="27.6">
      <c r="A769" s="93" t="s">
        <v>1422</v>
      </c>
      <c r="B769" s="93" t="s">
        <v>1423</v>
      </c>
      <c r="C769" s="64" t="s">
        <v>86</v>
      </c>
      <c r="D769" s="96">
        <v>40758</v>
      </c>
      <c r="E769" s="64"/>
      <c r="F769" s="64">
        <v>8</v>
      </c>
      <c r="G769" s="64">
        <v>2025</v>
      </c>
      <c r="H769" s="66"/>
      <c r="I769" s="64"/>
      <c r="J769" s="64" t="s">
        <v>122</v>
      </c>
      <c r="K769" s="64"/>
      <c r="L769" s="64"/>
      <c r="M769" s="64"/>
      <c r="N769" s="64"/>
      <c r="O769" s="64"/>
      <c r="P769" s="64"/>
      <c r="Q769" s="64"/>
      <c r="R769" s="64"/>
      <c r="S769" s="66"/>
      <c r="T769" s="66">
        <v>155</v>
      </c>
      <c r="U769" s="66">
        <v>47.7</v>
      </c>
      <c r="V769" s="66"/>
      <c r="W769" s="66">
        <v>10.4</v>
      </c>
      <c r="X769" s="66">
        <f>SUM(T769-W769)</f>
        <v>144.6</v>
      </c>
      <c r="Y769" s="66">
        <v>20.399999999999999</v>
      </c>
      <c r="Z769" s="66">
        <v>19.899999999999999</v>
      </c>
      <c r="AA769" s="66">
        <v>21.9</v>
      </c>
      <c r="AB769" s="66"/>
      <c r="AC769" s="66"/>
      <c r="AD769" s="66"/>
      <c r="AE769" s="66"/>
      <c r="AF769" s="66"/>
      <c r="AG769" s="66"/>
      <c r="AH769" s="66"/>
      <c r="AI769" s="66"/>
      <c r="AJ769" s="66"/>
      <c r="AK769" s="66"/>
      <c r="AL769" s="66"/>
      <c r="AM769" s="66"/>
      <c r="AN769" s="66"/>
      <c r="AO769" s="66"/>
      <c r="AP769" s="66"/>
      <c r="AQ769" s="20"/>
      <c r="AR769" s="20"/>
      <c r="AS769" s="20"/>
      <c r="AT769" s="20"/>
      <c r="AU769" s="20"/>
      <c r="AV769" s="20"/>
      <c r="AW769" s="20"/>
      <c r="AX769" s="20"/>
      <c r="AY769" s="41" t="str">
        <f t="shared" si="239"/>
        <v>Incomplete</v>
      </c>
      <c r="AZ769" s="66"/>
      <c r="BA769" s="20" t="str">
        <f t="shared" si="240"/>
        <v>Incomplete</v>
      </c>
      <c r="BB769" s="66"/>
      <c r="BC769" s="20" t="str">
        <f t="shared" si="241"/>
        <v>Incomplete</v>
      </c>
      <c r="BD769" s="66"/>
      <c r="BE769" s="20" t="str">
        <f t="shared" si="242"/>
        <v>Incomplete</v>
      </c>
      <c r="BF769" s="66"/>
      <c r="BG769" s="66">
        <v>12</v>
      </c>
      <c r="BH769" s="20">
        <v>42.3</v>
      </c>
      <c r="BI769" s="20" t="e">
        <f>IF(OR(ISBLANK(#REF!), ISBLANK(#REF!)),"Incomplete",(SUM(#REF!-#REF!)))</f>
        <v>#REF!</v>
      </c>
      <c r="BJ769" s="66"/>
      <c r="BK769" s="66">
        <v>6</v>
      </c>
      <c r="BL769" s="66"/>
      <c r="BM769" s="20">
        <v>5</v>
      </c>
      <c r="BN769" s="66"/>
      <c r="BO769" s="20"/>
      <c r="BP769" s="20"/>
      <c r="BQ769" s="20"/>
      <c r="BR769" s="20"/>
      <c r="BS769" s="20"/>
      <c r="BT769" s="20"/>
      <c r="BU769" s="20"/>
      <c r="BV769" s="20"/>
      <c r="BW769" s="91">
        <f t="shared" si="243"/>
        <v>0</v>
      </c>
      <c r="BX769" s="91" t="str">
        <f>_xlfn.XLOOKUP(BW769,'Normative data'!$V$3:$V$6,'Normative data'!$W$3:$W$6,"Not Found",-1)</f>
        <v>Not completed</v>
      </c>
      <c r="BY769" s="91">
        <f t="shared" si="244"/>
        <v>0</v>
      </c>
      <c r="BZ769" s="91" t="str">
        <f>_xlfn.XLOOKUP(BY769,'Normative data'!$V$3:$V$6,'Normative data'!$W$3:$W$6,"Not Found",-1)</f>
        <v>Not completed</v>
      </c>
      <c r="CA769" s="66"/>
      <c r="CB769" s="66"/>
      <c r="CC769" s="20"/>
      <c r="CD769" s="66"/>
      <c r="CE769" s="66"/>
      <c r="CF769" s="66"/>
      <c r="CG769" s="20">
        <v>19.03</v>
      </c>
      <c r="CH769" s="20" t="e">
        <f>_xlfn.XLOOKUP(#REF!, 'Normative data'!$S$9:$S$15,'Normative data'!$T$9:$T$15, "Not Found", -1)</f>
        <v>#REF!</v>
      </c>
      <c r="CI769" s="20">
        <v>19.27</v>
      </c>
      <c r="CJ769" s="20" t="e">
        <f>_xlfn.XLOOKUP(#REF!, 'Normative data'!$S$9:$S$15, 'Normative data'!$T$9:$T$15, "Not Found", -1)</f>
        <v>#REF!</v>
      </c>
      <c r="CK769" s="105">
        <v>2.0699999999999998</v>
      </c>
      <c r="CL769" s="105">
        <v>4.83</v>
      </c>
      <c r="CM769" s="105"/>
      <c r="CN769" s="105">
        <v>6.51</v>
      </c>
      <c r="CO769" s="105">
        <v>7.68</v>
      </c>
      <c r="CP769" s="109"/>
      <c r="CQ769" s="68"/>
      <c r="CR769" s="20" t="str" cm="1">
        <f t="array" ref="CR769">IF(OR(ISBLANK(E769),ISBLANK(CQ769)),"Incomplete",_xlfn.XLOOKUP(CQ769,_xlfn.XLOOKUP(E769,'Normative data'!$Y$3:$Y$6,'Normative data'!$Z$3:$AG$6,,-1),'Normative data'!$Z$2:$AG$2,"Not Found",-1))</f>
        <v>Incomplete</v>
      </c>
      <c r="CS769" s="68"/>
      <c r="CT769" s="66"/>
      <c r="CU769" s="20" t="str" cm="1">
        <f t="array" ref="CU769">_xlfn.XLOOKUP(CS769&amp;CT769,(VLOOKUP!$A$3:$A$250)&amp;(VLOOKUP!$B$3:$B$250),VLOOKUP!$C$3:$C$250,"Incomplete",-1)</f>
        <v>Incomplete</v>
      </c>
      <c r="CV769" s="20" t="str" cm="1">
        <f t="array" ref="CV769">_xlfn.XLOOKUP(CU769, _xlfn.XLOOKUP(E769, 'Normative data'!$Y$11:$Y$14, 'Normative data'!$Z$11:$AG$14, ,-1), 'Normative data'!$Z$10:$AG$10, "Not Found", -1)</f>
        <v>Excellent</v>
      </c>
      <c r="CW769" s="20" t="str" cm="1">
        <f t="array" ref="CW769">IF(OR(ISBLANK(CS769),ISBLANK(CT769)),"Incomplete",_xlfn.XLOOKUP(CS769&amp;CT769,VLOOKUP!$A$4:$A$250&amp;VLOOKUP!$B$4:$B$250,VLOOKUP!$D$4:$D$250,"0"))</f>
        <v>Incomplete</v>
      </c>
    </row>
    <row r="770" spans="1:101">
      <c r="A770" s="93" t="s">
        <v>1424</v>
      </c>
      <c r="B770" s="93" t="s">
        <v>1037</v>
      </c>
      <c r="C770" s="64" t="s">
        <v>86</v>
      </c>
      <c r="D770" s="96"/>
      <c r="E770" s="64"/>
      <c r="F770" s="64">
        <v>9</v>
      </c>
      <c r="G770" s="64">
        <v>2025</v>
      </c>
      <c r="H770" s="66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  <c r="AE770" s="66"/>
      <c r="AF770" s="66"/>
      <c r="AG770" s="66"/>
      <c r="AH770" s="66"/>
      <c r="AI770" s="66"/>
      <c r="AJ770" s="66"/>
      <c r="AK770" s="66"/>
      <c r="AL770" s="66"/>
      <c r="AM770" s="66"/>
      <c r="AN770" s="66"/>
      <c r="AO770" s="66"/>
      <c r="AP770" s="66"/>
      <c r="AQ770" s="66"/>
      <c r="AR770" s="66"/>
      <c r="AS770" s="66"/>
      <c r="AT770" s="66"/>
      <c r="AU770" s="66"/>
      <c r="AV770" s="66"/>
      <c r="AW770" s="66"/>
      <c r="AX770" s="66"/>
      <c r="AY770" s="41" t="str">
        <f t="shared" si="239"/>
        <v>Incomplete</v>
      </c>
      <c r="AZ770" s="66"/>
      <c r="BA770" s="20" t="str">
        <f t="shared" si="240"/>
        <v>Incomplete</v>
      </c>
      <c r="BB770" s="66"/>
      <c r="BC770" s="20" t="str">
        <f t="shared" si="241"/>
        <v>Incomplete</v>
      </c>
      <c r="BD770" s="66"/>
      <c r="BE770" s="20" t="str">
        <f t="shared" si="242"/>
        <v>Incomplete</v>
      </c>
      <c r="BF770" s="66"/>
      <c r="BG770" s="66">
        <v>16</v>
      </c>
      <c r="BH770" s="66">
        <v>44.7</v>
      </c>
      <c r="BI770" s="20">
        <f>IF(OR(ISBLANK(BG770), ISBLANK(BH770)),"Incomplete",(SUM(BH770-BG770)))</f>
        <v>28.700000000000003</v>
      </c>
      <c r="BJ770" s="66"/>
      <c r="BK770" s="66"/>
      <c r="BL770" s="66"/>
      <c r="BM770" s="66"/>
      <c r="BN770" s="66"/>
      <c r="BO770" s="66"/>
      <c r="BP770" s="66"/>
      <c r="BQ770" s="66"/>
      <c r="BR770" s="66"/>
      <c r="BS770" s="66"/>
      <c r="BT770" s="66"/>
      <c r="BU770" s="66"/>
      <c r="BV770" s="66"/>
      <c r="BW770" s="91" t="str">
        <f t="shared" si="243"/>
        <v>Incomplete</v>
      </c>
      <c r="BX770" s="91" t="str">
        <f>_xlfn.XLOOKUP(BW770,'Normative data'!$V$3:$V$6,'Normative data'!$W$3:$W$6,"Not Found",-1)</f>
        <v>Very low risk</v>
      </c>
      <c r="BY770" s="91" t="str">
        <f t="shared" si="244"/>
        <v>Incomplete</v>
      </c>
      <c r="BZ770" s="91" t="str">
        <f>_xlfn.XLOOKUP(BY770,'Normative data'!$V$3:$V$6,'Normative data'!$W$3:$W$6,"Not Found",-1)</f>
        <v>Very low risk</v>
      </c>
      <c r="CA770" s="66"/>
      <c r="CB770" s="66"/>
      <c r="CC770" s="20"/>
      <c r="CD770" s="66"/>
      <c r="CE770" s="66">
        <v>10</v>
      </c>
      <c r="CF770" s="66"/>
      <c r="CG770" s="66"/>
      <c r="CH770" s="20" t="str">
        <f>_xlfn.XLOOKUP(CG770, 'Normative data'!$S$9:$S$15,'Normative data'!$T$9:$T$15, "Not Found", -1)</f>
        <v>not completed</v>
      </c>
      <c r="CI770" s="66"/>
      <c r="CJ770" s="20" t="str">
        <f>_xlfn.XLOOKUP(CI770, 'Normative data'!$S$9:$S$15, 'Normative data'!$T$9:$T$15, "Not Found", -1)</f>
        <v>not completed</v>
      </c>
      <c r="CK770" s="105"/>
      <c r="CL770" s="105"/>
      <c r="CM770" s="105"/>
      <c r="CN770" s="105"/>
      <c r="CO770" s="105"/>
      <c r="CP770" s="109"/>
      <c r="CQ770" s="68"/>
      <c r="CR770" s="20" t="str" cm="1">
        <f t="array" ref="CR770">IF(OR(ISBLANK(E770),ISBLANK(CQ770)),"Incomplete",_xlfn.XLOOKUP(CQ770,_xlfn.XLOOKUP(E770,'Normative data'!$Y$3:$Y$6,'Normative data'!$Z$3:$AG$6,,-1),'Normative data'!$Z$2:$AG$2,"Not Found",-1))</f>
        <v>Incomplete</v>
      </c>
      <c r="CS770" s="68"/>
      <c r="CT770" s="66"/>
      <c r="CU770" s="20" t="str" cm="1">
        <f t="array" ref="CU770">_xlfn.XLOOKUP(CS770&amp;CT770,(VLOOKUP!$A$3:$A$250)&amp;(VLOOKUP!$B$3:$B$250),VLOOKUP!$C$3:$C$250,"Incomplete",-1)</f>
        <v>Incomplete</v>
      </c>
      <c r="CV770" s="20" t="str" cm="1">
        <f t="array" ref="CV770">_xlfn.XLOOKUP(CU770, _xlfn.XLOOKUP(E770, 'Normative data'!$Y$11:$Y$14, 'Normative data'!$Z$11:$AG$14, ,-1), 'Normative data'!$Z$10:$AG$10, "Not Found", -1)</f>
        <v>Excellent</v>
      </c>
      <c r="CW770" s="20" t="str" cm="1">
        <f t="array" ref="CW770">IF(OR(ISBLANK(CS770),ISBLANK(CT770)),"Incomplete",_xlfn.XLOOKUP(CS770&amp;CT770,VLOOKUP!$A$4:$A$250&amp;VLOOKUP!$B$4:$B$250,VLOOKUP!$D$4:$D$250,"0"))</f>
        <v>Incomplete</v>
      </c>
    </row>
    <row r="771" spans="1:101">
      <c r="A771" s="64" t="s">
        <v>1425</v>
      </c>
      <c r="B771" s="64" t="s">
        <v>1426</v>
      </c>
      <c r="C771" s="64" t="s">
        <v>86</v>
      </c>
      <c r="D771" s="65">
        <v>39665</v>
      </c>
      <c r="E771" s="64">
        <v>18</v>
      </c>
      <c r="F771" s="66">
        <v>12</v>
      </c>
      <c r="G771" s="64">
        <v>2026</v>
      </c>
      <c r="H771" s="66"/>
      <c r="I771" s="66">
        <v>2</v>
      </c>
      <c r="J771" s="66" t="s">
        <v>122</v>
      </c>
      <c r="K771" s="66" t="s">
        <v>95</v>
      </c>
      <c r="L771" s="66"/>
      <c r="M771" s="64"/>
      <c r="N771" s="64"/>
      <c r="O771" s="64"/>
      <c r="P771" s="64"/>
      <c r="Q771" s="64"/>
      <c r="R771" s="64"/>
      <c r="S771" s="66">
        <v>87.1</v>
      </c>
      <c r="T771" s="66">
        <v>165.6</v>
      </c>
      <c r="U771" s="64">
        <v>69.7</v>
      </c>
      <c r="V771" s="64">
        <v>33.9</v>
      </c>
      <c r="W771" s="64">
        <v>23.5</v>
      </c>
      <c r="X771" s="64">
        <v>46.2</v>
      </c>
      <c r="Y771" s="64">
        <v>25.3</v>
      </c>
      <c r="Z771" s="64">
        <v>25.4</v>
      </c>
      <c r="AA771" s="64">
        <v>33.700000000000003</v>
      </c>
      <c r="AB771" s="64">
        <v>6.83</v>
      </c>
      <c r="AC771" s="64">
        <v>96.4</v>
      </c>
      <c r="AD771" s="64">
        <v>6.85</v>
      </c>
      <c r="AE771" s="64">
        <v>96.8</v>
      </c>
      <c r="AF771" s="64">
        <v>3.3</v>
      </c>
      <c r="AG771" s="64">
        <v>135.80000000000001</v>
      </c>
      <c r="AH771" s="64">
        <v>3.3</v>
      </c>
      <c r="AI771" s="64">
        <v>135.6</v>
      </c>
      <c r="AJ771" s="64">
        <v>276.10000000000002</v>
      </c>
      <c r="AK771" s="64">
        <v>272.89999999999998</v>
      </c>
      <c r="AL771" s="64">
        <v>250</v>
      </c>
      <c r="AM771" s="64">
        <v>247.1</v>
      </c>
      <c r="AN771" s="64">
        <v>72</v>
      </c>
      <c r="AO771" s="64">
        <v>0.94</v>
      </c>
      <c r="AP771" s="64">
        <v>6.7</v>
      </c>
      <c r="AQ771" s="17">
        <v>19.3</v>
      </c>
      <c r="AR771" s="17">
        <v>0.39700000000000002</v>
      </c>
      <c r="AS771" s="17">
        <v>21.3</v>
      </c>
      <c r="AT771" s="17">
        <v>0.41699999999999998</v>
      </c>
      <c r="AU771" s="17">
        <v>10.7</v>
      </c>
      <c r="AV771" s="17">
        <v>0.29499999999999998</v>
      </c>
      <c r="AW771" s="17">
        <v>10.5</v>
      </c>
      <c r="AX771" s="17">
        <v>0.29199999999999998</v>
      </c>
      <c r="AY771" s="41">
        <f t="shared" si="239"/>
        <v>2273.92</v>
      </c>
      <c r="AZ771" s="64"/>
      <c r="BA771" s="20">
        <f t="shared" si="240"/>
        <v>2395.3199999999997</v>
      </c>
      <c r="BB771" s="64"/>
      <c r="BC771" s="20">
        <f t="shared" si="241"/>
        <v>1751.8999999999996</v>
      </c>
      <c r="BD771" s="64"/>
      <c r="BE771" s="20">
        <f t="shared" si="242"/>
        <v>1739.7599999999998</v>
      </c>
      <c r="BF771" s="64"/>
      <c r="BG771" s="64">
        <v>9</v>
      </c>
      <c r="BH771" s="64">
        <v>53</v>
      </c>
      <c r="BI771" s="20">
        <f>IF(OR(ISBLANK(BG771), ISBLANK(BH771)),"Incomplete",(SUM(BH771-BG771)))</f>
        <v>44</v>
      </c>
      <c r="BJ771" s="66"/>
      <c r="BK771" s="64">
        <v>15</v>
      </c>
      <c r="BL771" s="66"/>
      <c r="BM771" s="17">
        <v>14.5</v>
      </c>
      <c r="BN771" s="66"/>
      <c r="BO771" s="64">
        <v>56</v>
      </c>
      <c r="BP771" s="64">
        <v>55.5</v>
      </c>
      <c r="BQ771" s="64">
        <v>77</v>
      </c>
      <c r="BR771" s="64">
        <v>100</v>
      </c>
      <c r="BS771" s="64">
        <v>92</v>
      </c>
      <c r="BT771" s="64">
        <v>73</v>
      </c>
      <c r="BU771" s="64">
        <v>107</v>
      </c>
      <c r="BV771" s="64">
        <v>96</v>
      </c>
      <c r="BW771" s="91">
        <f t="shared" si="243"/>
        <v>114.22505307855626</v>
      </c>
      <c r="BX771" s="91" t="str">
        <f>_xlfn.XLOOKUP(BW771,'Normative data'!$V$3:$V$6,'Normative data'!$W$3:$W$6,"Not Found",-1)</f>
        <v>Low risk</v>
      </c>
      <c r="BY771" s="91">
        <f t="shared" si="244"/>
        <v>117.19745222929936</v>
      </c>
      <c r="BZ771" s="91" t="str">
        <f>_xlfn.XLOOKUP(BY771,'Normative data'!$V$3:$V$6,'Normative data'!$W$3:$W$6,"Not Found",-1)</f>
        <v>Low risk</v>
      </c>
      <c r="CA771" s="17">
        <v>23</v>
      </c>
      <c r="CB771" s="66"/>
      <c r="CC771" s="20"/>
      <c r="CD771" s="66"/>
      <c r="CE771" s="64">
        <v>16</v>
      </c>
      <c r="CF771" s="66"/>
      <c r="CG771" s="64">
        <v>19.07</v>
      </c>
      <c r="CH771" s="20" t="str">
        <f>_xlfn.XLOOKUP(CG771, 'Normative data'!$S$9:$S$15,'Normative data'!$T$9:$T$15, "Not Found", -1)</f>
        <v>Average</v>
      </c>
      <c r="CI771" s="64">
        <v>18.8</v>
      </c>
      <c r="CJ771" s="20" t="str">
        <f>_xlfn.XLOOKUP(CI771, 'Normative data'!$S$9:$S$15, 'Normative data'!$T$9:$T$15, "Not Found", -1)</f>
        <v>Average</v>
      </c>
      <c r="CK771" s="105"/>
      <c r="CL771" s="105"/>
      <c r="CM771" s="105"/>
      <c r="CN771" s="105"/>
      <c r="CO771" s="105"/>
      <c r="CP771" s="68"/>
      <c r="CQ771" s="67"/>
      <c r="CR771" s="20" t="str" cm="1">
        <f t="array" ref="CR771">IF(OR(ISBLANK(E771),ISBLANK(CQ771)),"Incomplete",_xlfn.XLOOKUP(CQ771,_xlfn.XLOOKUP(E771,'Normative data'!$Y$3:$Y$6,'Normative data'!$Z$3:$AG$6,,-1),'Normative data'!$Z$2:$AG$2,"Not Found",-1))</f>
        <v>Incomplete</v>
      </c>
      <c r="CS771" s="68"/>
      <c r="CT771" s="66"/>
      <c r="CU771" s="20" t="str" cm="1">
        <f t="array" ref="CU771">_xlfn.XLOOKUP(CS771&amp;CT771,(VLOOKUP!$A$3:$A$250)&amp;(VLOOKUP!$B$3:$B$250),VLOOKUP!$C$3:$C$250,"Incomplete",-1)</f>
        <v>Incomplete</v>
      </c>
      <c r="CV771" s="20" t="str" cm="1">
        <f t="array" ref="CV771">_xlfn.XLOOKUP(CU771, _xlfn.XLOOKUP(E771, 'Normative data'!$Y$11:$Y$14, 'Normative data'!$Z$11:$AG$14, ,-1), 'Normative data'!$Z$10:$AG$10, "Not Found", -1)</f>
        <v>Excellent</v>
      </c>
      <c r="CW771" s="20" t="str" cm="1">
        <f t="array" ref="CW771">IF(OR(ISBLANK(CS771),ISBLANK(CT771)),"Incomplete",_xlfn.XLOOKUP(CS771&amp;CT771,VLOOKUP!$A$4:$A$250&amp;VLOOKUP!$B$4:$B$250,VLOOKUP!$D$4:$D$250,"0"))</f>
        <v>Incomplete</v>
      </c>
    </row>
    <row r="772" spans="1:101">
      <c r="A772" s="94" t="s">
        <v>1427</v>
      </c>
      <c r="B772" s="94" t="s">
        <v>321</v>
      </c>
      <c r="C772" s="64" t="s">
        <v>86</v>
      </c>
      <c r="D772" s="97">
        <v>40544</v>
      </c>
      <c r="E772" s="64"/>
      <c r="F772" s="64">
        <v>9</v>
      </c>
      <c r="G772" s="64">
        <v>2025</v>
      </c>
      <c r="H772" s="66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  <c r="AE772" s="66"/>
      <c r="AF772" s="66"/>
      <c r="AG772" s="66"/>
      <c r="AH772" s="66"/>
      <c r="AI772" s="66"/>
      <c r="AJ772" s="66"/>
      <c r="AK772" s="66"/>
      <c r="AL772" s="66"/>
      <c r="AM772" s="66"/>
      <c r="AN772" s="66"/>
      <c r="AO772" s="66"/>
      <c r="AP772" s="66"/>
      <c r="AQ772" s="20"/>
      <c r="AR772" s="20"/>
      <c r="AS772" s="20"/>
      <c r="AT772" s="20"/>
      <c r="AU772" s="20"/>
      <c r="AV772" s="20"/>
      <c r="AW772" s="20"/>
      <c r="AX772" s="20"/>
      <c r="AY772" s="41" t="str">
        <f t="shared" si="239"/>
        <v>Incomplete</v>
      </c>
      <c r="AZ772" s="66"/>
      <c r="BA772" s="20" t="str">
        <f t="shared" si="240"/>
        <v>Incomplete</v>
      </c>
      <c r="BB772" s="66"/>
      <c r="BC772" s="20" t="str">
        <f t="shared" si="241"/>
        <v>Incomplete</v>
      </c>
      <c r="BD772" s="66"/>
      <c r="BE772" s="20" t="str">
        <f t="shared" si="242"/>
        <v>Incomplete</v>
      </c>
      <c r="BF772" s="66"/>
      <c r="BG772" s="66">
        <v>19</v>
      </c>
      <c r="BH772" s="20">
        <v>57</v>
      </c>
      <c r="BI772" s="20">
        <f>IF(OR(ISBLANK(BG772), ISBLANK(BH772)),"Incomplete",(SUM(BH772-BG772)))</f>
        <v>38</v>
      </c>
      <c r="BJ772" s="66"/>
      <c r="BK772" s="66">
        <v>7</v>
      </c>
      <c r="BL772" s="66"/>
      <c r="BM772" s="66">
        <v>7</v>
      </c>
      <c r="BN772" s="66"/>
      <c r="BO772" s="20"/>
      <c r="BP772" s="20"/>
      <c r="BQ772" s="20"/>
      <c r="BR772" s="20"/>
      <c r="BS772" s="20"/>
      <c r="BT772" s="20"/>
      <c r="BU772" s="20"/>
      <c r="BV772" s="20"/>
      <c r="BW772" s="91" t="str">
        <f t="shared" si="243"/>
        <v>Incomplete</v>
      </c>
      <c r="BX772" s="91" t="str">
        <f>_xlfn.XLOOKUP(BW772,'Normative data'!$V$3:$V$6,'Normative data'!$W$3:$W$6,"Not Found",-1)</f>
        <v>Very low risk</v>
      </c>
      <c r="BY772" s="91" t="str">
        <f t="shared" si="244"/>
        <v>Incomplete</v>
      </c>
      <c r="BZ772" s="91" t="str">
        <f>_xlfn.XLOOKUP(BY772,'Normative data'!$V$3:$V$6,'Normative data'!$W$3:$W$6,"Not Found",-1)</f>
        <v>Very low risk</v>
      </c>
      <c r="CA772" s="66"/>
      <c r="CB772" s="66"/>
      <c r="CC772" s="20"/>
      <c r="CD772" s="66"/>
      <c r="CE772" s="66"/>
      <c r="CF772" s="66"/>
      <c r="CG772" s="20"/>
      <c r="CH772" s="20" t="str">
        <f>_xlfn.XLOOKUP(CG772, 'Normative data'!$S$9:$S$15,'Normative data'!$T$9:$T$15, "Not Found", -1)</f>
        <v>not completed</v>
      </c>
      <c r="CI772" s="20"/>
      <c r="CJ772" s="20" t="str">
        <f>_xlfn.XLOOKUP(CI772, 'Normative data'!$S$9:$S$15, 'Normative data'!$T$9:$T$15, "Not Found", -1)</f>
        <v>not completed</v>
      </c>
      <c r="CK772" s="66" t="s">
        <v>623</v>
      </c>
      <c r="CL772" s="66" t="s">
        <v>1428</v>
      </c>
      <c r="CM772" s="105"/>
      <c r="CN772" s="66" t="s">
        <v>1429</v>
      </c>
      <c r="CO772" s="66" t="s">
        <v>1430</v>
      </c>
      <c r="CP772" s="110"/>
      <c r="CQ772" s="68"/>
      <c r="CR772" s="20" t="str" cm="1">
        <f t="array" ref="CR772">IF(OR(ISBLANK(E772),ISBLANK(CQ772)),"Incomplete",_xlfn.XLOOKUP(CQ772,_xlfn.XLOOKUP(E772,'Normative data'!$Y$3:$Y$6,'Normative data'!$Z$3:$AG$6,,-1),'Normative data'!$Z$2:$AG$2,"Not Found",-1))</f>
        <v>Incomplete</v>
      </c>
      <c r="CS772" s="68"/>
      <c r="CT772" s="66"/>
      <c r="CU772" s="20" t="str" cm="1">
        <f t="array" ref="CU772">_xlfn.XLOOKUP(CS772&amp;CT772,(VLOOKUP!$A$3:$A$250)&amp;(VLOOKUP!$B$3:$B$250),VLOOKUP!$C$3:$C$250,"Incomplete",-1)</f>
        <v>Incomplete</v>
      </c>
      <c r="CV772" s="20" t="str" cm="1">
        <f t="array" ref="CV772">_xlfn.XLOOKUP(CU772, _xlfn.XLOOKUP(E772, 'Normative data'!$Y$11:$Y$14, 'Normative data'!$Z$11:$AG$14, ,-1), 'Normative data'!$Z$10:$AG$10, "Not Found", -1)</f>
        <v>Excellent</v>
      </c>
      <c r="CW772" s="20" t="str" cm="1">
        <f t="array" ref="CW772">IF(OR(ISBLANK(CS772),ISBLANK(CT772)),"Incomplete",_xlfn.XLOOKUP(CS772&amp;CT772,VLOOKUP!$A$4:$A$250&amp;VLOOKUP!$B$4:$B$250,VLOOKUP!$D$4:$D$250,"0"))</f>
        <v>Incomplete</v>
      </c>
    </row>
    <row r="773" spans="1:101">
      <c r="A773" s="94" t="s">
        <v>1427</v>
      </c>
      <c r="B773" s="94" t="s">
        <v>321</v>
      </c>
      <c r="C773" s="64" t="s">
        <v>86</v>
      </c>
      <c r="D773" s="97">
        <v>40544</v>
      </c>
      <c r="E773" s="64"/>
      <c r="F773" s="64">
        <v>9</v>
      </c>
      <c r="G773" s="64">
        <v>2025</v>
      </c>
      <c r="H773" s="66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  <c r="AD773" s="66"/>
      <c r="AE773" s="66"/>
      <c r="AF773" s="66"/>
      <c r="AG773" s="66"/>
      <c r="AH773" s="66"/>
      <c r="AI773" s="66"/>
      <c r="AJ773" s="66"/>
      <c r="AK773" s="66"/>
      <c r="AL773" s="66"/>
      <c r="AM773" s="66"/>
      <c r="AN773" s="66"/>
      <c r="AO773" s="66"/>
      <c r="AP773" s="66"/>
      <c r="AQ773" s="66"/>
      <c r="AR773" s="66"/>
      <c r="AS773" s="66"/>
      <c r="AT773" s="66"/>
      <c r="AU773" s="66"/>
      <c r="AV773" s="66"/>
      <c r="AW773" s="66"/>
      <c r="AX773" s="66"/>
      <c r="AY773" s="41" t="str">
        <f t="shared" si="239"/>
        <v>Incomplete</v>
      </c>
      <c r="AZ773" s="66"/>
      <c r="BA773" s="20" t="str">
        <f t="shared" si="240"/>
        <v>Incomplete</v>
      </c>
      <c r="BB773" s="66"/>
      <c r="BC773" s="20" t="str">
        <f t="shared" si="241"/>
        <v>Incomplete</v>
      </c>
      <c r="BD773" s="66"/>
      <c r="BE773" s="20" t="str">
        <f t="shared" si="242"/>
        <v>Incomplete</v>
      </c>
      <c r="BF773" s="66"/>
      <c r="BG773" s="66"/>
      <c r="BH773" s="66"/>
      <c r="BI773" s="20" t="str">
        <f>IF(OR(ISBLANK(BG773), ISBLANK(BH773)),"Incomplete",(SUM(BH773-BG773)))</f>
        <v>Incomplete</v>
      </c>
      <c r="BJ773" s="66"/>
      <c r="BK773" s="66"/>
      <c r="BL773" s="66"/>
      <c r="BM773" s="66"/>
      <c r="BN773" s="66"/>
      <c r="BO773" s="66"/>
      <c r="BP773" s="66"/>
      <c r="BQ773" s="66"/>
      <c r="BR773" s="66"/>
      <c r="BS773" s="66"/>
      <c r="BT773" s="66"/>
      <c r="BU773" s="66"/>
      <c r="BV773" s="66"/>
      <c r="BW773" s="91" t="str">
        <f t="shared" si="243"/>
        <v>Incomplete</v>
      </c>
      <c r="BX773" s="91" t="str">
        <f>_xlfn.XLOOKUP(BW773,'Normative data'!$V$3:$V$6,'Normative data'!$W$3:$W$6,"Not Found",-1)</f>
        <v>Very low risk</v>
      </c>
      <c r="BY773" s="91" t="str">
        <f t="shared" si="244"/>
        <v>Incomplete</v>
      </c>
      <c r="BZ773" s="91" t="str">
        <f>_xlfn.XLOOKUP(BY773,'Normative data'!$V$3:$V$6,'Normative data'!$W$3:$W$6,"Not Found",-1)</f>
        <v>Very low risk</v>
      </c>
      <c r="CA773" s="20"/>
      <c r="CC773" s="20"/>
      <c r="CE773" s="20">
        <v>18</v>
      </c>
      <c r="CF773" s="66"/>
      <c r="CG773" s="20"/>
      <c r="CH773" s="20" t="str">
        <f>_xlfn.XLOOKUP(CG773, 'Normative data'!$S$9:$S$15,'Normative data'!$T$9:$T$15, "Not Found", -1)</f>
        <v>not completed</v>
      </c>
      <c r="CI773" s="20"/>
      <c r="CJ773" s="20" t="str">
        <f>_xlfn.XLOOKUP(CI773, 'Normative data'!$S$9:$S$15, 'Normative data'!$T$9:$T$15, "Not Found", -1)</f>
        <v>not completed</v>
      </c>
      <c r="CK773" s="24">
        <v>2.7</v>
      </c>
      <c r="CL773" s="24">
        <v>3.7</v>
      </c>
      <c r="CM773" s="24"/>
      <c r="CN773" s="24">
        <v>8.43</v>
      </c>
      <c r="CO773" s="24">
        <v>5.93</v>
      </c>
      <c r="CP773" s="110"/>
      <c r="CQ773" s="68"/>
      <c r="CR773" s="20" t="str" cm="1">
        <f t="array" ref="CR773">IF(OR(ISBLANK(E773),ISBLANK(CQ773)),"Incomplete",_xlfn.XLOOKUP(CQ773,_xlfn.XLOOKUP(E773,'Normative data'!$Y$3:$Y$6,'Normative data'!$Z$3:$AG$6,,-1),'Normative data'!$Z$2:$AG$2,"Not Found",-1))</f>
        <v>Incomplete</v>
      </c>
      <c r="CS773" s="68"/>
      <c r="CT773" s="66"/>
      <c r="CU773" s="20" t="str" cm="1">
        <f t="array" ref="CU773">_xlfn.XLOOKUP(CS773&amp;CT773,(VLOOKUP!$A$3:$A$250)&amp;(VLOOKUP!$B$3:$B$250),VLOOKUP!$C$3:$C$250,"Incomplete",-1)</f>
        <v>Incomplete</v>
      </c>
      <c r="CV773" s="20" t="str" cm="1">
        <f t="array" ref="CV773">_xlfn.XLOOKUP(CU773, _xlfn.XLOOKUP(E773, 'Normative data'!$Y$11:$Y$14, 'Normative data'!$Z$11:$AG$14, ,-1), 'Normative data'!$Z$10:$AG$10, "Not Found", -1)</f>
        <v>Excellent</v>
      </c>
      <c r="CW773" s="20" t="str" cm="1">
        <f t="array" ref="CW773">IF(OR(ISBLANK(CS773),ISBLANK(CT773)),"Incomplete",_xlfn.XLOOKUP(CS773&amp;CT773,VLOOKUP!$A$4:$A$250&amp;VLOOKUP!$B$4:$B$250,VLOOKUP!$D$4:$D$250,"0"))</f>
        <v>Incomplete</v>
      </c>
    </row>
    <row r="774" spans="1:101">
      <c r="A774" s="94" t="s">
        <v>308</v>
      </c>
      <c r="B774" s="94" t="s">
        <v>311</v>
      </c>
      <c r="C774" s="64" t="s">
        <v>86</v>
      </c>
      <c r="D774" s="97"/>
      <c r="E774" s="64"/>
      <c r="F774" s="64">
        <v>10</v>
      </c>
      <c r="G774" s="64">
        <v>2025</v>
      </c>
      <c r="H774" s="66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  <c r="AE774" s="66"/>
      <c r="AF774" s="66"/>
      <c r="AG774" s="66"/>
      <c r="AH774" s="66"/>
      <c r="AI774" s="66"/>
      <c r="AJ774" s="66"/>
      <c r="AK774" s="66"/>
      <c r="AL774" s="66"/>
      <c r="AM774" s="66"/>
      <c r="AN774" s="66"/>
      <c r="AO774" s="66"/>
      <c r="AP774" s="66"/>
      <c r="AQ774" s="66"/>
      <c r="AR774" s="66"/>
      <c r="AS774" s="66"/>
      <c r="AT774" s="66"/>
      <c r="AU774" s="66"/>
      <c r="AV774" s="66"/>
      <c r="AW774" s="66"/>
      <c r="AX774" s="66"/>
      <c r="AY774" s="41" t="str">
        <f t="shared" si="239"/>
        <v>Incomplete</v>
      </c>
      <c r="AZ774" s="66"/>
      <c r="BA774" s="20" t="str">
        <f t="shared" si="240"/>
        <v>Incomplete</v>
      </c>
      <c r="BB774" s="66"/>
      <c r="BC774" s="20" t="str">
        <f t="shared" si="241"/>
        <v>Incomplete</v>
      </c>
      <c r="BD774" s="66"/>
      <c r="BE774" s="20" t="str">
        <f t="shared" si="242"/>
        <v>Incomplete</v>
      </c>
      <c r="BF774" s="66"/>
      <c r="BG774" s="66">
        <v>16.5</v>
      </c>
      <c r="BH774" s="66">
        <v>33</v>
      </c>
      <c r="BI774" s="20">
        <f>IF(OR(ISBLANK(BG774), ISBLANK(BH774)),"Incomplete",(SUM(BH774-BG774)))</f>
        <v>16.5</v>
      </c>
      <c r="BJ774" s="66"/>
      <c r="BK774" s="66"/>
      <c r="BL774" s="66"/>
      <c r="BM774" s="20"/>
      <c r="BN774" s="66"/>
      <c r="BO774" s="66"/>
      <c r="BP774" s="66"/>
      <c r="BQ774" s="66"/>
      <c r="BR774" s="66"/>
      <c r="BS774" s="66"/>
      <c r="BT774" s="66"/>
      <c r="BU774" s="66"/>
      <c r="BV774" s="66"/>
      <c r="BW774" s="91" t="str">
        <f t="shared" si="243"/>
        <v>Incomplete</v>
      </c>
      <c r="BX774" s="91" t="str">
        <f>_xlfn.XLOOKUP(BW774,'Normative data'!$V$3:$V$6,'Normative data'!$W$3:$W$6,"Not Found",-1)</f>
        <v>Very low risk</v>
      </c>
      <c r="BY774" s="91" t="str">
        <f t="shared" si="244"/>
        <v>Incomplete</v>
      </c>
      <c r="BZ774" s="91" t="str">
        <f>_xlfn.XLOOKUP(BY774,'Normative data'!$V$3:$V$6,'Normative data'!$W$3:$W$6,"Not Found",-1)</f>
        <v>Very low risk</v>
      </c>
      <c r="CA774" s="66"/>
      <c r="CB774" s="66"/>
      <c r="CC774" s="20"/>
      <c r="CD774" s="66"/>
      <c r="CE774" s="66"/>
      <c r="CF774" s="66"/>
      <c r="CG774" s="20"/>
      <c r="CH774" s="20" t="str">
        <f>_xlfn.XLOOKUP(CG774, 'Normative data'!$S$9:$S$15,'Normative data'!$T$9:$T$15, "Not Found", -1)</f>
        <v>not completed</v>
      </c>
      <c r="CI774" s="20"/>
      <c r="CJ774" s="20" t="str">
        <f>_xlfn.XLOOKUP(CI774, 'Normative data'!$S$9:$S$15, 'Normative data'!$T$9:$T$15, "Not Found", -1)</f>
        <v>not completed</v>
      </c>
      <c r="CK774" s="21"/>
      <c r="CL774" s="21"/>
      <c r="CM774" s="21"/>
      <c r="CN774" s="21"/>
      <c r="CO774" s="21"/>
      <c r="CP774" s="110"/>
      <c r="CQ774" s="68"/>
      <c r="CR774" s="20" t="str" cm="1">
        <f t="array" ref="CR774">IF(OR(ISBLANK(E774),ISBLANK(CQ774)),"Incomplete",_xlfn.XLOOKUP(CQ774,_xlfn.XLOOKUP(E774,'Normative data'!$Y$3:$Y$6,'Normative data'!$Z$3:$AG$6,,-1),'Normative data'!$Z$2:$AG$2,"Not Found",-1))</f>
        <v>Incomplete</v>
      </c>
      <c r="CS774" s="68"/>
      <c r="CT774" s="66"/>
      <c r="CU774" s="20" t="str" cm="1">
        <f t="array" ref="CU774">_xlfn.XLOOKUP(CS774&amp;CT774,(VLOOKUP!$A$3:$A$250)&amp;(VLOOKUP!$B$3:$B$250),VLOOKUP!$C$3:$C$250,"Incomplete",-1)</f>
        <v>Incomplete</v>
      </c>
      <c r="CV774" s="20" t="str" cm="1">
        <f t="array" ref="CV774">_xlfn.XLOOKUP(CU774, _xlfn.XLOOKUP(E774, 'Normative data'!$Y$11:$Y$14, 'Normative data'!$Z$11:$AG$14, ,-1), 'Normative data'!$Z$10:$AG$10, "Not Found", -1)</f>
        <v>Excellent</v>
      </c>
      <c r="CW774" s="20" t="str" cm="1">
        <f t="array" ref="CW774">IF(OR(ISBLANK(CS774),ISBLANK(CT774)),"Incomplete",_xlfn.XLOOKUP(CS774&amp;CT774,VLOOKUP!$A$4:$A$250&amp;VLOOKUP!$B$4:$B$250,VLOOKUP!$D$4:$D$250,"0"))</f>
        <v>Incomplete</v>
      </c>
    </row>
    <row r="775" spans="1:101">
      <c r="A775" s="94" t="s">
        <v>319</v>
      </c>
      <c r="B775" s="94" t="s">
        <v>320</v>
      </c>
      <c r="C775" s="64" t="s">
        <v>86</v>
      </c>
      <c r="D775" s="97">
        <v>40484</v>
      </c>
      <c r="E775" s="64"/>
      <c r="F775" s="64">
        <v>9</v>
      </c>
      <c r="G775" s="64">
        <v>2025</v>
      </c>
      <c r="H775" s="66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  <c r="AD775" s="66"/>
      <c r="AE775" s="66"/>
      <c r="AF775" s="66"/>
      <c r="AG775" s="66"/>
      <c r="AH775" s="66"/>
      <c r="AI775" s="66"/>
      <c r="AJ775" s="66"/>
      <c r="AK775" s="66"/>
      <c r="AL775" s="66"/>
      <c r="AM775" s="66"/>
      <c r="AN775" s="66"/>
      <c r="AO775" s="66"/>
      <c r="AP775" s="66"/>
      <c r="AQ775" s="66"/>
      <c r="AR775" s="66"/>
      <c r="AS775" s="66"/>
      <c r="AT775" s="66"/>
      <c r="AU775" s="66"/>
      <c r="AV775" s="66"/>
      <c r="AW775" s="66"/>
      <c r="AX775" s="66"/>
      <c r="AY775" s="41" t="str">
        <f t="shared" si="239"/>
        <v>Incomplete</v>
      </c>
      <c r="AZ775" s="66"/>
      <c r="BA775" s="20" t="str">
        <f t="shared" si="240"/>
        <v>Incomplete</v>
      </c>
      <c r="BB775" s="66"/>
      <c r="BC775" s="20" t="str">
        <f t="shared" si="241"/>
        <v>Incomplete</v>
      </c>
      <c r="BD775" s="66"/>
      <c r="BE775" s="20" t="str">
        <f t="shared" si="242"/>
        <v>Incomplete</v>
      </c>
      <c r="BF775" s="66"/>
      <c r="BG775" s="66">
        <v>16.5</v>
      </c>
      <c r="BH775" s="66">
        <v>41.3</v>
      </c>
      <c r="BI775" s="20" t="e">
        <f>IF(OR(ISBLANK(#REF!), ISBLANK(#REF!)),"Incomplete",(SUM(#REF!-#REF!)))</f>
        <v>#REF!</v>
      </c>
      <c r="BJ775" s="66"/>
      <c r="BK775" s="66"/>
      <c r="BL775" s="66"/>
      <c r="BM775" s="66"/>
      <c r="BN775" s="66"/>
      <c r="BO775" s="66"/>
      <c r="BP775" s="66"/>
      <c r="BQ775" s="66"/>
      <c r="BR775" s="66"/>
      <c r="BS775" s="66"/>
      <c r="BT775" s="66"/>
      <c r="BU775" s="66"/>
      <c r="BV775" s="66"/>
      <c r="BW775" s="91" t="str">
        <f t="shared" si="243"/>
        <v>Incomplete</v>
      </c>
      <c r="BX775" s="91" t="str">
        <f>_xlfn.XLOOKUP(BW775,'Normative data'!$V$3:$V$6,'Normative data'!$W$3:$W$6,"Not Found",-1)</f>
        <v>Very low risk</v>
      </c>
      <c r="BY775" s="91" t="str">
        <f t="shared" si="244"/>
        <v>Incomplete</v>
      </c>
      <c r="BZ775" s="91" t="str">
        <f>_xlfn.XLOOKUP(BY775,'Normative data'!$V$3:$V$6,'Normative data'!$W$3:$W$6,"Not Found",-1)</f>
        <v>Very low risk</v>
      </c>
      <c r="CA775" s="66"/>
      <c r="CB775" s="66"/>
      <c r="CC775" s="20"/>
      <c r="CD775" s="66"/>
      <c r="CE775" s="66">
        <v>1</v>
      </c>
      <c r="CF775" s="66"/>
      <c r="CG775" s="66"/>
      <c r="CH775" s="20" t="str">
        <f>_xlfn.XLOOKUP(CG775, 'Normative data'!$S$9:$S$15,'Normative data'!$T$9:$T$15, "Not Found", -1)</f>
        <v>not completed</v>
      </c>
      <c r="CI775" s="66"/>
      <c r="CJ775" s="20" t="str">
        <f>_xlfn.XLOOKUP(CI775, 'Normative data'!$S$9:$S$15, 'Normative data'!$T$9:$T$15, "Not Found", -1)</f>
        <v>not completed</v>
      </c>
      <c r="CK775" s="24">
        <v>2.75</v>
      </c>
      <c r="CL775" s="24">
        <v>3.64</v>
      </c>
      <c r="CM775" s="24"/>
      <c r="CN775" s="24">
        <v>9.01</v>
      </c>
      <c r="CO775" s="24">
        <v>5.48</v>
      </c>
      <c r="CP775" s="110"/>
      <c r="CQ775" s="68"/>
      <c r="CR775" s="20" t="str" cm="1">
        <f t="array" ref="CR775">IF(OR(ISBLANK(E775),ISBLANK(CQ775)),"Incomplete",_xlfn.XLOOKUP(CQ775,_xlfn.XLOOKUP(E775,'Normative data'!$Y$3:$Y$6,'Normative data'!$Z$3:$AG$6,,-1),'Normative data'!$Z$2:$AG$2,"Not Found",-1))</f>
        <v>Incomplete</v>
      </c>
      <c r="CS775" s="68"/>
      <c r="CT775" s="66"/>
      <c r="CU775" s="20" t="str" cm="1">
        <f t="array" ref="CU775">_xlfn.XLOOKUP(CS775&amp;CT775,(VLOOKUP!$A$3:$A$250)&amp;(VLOOKUP!$B$3:$B$250),VLOOKUP!$C$3:$C$250,"Incomplete",-1)</f>
        <v>Incomplete</v>
      </c>
      <c r="CV775" s="20" t="str" cm="1">
        <f t="array" ref="CV775">_xlfn.XLOOKUP(CU775, _xlfn.XLOOKUP(E775, 'Normative data'!$Y$11:$Y$14, 'Normative data'!$Z$11:$AG$14, ,-1), 'Normative data'!$Z$10:$AG$10, "Not Found", -1)</f>
        <v>Excellent</v>
      </c>
      <c r="CW775" s="20" t="str" cm="1">
        <f t="array" ref="CW775">IF(OR(ISBLANK(CS775),ISBLANK(CT775)),"Incomplete",_xlfn.XLOOKUP(CS775&amp;CT775,VLOOKUP!$A$4:$A$250&amp;VLOOKUP!$B$4:$B$250,VLOOKUP!$D$4:$D$250,"0"))</f>
        <v>Incomplete</v>
      </c>
    </row>
    <row r="776" spans="1:101">
      <c r="A776" s="93" t="s">
        <v>1431</v>
      </c>
      <c r="B776" s="93" t="s">
        <v>1432</v>
      </c>
      <c r="C776" s="64" t="s">
        <v>86</v>
      </c>
      <c r="D776" s="96">
        <v>39549</v>
      </c>
      <c r="E776" s="64"/>
      <c r="F776" s="64">
        <v>11</v>
      </c>
      <c r="G776" s="64">
        <v>2025</v>
      </c>
      <c r="H776" s="66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  <c r="AE776" s="66"/>
      <c r="AF776" s="66"/>
      <c r="AG776" s="66"/>
      <c r="AH776" s="66"/>
      <c r="AI776" s="66"/>
      <c r="AJ776" s="66"/>
      <c r="AK776" s="66"/>
      <c r="AL776" s="66"/>
      <c r="AM776" s="66"/>
      <c r="AN776" s="66"/>
      <c r="AO776" s="66"/>
      <c r="AP776" s="66"/>
      <c r="AQ776" s="20"/>
      <c r="AR776" s="20"/>
      <c r="AS776" s="20"/>
      <c r="AT776" s="20"/>
      <c r="AU776" s="20"/>
      <c r="AV776" s="20"/>
      <c r="AW776" s="20"/>
      <c r="AX776" s="20"/>
      <c r="AY776" s="41" t="str">
        <f t="shared" si="239"/>
        <v>Incomplete</v>
      </c>
      <c r="AZ776" s="66"/>
      <c r="BA776" s="20" t="str">
        <f t="shared" si="240"/>
        <v>Incomplete</v>
      </c>
      <c r="BB776" s="66"/>
      <c r="BC776" s="20" t="str">
        <f t="shared" si="241"/>
        <v>Incomplete</v>
      </c>
      <c r="BD776" s="66"/>
      <c r="BE776" s="20" t="str">
        <f t="shared" si="242"/>
        <v>Incomplete</v>
      </c>
      <c r="BF776" s="66"/>
      <c r="BG776" s="66">
        <v>13.5</v>
      </c>
      <c r="BH776" s="66">
        <v>37</v>
      </c>
      <c r="BI776" s="20" t="e">
        <f>IF(OR(ISBLANK(#REF!), ISBLANK(#REF!)),"Incomplete",(SUM(#REF!-#REF!)))</f>
        <v>#REF!</v>
      </c>
      <c r="BJ776" s="66"/>
      <c r="BK776" s="66"/>
      <c r="BL776" s="66"/>
      <c r="BM776" s="66"/>
      <c r="BN776" s="66"/>
      <c r="BO776" s="66"/>
      <c r="BP776" s="66"/>
      <c r="BQ776" s="66"/>
      <c r="BR776" s="66"/>
      <c r="BS776" s="66"/>
      <c r="BT776" s="66"/>
      <c r="BU776" s="66"/>
      <c r="BV776" s="66"/>
      <c r="BW776" s="91" t="str">
        <f t="shared" si="243"/>
        <v>Incomplete</v>
      </c>
      <c r="BX776" s="91" t="str">
        <f>_xlfn.XLOOKUP(BW776,'Normative data'!$V$3:$V$6,'Normative data'!$W$3:$W$6,"Not Found",-1)</f>
        <v>Very low risk</v>
      </c>
      <c r="BY776" s="91" t="str">
        <f t="shared" si="244"/>
        <v>Incomplete</v>
      </c>
      <c r="BZ776" s="91" t="str">
        <f>_xlfn.XLOOKUP(BY776,'Normative data'!$V$3:$V$6,'Normative data'!$W$3:$W$6,"Not Found",-1)</f>
        <v>Very low risk</v>
      </c>
      <c r="CA776" s="66"/>
      <c r="CB776" s="66"/>
      <c r="CC776" s="20"/>
      <c r="CD776" s="66"/>
      <c r="CE776" s="66">
        <v>1</v>
      </c>
      <c r="CF776" s="66"/>
      <c r="CG776" s="20"/>
      <c r="CH776" s="20" t="str">
        <f>_xlfn.XLOOKUP(CG776, 'Normative data'!$S$9:$S$15,'Normative data'!$T$9:$T$15, "Not Found", -1)</f>
        <v>not completed</v>
      </c>
      <c r="CI776" s="20"/>
      <c r="CJ776" s="20" t="str">
        <f>_xlfn.XLOOKUP(CI776, 'Normative data'!$S$9:$S$15, 'Normative data'!$T$9:$T$15, "Not Found", -1)</f>
        <v>not completed</v>
      </c>
      <c r="CK776" s="21">
        <v>2.29</v>
      </c>
      <c r="CL776" s="21">
        <v>4.37</v>
      </c>
      <c r="CM776" s="21"/>
      <c r="CN776" s="21">
        <v>7.04</v>
      </c>
      <c r="CO776" s="21">
        <v>7.1</v>
      </c>
      <c r="CP776" s="109"/>
      <c r="CQ776" s="68"/>
      <c r="CR776" s="20" t="str" cm="1">
        <f t="array" ref="CR776">IF(OR(ISBLANK(E776),ISBLANK(CQ776)),"Incomplete",_xlfn.XLOOKUP(CQ776,_xlfn.XLOOKUP(E776,'Normative data'!$Y$3:$Y$6,'Normative data'!$Z$3:$AG$6,,-1),'Normative data'!$Z$2:$AG$2,"Not Found",-1))</f>
        <v>Incomplete</v>
      </c>
      <c r="CS776" s="68"/>
      <c r="CT776" s="66"/>
      <c r="CU776" s="20" t="str" cm="1">
        <f t="array" ref="CU776">_xlfn.XLOOKUP(CS776&amp;CT776,(VLOOKUP!$A$3:$A$250)&amp;(VLOOKUP!$B$3:$B$250),VLOOKUP!$C$3:$C$250,"Incomplete",-1)</f>
        <v>Incomplete</v>
      </c>
      <c r="CV776" s="20" t="str" cm="1">
        <f t="array" ref="CV776">_xlfn.XLOOKUP(CU776, _xlfn.XLOOKUP(E776, 'Normative data'!$Y$11:$Y$14, 'Normative data'!$Z$11:$AG$14, ,-1), 'Normative data'!$Z$10:$AG$10, "Not Found", -1)</f>
        <v>Excellent</v>
      </c>
      <c r="CW776" s="20" t="str" cm="1">
        <f t="array" ref="CW776">IF(OR(ISBLANK(CS776),ISBLANK(CT776)),"Incomplete",_xlfn.XLOOKUP(CS776&amp;CT776,VLOOKUP!$A$4:$A$250&amp;VLOOKUP!$B$4:$B$250,VLOOKUP!$D$4:$D$250,"0"))</f>
        <v>Incomplete</v>
      </c>
    </row>
    <row r="777" spans="1:101">
      <c r="A777" s="64" t="s">
        <v>1433</v>
      </c>
      <c r="B777" s="64" t="s">
        <v>1434</v>
      </c>
      <c r="C777" s="64" t="s">
        <v>86</v>
      </c>
      <c r="D777" s="66"/>
      <c r="E777" s="64"/>
      <c r="F777" s="66" t="s">
        <v>97</v>
      </c>
      <c r="G777" s="64">
        <v>2026</v>
      </c>
      <c r="H777" s="66"/>
      <c r="I777" s="66">
        <v>2</v>
      </c>
      <c r="J777" s="66" t="s">
        <v>88</v>
      </c>
      <c r="K777" s="66" t="s">
        <v>196</v>
      </c>
      <c r="L777" s="66"/>
      <c r="M777" s="64"/>
      <c r="N777" s="64"/>
      <c r="O777" s="64"/>
      <c r="P777" s="64"/>
      <c r="Q777" s="64"/>
      <c r="R777" s="64"/>
      <c r="S777" s="66">
        <v>82.5</v>
      </c>
      <c r="T777" s="66">
        <v>157.19999999999999</v>
      </c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  <c r="AH777" s="64"/>
      <c r="AI777" s="64"/>
      <c r="AJ777" s="64"/>
      <c r="AK777" s="64"/>
      <c r="AL777" s="64"/>
      <c r="AM777" s="64"/>
      <c r="AN777" s="64"/>
      <c r="AO777" s="64"/>
      <c r="AP777" s="64"/>
      <c r="AQ777" s="64"/>
      <c r="AR777" s="64"/>
      <c r="AS777" s="64"/>
      <c r="AT777" s="64"/>
      <c r="AU777" s="64"/>
      <c r="AV777" s="64"/>
      <c r="AW777" s="64"/>
      <c r="AX777" s="64"/>
      <c r="AY777" s="41" t="str">
        <f t="shared" si="239"/>
        <v>Incomplete</v>
      </c>
      <c r="AZ777" s="64"/>
      <c r="BA777" s="20" t="str">
        <f t="shared" si="240"/>
        <v>Incomplete</v>
      </c>
      <c r="BB777" s="64"/>
      <c r="BC777" s="20" t="str">
        <f t="shared" si="241"/>
        <v>Incomplete</v>
      </c>
      <c r="BD777" s="64"/>
      <c r="BE777" s="20" t="str">
        <f t="shared" si="242"/>
        <v>Incomplete</v>
      </c>
      <c r="BF777" s="64"/>
      <c r="BG777" s="64">
        <v>12.6</v>
      </c>
      <c r="BH777" s="64">
        <v>45.5</v>
      </c>
      <c r="BI777" s="20">
        <f t="shared" ref="BI777:BI788" si="245">IF(OR(ISBLANK(BG777), ISBLANK(BH777)),"Incomplete",(SUM(BH777-BG777)))</f>
        <v>32.9</v>
      </c>
      <c r="BJ777" s="66"/>
      <c r="BK777" s="64">
        <v>12.5</v>
      </c>
      <c r="BL777" s="66"/>
      <c r="BM777" s="64">
        <v>11</v>
      </c>
      <c r="BN777" s="66"/>
      <c r="BO777" s="64">
        <v>57</v>
      </c>
      <c r="BP777" s="64">
        <v>55</v>
      </c>
      <c r="BQ777" s="64">
        <v>83</v>
      </c>
      <c r="BR777" s="64">
        <v>73</v>
      </c>
      <c r="BS777" s="64">
        <v>71</v>
      </c>
      <c r="BT777" s="64">
        <v>75</v>
      </c>
      <c r="BU777" s="64">
        <v>75</v>
      </c>
      <c r="BV777" s="64">
        <v>75</v>
      </c>
      <c r="BW777" s="91">
        <f t="shared" si="243"/>
        <v>101.29406514948684</v>
      </c>
      <c r="BX777" s="91" t="str">
        <f>_xlfn.XLOOKUP(BW777,'Normative data'!$V$3:$V$6,'Normative data'!$W$3:$W$6,"Not Found",-1)</f>
        <v>Low risk</v>
      </c>
      <c r="BY777" s="91">
        <f t="shared" si="244"/>
        <v>100.40160642570282</v>
      </c>
      <c r="BZ777" s="91" t="str">
        <f>_xlfn.XLOOKUP(BY777,'Normative data'!$V$3:$V$6,'Normative data'!$W$3:$W$6,"Not Found",-1)</f>
        <v>Low risk</v>
      </c>
      <c r="CA777" s="64"/>
      <c r="CB777" s="66"/>
      <c r="CD777" s="66"/>
      <c r="CE777" s="64"/>
      <c r="CF777" s="66"/>
      <c r="CG777" s="66"/>
      <c r="CH777" s="20" t="str">
        <f>_xlfn.XLOOKUP(CG777, 'Normative data'!$S$9:$S$15,'Normative data'!$T$9:$T$15, "Not Found", -1)</f>
        <v>not completed</v>
      </c>
      <c r="CI777" s="66"/>
      <c r="CJ777" s="20" t="str">
        <f>_xlfn.XLOOKUP(CI777, 'Normative data'!$S$9:$S$15, 'Normative data'!$T$9:$T$15, "Not Found", -1)</f>
        <v>not completed</v>
      </c>
      <c r="CK777" s="105"/>
      <c r="CL777" s="105"/>
      <c r="CM777" s="105"/>
      <c r="CN777" s="105"/>
      <c r="CO777" s="105"/>
      <c r="CP777" s="68"/>
      <c r="CQ777" s="67"/>
      <c r="CR777" s="20" t="str" cm="1">
        <f t="array" ref="CR777">IF(OR(ISBLANK(E777),ISBLANK(CQ777)),"Incomplete",_xlfn.XLOOKUP(CQ777,_xlfn.XLOOKUP(E777,'Normative data'!$Y$3:$Y$6,'Normative data'!$Z$3:$AG$6,,-1),'Normative data'!$Z$2:$AG$2,"Not Found",-1))</f>
        <v>Incomplete</v>
      </c>
      <c r="CS777" s="68"/>
      <c r="CT777" s="66"/>
      <c r="CU777" s="20" t="str" cm="1">
        <f t="array" ref="CU777">_xlfn.XLOOKUP(CS777&amp;CT777,(VLOOKUP!$A$3:$A$250)&amp;(VLOOKUP!$B$3:$B$250),VLOOKUP!$C$3:$C$250,"Incomplete",-1)</f>
        <v>Incomplete</v>
      </c>
      <c r="CV777" s="20" t="str" cm="1">
        <f t="array" ref="CV777">_xlfn.XLOOKUP(CU777, _xlfn.XLOOKUP(E777, 'Normative data'!$Y$11:$Y$14, 'Normative data'!$Z$11:$AG$14, ,-1), 'Normative data'!$Z$10:$AG$10, "Not Found", -1)</f>
        <v>Excellent</v>
      </c>
      <c r="CW777" s="20" t="str" cm="1">
        <f t="array" ref="CW777">IF(OR(ISBLANK(CS777),ISBLANK(CT777)),"Incomplete",_xlfn.XLOOKUP(CS777&amp;CT777,VLOOKUP!$A$4:$A$250&amp;VLOOKUP!$B$4:$B$250,VLOOKUP!$D$4:$D$250,"0"))</f>
        <v>Incomplete</v>
      </c>
    </row>
    <row r="778" spans="1:101">
      <c r="A778" s="64" t="s">
        <v>1435</v>
      </c>
      <c r="B778" s="64" t="s">
        <v>1436</v>
      </c>
      <c r="C778" s="64" t="s">
        <v>86</v>
      </c>
      <c r="D778" s="65"/>
      <c r="E778" s="64"/>
      <c r="F778" s="64">
        <v>11</v>
      </c>
      <c r="G778" s="64">
        <v>2025</v>
      </c>
      <c r="H778" s="66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  <c r="AE778" s="66"/>
      <c r="AF778" s="66"/>
      <c r="AG778" s="66"/>
      <c r="AH778" s="66"/>
      <c r="AI778" s="66"/>
      <c r="AJ778" s="66"/>
      <c r="AK778" s="66"/>
      <c r="AL778" s="66"/>
      <c r="AM778" s="66"/>
      <c r="AN778" s="66"/>
      <c r="AO778" s="66"/>
      <c r="AP778" s="66"/>
      <c r="AQ778" s="20"/>
      <c r="AR778" s="20"/>
      <c r="AS778" s="20"/>
      <c r="AT778" s="20"/>
      <c r="AU778" s="20"/>
      <c r="AV778" s="20"/>
      <c r="AW778" s="20"/>
      <c r="AX778" s="20"/>
      <c r="AY778" s="41" t="str">
        <f t="shared" si="239"/>
        <v>Incomplete</v>
      </c>
      <c r="AZ778" s="66"/>
      <c r="BA778" s="20" t="str">
        <f t="shared" si="240"/>
        <v>Incomplete</v>
      </c>
      <c r="BB778" s="66"/>
      <c r="BC778" s="20" t="str">
        <f t="shared" si="241"/>
        <v>Incomplete</v>
      </c>
      <c r="BD778" s="66"/>
      <c r="BE778" s="20" t="str">
        <f t="shared" si="242"/>
        <v>Incomplete</v>
      </c>
      <c r="BF778" s="66"/>
      <c r="BG778" s="66">
        <v>10.5</v>
      </c>
      <c r="BH778" s="66">
        <v>18</v>
      </c>
      <c r="BI778" s="20">
        <f t="shared" si="245"/>
        <v>7.5</v>
      </c>
      <c r="BJ778" s="66"/>
      <c r="BK778" s="66">
        <v>9</v>
      </c>
      <c r="BL778" s="66"/>
      <c r="BM778" s="66">
        <v>10</v>
      </c>
      <c r="BN778" s="66"/>
      <c r="BO778" s="66"/>
      <c r="BP778" s="66"/>
      <c r="BQ778" s="66"/>
      <c r="BR778" s="66"/>
      <c r="BS778" s="66"/>
      <c r="BT778" s="66"/>
      <c r="BU778" s="66"/>
      <c r="BV778" s="66"/>
      <c r="BW778" s="91" t="str">
        <f t="shared" si="243"/>
        <v>Incomplete</v>
      </c>
      <c r="BX778" s="91" t="str">
        <f>_xlfn.XLOOKUP(BW778,'Normative data'!$V$3:$V$6,'Normative data'!$W$3:$W$6,"Not Found",-1)</f>
        <v>Very low risk</v>
      </c>
      <c r="BY778" s="91" t="str">
        <f t="shared" si="244"/>
        <v>Incomplete</v>
      </c>
      <c r="BZ778" s="91" t="str">
        <f>_xlfn.XLOOKUP(BY778,'Normative data'!$V$3:$V$6,'Normative data'!$W$3:$W$6,"Not Found",-1)</f>
        <v>Very low risk</v>
      </c>
      <c r="CA778" s="66"/>
      <c r="CB778" s="66"/>
      <c r="CC778" s="20"/>
      <c r="CD778" s="66"/>
      <c r="CE778" s="66">
        <v>3</v>
      </c>
      <c r="CF778" s="66"/>
      <c r="CG778" s="66"/>
      <c r="CH778" s="20" t="str">
        <f>_xlfn.XLOOKUP(CG778, 'Normative data'!$S$9:$S$15,'Normative data'!$T$9:$T$15, "Not Found", -1)</f>
        <v>not completed</v>
      </c>
      <c r="CI778" s="66"/>
      <c r="CJ778" s="20" t="str">
        <f>_xlfn.XLOOKUP(CI778, 'Normative data'!$S$9:$S$15, 'Normative data'!$T$9:$T$15, "Not Found", -1)</f>
        <v>not completed</v>
      </c>
      <c r="CK778" s="105"/>
      <c r="CL778" s="105"/>
      <c r="CM778" s="105"/>
      <c r="CN778" s="105"/>
      <c r="CO778" s="105"/>
      <c r="CP778" s="68"/>
      <c r="CQ778" s="68"/>
      <c r="CR778" s="20" t="str" cm="1">
        <f t="array" ref="CR778">IF(OR(ISBLANK(E778),ISBLANK(CQ778)),"Incomplete",_xlfn.XLOOKUP(CQ778,_xlfn.XLOOKUP(E778,'Normative data'!$Y$3:$Y$6,'Normative data'!$Z$3:$AG$6,,-1),'Normative data'!$Z$2:$AG$2,"Not Found",-1))</f>
        <v>Incomplete</v>
      </c>
      <c r="CS778" s="68"/>
      <c r="CT778" s="66"/>
      <c r="CU778" s="20" t="str" cm="1">
        <f t="array" ref="CU778">_xlfn.XLOOKUP(CS778&amp;CT778,(VLOOKUP!$A$3:$A$250)&amp;(VLOOKUP!$B$3:$B$250),VLOOKUP!$C$3:$C$250,"Incomplete",-1)</f>
        <v>Incomplete</v>
      </c>
      <c r="CV778" s="20" t="str" cm="1">
        <f t="array" ref="CV778">_xlfn.XLOOKUP(CU778, _xlfn.XLOOKUP(E778, 'Normative data'!$Y$11:$Y$14, 'Normative data'!$Z$11:$AG$14, ,-1), 'Normative data'!$Z$10:$AG$10, "Not Found", -1)</f>
        <v>Excellent</v>
      </c>
      <c r="CW778" s="20" t="str" cm="1">
        <f t="array" ref="CW778">IF(OR(ISBLANK(CS778),ISBLANK(CT778)),"Incomplete",_xlfn.XLOOKUP(CS778&amp;CT778,VLOOKUP!$A$4:$A$250&amp;VLOOKUP!$B$4:$B$250,VLOOKUP!$D$4:$D$250,"0"))</f>
        <v>Incomplete</v>
      </c>
    </row>
    <row r="779" spans="1:101">
      <c r="A779" s="94" t="s">
        <v>470</v>
      </c>
      <c r="B779" s="94" t="s">
        <v>1436</v>
      </c>
      <c r="C779" s="64" t="s">
        <v>86</v>
      </c>
      <c r="D779" s="97">
        <v>39743</v>
      </c>
      <c r="E779" s="64"/>
      <c r="F779" s="64">
        <v>11</v>
      </c>
      <c r="G779" s="64">
        <v>2025</v>
      </c>
      <c r="H779" s="66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  <c r="AD779" s="66"/>
      <c r="AE779" s="66"/>
      <c r="AF779" s="66"/>
      <c r="AG779" s="66"/>
      <c r="AH779" s="66"/>
      <c r="AI779" s="66"/>
      <c r="AJ779" s="66"/>
      <c r="AK779" s="66"/>
      <c r="AL779" s="66"/>
      <c r="AM779" s="66"/>
      <c r="AN779" s="66"/>
      <c r="AO779" s="66"/>
      <c r="AP779" s="66"/>
      <c r="AQ779" s="20"/>
      <c r="AR779" s="20"/>
      <c r="AS779" s="20"/>
      <c r="AT779" s="20"/>
      <c r="AU779" s="20"/>
      <c r="AV779" s="20"/>
      <c r="AW779" s="20"/>
      <c r="AX779" s="20"/>
      <c r="AY779" s="41" t="str">
        <f t="shared" si="239"/>
        <v>Incomplete</v>
      </c>
      <c r="AZ779" s="66"/>
      <c r="BA779" s="20" t="str">
        <f t="shared" si="240"/>
        <v>Incomplete</v>
      </c>
      <c r="BB779" s="66"/>
      <c r="BC779" s="20" t="str">
        <f t="shared" si="241"/>
        <v>Incomplete</v>
      </c>
      <c r="BD779" s="66"/>
      <c r="BE779" s="20" t="str">
        <f t="shared" si="242"/>
        <v>Incomplete</v>
      </c>
      <c r="BF779" s="66"/>
      <c r="BG779" s="66"/>
      <c r="BH779" s="66"/>
      <c r="BI779" s="20" t="str">
        <f t="shared" si="245"/>
        <v>Incomplete</v>
      </c>
      <c r="BJ779" s="66"/>
      <c r="BK779" s="66"/>
      <c r="BL779" s="66"/>
      <c r="BM779" s="66"/>
      <c r="BN779" s="66"/>
      <c r="BO779" s="66"/>
      <c r="BP779" s="66"/>
      <c r="BQ779" s="66"/>
      <c r="BR779" s="66"/>
      <c r="BS779" s="66"/>
      <c r="BT779" s="66"/>
      <c r="BU779" s="66"/>
      <c r="BV779" s="66"/>
      <c r="BW779" s="91" t="str">
        <f t="shared" si="243"/>
        <v>Incomplete</v>
      </c>
      <c r="BX779" s="91" t="str">
        <f>_xlfn.XLOOKUP(BW779,'Normative data'!$V$3:$V$6,'Normative data'!$W$3:$W$6,"Not Found",-1)</f>
        <v>Very low risk</v>
      </c>
      <c r="BY779" s="91" t="str">
        <f t="shared" si="244"/>
        <v>Incomplete</v>
      </c>
      <c r="BZ779" s="91" t="str">
        <f>_xlfn.XLOOKUP(BY779,'Normative data'!$V$3:$V$6,'Normative data'!$W$3:$W$6,"Not Found",-1)</f>
        <v>Very low risk</v>
      </c>
      <c r="CA779" s="20"/>
      <c r="CC779" s="20"/>
      <c r="CE779" s="20"/>
      <c r="CF779" s="66"/>
      <c r="CG779" s="20"/>
      <c r="CH779" s="20" t="str">
        <f>_xlfn.XLOOKUP(CG779, 'Normative data'!$S$9:$S$15,'Normative data'!$T$9:$T$15, "Not Found", -1)</f>
        <v>not completed</v>
      </c>
      <c r="CI779" s="20"/>
      <c r="CJ779" s="20" t="str">
        <f>_xlfn.XLOOKUP(CI779, 'Normative data'!$S$9:$S$15, 'Normative data'!$T$9:$T$15, "Not Found", -1)</f>
        <v>not completed</v>
      </c>
      <c r="CK779" s="24">
        <v>2.4900000000000002</v>
      </c>
      <c r="CL779" s="24">
        <v>4.0199999999999996</v>
      </c>
      <c r="CM779" s="24"/>
      <c r="CN779" s="24">
        <v>7.76</v>
      </c>
      <c r="CO779" s="24">
        <v>6.44</v>
      </c>
      <c r="CP779" s="110"/>
      <c r="CQ779" s="68"/>
      <c r="CR779" s="20" t="str" cm="1">
        <f t="array" ref="CR779">IF(OR(ISBLANK(E779),ISBLANK(CQ779)),"Incomplete",_xlfn.XLOOKUP(CQ779,_xlfn.XLOOKUP(E779,'Normative data'!$Y$3:$Y$6,'Normative data'!$Z$3:$AG$6,,-1),'Normative data'!$Z$2:$AG$2,"Not Found",-1))</f>
        <v>Incomplete</v>
      </c>
      <c r="CS779" s="68"/>
      <c r="CT779" s="66"/>
      <c r="CU779" s="20" t="str" cm="1">
        <f t="array" ref="CU779">_xlfn.XLOOKUP(CS779&amp;CT779,(VLOOKUP!$A$3:$A$250)&amp;(VLOOKUP!$B$3:$B$250),VLOOKUP!$C$3:$C$250,"Incomplete",-1)</f>
        <v>Incomplete</v>
      </c>
      <c r="CV779" s="20" t="str" cm="1">
        <f t="array" ref="CV779">_xlfn.XLOOKUP(CU779, _xlfn.XLOOKUP(E779, 'Normative data'!$Y$11:$Y$14, 'Normative data'!$Z$11:$AG$14, ,-1), 'Normative data'!$Z$10:$AG$10, "Not Found", -1)</f>
        <v>Excellent</v>
      </c>
      <c r="CW779" s="20" t="str" cm="1">
        <f t="array" ref="CW779">IF(OR(ISBLANK(CS779),ISBLANK(CT779)),"Incomplete",_xlfn.XLOOKUP(CS779&amp;CT779,VLOOKUP!$A$4:$A$250&amp;VLOOKUP!$B$4:$B$250,VLOOKUP!$D$4:$D$250,"0"))</f>
        <v>Incomplete</v>
      </c>
    </row>
    <row r="780" spans="1:101">
      <c r="A780" s="64" t="s">
        <v>470</v>
      </c>
      <c r="B780" s="64" t="s">
        <v>1436</v>
      </c>
      <c r="C780" s="64" t="s">
        <v>86</v>
      </c>
      <c r="D780" s="97">
        <v>39743</v>
      </c>
      <c r="E780" s="64"/>
      <c r="F780" s="64">
        <v>11</v>
      </c>
      <c r="G780" s="64">
        <v>2025</v>
      </c>
      <c r="H780" s="66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6"/>
      <c r="AE780" s="66"/>
      <c r="AF780" s="66"/>
      <c r="AG780" s="66"/>
      <c r="AH780" s="66"/>
      <c r="AI780" s="66"/>
      <c r="AJ780" s="66"/>
      <c r="AK780" s="66"/>
      <c r="AL780" s="66"/>
      <c r="AM780" s="66"/>
      <c r="AN780" s="66"/>
      <c r="AO780" s="66"/>
      <c r="AP780" s="66"/>
      <c r="AQ780" s="20"/>
      <c r="AR780" s="20"/>
      <c r="AS780" s="20"/>
      <c r="AT780" s="20"/>
      <c r="AU780" s="20"/>
      <c r="AV780" s="20"/>
      <c r="AW780" s="20"/>
      <c r="AX780" s="20"/>
      <c r="AY780" s="41" t="str">
        <f t="shared" si="239"/>
        <v>Incomplete</v>
      </c>
      <c r="AZ780" s="66"/>
      <c r="BA780" s="20" t="str">
        <f t="shared" si="240"/>
        <v>Incomplete</v>
      </c>
      <c r="BB780" s="66"/>
      <c r="BC780" s="20" t="str">
        <f t="shared" si="241"/>
        <v>Incomplete</v>
      </c>
      <c r="BD780" s="66"/>
      <c r="BE780" s="20" t="str">
        <f t="shared" si="242"/>
        <v>Incomplete</v>
      </c>
      <c r="BF780" s="66"/>
      <c r="BG780" s="66"/>
      <c r="BH780" s="66"/>
      <c r="BI780" s="20" t="str">
        <f t="shared" si="245"/>
        <v>Incomplete</v>
      </c>
      <c r="BJ780" s="66"/>
      <c r="BK780" s="66"/>
      <c r="BL780" s="66"/>
      <c r="BM780" s="20"/>
      <c r="BN780" s="66"/>
      <c r="BO780" s="20"/>
      <c r="BP780" s="20"/>
      <c r="BQ780" s="20"/>
      <c r="BR780" s="20"/>
      <c r="BS780" s="20"/>
      <c r="BT780" s="20"/>
      <c r="BU780" s="20"/>
      <c r="BV780" s="20"/>
      <c r="BW780" s="91" t="str">
        <f t="shared" si="243"/>
        <v>Incomplete</v>
      </c>
      <c r="BX780" s="91" t="str">
        <f>_xlfn.XLOOKUP(BW780,'Normative data'!$V$3:$V$6,'Normative data'!$W$3:$W$6,"Not Found",-1)</f>
        <v>Very low risk</v>
      </c>
      <c r="BY780" s="91" t="str">
        <f t="shared" si="244"/>
        <v>Incomplete</v>
      </c>
      <c r="BZ780" s="91" t="str">
        <f>_xlfn.XLOOKUP(BY780,'Normative data'!$V$3:$V$6,'Normative data'!$W$3:$W$6,"Not Found",-1)</f>
        <v>Very low risk</v>
      </c>
      <c r="CA780" s="66"/>
      <c r="CB780" s="66"/>
      <c r="CC780" s="20"/>
      <c r="CD780" s="66"/>
      <c r="CE780" s="66"/>
      <c r="CF780" s="66"/>
      <c r="CG780" s="20"/>
      <c r="CH780" s="20" t="str">
        <f>_xlfn.XLOOKUP(CG780, 'Normative data'!$S$9:$S$15,'Normative data'!$T$9:$T$15, "Not Found", -1)</f>
        <v>not completed</v>
      </c>
      <c r="CI780" s="20"/>
      <c r="CJ780" s="20" t="str">
        <f>_xlfn.XLOOKUP(CI780, 'Normative data'!$S$9:$S$15, 'Normative data'!$T$9:$T$15, "Not Found", -1)</f>
        <v>not completed</v>
      </c>
      <c r="CK780" s="66" t="s">
        <v>471</v>
      </c>
      <c r="CL780" s="66" t="s">
        <v>1437</v>
      </c>
      <c r="CM780" s="66"/>
      <c r="CN780" s="66" t="s">
        <v>1438</v>
      </c>
      <c r="CO780" s="66" t="s">
        <v>990</v>
      </c>
      <c r="CP780" s="68"/>
      <c r="CQ780" s="68"/>
      <c r="CR780" s="20" t="str" cm="1">
        <f t="array" ref="CR780">IF(OR(ISBLANK(E780),ISBLANK(CQ780)),"Incomplete",_xlfn.XLOOKUP(CQ780,_xlfn.XLOOKUP(E780,'Normative data'!$Y$3:$Y$6,'Normative data'!$Z$3:$AG$6,,-1),'Normative data'!$Z$2:$AG$2,"Not Found",-1))</f>
        <v>Incomplete</v>
      </c>
      <c r="CS780" s="68"/>
      <c r="CT780" s="66"/>
      <c r="CU780" s="20" t="str" cm="1">
        <f t="array" ref="CU780">_xlfn.XLOOKUP(CS780&amp;CT780,(VLOOKUP!$A$3:$A$250)&amp;(VLOOKUP!$B$3:$B$250),VLOOKUP!$C$3:$C$250,"Incomplete",-1)</f>
        <v>Incomplete</v>
      </c>
      <c r="CV780" s="20" t="str" cm="1">
        <f t="array" ref="CV780">_xlfn.XLOOKUP(CU780, _xlfn.XLOOKUP(E780, 'Normative data'!$Y$11:$Y$14, 'Normative data'!$Z$11:$AG$14, ,-1), 'Normative data'!$Z$10:$AG$10, "Not Found", -1)</f>
        <v>Excellent</v>
      </c>
      <c r="CW780" s="20" t="str" cm="1">
        <f t="array" ref="CW780">IF(OR(ISBLANK(CS780),ISBLANK(CT780)),"Incomplete",_xlfn.XLOOKUP(CS780&amp;CT780,VLOOKUP!$A$4:$A$250&amp;VLOOKUP!$B$4:$B$250,VLOOKUP!$D$4:$D$250,"0"))</f>
        <v>Incomplete</v>
      </c>
    </row>
    <row r="781" spans="1:101">
      <c r="A781" s="94" t="s">
        <v>929</v>
      </c>
      <c r="B781" s="94" t="s">
        <v>933</v>
      </c>
      <c r="C781" s="64" t="s">
        <v>86</v>
      </c>
      <c r="D781" s="97">
        <v>40765</v>
      </c>
      <c r="E781" s="64"/>
      <c r="F781" s="64">
        <v>8</v>
      </c>
      <c r="G781" s="64">
        <v>2025</v>
      </c>
      <c r="H781" s="66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6"/>
      <c r="AE781" s="66"/>
      <c r="AF781" s="66"/>
      <c r="AG781" s="66"/>
      <c r="AH781" s="66"/>
      <c r="AI781" s="66"/>
      <c r="AJ781" s="66"/>
      <c r="AK781" s="66"/>
      <c r="AL781" s="66"/>
      <c r="AM781" s="66"/>
      <c r="AN781" s="66"/>
      <c r="AO781" s="66"/>
      <c r="AP781" s="66"/>
      <c r="AQ781" s="20"/>
      <c r="AR781" s="20"/>
      <c r="AS781" s="20"/>
      <c r="AT781" s="20"/>
      <c r="AU781" s="20"/>
      <c r="AV781" s="20"/>
      <c r="AW781" s="20"/>
      <c r="AX781" s="20"/>
      <c r="AY781" s="41" t="str">
        <f t="shared" si="239"/>
        <v>Incomplete</v>
      </c>
      <c r="AZ781" s="66"/>
      <c r="BA781" s="20" t="str">
        <f t="shared" si="240"/>
        <v>Incomplete</v>
      </c>
      <c r="BB781" s="66"/>
      <c r="BC781" s="20" t="str">
        <f t="shared" si="241"/>
        <v>Incomplete</v>
      </c>
      <c r="BD781" s="66"/>
      <c r="BE781" s="20" t="str">
        <f t="shared" si="242"/>
        <v>Incomplete</v>
      </c>
      <c r="BF781" s="66"/>
      <c r="BG781" s="66"/>
      <c r="BH781" s="20"/>
      <c r="BI781" s="20" t="str">
        <f t="shared" si="245"/>
        <v>Incomplete</v>
      </c>
      <c r="BJ781" s="66"/>
      <c r="BK781" s="66"/>
      <c r="BL781" s="66"/>
      <c r="BM781" s="20"/>
      <c r="BN781" s="66"/>
      <c r="BO781" s="66"/>
      <c r="BP781" s="66"/>
      <c r="BQ781" s="66"/>
      <c r="BR781" s="66"/>
      <c r="BS781" s="66"/>
      <c r="BT781" s="66"/>
      <c r="BU781" s="66"/>
      <c r="BV781" s="66"/>
      <c r="BW781" s="91" t="str">
        <f t="shared" si="243"/>
        <v>Incomplete</v>
      </c>
      <c r="BX781" s="91" t="str">
        <f>_xlfn.XLOOKUP(BW781,'Normative data'!$V$3:$V$6,'Normative data'!$W$3:$W$6,"Not Found",-1)</f>
        <v>Very low risk</v>
      </c>
      <c r="BY781" s="91" t="str">
        <f t="shared" si="244"/>
        <v>Incomplete</v>
      </c>
      <c r="BZ781" s="91" t="str">
        <f>_xlfn.XLOOKUP(BY781,'Normative data'!$V$3:$V$6,'Normative data'!$W$3:$W$6,"Not Found",-1)</f>
        <v>Very low risk</v>
      </c>
      <c r="CA781" s="66"/>
      <c r="CB781" s="66"/>
      <c r="CC781" s="20"/>
      <c r="CD781" s="66"/>
      <c r="CE781" s="66"/>
      <c r="CF781" s="66"/>
      <c r="CG781" s="66"/>
      <c r="CH781" s="20" t="str">
        <f>_xlfn.XLOOKUP(CG781, 'Normative data'!$S$9:$S$15,'Normative data'!$T$9:$T$15, "Not Found", -1)</f>
        <v>not completed</v>
      </c>
      <c r="CI781" s="66"/>
      <c r="CJ781" s="20" t="str">
        <f>_xlfn.XLOOKUP(CI781, 'Normative data'!$S$9:$S$15, 'Normative data'!$T$9:$T$15, "Not Found", -1)</f>
        <v>not completed</v>
      </c>
      <c r="CK781" s="106">
        <v>2.2799999999999998</v>
      </c>
      <c r="CL781" s="106">
        <v>4.3899999999999997</v>
      </c>
      <c r="CM781" s="106"/>
      <c r="CN781" s="106">
        <v>6.79</v>
      </c>
      <c r="CO781" s="106">
        <v>7.36</v>
      </c>
      <c r="CP781" s="110"/>
      <c r="CQ781" s="68"/>
      <c r="CR781" s="20" t="str" cm="1">
        <f t="array" ref="CR781">IF(OR(ISBLANK(E781),ISBLANK(CQ781)),"Incomplete",_xlfn.XLOOKUP(CQ781,_xlfn.XLOOKUP(E781,'Normative data'!$Y$3:$Y$6,'Normative data'!$Z$3:$AG$6,,-1),'Normative data'!$Z$2:$AG$2,"Not Found",-1))</f>
        <v>Incomplete</v>
      </c>
      <c r="CS781" s="68"/>
      <c r="CT781" s="66"/>
      <c r="CU781" s="20" t="str" cm="1">
        <f t="array" ref="CU781">_xlfn.XLOOKUP(CS781&amp;CT781,(VLOOKUP!$A$3:$A$250)&amp;(VLOOKUP!$B$3:$B$250),VLOOKUP!$C$3:$C$250,"Incomplete",-1)</f>
        <v>Incomplete</v>
      </c>
      <c r="CV781" s="20" t="str" cm="1">
        <f t="array" ref="CV781">_xlfn.XLOOKUP(CU781, _xlfn.XLOOKUP(E781, 'Normative data'!$Y$11:$Y$14, 'Normative data'!$Z$11:$AG$14, ,-1), 'Normative data'!$Z$10:$AG$10, "Not Found", -1)</f>
        <v>Excellent</v>
      </c>
      <c r="CW781" s="20" t="str" cm="1">
        <f t="array" ref="CW781">IF(OR(ISBLANK(CS781),ISBLANK(CT781)),"Incomplete",_xlfn.XLOOKUP(CS781&amp;CT781,VLOOKUP!$A$4:$A$250&amp;VLOOKUP!$B$4:$B$250,VLOOKUP!$D$4:$D$250,"0"))</f>
        <v>Incomplete</v>
      </c>
    </row>
    <row r="782" spans="1:101">
      <c r="A782" s="93" t="s">
        <v>274</v>
      </c>
      <c r="B782" s="93" t="s">
        <v>1439</v>
      </c>
      <c r="C782" s="64" t="s">
        <v>86</v>
      </c>
      <c r="D782" s="96">
        <v>40774</v>
      </c>
      <c r="E782" s="64"/>
      <c r="F782" s="64">
        <v>8</v>
      </c>
      <c r="G782" s="64">
        <v>2025</v>
      </c>
      <c r="H782" s="66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  <c r="AD782" s="66"/>
      <c r="AE782" s="66"/>
      <c r="AF782" s="66"/>
      <c r="AG782" s="66"/>
      <c r="AH782" s="66"/>
      <c r="AI782" s="66"/>
      <c r="AJ782" s="66"/>
      <c r="AK782" s="66"/>
      <c r="AL782" s="66"/>
      <c r="AM782" s="66"/>
      <c r="AN782" s="66"/>
      <c r="AO782" s="66"/>
      <c r="AP782" s="66"/>
      <c r="AQ782" s="20"/>
      <c r="AR782" s="20"/>
      <c r="AS782" s="20"/>
      <c r="AT782" s="20"/>
      <c r="AU782" s="20"/>
      <c r="AV782" s="20"/>
      <c r="AW782" s="20"/>
      <c r="AX782" s="20"/>
      <c r="AY782" s="41" t="str">
        <f t="shared" si="239"/>
        <v>Incomplete</v>
      </c>
      <c r="AZ782" s="66"/>
      <c r="BA782" s="20" t="str">
        <f t="shared" si="240"/>
        <v>Incomplete</v>
      </c>
      <c r="BB782" s="66"/>
      <c r="BC782" s="20" t="str">
        <f t="shared" si="241"/>
        <v>Incomplete</v>
      </c>
      <c r="BD782" s="66"/>
      <c r="BE782" s="20" t="str">
        <f t="shared" si="242"/>
        <v>Incomplete</v>
      </c>
      <c r="BF782" s="66"/>
      <c r="BG782" s="66">
        <v>18</v>
      </c>
      <c r="BH782" s="66">
        <v>44</v>
      </c>
      <c r="BI782" s="20">
        <f t="shared" si="245"/>
        <v>26</v>
      </c>
      <c r="BJ782" s="66"/>
      <c r="BK782" s="66">
        <v>6</v>
      </c>
      <c r="BL782" s="66"/>
      <c r="BM782" s="20">
        <v>7</v>
      </c>
      <c r="BN782" s="66"/>
      <c r="BO782" s="66"/>
      <c r="BP782" s="66"/>
      <c r="BQ782" s="66"/>
      <c r="BR782" s="66"/>
      <c r="BS782" s="66"/>
      <c r="BT782" s="66"/>
      <c r="BU782" s="66"/>
      <c r="BV782" s="66"/>
      <c r="BW782" s="91" t="str">
        <f t="shared" si="243"/>
        <v>Incomplete</v>
      </c>
      <c r="BX782" s="91" t="str">
        <f>_xlfn.XLOOKUP(BW782,'Normative data'!$V$3:$V$6,'Normative data'!$W$3:$W$6,"Not Found",-1)</f>
        <v>Very low risk</v>
      </c>
      <c r="BY782" s="91" t="str">
        <f t="shared" si="244"/>
        <v>Incomplete</v>
      </c>
      <c r="BZ782" s="91" t="str">
        <f>_xlfn.XLOOKUP(BY782,'Normative data'!$V$3:$V$6,'Normative data'!$W$3:$W$6,"Not Found",-1)</f>
        <v>Very low risk</v>
      </c>
      <c r="CA782" s="66"/>
      <c r="CB782" s="66"/>
      <c r="CC782" s="20"/>
      <c r="CD782" s="66"/>
      <c r="CE782" s="66"/>
      <c r="CF782" s="66"/>
      <c r="CG782" s="66"/>
      <c r="CH782" s="20" t="str">
        <f>_xlfn.XLOOKUP(CG782, 'Normative data'!$S$9:$S$15,'Normative data'!$T$9:$T$15, "Not Found", -1)</f>
        <v>not completed</v>
      </c>
      <c r="CI782" s="66"/>
      <c r="CJ782" s="20" t="str">
        <f>_xlfn.XLOOKUP(CI782, 'Normative data'!$S$9:$S$15, 'Normative data'!$T$9:$T$15, "Not Found", -1)</f>
        <v>not completed</v>
      </c>
      <c r="CK782" s="105">
        <v>2.27</v>
      </c>
      <c r="CL782" s="105">
        <v>4.0999999999999996</v>
      </c>
      <c r="CM782" s="105"/>
      <c r="CN782" s="105">
        <v>6.91</v>
      </c>
      <c r="CO782" s="105">
        <v>7.24</v>
      </c>
      <c r="CP782" s="109"/>
      <c r="CQ782" s="68"/>
      <c r="CR782" s="20" t="str" cm="1">
        <f t="array" ref="CR782">IF(OR(ISBLANK(E782),ISBLANK(CQ782)),"Incomplete",_xlfn.XLOOKUP(CQ782,_xlfn.XLOOKUP(E782,'Normative data'!$Y$3:$Y$6,'Normative data'!$Z$3:$AG$6,,-1),'Normative data'!$Z$2:$AG$2,"Not Found",-1))</f>
        <v>Incomplete</v>
      </c>
      <c r="CS782" s="68"/>
      <c r="CT782" s="66"/>
      <c r="CU782" s="20" t="str" cm="1">
        <f t="array" ref="CU782">_xlfn.XLOOKUP(CS782&amp;CT782,(VLOOKUP!$A$3:$A$250)&amp;(VLOOKUP!$B$3:$B$250),VLOOKUP!$C$3:$C$250,"Incomplete",-1)</f>
        <v>Incomplete</v>
      </c>
      <c r="CV782" s="20" t="str" cm="1">
        <f t="array" ref="CV782">_xlfn.XLOOKUP(CU782, _xlfn.XLOOKUP(E782, 'Normative data'!$Y$11:$Y$14, 'Normative data'!$Z$11:$AG$14, ,-1), 'Normative data'!$Z$10:$AG$10, "Not Found", -1)</f>
        <v>Excellent</v>
      </c>
      <c r="CW782" s="20" t="str" cm="1">
        <f t="array" ref="CW782">IF(OR(ISBLANK(CS782),ISBLANK(CT782)),"Incomplete",_xlfn.XLOOKUP(CS782&amp;CT782,VLOOKUP!$A$4:$A$250&amp;VLOOKUP!$B$4:$B$250,VLOOKUP!$D$4:$D$250,"0"))</f>
        <v>Incomplete</v>
      </c>
    </row>
    <row r="783" spans="1:101">
      <c r="A783" s="94" t="s">
        <v>1440</v>
      </c>
      <c r="B783" s="94" t="s">
        <v>1441</v>
      </c>
      <c r="C783" s="64" t="s">
        <v>86</v>
      </c>
      <c r="D783" s="97"/>
      <c r="E783" s="64"/>
      <c r="F783" s="64">
        <v>10</v>
      </c>
      <c r="G783" s="64">
        <v>2025</v>
      </c>
      <c r="H783" s="66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  <c r="AD783" s="66"/>
      <c r="AE783" s="66"/>
      <c r="AF783" s="66"/>
      <c r="AG783" s="66"/>
      <c r="AH783" s="66"/>
      <c r="AI783" s="66"/>
      <c r="AJ783" s="66"/>
      <c r="AK783" s="66"/>
      <c r="AL783" s="66"/>
      <c r="AM783" s="66"/>
      <c r="AN783" s="66"/>
      <c r="AO783" s="66"/>
      <c r="AP783" s="66"/>
      <c r="AQ783" s="20"/>
      <c r="AR783" s="20"/>
      <c r="AS783" s="20"/>
      <c r="AT783" s="20"/>
      <c r="AU783" s="20"/>
      <c r="AV783" s="20"/>
      <c r="AW783" s="20"/>
      <c r="AX783" s="20"/>
      <c r="AY783" s="41" t="str">
        <f t="shared" si="239"/>
        <v>Incomplete</v>
      </c>
      <c r="AZ783" s="66"/>
      <c r="BA783" s="20" t="str">
        <f t="shared" si="240"/>
        <v>Incomplete</v>
      </c>
      <c r="BB783" s="66"/>
      <c r="BC783" s="20" t="str">
        <f t="shared" si="241"/>
        <v>Incomplete</v>
      </c>
      <c r="BD783" s="66"/>
      <c r="BE783" s="20" t="str">
        <f t="shared" si="242"/>
        <v>Incomplete</v>
      </c>
      <c r="BF783" s="66"/>
      <c r="BG783" s="66">
        <v>15.2</v>
      </c>
      <c r="BH783" s="20">
        <v>31</v>
      </c>
      <c r="BI783" s="20">
        <f t="shared" si="245"/>
        <v>15.8</v>
      </c>
      <c r="BJ783" s="66"/>
      <c r="BK783" s="66"/>
      <c r="BL783" s="66"/>
      <c r="BM783" s="20"/>
      <c r="BN783" s="66"/>
      <c r="BO783" s="20"/>
      <c r="BP783" s="20"/>
      <c r="BQ783" s="20"/>
      <c r="BR783" s="20"/>
      <c r="BS783" s="20"/>
      <c r="BT783" s="20"/>
      <c r="BU783" s="20"/>
      <c r="BV783" s="20"/>
      <c r="BW783" s="91" t="str">
        <f t="shared" si="243"/>
        <v>Incomplete</v>
      </c>
      <c r="BX783" s="91" t="str">
        <f>_xlfn.XLOOKUP(BW783,'Normative data'!$V$3:$V$6,'Normative data'!$W$3:$W$6,"Not Found",-1)</f>
        <v>Very low risk</v>
      </c>
      <c r="BY783" s="91" t="str">
        <f t="shared" si="244"/>
        <v>Incomplete</v>
      </c>
      <c r="BZ783" s="91" t="str">
        <f>_xlfn.XLOOKUP(BY783,'Normative data'!$V$3:$V$6,'Normative data'!$W$3:$W$6,"Not Found",-1)</f>
        <v>Very low risk</v>
      </c>
      <c r="CA783" s="20"/>
      <c r="CC783" s="20"/>
      <c r="CE783" s="20"/>
      <c r="CF783" s="66"/>
      <c r="CG783" s="20"/>
      <c r="CH783" s="20" t="str">
        <f>_xlfn.XLOOKUP(CG783, 'Normative data'!$S$9:$S$15,'Normative data'!$T$9:$T$15, "Not Found", -1)</f>
        <v>not completed</v>
      </c>
      <c r="CI783" s="20"/>
      <c r="CJ783" s="20" t="str">
        <f>_xlfn.XLOOKUP(CI783, 'Normative data'!$S$9:$S$15, 'Normative data'!$T$9:$T$15, "Not Found", -1)</f>
        <v>not completed</v>
      </c>
      <c r="CK783" s="21"/>
      <c r="CL783" s="21"/>
      <c r="CM783" s="21"/>
      <c r="CN783" s="21"/>
      <c r="CO783" s="21"/>
      <c r="CP783" s="110"/>
      <c r="CQ783" s="68"/>
      <c r="CR783" s="20" t="str" cm="1">
        <f t="array" ref="CR783">IF(OR(ISBLANK(E783),ISBLANK(CQ783)),"Incomplete",_xlfn.XLOOKUP(CQ783,_xlfn.XLOOKUP(E783,'Normative data'!$Y$3:$Y$6,'Normative data'!$Z$3:$AG$6,,-1),'Normative data'!$Z$2:$AG$2,"Not Found",-1))</f>
        <v>Incomplete</v>
      </c>
      <c r="CS783" s="68"/>
      <c r="CT783" s="66"/>
      <c r="CU783" s="20" t="str" cm="1">
        <f t="array" ref="CU783">_xlfn.XLOOKUP(CS783&amp;CT783,(VLOOKUP!$A$3:$A$250)&amp;(VLOOKUP!$B$3:$B$250),VLOOKUP!$C$3:$C$250,"Incomplete",-1)</f>
        <v>Incomplete</v>
      </c>
      <c r="CV783" s="20" t="str" cm="1">
        <f t="array" ref="CV783">_xlfn.XLOOKUP(CU783, _xlfn.XLOOKUP(E783, 'Normative data'!$Y$11:$Y$14, 'Normative data'!$Z$11:$AG$14, ,-1), 'Normative data'!$Z$10:$AG$10, "Not Found", -1)</f>
        <v>Excellent</v>
      </c>
      <c r="CW783" s="20" t="str" cm="1">
        <f t="array" ref="CW783">IF(OR(ISBLANK(CS783),ISBLANK(CT783)),"Incomplete",_xlfn.XLOOKUP(CS783&amp;CT783,VLOOKUP!$A$4:$A$250&amp;VLOOKUP!$B$4:$B$250,VLOOKUP!$D$4:$D$250,"0"))</f>
        <v>Incomplete</v>
      </c>
    </row>
    <row r="784" spans="1:101">
      <c r="A784" s="93" t="s">
        <v>1442</v>
      </c>
      <c r="B784" s="93" t="s">
        <v>1443</v>
      </c>
      <c r="C784" s="64" t="s">
        <v>86</v>
      </c>
      <c r="D784" s="96"/>
      <c r="E784" s="64"/>
      <c r="F784" s="64">
        <v>8</v>
      </c>
      <c r="G784" s="64">
        <v>2025</v>
      </c>
      <c r="H784" s="66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  <c r="AD784" s="66"/>
      <c r="AE784" s="66"/>
      <c r="AF784" s="66"/>
      <c r="AG784" s="66"/>
      <c r="AH784" s="66"/>
      <c r="AI784" s="66"/>
      <c r="AJ784" s="66"/>
      <c r="AK784" s="66"/>
      <c r="AL784" s="66"/>
      <c r="AM784" s="66"/>
      <c r="AN784" s="66"/>
      <c r="AO784" s="66"/>
      <c r="AP784" s="66"/>
      <c r="AQ784" s="20"/>
      <c r="AR784" s="20"/>
      <c r="AS784" s="20"/>
      <c r="AT784" s="20"/>
      <c r="AU784" s="20"/>
      <c r="AV784" s="20"/>
      <c r="AW784" s="20"/>
      <c r="AX784" s="20"/>
      <c r="AY784" s="41" t="str">
        <f t="shared" si="239"/>
        <v>Incomplete</v>
      </c>
      <c r="AZ784" s="66"/>
      <c r="BA784" s="20" t="str">
        <f t="shared" si="240"/>
        <v>Incomplete</v>
      </c>
      <c r="BB784" s="66"/>
      <c r="BC784" s="20" t="str">
        <f t="shared" si="241"/>
        <v>Incomplete</v>
      </c>
      <c r="BD784" s="66"/>
      <c r="BE784" s="20" t="str">
        <f t="shared" si="242"/>
        <v>Incomplete</v>
      </c>
      <c r="BF784" s="66"/>
      <c r="BG784" s="66">
        <v>11</v>
      </c>
      <c r="BH784" s="20">
        <v>22.3</v>
      </c>
      <c r="BI784" s="20">
        <f t="shared" si="245"/>
        <v>11.3</v>
      </c>
      <c r="BJ784" s="66"/>
      <c r="BK784" s="66"/>
      <c r="BL784" s="66"/>
      <c r="BM784" s="66"/>
      <c r="BN784" s="66"/>
      <c r="BO784" s="66"/>
      <c r="BP784" s="66"/>
      <c r="BQ784" s="66"/>
      <c r="BR784" s="66"/>
      <c r="BS784" s="66"/>
      <c r="BT784" s="66"/>
      <c r="BU784" s="66"/>
      <c r="BV784" s="66"/>
      <c r="BW784" s="91" t="str">
        <f t="shared" si="243"/>
        <v>Incomplete</v>
      </c>
      <c r="BX784" s="91" t="str">
        <f>_xlfn.XLOOKUP(BW784,'Normative data'!$V$3:$V$6,'Normative data'!$W$3:$W$6,"Not Found",-1)</f>
        <v>Very low risk</v>
      </c>
      <c r="BY784" s="91" t="str">
        <f t="shared" si="244"/>
        <v>Incomplete</v>
      </c>
      <c r="BZ784" s="91" t="str">
        <f>_xlfn.XLOOKUP(BY784,'Normative data'!$V$3:$V$6,'Normative data'!$W$3:$W$6,"Not Found",-1)</f>
        <v>Very low risk</v>
      </c>
      <c r="CA784" s="66"/>
      <c r="CB784" s="66"/>
      <c r="CC784" s="20"/>
      <c r="CD784" s="66"/>
      <c r="CE784" s="66"/>
      <c r="CF784" s="66"/>
      <c r="CG784" s="66"/>
      <c r="CH784" s="20" t="str">
        <f>_xlfn.XLOOKUP(CG784, 'Normative data'!$S$9:$S$15,'Normative data'!$T$9:$T$15, "Not Found", -1)</f>
        <v>not completed</v>
      </c>
      <c r="CI784" s="66"/>
      <c r="CJ784" s="20" t="str">
        <f>_xlfn.XLOOKUP(CI784, 'Normative data'!$S$9:$S$15, 'Normative data'!$T$9:$T$15, "Not Found", -1)</f>
        <v>not completed</v>
      </c>
      <c r="CK784" s="105"/>
      <c r="CL784" s="105"/>
      <c r="CM784" s="105"/>
      <c r="CN784" s="105"/>
      <c r="CO784" s="105"/>
      <c r="CP784" s="109"/>
      <c r="CQ784" s="68"/>
      <c r="CR784" s="20" t="str" cm="1">
        <f t="array" ref="CR784">IF(OR(ISBLANK(E784),ISBLANK(CQ784)),"Incomplete",_xlfn.XLOOKUP(CQ784,_xlfn.XLOOKUP(E784,'Normative data'!$Y$3:$Y$6,'Normative data'!$Z$3:$AG$6,,-1),'Normative data'!$Z$2:$AG$2,"Not Found",-1))</f>
        <v>Incomplete</v>
      </c>
      <c r="CS784" s="68"/>
      <c r="CT784" s="66"/>
      <c r="CU784" s="20" t="str" cm="1">
        <f t="array" ref="CU784">_xlfn.XLOOKUP(CS784&amp;CT784,(VLOOKUP!$A$3:$A$250)&amp;(VLOOKUP!$B$3:$B$250),VLOOKUP!$C$3:$C$250,"Incomplete",-1)</f>
        <v>Incomplete</v>
      </c>
      <c r="CV784" s="20" t="str" cm="1">
        <f t="array" ref="CV784">_xlfn.XLOOKUP(CU784, _xlfn.XLOOKUP(E784, 'Normative data'!$Y$11:$Y$14, 'Normative data'!$Z$11:$AG$14, ,-1), 'Normative data'!$Z$10:$AG$10, "Not Found", -1)</f>
        <v>Excellent</v>
      </c>
      <c r="CW784" s="20" t="str" cm="1">
        <f t="array" ref="CW784">IF(OR(ISBLANK(CS784),ISBLANK(CT784)),"Incomplete",_xlfn.XLOOKUP(CS784&amp;CT784,VLOOKUP!$A$4:$A$250&amp;VLOOKUP!$B$4:$B$250,VLOOKUP!$D$4:$D$250,"0"))</f>
        <v>Incomplete</v>
      </c>
    </row>
    <row r="785" spans="1:101">
      <c r="A785" s="64" t="s">
        <v>503</v>
      </c>
      <c r="B785" s="64" t="s">
        <v>781</v>
      </c>
      <c r="C785" s="64" t="s">
        <v>86</v>
      </c>
      <c r="D785" s="65"/>
      <c r="E785" s="64"/>
      <c r="F785" s="64">
        <v>8</v>
      </c>
      <c r="G785" s="64">
        <v>2025</v>
      </c>
      <c r="H785" s="66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  <c r="AD785" s="66"/>
      <c r="AE785" s="66"/>
      <c r="AF785" s="66"/>
      <c r="AG785" s="66"/>
      <c r="AH785" s="66"/>
      <c r="AI785" s="66"/>
      <c r="AJ785" s="66"/>
      <c r="AK785" s="66"/>
      <c r="AL785" s="66"/>
      <c r="AM785" s="66"/>
      <c r="AN785" s="66"/>
      <c r="AO785" s="66"/>
      <c r="AP785" s="66"/>
      <c r="AQ785" s="20"/>
      <c r="AR785" s="20"/>
      <c r="AS785" s="20"/>
      <c r="AT785" s="20"/>
      <c r="AU785" s="20"/>
      <c r="AV785" s="20"/>
      <c r="AW785" s="20"/>
      <c r="AX785" s="20"/>
      <c r="AY785" s="41" t="str">
        <f t="shared" si="239"/>
        <v>Incomplete</v>
      </c>
      <c r="AZ785" s="66"/>
      <c r="BA785" s="20" t="str">
        <f t="shared" si="240"/>
        <v>Incomplete</v>
      </c>
      <c r="BB785" s="66"/>
      <c r="BC785" s="20" t="str">
        <f t="shared" si="241"/>
        <v>Incomplete</v>
      </c>
      <c r="BD785" s="66"/>
      <c r="BE785" s="20" t="str">
        <f t="shared" si="242"/>
        <v>Incomplete</v>
      </c>
      <c r="BF785" s="66"/>
      <c r="BG785" s="66">
        <v>9.5</v>
      </c>
      <c r="BH785" s="66">
        <v>20</v>
      </c>
      <c r="BI785" s="20">
        <f t="shared" si="245"/>
        <v>10.5</v>
      </c>
      <c r="BJ785" s="66"/>
      <c r="BK785" s="66"/>
      <c r="BL785" s="66"/>
      <c r="BM785" s="66"/>
      <c r="BN785" s="66"/>
      <c r="BO785" s="66"/>
      <c r="BP785" s="66"/>
      <c r="BQ785" s="66"/>
      <c r="BR785" s="66"/>
      <c r="BS785" s="66"/>
      <c r="BT785" s="66"/>
      <c r="BU785" s="66"/>
      <c r="BV785" s="66"/>
      <c r="BW785" s="91" t="str">
        <f t="shared" si="243"/>
        <v>Incomplete</v>
      </c>
      <c r="BX785" s="91" t="str">
        <f>_xlfn.XLOOKUP(BW785,'Normative data'!$V$3:$V$6,'Normative data'!$W$3:$W$6,"Not Found",-1)</f>
        <v>Very low risk</v>
      </c>
      <c r="BY785" s="91" t="str">
        <f t="shared" si="244"/>
        <v>Incomplete</v>
      </c>
      <c r="BZ785" s="91" t="str">
        <f>_xlfn.XLOOKUP(BY785,'Normative data'!$V$3:$V$6,'Normative data'!$W$3:$W$6,"Not Found",-1)</f>
        <v>Very low risk</v>
      </c>
      <c r="CA785" s="66"/>
      <c r="CB785" s="66"/>
      <c r="CC785" s="20"/>
      <c r="CD785" s="66"/>
      <c r="CE785" s="66"/>
      <c r="CF785" s="66"/>
      <c r="CG785" s="20"/>
      <c r="CH785" s="20" t="str">
        <f>_xlfn.XLOOKUP(CG785, 'Normative data'!$S$9:$S$15,'Normative data'!$T$9:$T$15, "Not Found", -1)</f>
        <v>not completed</v>
      </c>
      <c r="CI785" s="20"/>
      <c r="CJ785" s="20" t="str">
        <f>_xlfn.XLOOKUP(CI785, 'Normative data'!$S$9:$S$15, 'Normative data'!$T$9:$T$15, "Not Found", -1)</f>
        <v>not completed</v>
      </c>
      <c r="CK785" s="21"/>
      <c r="CL785" s="21"/>
      <c r="CM785" s="21"/>
      <c r="CN785" s="21"/>
      <c r="CO785" s="21"/>
      <c r="CP785" s="68"/>
      <c r="CQ785" s="68"/>
      <c r="CR785" s="20" t="str" cm="1">
        <f t="array" ref="CR785">IF(OR(ISBLANK(E785),ISBLANK(CQ785)),"Incomplete",_xlfn.XLOOKUP(CQ785,_xlfn.XLOOKUP(E785,'Normative data'!$Y$3:$Y$6,'Normative data'!$Z$3:$AG$6,,-1),'Normative data'!$Z$2:$AG$2,"Not Found",-1))</f>
        <v>Incomplete</v>
      </c>
      <c r="CS785" s="68"/>
      <c r="CT785" s="66"/>
      <c r="CU785" s="20" t="str" cm="1">
        <f t="array" ref="CU785">_xlfn.XLOOKUP(CS785&amp;CT785,(VLOOKUP!$A$3:$A$250)&amp;(VLOOKUP!$B$3:$B$250),VLOOKUP!$C$3:$C$250,"Incomplete",-1)</f>
        <v>Incomplete</v>
      </c>
      <c r="CV785" s="20" t="str" cm="1">
        <f t="array" ref="CV785">_xlfn.XLOOKUP(CU785, _xlfn.XLOOKUP(E785, 'Normative data'!$Y$11:$Y$14, 'Normative data'!$Z$11:$AG$14, ,-1), 'Normative data'!$Z$10:$AG$10, "Not Found", -1)</f>
        <v>Excellent</v>
      </c>
      <c r="CW785" s="20" t="str" cm="1">
        <f t="array" ref="CW785">IF(OR(ISBLANK(CS785),ISBLANK(CT785)),"Incomplete",_xlfn.XLOOKUP(CS785&amp;CT785,VLOOKUP!$A$4:$A$250&amp;VLOOKUP!$B$4:$B$250,VLOOKUP!$D$4:$D$250,"0"))</f>
        <v>Incomplete</v>
      </c>
    </row>
    <row r="786" spans="1:101">
      <c r="A786" s="94" t="s">
        <v>1284</v>
      </c>
      <c r="B786" s="94" t="s">
        <v>781</v>
      </c>
      <c r="C786" s="64" t="s">
        <v>86</v>
      </c>
      <c r="D786" s="97"/>
      <c r="E786" s="64"/>
      <c r="F786" s="64">
        <v>10</v>
      </c>
      <c r="G786" s="64">
        <v>2025</v>
      </c>
      <c r="H786" s="66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  <c r="AE786" s="66"/>
      <c r="AF786" s="66"/>
      <c r="AG786" s="66"/>
      <c r="AH786" s="66"/>
      <c r="AI786" s="66"/>
      <c r="AJ786" s="66"/>
      <c r="AK786" s="66"/>
      <c r="AL786" s="66"/>
      <c r="AM786" s="66"/>
      <c r="AN786" s="66"/>
      <c r="AO786" s="66"/>
      <c r="AP786" s="66"/>
      <c r="AQ786" s="20"/>
      <c r="AR786" s="20"/>
      <c r="AS786" s="20"/>
      <c r="AT786" s="20"/>
      <c r="AU786" s="20"/>
      <c r="AV786" s="20"/>
      <c r="AW786" s="20"/>
      <c r="AX786" s="20"/>
      <c r="AY786" s="41" t="str">
        <f t="shared" si="239"/>
        <v>Incomplete</v>
      </c>
      <c r="AZ786" s="66"/>
      <c r="BA786" s="20" t="str">
        <f t="shared" si="240"/>
        <v>Incomplete</v>
      </c>
      <c r="BB786" s="66"/>
      <c r="BC786" s="20" t="str">
        <f t="shared" si="241"/>
        <v>Incomplete</v>
      </c>
      <c r="BD786" s="66"/>
      <c r="BE786" s="20" t="str">
        <f t="shared" si="242"/>
        <v>Incomplete</v>
      </c>
      <c r="BF786" s="66"/>
      <c r="BG786" s="66">
        <v>16</v>
      </c>
      <c r="BH786" s="66">
        <v>33.6</v>
      </c>
      <c r="BI786" s="20">
        <f t="shared" si="245"/>
        <v>17.600000000000001</v>
      </c>
      <c r="BJ786" s="66"/>
      <c r="BK786" s="66">
        <v>3</v>
      </c>
      <c r="BL786" s="66"/>
      <c r="BM786" s="20">
        <v>2</v>
      </c>
      <c r="BN786" s="66"/>
      <c r="BO786" s="66"/>
      <c r="BP786" s="66"/>
      <c r="BQ786" s="66"/>
      <c r="BR786" s="66"/>
      <c r="BS786" s="66"/>
      <c r="BT786" s="66"/>
      <c r="BU786" s="66"/>
      <c r="BV786" s="66"/>
      <c r="BW786" s="91" t="str">
        <f t="shared" si="243"/>
        <v>Incomplete</v>
      </c>
      <c r="BX786" s="91" t="str">
        <f>_xlfn.XLOOKUP(BW786,'Normative data'!$V$3:$V$6,'Normative data'!$W$3:$W$6,"Not Found",-1)</f>
        <v>Very low risk</v>
      </c>
      <c r="BY786" s="91" t="str">
        <f t="shared" si="244"/>
        <v>Incomplete</v>
      </c>
      <c r="BZ786" s="91" t="str">
        <f>_xlfn.XLOOKUP(BY786,'Normative data'!$V$3:$V$6,'Normative data'!$W$3:$W$6,"Not Found",-1)</f>
        <v>Very low risk</v>
      </c>
      <c r="CA786" s="20"/>
      <c r="CB786" s="66"/>
      <c r="CC786" s="20"/>
      <c r="CD786" s="66"/>
      <c r="CE786" s="66">
        <v>10</v>
      </c>
      <c r="CF786" s="66"/>
      <c r="CG786" s="20"/>
      <c r="CH786" s="20" t="str">
        <f>_xlfn.XLOOKUP(CG786, 'Normative data'!$S$9:$S$15,'Normative data'!$T$9:$T$15, "Not Found", -1)</f>
        <v>not completed</v>
      </c>
      <c r="CI786" s="20"/>
      <c r="CJ786" s="20" t="str">
        <f>_xlfn.XLOOKUP(CI786, 'Normative data'!$S$9:$S$15, 'Normative data'!$T$9:$T$15, "Not Found", -1)</f>
        <v>not completed</v>
      </c>
      <c r="CK786" s="106">
        <v>2.09</v>
      </c>
      <c r="CL786" s="106">
        <v>4.78</v>
      </c>
      <c r="CM786" s="105"/>
      <c r="CN786" s="106">
        <v>6.35</v>
      </c>
      <c r="CO786" s="106">
        <v>7.87</v>
      </c>
      <c r="CP786" s="110"/>
      <c r="CQ786" s="68"/>
      <c r="CR786" s="20" t="str" cm="1">
        <f t="array" ref="CR786">IF(OR(ISBLANK(E786),ISBLANK(CQ786)),"Incomplete",_xlfn.XLOOKUP(CQ786,_xlfn.XLOOKUP(E786,'Normative data'!$Y$3:$Y$6,'Normative data'!$Z$3:$AG$6,,-1),'Normative data'!$Z$2:$AG$2,"Not Found",-1))</f>
        <v>Incomplete</v>
      </c>
      <c r="CS786" s="68"/>
      <c r="CT786" s="66"/>
      <c r="CU786" s="20" t="str" cm="1">
        <f t="array" ref="CU786">_xlfn.XLOOKUP(CS786&amp;CT786,(VLOOKUP!$A$3:$A$250)&amp;(VLOOKUP!$B$3:$B$250),VLOOKUP!$C$3:$C$250,"Incomplete",-1)</f>
        <v>Incomplete</v>
      </c>
      <c r="CV786" s="20" t="str" cm="1">
        <f t="array" ref="CV786">_xlfn.XLOOKUP(CU786, _xlfn.XLOOKUP(E786, 'Normative data'!$Y$11:$Y$14, 'Normative data'!$Z$11:$AG$14, ,-1), 'Normative data'!$Z$10:$AG$10, "Not Found", -1)</f>
        <v>Excellent</v>
      </c>
      <c r="CW786" s="20" t="str" cm="1">
        <f t="array" ref="CW786">IF(OR(ISBLANK(CS786),ISBLANK(CT786)),"Incomplete",_xlfn.XLOOKUP(CS786&amp;CT786,VLOOKUP!$A$4:$A$250&amp;VLOOKUP!$B$4:$B$250,VLOOKUP!$D$4:$D$250,"0"))</f>
        <v>Incomplete</v>
      </c>
    </row>
    <row r="787" spans="1:101">
      <c r="A787" s="64" t="s">
        <v>1413</v>
      </c>
      <c r="B787" s="64" t="s">
        <v>781</v>
      </c>
      <c r="C787" s="64" t="s">
        <v>86</v>
      </c>
      <c r="D787" s="65"/>
      <c r="E787" s="64"/>
      <c r="F787" s="64">
        <v>10</v>
      </c>
      <c r="G787" s="64">
        <v>2025</v>
      </c>
      <c r="H787" s="66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  <c r="AE787" s="66"/>
      <c r="AF787" s="66"/>
      <c r="AG787" s="66"/>
      <c r="AH787" s="66"/>
      <c r="AI787" s="66"/>
      <c r="AJ787" s="66"/>
      <c r="AK787" s="66"/>
      <c r="AL787" s="66"/>
      <c r="AM787" s="66"/>
      <c r="AN787" s="66"/>
      <c r="AO787" s="66"/>
      <c r="AP787" s="66"/>
      <c r="AQ787" s="66"/>
      <c r="AR787" s="66"/>
      <c r="AS787" s="66"/>
      <c r="AT787" s="66"/>
      <c r="AU787" s="66"/>
      <c r="AV787" s="66"/>
      <c r="AW787" s="66"/>
      <c r="AX787" s="66"/>
      <c r="AY787" s="41" t="str">
        <f t="shared" si="239"/>
        <v>Incomplete</v>
      </c>
      <c r="AZ787" s="66"/>
      <c r="BA787" s="20" t="str">
        <f t="shared" si="240"/>
        <v>Incomplete</v>
      </c>
      <c r="BB787" s="66"/>
      <c r="BC787" s="20" t="str">
        <f t="shared" si="241"/>
        <v>Incomplete</v>
      </c>
      <c r="BD787" s="66"/>
      <c r="BE787" s="20" t="str">
        <f t="shared" si="242"/>
        <v>Incomplete</v>
      </c>
      <c r="BF787" s="66"/>
      <c r="BG787" s="66"/>
      <c r="BH787" s="66"/>
      <c r="BI787" s="20" t="str">
        <f t="shared" si="245"/>
        <v>Incomplete</v>
      </c>
      <c r="BJ787" s="66"/>
      <c r="BK787" s="66"/>
      <c r="BL787" s="66"/>
      <c r="BM787" s="66"/>
      <c r="BN787" s="66"/>
      <c r="BO787" s="66"/>
      <c r="BP787" s="66"/>
      <c r="BQ787" s="66"/>
      <c r="BR787" s="66"/>
      <c r="BS787" s="66"/>
      <c r="BT787" s="66"/>
      <c r="BU787" s="66"/>
      <c r="BV787" s="66"/>
      <c r="BW787" s="91" t="str">
        <f t="shared" si="243"/>
        <v>Incomplete</v>
      </c>
      <c r="BX787" s="91" t="str">
        <f>_xlfn.XLOOKUP(BW787,'Normative data'!$V$3:$V$6,'Normative data'!$W$3:$W$6,"Not Found",-1)</f>
        <v>Very low risk</v>
      </c>
      <c r="BY787" s="91" t="str">
        <f t="shared" si="244"/>
        <v>Incomplete</v>
      </c>
      <c r="BZ787" s="91" t="str">
        <f>_xlfn.XLOOKUP(BY787,'Normative data'!$V$3:$V$6,'Normative data'!$W$3:$W$6,"Not Found",-1)</f>
        <v>Very low risk</v>
      </c>
      <c r="CA787" s="66"/>
      <c r="CB787" s="66"/>
      <c r="CC787" s="20"/>
      <c r="CD787" s="66"/>
      <c r="CE787" s="66"/>
      <c r="CF787" s="66"/>
      <c r="CG787" s="66"/>
      <c r="CH787" s="20" t="str">
        <f>_xlfn.XLOOKUP(CG787, 'Normative data'!$S$9:$S$15,'Normative data'!$T$9:$T$15, "Not Found", -1)</f>
        <v>not completed</v>
      </c>
      <c r="CI787" s="66"/>
      <c r="CJ787" s="20" t="str">
        <f>_xlfn.XLOOKUP(CI787, 'Normative data'!$S$9:$S$15, 'Normative data'!$T$9:$T$15, "Not Found", -1)</f>
        <v>not completed</v>
      </c>
      <c r="CK787" s="66" t="s">
        <v>204</v>
      </c>
      <c r="CL787" s="66" t="s">
        <v>1444</v>
      </c>
      <c r="CM787" s="66"/>
      <c r="CN787" s="66" t="s">
        <v>1187</v>
      </c>
      <c r="CO787" s="66" t="s">
        <v>699</v>
      </c>
      <c r="CP787" s="68"/>
      <c r="CQ787" s="68"/>
      <c r="CR787" s="20" t="str" cm="1">
        <f t="array" ref="CR787">IF(OR(ISBLANK(E787),ISBLANK(CQ787)),"Incomplete",_xlfn.XLOOKUP(CQ787,_xlfn.XLOOKUP(E787,'Normative data'!$Y$3:$Y$6,'Normative data'!$Z$3:$AG$6,,-1),'Normative data'!$Z$2:$AG$2,"Not Found",-1))</f>
        <v>Incomplete</v>
      </c>
      <c r="CS787" s="68"/>
      <c r="CT787" s="66"/>
      <c r="CU787" s="20" t="str" cm="1">
        <f t="array" ref="CU787">_xlfn.XLOOKUP(CS787&amp;CT787,(VLOOKUP!$A$3:$A$250)&amp;(VLOOKUP!$B$3:$B$250),VLOOKUP!$C$3:$C$250,"Incomplete",-1)</f>
        <v>Incomplete</v>
      </c>
      <c r="CV787" s="20" t="str" cm="1">
        <f t="array" ref="CV787">_xlfn.XLOOKUP(CU787, _xlfn.XLOOKUP(E787, 'Normative data'!$Y$11:$Y$14, 'Normative data'!$Z$11:$AG$14, ,-1), 'Normative data'!$Z$10:$AG$10, "Not Found", -1)</f>
        <v>Excellent</v>
      </c>
      <c r="CW787" s="20" t="str" cm="1">
        <f t="array" ref="CW787">IF(OR(ISBLANK(CS787),ISBLANK(CT787)),"Incomplete",_xlfn.XLOOKUP(CS787&amp;CT787,VLOOKUP!$A$4:$A$250&amp;VLOOKUP!$B$4:$B$250,VLOOKUP!$D$4:$D$250,"0"))</f>
        <v>Incomplete</v>
      </c>
    </row>
    <row r="788" spans="1:101">
      <c r="A788" s="93" t="s">
        <v>1205</v>
      </c>
      <c r="B788" s="93" t="s">
        <v>1445</v>
      </c>
      <c r="C788" s="64" t="s">
        <v>86</v>
      </c>
      <c r="D788" s="96">
        <v>39577</v>
      </c>
      <c r="E788" s="64"/>
      <c r="F788" s="64">
        <v>11</v>
      </c>
      <c r="G788" s="64">
        <v>2025</v>
      </c>
      <c r="H788" s="66"/>
      <c r="I788" s="64"/>
      <c r="J788" s="64" t="s">
        <v>122</v>
      </c>
      <c r="K788" s="64"/>
      <c r="L788" s="64"/>
      <c r="M788" s="64"/>
      <c r="N788" s="64"/>
      <c r="O788" s="64"/>
      <c r="P788" s="64"/>
      <c r="Q788" s="64"/>
      <c r="R788" s="64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  <c r="AE788" s="66"/>
      <c r="AF788" s="66"/>
      <c r="AG788" s="66"/>
      <c r="AH788" s="66"/>
      <c r="AI788" s="66"/>
      <c r="AJ788" s="66"/>
      <c r="AK788" s="66"/>
      <c r="AL788" s="66"/>
      <c r="AM788" s="66"/>
      <c r="AN788" s="66"/>
      <c r="AO788" s="66"/>
      <c r="AP788" s="66"/>
      <c r="AQ788" s="20"/>
      <c r="AR788" s="20"/>
      <c r="AS788" s="20"/>
      <c r="AT788" s="20"/>
      <c r="AU788" s="20"/>
      <c r="AV788" s="20"/>
      <c r="AW788" s="20"/>
      <c r="AX788" s="20"/>
      <c r="AY788" s="41" t="str">
        <f t="shared" si="239"/>
        <v>Incomplete</v>
      </c>
      <c r="AZ788" s="66"/>
      <c r="BA788" s="20" t="str">
        <f t="shared" si="240"/>
        <v>Incomplete</v>
      </c>
      <c r="BB788" s="66"/>
      <c r="BC788" s="20" t="str">
        <f t="shared" si="241"/>
        <v>Incomplete</v>
      </c>
      <c r="BD788" s="66"/>
      <c r="BE788" s="20" t="str">
        <f t="shared" si="242"/>
        <v>Incomplete</v>
      </c>
      <c r="BF788" s="66"/>
      <c r="BG788" s="66">
        <v>25</v>
      </c>
      <c r="BH788" s="20">
        <v>60</v>
      </c>
      <c r="BI788" s="20">
        <f t="shared" si="245"/>
        <v>35</v>
      </c>
      <c r="BJ788" s="66"/>
      <c r="BK788" s="66"/>
      <c r="BL788" s="66"/>
      <c r="BM788" s="66"/>
      <c r="BN788" s="66"/>
      <c r="BO788" s="20"/>
      <c r="BP788" s="20"/>
      <c r="BQ788" s="20"/>
      <c r="BR788" s="20"/>
      <c r="BS788" s="20"/>
      <c r="BT788" s="20"/>
      <c r="BU788" s="20"/>
      <c r="BV788" s="20"/>
      <c r="BW788" s="91" t="str">
        <f t="shared" si="243"/>
        <v>Incomplete</v>
      </c>
      <c r="BX788" s="91" t="str">
        <f>_xlfn.XLOOKUP(BW788,'Normative data'!$V$3:$V$6,'Normative data'!$W$3:$W$6,"Not Found",-1)</f>
        <v>Very low risk</v>
      </c>
      <c r="BY788" s="91" t="str">
        <f t="shared" si="244"/>
        <v>Incomplete</v>
      </c>
      <c r="BZ788" s="91" t="str">
        <f>_xlfn.XLOOKUP(BY788,'Normative data'!$V$3:$V$6,'Normative data'!$W$3:$W$6,"Not Found",-1)</f>
        <v>Very low risk</v>
      </c>
      <c r="CA788" s="20"/>
      <c r="CB788" s="66"/>
      <c r="CC788" s="20"/>
      <c r="CD788" s="66"/>
      <c r="CE788" s="66">
        <v>15</v>
      </c>
      <c r="CF788" s="66"/>
      <c r="CG788" s="66">
        <v>18.59</v>
      </c>
      <c r="CH788" s="20" t="e">
        <f>_xlfn.XLOOKUP(#REF!, 'Normative data'!$S$9:$S$15,'Normative data'!$T$9:$T$15, "Not Found", -1)</f>
        <v>#REF!</v>
      </c>
      <c r="CI788" s="66">
        <v>18.61</v>
      </c>
      <c r="CJ788" s="20" t="e">
        <f>_xlfn.XLOOKUP(#REF!, 'Normative data'!$S$9:$S$15, 'Normative data'!$T$9:$T$15, "Not Found", -1)</f>
        <v>#REF!</v>
      </c>
      <c r="CK788" s="105">
        <v>2.21</v>
      </c>
      <c r="CL788" s="105">
        <v>4.5199999999999996</v>
      </c>
      <c r="CM788" s="105"/>
      <c r="CN788" s="105">
        <v>6.98</v>
      </c>
      <c r="CO788" s="105">
        <v>7.16</v>
      </c>
      <c r="CP788" s="109"/>
      <c r="CQ788" s="68"/>
      <c r="CR788" s="20" t="str" cm="1">
        <f t="array" ref="CR788">IF(OR(ISBLANK(E788),ISBLANK(CQ788)),"Incomplete",_xlfn.XLOOKUP(CQ788,_xlfn.XLOOKUP(E788,'Normative data'!$Y$3:$Y$6,'Normative data'!$Z$3:$AG$6,,-1),'Normative data'!$Z$2:$AG$2,"Not Found",-1))</f>
        <v>Incomplete</v>
      </c>
      <c r="CS788" s="68"/>
      <c r="CT788" s="66"/>
      <c r="CU788" s="20" t="str" cm="1">
        <f t="array" ref="CU788">_xlfn.XLOOKUP(CS788&amp;CT788,(VLOOKUP!$A$3:$A$250)&amp;(VLOOKUP!$B$3:$B$250),VLOOKUP!$C$3:$C$250,"Incomplete",-1)</f>
        <v>Incomplete</v>
      </c>
      <c r="CV788" s="20" t="str" cm="1">
        <f t="array" ref="CV788">_xlfn.XLOOKUP(CU788, _xlfn.XLOOKUP(E788, 'Normative data'!$Y$11:$Y$14, 'Normative data'!$Z$11:$AG$14, ,-1), 'Normative data'!$Z$10:$AG$10, "Not Found", -1)</f>
        <v>Excellent</v>
      </c>
      <c r="CW788" s="20" t="str" cm="1">
        <f t="array" ref="CW788">IF(OR(ISBLANK(CS788),ISBLANK(CT788)),"Incomplete",_xlfn.XLOOKUP(CS788&amp;CT788,VLOOKUP!$A$4:$A$250&amp;VLOOKUP!$B$4:$B$250,VLOOKUP!$D$4:$D$250,"0"))</f>
        <v>Incomplete</v>
      </c>
    </row>
    <row r="789" spans="1:101">
      <c r="A789" s="64" t="s">
        <v>732</v>
      </c>
      <c r="B789" s="64" t="s">
        <v>1446</v>
      </c>
      <c r="C789" s="64" t="s">
        <v>86</v>
      </c>
      <c r="D789" s="96">
        <v>40049</v>
      </c>
      <c r="E789" s="64"/>
      <c r="F789" s="64">
        <v>10</v>
      </c>
      <c r="G789" s="64">
        <v>2025</v>
      </c>
      <c r="H789" s="66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  <c r="AD789" s="66"/>
      <c r="AE789" s="66"/>
      <c r="AF789" s="66"/>
      <c r="AG789" s="66"/>
      <c r="AH789" s="66"/>
      <c r="AI789" s="66"/>
      <c r="AJ789" s="66"/>
      <c r="AK789" s="66"/>
      <c r="AL789" s="66"/>
      <c r="AM789" s="66"/>
      <c r="AN789" s="66"/>
      <c r="AO789" s="66"/>
      <c r="AP789" s="66"/>
      <c r="AQ789" s="20"/>
      <c r="AR789" s="20"/>
      <c r="AS789" s="20"/>
      <c r="AT789" s="20"/>
      <c r="AU789" s="20"/>
      <c r="AV789" s="20"/>
      <c r="AW789" s="20"/>
      <c r="AX789" s="20"/>
      <c r="AY789" s="41" t="str">
        <f t="shared" si="239"/>
        <v>Incomplete</v>
      </c>
      <c r="AZ789" s="66"/>
      <c r="BA789" s="20" t="str">
        <f t="shared" si="240"/>
        <v>Incomplete</v>
      </c>
      <c r="BB789" s="66"/>
      <c r="BC789" s="20" t="str">
        <f t="shared" si="241"/>
        <v>Incomplete</v>
      </c>
      <c r="BD789" s="66"/>
      <c r="BE789" s="20" t="str">
        <f t="shared" si="242"/>
        <v>Incomplete</v>
      </c>
      <c r="BF789" s="66"/>
      <c r="BG789" s="66">
        <v>14</v>
      </c>
      <c r="BH789" s="20">
        <v>33.799999999999997</v>
      </c>
      <c r="BI789" s="20" t="e">
        <f>IF(OR(ISBLANK(#REF!), ISBLANK(#REF!)),"Incomplete",(SUM(#REF!-#REF!)))</f>
        <v>#REF!</v>
      </c>
      <c r="BJ789" s="66"/>
      <c r="BK789" s="66"/>
      <c r="BL789" s="66"/>
      <c r="BM789" s="20"/>
      <c r="BN789" s="66"/>
      <c r="BO789" s="66"/>
      <c r="BP789" s="66"/>
      <c r="BQ789" s="66"/>
      <c r="BR789" s="66"/>
      <c r="BS789" s="66"/>
      <c r="BT789" s="66"/>
      <c r="BU789" s="66"/>
      <c r="BV789" s="66"/>
      <c r="BW789" s="91" t="str">
        <f t="shared" si="243"/>
        <v>Incomplete</v>
      </c>
      <c r="BX789" s="91" t="str">
        <f>_xlfn.XLOOKUP(BW789,'Normative data'!$V$3:$V$6,'Normative data'!$W$3:$W$6,"Not Found",-1)</f>
        <v>Very low risk</v>
      </c>
      <c r="BY789" s="91" t="str">
        <f t="shared" si="244"/>
        <v>Incomplete</v>
      </c>
      <c r="BZ789" s="91" t="str">
        <f>_xlfn.XLOOKUP(BY789,'Normative data'!$V$3:$V$6,'Normative data'!$W$3:$W$6,"Not Found",-1)</f>
        <v>Very low risk</v>
      </c>
      <c r="CA789" s="66"/>
      <c r="CB789" s="66"/>
      <c r="CC789" s="20"/>
      <c r="CD789" s="66"/>
      <c r="CE789" s="66">
        <v>1</v>
      </c>
      <c r="CF789" s="66"/>
      <c r="CG789" s="20"/>
      <c r="CH789" s="20" t="str">
        <f>_xlfn.XLOOKUP(CG789, 'Normative data'!$S$9:$S$15,'Normative data'!$T$9:$T$15, "Not Found", -1)</f>
        <v>not completed</v>
      </c>
      <c r="CI789" s="20"/>
      <c r="CJ789" s="20" t="str">
        <f>_xlfn.XLOOKUP(CI789, 'Normative data'!$S$9:$S$15, 'Normative data'!$T$9:$T$15, "Not Found", -1)</f>
        <v>not completed</v>
      </c>
      <c r="CK789" s="20" t="s">
        <v>360</v>
      </c>
      <c r="CL789" s="20" t="s">
        <v>451</v>
      </c>
      <c r="CN789" s="20" t="s">
        <v>338</v>
      </c>
      <c r="CO789" s="20" t="s">
        <v>337</v>
      </c>
      <c r="CP789" s="68"/>
      <c r="CQ789" s="68"/>
      <c r="CR789" s="20" t="str" cm="1">
        <f t="array" ref="CR789">IF(OR(ISBLANK(E789),ISBLANK(CQ789)),"Incomplete",_xlfn.XLOOKUP(CQ789,_xlfn.XLOOKUP(E789,'Normative data'!$Y$3:$Y$6,'Normative data'!$Z$3:$AG$6,,-1),'Normative data'!$Z$2:$AG$2,"Not Found",-1))</f>
        <v>Incomplete</v>
      </c>
      <c r="CS789" s="68"/>
      <c r="CT789" s="66"/>
      <c r="CU789" s="20" t="str" cm="1">
        <f t="array" ref="CU789">_xlfn.XLOOKUP(CS789&amp;CT789,(VLOOKUP!$A$3:$A$250)&amp;(VLOOKUP!$B$3:$B$250),VLOOKUP!$C$3:$C$250,"Incomplete",-1)</f>
        <v>Incomplete</v>
      </c>
      <c r="CV789" s="20" t="str" cm="1">
        <f t="array" ref="CV789">_xlfn.XLOOKUP(CU789, _xlfn.XLOOKUP(E789, 'Normative data'!$Y$11:$Y$14, 'Normative data'!$Z$11:$AG$14, ,-1), 'Normative data'!$Z$10:$AG$10, "Not Found", -1)</f>
        <v>Excellent</v>
      </c>
      <c r="CW789" s="20" t="str" cm="1">
        <f t="array" ref="CW789">IF(OR(ISBLANK(CS789),ISBLANK(CT789)),"Incomplete",_xlfn.XLOOKUP(CS789&amp;CT789,VLOOKUP!$A$4:$A$250&amp;VLOOKUP!$B$4:$B$250,VLOOKUP!$D$4:$D$250,"0"))</f>
        <v>Incomplete</v>
      </c>
    </row>
    <row r="790" spans="1:101">
      <c r="A790" s="93" t="s">
        <v>732</v>
      </c>
      <c r="B790" s="93" t="s">
        <v>1447</v>
      </c>
      <c r="C790" s="64" t="s">
        <v>86</v>
      </c>
      <c r="D790" s="96">
        <v>40049</v>
      </c>
      <c r="E790" s="64"/>
      <c r="F790" s="64">
        <v>10</v>
      </c>
      <c r="G790" s="64">
        <v>2025</v>
      </c>
      <c r="H790" s="66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  <c r="AD790" s="66"/>
      <c r="AE790" s="66"/>
      <c r="AF790" s="66"/>
      <c r="AG790" s="66"/>
      <c r="AH790" s="66"/>
      <c r="AI790" s="66"/>
      <c r="AJ790" s="66"/>
      <c r="AK790" s="66"/>
      <c r="AL790" s="66"/>
      <c r="AM790" s="66"/>
      <c r="AN790" s="66"/>
      <c r="AO790" s="66"/>
      <c r="AP790" s="66"/>
      <c r="AQ790" s="20"/>
      <c r="AR790" s="20"/>
      <c r="AS790" s="20"/>
      <c r="AT790" s="20"/>
      <c r="AU790" s="20"/>
      <c r="AV790" s="20"/>
      <c r="AW790" s="20"/>
      <c r="AX790" s="20"/>
      <c r="AY790" s="41" t="str">
        <f t="shared" si="239"/>
        <v>Incomplete</v>
      </c>
      <c r="AZ790" s="66"/>
      <c r="BA790" s="20" t="str">
        <f t="shared" si="240"/>
        <v>Incomplete</v>
      </c>
      <c r="BB790" s="66"/>
      <c r="BC790" s="20" t="str">
        <f t="shared" si="241"/>
        <v>Incomplete</v>
      </c>
      <c r="BD790" s="66"/>
      <c r="BE790" s="20" t="str">
        <f t="shared" si="242"/>
        <v>Incomplete</v>
      </c>
      <c r="BF790" s="66"/>
      <c r="BG790" s="66"/>
      <c r="BH790" s="20"/>
      <c r="BI790" s="20" t="str">
        <f>IF(OR(ISBLANK(BG790), ISBLANK(BH790)),"Incomplete",(SUM(BH790-BG790)))</f>
        <v>Incomplete</v>
      </c>
      <c r="BJ790" s="66"/>
      <c r="BK790" s="66"/>
      <c r="BL790" s="66"/>
      <c r="BM790" s="20"/>
      <c r="BN790" s="66"/>
      <c r="BO790" s="66"/>
      <c r="BP790" s="66"/>
      <c r="BQ790" s="66"/>
      <c r="BR790" s="66"/>
      <c r="BS790" s="66"/>
      <c r="BT790" s="66"/>
      <c r="BU790" s="66"/>
      <c r="BV790" s="66"/>
      <c r="BW790" s="91" t="str">
        <f t="shared" si="243"/>
        <v>Incomplete</v>
      </c>
      <c r="BX790" s="91" t="str">
        <f>_xlfn.XLOOKUP(BW790,'Normative data'!$V$3:$V$6,'Normative data'!$W$3:$W$6,"Not Found",-1)</f>
        <v>Very low risk</v>
      </c>
      <c r="BY790" s="91" t="str">
        <f t="shared" si="244"/>
        <v>Incomplete</v>
      </c>
      <c r="BZ790" s="91" t="str">
        <f>_xlfn.XLOOKUP(BY790,'Normative data'!$V$3:$V$6,'Normative data'!$W$3:$W$6,"Not Found",-1)</f>
        <v>Very low risk</v>
      </c>
      <c r="CA790" s="20"/>
      <c r="CC790" s="20"/>
      <c r="CE790" s="20"/>
      <c r="CF790" s="66"/>
      <c r="CG790" s="20"/>
      <c r="CH790" s="20" t="str">
        <f>_xlfn.XLOOKUP(CG790, 'Normative data'!$S$9:$S$15,'Normative data'!$T$9:$T$15, "Not Found", -1)</f>
        <v>not completed</v>
      </c>
      <c r="CI790" s="20"/>
      <c r="CJ790" s="20" t="str">
        <f>_xlfn.XLOOKUP(CI790, 'Normative data'!$S$9:$S$15, 'Normative data'!$T$9:$T$15, "Not Found", -1)</f>
        <v>not completed</v>
      </c>
      <c r="CK790" s="21">
        <v>2.27</v>
      </c>
      <c r="CL790" s="21">
        <v>4.41</v>
      </c>
      <c r="CM790" s="21"/>
      <c r="CN790" s="21">
        <v>6.07</v>
      </c>
      <c r="CO790" s="21">
        <v>7.46</v>
      </c>
      <c r="CP790" s="109"/>
      <c r="CQ790" s="68"/>
      <c r="CR790" s="20" t="str" cm="1">
        <f t="array" ref="CR790">IF(OR(ISBLANK(E790),ISBLANK(CQ790)),"Incomplete",_xlfn.XLOOKUP(CQ790,_xlfn.XLOOKUP(E790,'Normative data'!$Y$3:$Y$6,'Normative data'!$Z$3:$AG$6,,-1),'Normative data'!$Z$2:$AG$2,"Not Found",-1))</f>
        <v>Incomplete</v>
      </c>
      <c r="CS790" s="68"/>
      <c r="CT790" s="66"/>
      <c r="CU790" s="20" t="str" cm="1">
        <f t="array" ref="CU790">_xlfn.XLOOKUP(CS790&amp;CT790,(VLOOKUP!$A$3:$A$250)&amp;(VLOOKUP!$B$3:$B$250),VLOOKUP!$C$3:$C$250,"Incomplete",-1)</f>
        <v>Incomplete</v>
      </c>
      <c r="CV790" s="20" t="str" cm="1">
        <f t="array" ref="CV790">_xlfn.XLOOKUP(CU790, _xlfn.XLOOKUP(E790, 'Normative data'!$Y$11:$Y$14, 'Normative data'!$Z$11:$AG$14, ,-1), 'Normative data'!$Z$10:$AG$10, "Not Found", -1)</f>
        <v>Excellent</v>
      </c>
      <c r="CW790" s="20" t="str" cm="1">
        <f t="array" ref="CW790">IF(OR(ISBLANK(CS790),ISBLANK(CT790)),"Incomplete",_xlfn.XLOOKUP(CS790&amp;CT790,VLOOKUP!$A$4:$A$250&amp;VLOOKUP!$B$4:$B$250,VLOOKUP!$D$4:$D$250,"0"))</f>
        <v>Incomplete</v>
      </c>
    </row>
    <row r="791" spans="1:101">
      <c r="A791" s="94" t="s">
        <v>1448</v>
      </c>
      <c r="B791" s="94" t="s">
        <v>1449</v>
      </c>
      <c r="C791" s="64" t="s">
        <v>86</v>
      </c>
      <c r="D791" s="97">
        <v>40638</v>
      </c>
      <c r="E791" s="64"/>
      <c r="F791" s="64">
        <v>8</v>
      </c>
      <c r="G791" s="64">
        <v>2025</v>
      </c>
      <c r="H791" s="66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  <c r="AD791" s="66"/>
      <c r="AE791" s="66"/>
      <c r="AF791" s="66"/>
      <c r="AG791" s="66"/>
      <c r="AH791" s="66"/>
      <c r="AI791" s="66"/>
      <c r="AJ791" s="66"/>
      <c r="AK791" s="66"/>
      <c r="AL791" s="66"/>
      <c r="AM791" s="66"/>
      <c r="AN791" s="66"/>
      <c r="AO791" s="66"/>
      <c r="AP791" s="66"/>
      <c r="AQ791" s="20"/>
      <c r="AR791" s="20"/>
      <c r="AS791" s="20"/>
      <c r="AT791" s="20"/>
      <c r="AU791" s="20"/>
      <c r="AV791" s="20"/>
      <c r="AW791" s="20"/>
      <c r="AX791" s="20"/>
      <c r="AY791" s="41" t="str">
        <f t="shared" si="239"/>
        <v>Incomplete</v>
      </c>
      <c r="AZ791" s="66"/>
      <c r="BA791" s="20" t="str">
        <f t="shared" si="240"/>
        <v>Incomplete</v>
      </c>
      <c r="BB791" s="66"/>
      <c r="BC791" s="20" t="str">
        <f t="shared" si="241"/>
        <v>Incomplete</v>
      </c>
      <c r="BD791" s="66"/>
      <c r="BE791" s="20" t="str">
        <f t="shared" si="242"/>
        <v>Incomplete</v>
      </c>
      <c r="BF791" s="66"/>
      <c r="BG791" s="66">
        <v>6.5</v>
      </c>
      <c r="BH791" s="66">
        <v>23.4</v>
      </c>
      <c r="BI791" s="20" t="e">
        <f>IF(OR(ISBLANK(#REF!), ISBLANK(#REF!)),"Incomplete",(SUM(#REF!-#REF!)))</f>
        <v>#REF!</v>
      </c>
      <c r="BJ791" s="66"/>
      <c r="BK791" s="66"/>
      <c r="BL791" s="66"/>
      <c r="BM791" s="20"/>
      <c r="BN791" s="66"/>
      <c r="BO791" s="66"/>
      <c r="BP791" s="66"/>
      <c r="BQ791" s="66"/>
      <c r="BR791" s="66"/>
      <c r="BS791" s="66"/>
      <c r="BT791" s="66"/>
      <c r="BU791" s="66"/>
      <c r="BV791" s="66"/>
      <c r="BW791" s="91" t="str">
        <f t="shared" si="243"/>
        <v>Incomplete</v>
      </c>
      <c r="BX791" s="91" t="str">
        <f>_xlfn.XLOOKUP(BW791,'Normative data'!$V$3:$V$6,'Normative data'!$W$3:$W$6,"Not Found",-1)</f>
        <v>Very low risk</v>
      </c>
      <c r="BY791" s="91" t="str">
        <f t="shared" si="244"/>
        <v>Incomplete</v>
      </c>
      <c r="BZ791" s="91" t="str">
        <f>_xlfn.XLOOKUP(BY791,'Normative data'!$V$3:$V$6,'Normative data'!$W$3:$W$6,"Not Found",-1)</f>
        <v>Very low risk</v>
      </c>
      <c r="CA791" s="66"/>
      <c r="CB791" s="66"/>
      <c r="CC791" s="20"/>
      <c r="CD791" s="66"/>
      <c r="CE791" s="66">
        <v>8</v>
      </c>
      <c r="CF791" s="66"/>
      <c r="CG791" s="66"/>
      <c r="CH791" s="20" t="str">
        <f>_xlfn.XLOOKUP(CG791, 'Normative data'!$S$9:$S$15,'Normative data'!$T$9:$T$15, "Not Found", -1)</f>
        <v>not completed</v>
      </c>
      <c r="CI791" s="66"/>
      <c r="CJ791" s="20" t="str">
        <f>_xlfn.XLOOKUP(CI791, 'Normative data'!$S$9:$S$15, 'Normative data'!$T$9:$T$15, "Not Found", -1)</f>
        <v>not completed</v>
      </c>
      <c r="CK791" s="106">
        <v>2.41</v>
      </c>
      <c r="CL791" s="106">
        <v>4.1500000000000004</v>
      </c>
      <c r="CM791" s="106"/>
      <c r="CN791" s="106">
        <v>7.63</v>
      </c>
      <c r="CO791" s="106">
        <v>6.55</v>
      </c>
      <c r="CP791" s="110"/>
      <c r="CQ791" s="68"/>
      <c r="CR791" s="20" t="str" cm="1">
        <f t="array" ref="CR791">IF(OR(ISBLANK(E791),ISBLANK(CQ791)),"Incomplete",_xlfn.XLOOKUP(CQ791,_xlfn.XLOOKUP(E791,'Normative data'!$Y$3:$Y$6,'Normative data'!$Z$3:$AG$6,,-1),'Normative data'!$Z$2:$AG$2,"Not Found",-1))</f>
        <v>Incomplete</v>
      </c>
      <c r="CS791" s="68"/>
      <c r="CT791" s="66"/>
      <c r="CU791" s="20" t="str" cm="1">
        <f t="array" ref="CU791">_xlfn.XLOOKUP(CS791&amp;CT791,(VLOOKUP!$A$3:$A$250)&amp;(VLOOKUP!$B$3:$B$250),VLOOKUP!$C$3:$C$250,"Incomplete",-1)</f>
        <v>Incomplete</v>
      </c>
      <c r="CV791" s="20" t="str" cm="1">
        <f t="array" ref="CV791">_xlfn.XLOOKUP(CU791, _xlfn.XLOOKUP(E791, 'Normative data'!$Y$11:$Y$14, 'Normative data'!$Z$11:$AG$14, ,-1), 'Normative data'!$Z$10:$AG$10, "Not Found", -1)</f>
        <v>Excellent</v>
      </c>
      <c r="CW791" s="20" t="str" cm="1">
        <f t="array" ref="CW791">IF(OR(ISBLANK(CS791),ISBLANK(CT791)),"Incomplete",_xlfn.XLOOKUP(CS791&amp;CT791,VLOOKUP!$A$4:$A$250&amp;VLOOKUP!$B$4:$B$250,VLOOKUP!$D$4:$D$250,"0"))</f>
        <v>Incomplete</v>
      </c>
    </row>
    <row r="792" spans="1:101">
      <c r="A792" s="93" t="s">
        <v>1434</v>
      </c>
      <c r="B792" s="93" t="s">
        <v>1450</v>
      </c>
      <c r="C792" s="64" t="s">
        <v>86</v>
      </c>
      <c r="D792" s="96">
        <v>39732</v>
      </c>
      <c r="E792" s="64"/>
      <c r="F792" s="64">
        <v>11</v>
      </c>
      <c r="G792" s="64">
        <v>2025</v>
      </c>
      <c r="H792" s="66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  <c r="AD792" s="66"/>
      <c r="AE792" s="66"/>
      <c r="AF792" s="66"/>
      <c r="AG792" s="66"/>
      <c r="AH792" s="66"/>
      <c r="AI792" s="66"/>
      <c r="AJ792" s="66"/>
      <c r="AK792" s="66"/>
      <c r="AL792" s="66"/>
      <c r="AM792" s="66"/>
      <c r="AN792" s="66"/>
      <c r="AO792" s="66"/>
      <c r="AP792" s="66"/>
      <c r="AQ792" s="66"/>
      <c r="AR792" s="66"/>
      <c r="AS792" s="66"/>
      <c r="AT792" s="66"/>
      <c r="AU792" s="66"/>
      <c r="AV792" s="66"/>
      <c r="AW792" s="66"/>
      <c r="AX792" s="66"/>
      <c r="AY792" s="41" t="str">
        <f t="shared" si="239"/>
        <v>Incomplete</v>
      </c>
      <c r="AZ792" s="66"/>
      <c r="BA792" s="20" t="str">
        <f t="shared" si="240"/>
        <v>Incomplete</v>
      </c>
      <c r="BB792" s="66"/>
      <c r="BC792" s="20" t="str">
        <f t="shared" si="241"/>
        <v>Incomplete</v>
      </c>
      <c r="BD792" s="66"/>
      <c r="BE792" s="20" t="str">
        <f t="shared" si="242"/>
        <v>Incomplete</v>
      </c>
      <c r="BF792" s="66"/>
      <c r="BG792" s="66">
        <v>12</v>
      </c>
      <c r="BH792" s="66">
        <v>31</v>
      </c>
      <c r="BI792" s="20" t="e">
        <f>IF(OR(ISBLANK(#REF!), ISBLANK(#REF!)),"Incomplete",(SUM(#REF!-#REF!)))</f>
        <v>#REF!</v>
      </c>
      <c r="BJ792" s="66"/>
      <c r="BK792" s="66"/>
      <c r="BL792" s="66"/>
      <c r="BM792" s="66"/>
      <c r="BN792" s="66"/>
      <c r="BO792" s="66"/>
      <c r="BP792" s="66"/>
      <c r="BQ792" s="66"/>
      <c r="BR792" s="66"/>
      <c r="BS792" s="66"/>
      <c r="BT792" s="66"/>
      <c r="BU792" s="66"/>
      <c r="BV792" s="66"/>
      <c r="BW792" s="91" t="str">
        <f t="shared" si="243"/>
        <v>Incomplete</v>
      </c>
      <c r="BX792" s="91" t="str">
        <f>_xlfn.XLOOKUP(BW792,'Normative data'!$V$3:$V$6,'Normative data'!$W$3:$W$6,"Not Found",-1)</f>
        <v>Very low risk</v>
      </c>
      <c r="BY792" s="91" t="str">
        <f t="shared" si="244"/>
        <v>Incomplete</v>
      </c>
      <c r="BZ792" s="91" t="str">
        <f>_xlfn.XLOOKUP(BY792,'Normative data'!$V$3:$V$6,'Normative data'!$W$3:$W$6,"Not Found",-1)</f>
        <v>Very low risk</v>
      </c>
      <c r="CA792" s="66"/>
      <c r="CB792" s="66"/>
      <c r="CC792" s="20"/>
      <c r="CD792" s="66"/>
      <c r="CE792" s="66"/>
      <c r="CF792" s="66"/>
      <c r="CG792" s="66"/>
      <c r="CH792" s="20" t="str">
        <f>_xlfn.XLOOKUP(CG792, 'Normative data'!$S$9:$S$15,'Normative data'!$T$9:$T$15, "Not Found", -1)</f>
        <v>not completed</v>
      </c>
      <c r="CI792" s="66"/>
      <c r="CJ792" s="20" t="str">
        <f>_xlfn.XLOOKUP(CI792, 'Normative data'!$S$9:$S$15, 'Normative data'!$T$9:$T$15, "Not Found", -1)</f>
        <v>not completed</v>
      </c>
      <c r="CK792" s="21">
        <v>2.21</v>
      </c>
      <c r="CL792" s="21">
        <v>4.5199999999999996</v>
      </c>
      <c r="CM792" s="21"/>
      <c r="CN792" s="21">
        <v>7.47</v>
      </c>
      <c r="CO792" s="21">
        <v>6.69</v>
      </c>
      <c r="CP792" s="109"/>
      <c r="CQ792" s="68"/>
      <c r="CR792" s="20" t="str" cm="1">
        <f t="array" ref="CR792">IF(OR(ISBLANK(E792),ISBLANK(CQ792)),"Incomplete",_xlfn.XLOOKUP(CQ792,_xlfn.XLOOKUP(E792,'Normative data'!$Y$3:$Y$6,'Normative data'!$Z$3:$AG$6,,-1),'Normative data'!$Z$2:$AG$2,"Not Found",-1))</f>
        <v>Incomplete</v>
      </c>
      <c r="CS792" s="68"/>
      <c r="CT792" s="66"/>
      <c r="CU792" s="20" t="str" cm="1">
        <f t="array" ref="CU792">_xlfn.XLOOKUP(CS792&amp;CT792,(VLOOKUP!$A$3:$A$250)&amp;(VLOOKUP!$B$3:$B$250),VLOOKUP!$C$3:$C$250,"Incomplete",-1)</f>
        <v>Incomplete</v>
      </c>
      <c r="CV792" s="20" t="str" cm="1">
        <f t="array" ref="CV792">_xlfn.XLOOKUP(CU792, _xlfn.XLOOKUP(E792, 'Normative data'!$Y$11:$Y$14, 'Normative data'!$Z$11:$AG$14, ,-1), 'Normative data'!$Z$10:$AG$10, "Not Found", -1)</f>
        <v>Excellent</v>
      </c>
      <c r="CW792" s="20" t="str" cm="1">
        <f t="array" ref="CW792">IF(OR(ISBLANK(CS792),ISBLANK(CT792)),"Incomplete",_xlfn.XLOOKUP(CS792&amp;CT792,VLOOKUP!$A$4:$A$250&amp;VLOOKUP!$B$4:$B$250,VLOOKUP!$D$4:$D$250,"0"))</f>
        <v>Incomplete</v>
      </c>
    </row>
    <row r="793" spans="1:101">
      <c r="A793" s="93" t="s">
        <v>1064</v>
      </c>
      <c r="B793" s="93" t="s">
        <v>1063</v>
      </c>
      <c r="C793" s="64" t="s">
        <v>86</v>
      </c>
      <c r="D793" s="96">
        <v>40323</v>
      </c>
      <c r="E793" s="64"/>
      <c r="F793" s="64">
        <v>9</v>
      </c>
      <c r="G793" s="64">
        <v>2025</v>
      </c>
      <c r="H793" s="66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6"/>
      <c r="T793" s="66">
        <v>174.5</v>
      </c>
      <c r="U793" s="66">
        <v>75</v>
      </c>
      <c r="V793" s="66"/>
      <c r="W793" s="66">
        <v>24.5</v>
      </c>
      <c r="X793" s="66">
        <f>SUM(T793-W793)</f>
        <v>150</v>
      </c>
      <c r="Y793" s="66">
        <v>27.7</v>
      </c>
      <c r="Z793" s="66">
        <v>24.6</v>
      </c>
      <c r="AA793" s="66">
        <v>32.6</v>
      </c>
      <c r="AB793" s="66"/>
      <c r="AC793" s="66"/>
      <c r="AD793" s="66"/>
      <c r="AE793" s="66"/>
      <c r="AF793" s="66"/>
      <c r="AG793" s="66"/>
      <c r="AH793" s="66"/>
      <c r="AI793" s="66"/>
      <c r="AJ793" s="66"/>
      <c r="AK793" s="66"/>
      <c r="AL793" s="66"/>
      <c r="AM793" s="66"/>
      <c r="AN793" s="66"/>
      <c r="AO793" s="66"/>
      <c r="AP793" s="66"/>
      <c r="AQ793" s="20"/>
      <c r="AR793" s="20"/>
      <c r="AS793" s="20"/>
      <c r="AT793" s="20"/>
      <c r="AU793" s="20"/>
      <c r="AV793" s="20"/>
      <c r="AW793" s="20"/>
      <c r="AX793" s="20"/>
      <c r="AY793" s="41" t="str">
        <f t="shared" si="239"/>
        <v>Incomplete</v>
      </c>
      <c r="AZ793" s="66"/>
      <c r="BA793" s="20" t="str">
        <f t="shared" si="240"/>
        <v>Incomplete</v>
      </c>
      <c r="BB793" s="66"/>
      <c r="BC793" s="20" t="str">
        <f t="shared" si="241"/>
        <v>Incomplete</v>
      </c>
      <c r="BD793" s="66"/>
      <c r="BE793" s="20" t="str">
        <f t="shared" si="242"/>
        <v>Incomplete</v>
      </c>
      <c r="BF793" s="66"/>
      <c r="BG793" s="66">
        <v>7</v>
      </c>
      <c r="BH793" s="66">
        <v>18</v>
      </c>
      <c r="BI793" s="20" t="e">
        <f>IF(OR(ISBLANK(#REF!), ISBLANK(#REF!)),"Incomplete",(SUM(#REF!-#REF!)))</f>
        <v>#REF!</v>
      </c>
      <c r="BJ793" s="66"/>
      <c r="BK793" s="66">
        <v>11</v>
      </c>
      <c r="BL793" s="66"/>
      <c r="BM793" s="66">
        <v>8</v>
      </c>
      <c r="BN793" s="66"/>
      <c r="BO793" s="66"/>
      <c r="BP793" s="66"/>
      <c r="BQ793" s="66"/>
      <c r="BR793" s="66"/>
      <c r="BS793" s="66"/>
      <c r="BT793" s="66"/>
      <c r="BU793" s="66"/>
      <c r="BV793" s="66"/>
      <c r="BW793" s="91">
        <f t="shared" si="243"/>
        <v>0</v>
      </c>
      <c r="BX793" s="91" t="str">
        <f>_xlfn.XLOOKUP(BW793,'Normative data'!$V$3:$V$6,'Normative data'!$W$3:$W$6,"Not Found",-1)</f>
        <v>Not completed</v>
      </c>
      <c r="BY793" s="91">
        <f t="shared" si="244"/>
        <v>0</v>
      </c>
      <c r="BZ793" s="91" t="str">
        <f>_xlfn.XLOOKUP(BY793,'Normative data'!$V$3:$V$6,'Normative data'!$W$3:$W$6,"Not Found",-1)</f>
        <v>Not completed</v>
      </c>
      <c r="CA793" s="20"/>
      <c r="CC793" s="20"/>
      <c r="CE793" s="20">
        <v>8</v>
      </c>
      <c r="CF793" s="66"/>
      <c r="CG793" s="20"/>
      <c r="CH793" s="20" t="str">
        <f>_xlfn.XLOOKUP(CG793, 'Normative data'!$S$9:$S$15,'Normative data'!$T$9:$T$15, "Not Found", -1)</f>
        <v>not completed</v>
      </c>
      <c r="CI793" s="20"/>
      <c r="CJ793" s="20" t="str">
        <f>_xlfn.XLOOKUP(CI793, 'Normative data'!$S$9:$S$15, 'Normative data'!$T$9:$T$15, "Not Found", -1)</f>
        <v>not completed</v>
      </c>
      <c r="CK793" s="105">
        <v>2.4700000000000002</v>
      </c>
      <c r="CL793" s="105">
        <v>4.05</v>
      </c>
      <c r="CM793" s="105"/>
      <c r="CN793" s="105">
        <v>7.76</v>
      </c>
      <c r="CO793" s="105">
        <v>6.43</v>
      </c>
      <c r="CP793" s="109"/>
      <c r="CQ793" s="68"/>
      <c r="CR793" s="20" t="str" cm="1">
        <f t="array" ref="CR793">IF(OR(ISBLANK(E793),ISBLANK(CQ793)),"Incomplete",_xlfn.XLOOKUP(CQ793,_xlfn.XLOOKUP(E793,'Normative data'!$Y$3:$Y$6,'Normative data'!$Z$3:$AG$6,,-1),'Normative data'!$Z$2:$AG$2,"Not Found",-1))</f>
        <v>Incomplete</v>
      </c>
      <c r="CS793" s="68"/>
      <c r="CT793" s="66"/>
      <c r="CU793" s="20" t="str" cm="1">
        <f t="array" ref="CU793">_xlfn.XLOOKUP(CS793&amp;CT793,(VLOOKUP!$A$3:$A$250)&amp;(VLOOKUP!$B$3:$B$250),VLOOKUP!$C$3:$C$250,"Incomplete",-1)</f>
        <v>Incomplete</v>
      </c>
      <c r="CV793" s="20" t="str" cm="1">
        <f t="array" ref="CV793">_xlfn.XLOOKUP(CU793, _xlfn.XLOOKUP(E793, 'Normative data'!$Y$11:$Y$14, 'Normative data'!$Z$11:$AG$14, ,-1), 'Normative data'!$Z$10:$AG$10, "Not Found", -1)</f>
        <v>Excellent</v>
      </c>
      <c r="CW793" s="20" t="str" cm="1">
        <f t="array" ref="CW793">IF(OR(ISBLANK(CS793),ISBLANK(CT793)),"Incomplete",_xlfn.XLOOKUP(CS793&amp;CT793,VLOOKUP!$A$4:$A$250&amp;VLOOKUP!$B$4:$B$250,VLOOKUP!$D$4:$D$250,"0"))</f>
        <v>Incomplete</v>
      </c>
    </row>
    <row r="794" spans="1:101">
      <c r="A794" s="64" t="s">
        <v>1451</v>
      </c>
      <c r="B794" s="64" t="s">
        <v>1063</v>
      </c>
      <c r="C794" s="64" t="s">
        <v>86</v>
      </c>
      <c r="D794" s="96">
        <v>40323</v>
      </c>
      <c r="E794" s="64"/>
      <c r="F794" s="64"/>
      <c r="G794" s="64">
        <v>2026</v>
      </c>
      <c r="H794" s="66" t="s">
        <v>114</v>
      </c>
      <c r="I794" s="64">
        <v>1</v>
      </c>
      <c r="J794" s="64"/>
      <c r="K794" s="64"/>
      <c r="L794" s="64"/>
      <c r="M794" s="64"/>
      <c r="N794" s="64"/>
      <c r="O794" s="64"/>
      <c r="P794" s="64"/>
      <c r="Q794" s="64"/>
      <c r="R794" s="64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  <c r="AD794" s="66"/>
      <c r="AE794" s="66"/>
      <c r="AF794" s="66"/>
      <c r="AG794" s="66"/>
      <c r="AH794" s="66"/>
      <c r="AI794" s="66"/>
      <c r="AJ794" s="66"/>
      <c r="AK794" s="66"/>
      <c r="AL794" s="66"/>
      <c r="AM794" s="66"/>
      <c r="AN794" s="66"/>
      <c r="AO794" s="66"/>
      <c r="AP794" s="66"/>
      <c r="AQ794" s="20">
        <v>16.899999999999999</v>
      </c>
      <c r="AR794" s="20">
        <v>0.371</v>
      </c>
      <c r="AS794" s="20">
        <v>23.8</v>
      </c>
      <c r="AT794" s="20">
        <v>0.441</v>
      </c>
      <c r="AU794" s="20">
        <v>10.7</v>
      </c>
      <c r="AV794" s="20">
        <v>0.29499999999999998</v>
      </c>
      <c r="AW794" s="20">
        <v>13.3</v>
      </c>
      <c r="AX794" s="20">
        <v>0.32900000000000001</v>
      </c>
      <c r="AY794" s="41" t="str">
        <f t="shared" si="239"/>
        <v>Incomplete</v>
      </c>
      <c r="AZ794" s="66"/>
      <c r="BA794" s="20" t="str">
        <f t="shared" si="240"/>
        <v>Incomplete</v>
      </c>
      <c r="BB794" s="66"/>
      <c r="BC794" s="20" t="str">
        <f t="shared" si="241"/>
        <v>Incomplete</v>
      </c>
      <c r="BD794" s="66"/>
      <c r="BE794" s="20" t="str">
        <f t="shared" si="242"/>
        <v>Incomplete</v>
      </c>
      <c r="BF794" s="66"/>
      <c r="BG794" s="66">
        <v>13</v>
      </c>
      <c r="BH794" s="66" t="s">
        <v>1452</v>
      </c>
      <c r="BI794" s="20" t="e">
        <f>IF(OR(ISBLANK(BG794), ISBLANK(BH794)),"Incomplete",(SUM(BH794-BG794)))</f>
        <v>#VALUE!</v>
      </c>
      <c r="BJ794" s="66"/>
      <c r="BK794" s="66"/>
      <c r="BL794" s="66"/>
      <c r="BM794" s="66"/>
      <c r="BN794" s="66"/>
      <c r="BO794" s="66"/>
      <c r="BP794" s="66"/>
      <c r="BQ794" s="66"/>
      <c r="BR794" s="66"/>
      <c r="BS794" s="66"/>
      <c r="BT794" s="66"/>
      <c r="BU794" s="66"/>
      <c r="BV794" s="66"/>
      <c r="BW794" s="91" t="str">
        <f t="shared" si="243"/>
        <v>Incomplete</v>
      </c>
      <c r="BX794" s="91" t="str">
        <f>_xlfn.XLOOKUP(BW794,'Normative data'!$V$3:$V$6,'Normative data'!$W$3:$W$6,"Not Found",-1)</f>
        <v>Very low risk</v>
      </c>
      <c r="BY794" s="91" t="str">
        <f t="shared" si="244"/>
        <v>Incomplete</v>
      </c>
      <c r="BZ794" s="91" t="str">
        <f>_xlfn.XLOOKUP(BY794,'Normative data'!$V$3:$V$6,'Normative data'!$W$3:$W$6,"Not Found",-1)</f>
        <v>Very low risk</v>
      </c>
      <c r="CA794" s="20"/>
      <c r="CC794" s="20">
        <v>32</v>
      </c>
      <c r="CE794" s="20">
        <v>3</v>
      </c>
      <c r="CF794" s="66"/>
      <c r="CG794" s="66"/>
      <c r="CH794" s="20" t="str">
        <f>_xlfn.XLOOKUP(CG794, 'Normative data'!$S$9:$S$15,'Normative data'!$T$9:$T$15, "Not Found", -1)</f>
        <v>not completed</v>
      </c>
      <c r="CI794" s="66"/>
      <c r="CJ794" s="20" t="str">
        <f>_xlfn.XLOOKUP(CI794, 'Normative data'!$S$9:$S$15, 'Normative data'!$T$9:$T$15, "Not Found", -1)</f>
        <v>not completed</v>
      </c>
      <c r="CK794" s="66" t="s">
        <v>335</v>
      </c>
      <c r="CL794" s="66" t="s">
        <v>336</v>
      </c>
      <c r="CM794" s="66"/>
      <c r="CN794" s="66" t="s">
        <v>369</v>
      </c>
      <c r="CO794" s="66" t="s">
        <v>370</v>
      </c>
      <c r="CP794" s="68"/>
      <c r="CQ794" s="68"/>
      <c r="CR794" s="20" t="str" cm="1">
        <f t="array" ref="CR794">IF(OR(ISBLANK(E794),ISBLANK(CQ794)),"Incomplete",_xlfn.XLOOKUP(CQ794,_xlfn.XLOOKUP(E794,'Normative data'!$Y$3:$Y$6,'Normative data'!$Z$3:$AG$6,,-1),'Normative data'!$Z$2:$AG$2,"Not Found",-1))</f>
        <v>Incomplete</v>
      </c>
      <c r="CS794" s="68"/>
      <c r="CT794" s="66"/>
      <c r="CU794" s="20" t="str" cm="1">
        <f t="array" ref="CU794">_xlfn.XLOOKUP(CS794&amp;CT794,(VLOOKUP!$A$3:$A$250)&amp;(VLOOKUP!$B$3:$B$250),VLOOKUP!$C$3:$C$250,"Incomplete",-1)</f>
        <v>Incomplete</v>
      </c>
      <c r="CV794" s="20" t="str" cm="1">
        <f t="array" ref="CV794">_xlfn.XLOOKUP(CU794, _xlfn.XLOOKUP(E794, 'Normative data'!$Y$11:$Y$14, 'Normative data'!$Z$11:$AG$14, ,-1), 'Normative data'!$Z$10:$AG$10, "Not Found", -1)</f>
        <v>Excellent</v>
      </c>
      <c r="CW794" s="20" t="str" cm="1">
        <f t="array" ref="CW794">IF(OR(ISBLANK(CS794),ISBLANK(CT794)),"Incomplete",_xlfn.XLOOKUP(CS794&amp;CT794,VLOOKUP!$A$4:$A$250&amp;VLOOKUP!$B$4:$B$250,VLOOKUP!$D$4:$D$250,"0"))</f>
        <v>Incomplete</v>
      </c>
    </row>
    <row r="795" spans="1:101">
      <c r="A795" s="64" t="s">
        <v>1451</v>
      </c>
      <c r="B795" s="64" t="s">
        <v>1453</v>
      </c>
      <c r="C795" s="64" t="s">
        <v>86</v>
      </c>
      <c r="D795" s="96">
        <v>40323</v>
      </c>
      <c r="E795" s="64"/>
      <c r="F795" s="64">
        <v>9</v>
      </c>
      <c r="G795" s="64">
        <v>2025</v>
      </c>
      <c r="H795" s="66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  <c r="AD795" s="66"/>
      <c r="AE795" s="66"/>
      <c r="AF795" s="66"/>
      <c r="AG795" s="66"/>
      <c r="AH795" s="66"/>
      <c r="AI795" s="66"/>
      <c r="AJ795" s="66"/>
      <c r="AK795" s="66"/>
      <c r="AL795" s="66"/>
      <c r="AM795" s="66"/>
      <c r="AN795" s="66"/>
      <c r="AO795" s="66"/>
      <c r="AP795" s="66"/>
      <c r="AQ795" s="20"/>
      <c r="AR795" s="20"/>
      <c r="AS795" s="20"/>
      <c r="AT795" s="20"/>
      <c r="AU795" s="20"/>
      <c r="AV795" s="20"/>
      <c r="AW795" s="20"/>
      <c r="AX795" s="20"/>
      <c r="AY795" s="41" t="str">
        <f t="shared" si="239"/>
        <v>Incomplete</v>
      </c>
      <c r="AZ795" s="66"/>
      <c r="BA795" s="20" t="str">
        <f t="shared" si="240"/>
        <v>Incomplete</v>
      </c>
      <c r="BB795" s="66"/>
      <c r="BC795" s="20" t="str">
        <f t="shared" si="241"/>
        <v>Incomplete</v>
      </c>
      <c r="BD795" s="66"/>
      <c r="BE795" s="20" t="str">
        <f t="shared" si="242"/>
        <v>Incomplete</v>
      </c>
      <c r="BF795" s="66"/>
      <c r="BG795" s="66"/>
      <c r="BH795" s="20"/>
      <c r="BI795" s="20" t="str">
        <f>IF(OR(ISBLANK(BG795), ISBLANK(BH795)),"Incomplete",(SUM(BH795-BG795)))</f>
        <v>Incomplete</v>
      </c>
      <c r="BJ795" s="66"/>
      <c r="BK795" s="66"/>
      <c r="BL795" s="66"/>
      <c r="BM795" s="20"/>
      <c r="BN795" s="66"/>
      <c r="BO795" s="66"/>
      <c r="BP795" s="66"/>
      <c r="BQ795" s="66"/>
      <c r="BR795" s="66"/>
      <c r="BS795" s="66"/>
      <c r="BT795" s="66"/>
      <c r="BU795" s="66"/>
      <c r="BV795" s="66"/>
      <c r="BW795" s="91" t="str">
        <f t="shared" si="243"/>
        <v>Incomplete</v>
      </c>
      <c r="BX795" s="91" t="str">
        <f>_xlfn.XLOOKUP(BW795,'Normative data'!$V$3:$V$6,'Normative data'!$W$3:$W$6,"Not Found",-1)</f>
        <v>Very low risk</v>
      </c>
      <c r="BY795" s="91" t="str">
        <f t="shared" si="244"/>
        <v>Incomplete</v>
      </c>
      <c r="BZ795" s="91" t="str">
        <f>_xlfn.XLOOKUP(BY795,'Normative data'!$V$3:$V$6,'Normative data'!$W$3:$W$6,"Not Found",-1)</f>
        <v>Very low risk</v>
      </c>
      <c r="CA795" s="20"/>
      <c r="CC795" s="20"/>
      <c r="CE795" s="20"/>
      <c r="CF795" s="66"/>
      <c r="CG795" s="20"/>
      <c r="CH795" s="20" t="str">
        <f>_xlfn.XLOOKUP(CG795, 'Normative data'!$S$9:$S$15,'Normative data'!$T$9:$T$15, "Not Found", -1)</f>
        <v>not completed</v>
      </c>
      <c r="CI795" s="20"/>
      <c r="CJ795" s="20" t="str">
        <f>_xlfn.XLOOKUP(CI795, 'Normative data'!$S$9:$S$15, 'Normative data'!$T$9:$T$15, "Not Found", -1)</f>
        <v>not completed</v>
      </c>
      <c r="CK795" s="20" t="s">
        <v>971</v>
      </c>
      <c r="CL795" s="20" t="s">
        <v>972</v>
      </c>
      <c r="CN795" s="20" t="s">
        <v>906</v>
      </c>
      <c r="CO795" s="20" t="s">
        <v>907</v>
      </c>
      <c r="CP795" s="68"/>
      <c r="CQ795" s="68"/>
      <c r="CR795" s="20" t="str" cm="1">
        <f t="array" ref="CR795">IF(OR(ISBLANK(E795),ISBLANK(CQ795)),"Incomplete",_xlfn.XLOOKUP(CQ795,_xlfn.XLOOKUP(E795,'Normative data'!$Y$3:$Y$6,'Normative data'!$Z$3:$AG$6,,-1),'Normative data'!$Z$2:$AG$2,"Not Found",-1))</f>
        <v>Incomplete</v>
      </c>
      <c r="CS795" s="68"/>
      <c r="CT795" s="66"/>
      <c r="CU795" s="20" t="str" cm="1">
        <f t="array" ref="CU795">_xlfn.XLOOKUP(CS795&amp;CT795,(VLOOKUP!$A$3:$A$250)&amp;(VLOOKUP!$B$3:$B$250),VLOOKUP!$C$3:$C$250,"Incomplete",-1)</f>
        <v>Incomplete</v>
      </c>
      <c r="CV795" s="20" t="str" cm="1">
        <f t="array" ref="CV795">_xlfn.XLOOKUP(CU795, _xlfn.XLOOKUP(E795, 'Normative data'!$Y$11:$Y$14, 'Normative data'!$Z$11:$AG$14, ,-1), 'Normative data'!$Z$10:$AG$10, "Not Found", -1)</f>
        <v>Excellent</v>
      </c>
      <c r="CW795" s="20" t="str" cm="1">
        <f t="array" ref="CW795">IF(OR(ISBLANK(CS795),ISBLANK(CT795)),"Incomplete",_xlfn.XLOOKUP(CS795&amp;CT795,VLOOKUP!$A$4:$A$250&amp;VLOOKUP!$B$4:$B$250,VLOOKUP!$D$4:$D$250,"0"))</f>
        <v>Incomplete</v>
      </c>
    </row>
    <row r="796" spans="1:101">
      <c r="A796" s="64" t="s">
        <v>1451</v>
      </c>
      <c r="B796" s="64" t="s">
        <v>1453</v>
      </c>
      <c r="C796" s="64" t="s">
        <v>86</v>
      </c>
      <c r="D796" s="96">
        <v>40323</v>
      </c>
      <c r="E796" s="64"/>
      <c r="F796" s="64"/>
      <c r="G796" s="64">
        <v>2025</v>
      </c>
      <c r="H796" s="66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6"/>
      <c r="T796" s="66" t="s">
        <v>1454</v>
      </c>
      <c r="U796" s="66">
        <v>75</v>
      </c>
      <c r="V796" s="66"/>
      <c r="W796" s="66"/>
      <c r="X796" s="66"/>
      <c r="Y796" s="66"/>
      <c r="Z796" s="66"/>
      <c r="AA796" s="66"/>
      <c r="AB796" s="66"/>
      <c r="AC796" s="66"/>
      <c r="AD796" s="66"/>
      <c r="AE796" s="66"/>
      <c r="AF796" s="66"/>
      <c r="AG796" s="66"/>
      <c r="AH796" s="66"/>
      <c r="AI796" s="66"/>
      <c r="AJ796" s="66"/>
      <c r="AK796" s="66"/>
      <c r="AL796" s="66"/>
      <c r="AM796" s="66"/>
      <c r="AN796" s="66"/>
      <c r="AO796" s="66"/>
      <c r="AP796" s="66"/>
      <c r="AQ796" s="20"/>
      <c r="AR796" s="20"/>
      <c r="AS796" s="20" t="s">
        <v>1455</v>
      </c>
      <c r="AT796" s="20" t="s">
        <v>1456</v>
      </c>
      <c r="AU796" s="20" t="s">
        <v>1457</v>
      </c>
      <c r="AV796" s="20" t="s">
        <v>1458</v>
      </c>
      <c r="AW796" s="20" t="s">
        <v>1459</v>
      </c>
      <c r="AX796" s="20" t="s">
        <v>1460</v>
      </c>
      <c r="AY796" s="41" t="str">
        <f>IF(OR(ISBLANK(#REF!), ISBLANK(AQ796)), "Incomplete", (60.7*AQ796)+(45.3*#REF!)-2055)</f>
        <v>Incomplete</v>
      </c>
      <c r="AZ796" s="66"/>
      <c r="BA796" s="20" t="e">
        <f>IF(OR(ISBLANK(#REF!), ISBLANK(AS796)), "Incomplete", (60.7*AS796)+(45.3*#REF!)-2055)</f>
        <v>#VALUE!</v>
      </c>
      <c r="BB796" s="66"/>
      <c r="BC796" s="20" t="e">
        <f>IF(OR(ISBLANK(#REF!), ISBLANK(AU796)), "Incomplete", (60.7*AU796)+(45.3*#REF!)-2055)</f>
        <v>#VALUE!</v>
      </c>
      <c r="BD796" s="66"/>
      <c r="BE796" s="20" t="e">
        <f>IF(OR(ISBLANK(#REF!), ISBLANK(AW796)), "Incomplete", (60.7*AW796)+(45.3*#REF!)-2055)</f>
        <v>#VALUE!</v>
      </c>
      <c r="BF796" s="66"/>
      <c r="BG796" s="66"/>
      <c r="BH796" s="66"/>
      <c r="BI796" s="20" t="str">
        <f>IF(OR(ISBLANK(BG796), ISBLANK(BH796)),"Incomplete",(SUM(BH796-BG796)))</f>
        <v>Incomplete</v>
      </c>
      <c r="BJ796" s="66"/>
      <c r="BK796" s="66"/>
      <c r="BL796" s="66"/>
      <c r="BM796" s="66"/>
      <c r="BN796" s="66"/>
      <c r="BO796" s="66"/>
      <c r="BP796" s="66"/>
      <c r="BQ796" s="66"/>
      <c r="BR796" s="66"/>
      <c r="BS796" s="66"/>
      <c r="BT796" s="66"/>
      <c r="BU796" s="66"/>
      <c r="BV796" s="66"/>
      <c r="BW796" s="91" t="str">
        <f>IFERROR(SUM(BQ796+BR796+BS796)/(3*(#REF!-S796))*100, "Incomplete")</f>
        <v>Incomplete</v>
      </c>
      <c r="BX796" s="91" t="str">
        <f>_xlfn.XLOOKUP(BW796,'Normative data'!$V$3:$V$6,'Normative data'!$W$3:$W$6,"Not Found",-1)</f>
        <v>Very low risk</v>
      </c>
      <c r="BY796" s="91" t="str">
        <f>IFERROR(SUM(BT796+BU796+BV796)/(3*(#REF!-S796))*100, "Incomplete")</f>
        <v>Incomplete</v>
      </c>
      <c r="BZ796" s="91" t="str">
        <f>_xlfn.XLOOKUP(BY796,'Normative data'!$V$3:$V$6,'Normative data'!$W$3:$W$6,"Not Found",-1)</f>
        <v>Very low risk</v>
      </c>
      <c r="CA796" s="66"/>
      <c r="CB796" s="66"/>
      <c r="CC796" s="20"/>
      <c r="CD796" s="66"/>
      <c r="CE796" s="66"/>
      <c r="CF796" s="66"/>
      <c r="CG796" s="66"/>
      <c r="CH796" s="20" t="str">
        <f>_xlfn.XLOOKUP(CG796, 'Normative data'!$S$9:$S$15,'Normative data'!$T$9:$T$15, "Not Found", -1)</f>
        <v>not completed</v>
      </c>
      <c r="CI796" s="66"/>
      <c r="CJ796" s="20" t="str">
        <f>_xlfn.XLOOKUP(CI796, 'Normative data'!$S$9:$S$15, 'Normative data'!$T$9:$T$15, "Not Found", -1)</f>
        <v>not completed</v>
      </c>
      <c r="CK796" s="66" t="s">
        <v>335</v>
      </c>
      <c r="CL796" s="66" t="s">
        <v>336</v>
      </c>
      <c r="CM796" s="66"/>
      <c r="CN796" s="66" t="s">
        <v>369</v>
      </c>
      <c r="CO796" s="66" t="s">
        <v>370</v>
      </c>
      <c r="CP796" s="68"/>
      <c r="CQ796" s="68"/>
      <c r="CR796" s="20" t="str" cm="1">
        <f t="array" ref="CR796">IF(OR(ISBLANK(E796),ISBLANK(CQ796)),"Incomplete",_xlfn.XLOOKUP(CQ796,_xlfn.XLOOKUP(E796,'Normative data'!$Y$3:$Y$6,'Normative data'!$Z$3:$AG$6,,-1),'Normative data'!$Z$2:$AG$2,"Not Found",-1))</f>
        <v>Incomplete</v>
      </c>
      <c r="CS796" s="68"/>
      <c r="CT796" s="66"/>
      <c r="CU796" s="20" t="str" cm="1">
        <f t="array" ref="CU796">_xlfn.XLOOKUP(CS796&amp;CT796,(VLOOKUP!$A$3:$A$250)&amp;(VLOOKUP!$B$3:$B$250),VLOOKUP!$C$3:$C$250,"Incomplete",-1)</f>
        <v>Incomplete</v>
      </c>
      <c r="CV796" s="20" t="str" cm="1">
        <f t="array" ref="CV796">_xlfn.XLOOKUP(CU796, _xlfn.XLOOKUP(E796, 'Normative data'!$Y$11:$Y$14, 'Normative data'!$Z$11:$AG$14, ,-1), 'Normative data'!$Z$10:$AG$10, "Not Found", -1)</f>
        <v>Excellent</v>
      </c>
      <c r="CW796" s="20" t="str" cm="1">
        <f t="array" ref="CW796">IF(OR(ISBLANK(CS796),ISBLANK(CT796)),"Incomplete",_xlfn.XLOOKUP(CS796&amp;CT796,VLOOKUP!$A$4:$A$250&amp;VLOOKUP!$B$4:$B$250,VLOOKUP!$D$4:$D$250,"0"))</f>
        <v>Incomplete</v>
      </c>
    </row>
    <row r="797" spans="1:101">
      <c r="A797" s="64" t="s">
        <v>1451</v>
      </c>
      <c r="B797" s="64" t="s">
        <v>1453</v>
      </c>
      <c r="C797" s="64" t="s">
        <v>86</v>
      </c>
      <c r="D797" s="96">
        <v>40323</v>
      </c>
      <c r="E797" s="64"/>
      <c r="F797" s="64"/>
      <c r="G797" s="64">
        <v>2026</v>
      </c>
      <c r="H797" s="66" t="s">
        <v>114</v>
      </c>
      <c r="I797" s="64">
        <v>1</v>
      </c>
      <c r="J797" s="64"/>
      <c r="K797" s="64"/>
      <c r="L797" s="64"/>
      <c r="M797" s="64"/>
      <c r="N797" s="64"/>
      <c r="O797" s="64"/>
      <c r="P797" s="64"/>
      <c r="Q797" s="64"/>
      <c r="R797" s="64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  <c r="AD797" s="66"/>
      <c r="AE797" s="66"/>
      <c r="AF797" s="66"/>
      <c r="AG797" s="66"/>
      <c r="AH797" s="66"/>
      <c r="AI797" s="66"/>
      <c r="AJ797" s="66"/>
      <c r="AK797" s="66"/>
      <c r="AL797" s="66"/>
      <c r="AM797" s="66"/>
      <c r="AN797" s="66"/>
      <c r="AO797" s="66"/>
      <c r="AP797" s="66"/>
      <c r="AQ797" s="66">
        <v>14.8</v>
      </c>
      <c r="AR797" s="66">
        <v>0.34699999999999998</v>
      </c>
      <c r="AS797" s="66">
        <v>19</v>
      </c>
      <c r="AT797" s="66">
        <v>0.39400000000000002</v>
      </c>
      <c r="AU797" s="66">
        <v>7.3</v>
      </c>
      <c r="AV797" s="66">
        <v>0.24399999999999999</v>
      </c>
      <c r="AW797" s="66">
        <v>11.9</v>
      </c>
      <c r="AX797" s="66">
        <v>0.312</v>
      </c>
      <c r="AY797" s="41" t="str">
        <f t="shared" ref="AY797:AY812" si="246">IF(OR(ISBLANK(U797), ISBLANK(AQ797)), "Incomplete", (60.7*AQ797)+(45.3*U797)-2055)</f>
        <v>Incomplete</v>
      </c>
      <c r="AZ797" s="66"/>
      <c r="BA797" s="20" t="str">
        <f t="shared" ref="BA797:BA812" si="247">IF(OR(ISBLANK(U797), ISBLANK(AS797)), "Incomplete", (60.7*AS797)+(45.3*U797)-2055)</f>
        <v>Incomplete</v>
      </c>
      <c r="BB797" s="66"/>
      <c r="BC797" s="20" t="str">
        <f t="shared" ref="BC797:BC812" si="248">IF(OR(ISBLANK(U797), ISBLANK(AU797)), "Incomplete", (60.7*AU797)+(45.3*U797)-2055)</f>
        <v>Incomplete</v>
      </c>
      <c r="BD797" s="66"/>
      <c r="BE797" s="20" t="str">
        <f t="shared" ref="BE797:BE812" si="249">IF(OR(ISBLANK(U797), ISBLANK(AW797)), "Incomplete", (60.7*AW797)+(45.3*U797)-2055)</f>
        <v>Incomplete</v>
      </c>
      <c r="BF797" s="66"/>
      <c r="BG797" s="66">
        <v>11</v>
      </c>
      <c r="BH797" s="66">
        <v>42.5</v>
      </c>
      <c r="BI797" s="20">
        <f>IF(OR(ISBLANK(BG797), ISBLANK(BH797)),"Incomplete",(SUM(BH797-BG797)))</f>
        <v>31.5</v>
      </c>
      <c r="BJ797" s="66"/>
      <c r="BK797" s="66"/>
      <c r="BL797" s="66"/>
      <c r="BM797" s="66"/>
      <c r="BN797" s="66"/>
      <c r="BO797" s="66"/>
      <c r="BP797" s="66"/>
      <c r="BQ797" s="66"/>
      <c r="BR797" s="66"/>
      <c r="BS797" s="66"/>
      <c r="BT797" s="66"/>
      <c r="BU797" s="66"/>
      <c r="BV797" s="66"/>
      <c r="BW797" s="91" t="str">
        <f t="shared" ref="BW797:BW812" si="250">IFERROR(SUM(BQ797+BR797+BS797)/(3*(T797-S797))*100, "Incomplete")</f>
        <v>Incomplete</v>
      </c>
      <c r="BX797" s="91" t="str">
        <f>_xlfn.XLOOKUP(BW797,'Normative data'!$V$3:$V$6,'Normative data'!$W$3:$W$6,"Not Found",-1)</f>
        <v>Very low risk</v>
      </c>
      <c r="BY797" s="91" t="str">
        <f t="shared" ref="BY797:BY812" si="251">IFERROR(SUM(BT797+BU797+BV797)/(3*(T797-S797))*100, "Incomplete")</f>
        <v>Incomplete</v>
      </c>
      <c r="BZ797" s="91" t="str">
        <f>_xlfn.XLOOKUP(BY797,'Normative data'!$V$3:$V$6,'Normative data'!$W$3:$W$6,"Not Found",-1)</f>
        <v>Very low risk</v>
      </c>
      <c r="CA797" s="66"/>
      <c r="CB797" s="66"/>
      <c r="CC797" s="20">
        <v>28</v>
      </c>
      <c r="CD797" s="66"/>
      <c r="CE797" s="66">
        <v>1</v>
      </c>
      <c r="CF797" s="66"/>
      <c r="CG797" s="66"/>
      <c r="CH797" s="20" t="str">
        <f>_xlfn.XLOOKUP(CG797, 'Normative data'!$S$9:$S$15,'Normative data'!$T$9:$T$15, "Not Found", -1)</f>
        <v>not completed</v>
      </c>
      <c r="CI797" s="66"/>
      <c r="CJ797" s="20" t="str">
        <f>_xlfn.XLOOKUP(CI797, 'Normative data'!$S$9:$S$15, 'Normative data'!$T$9:$T$15, "Not Found", -1)</f>
        <v>not completed</v>
      </c>
      <c r="CK797" s="20">
        <v>2.4700000000000002</v>
      </c>
      <c r="CL797" s="20">
        <v>4.05</v>
      </c>
      <c r="CN797" s="20">
        <v>7.99</v>
      </c>
      <c r="CO797" s="20">
        <v>6.29</v>
      </c>
      <c r="CP797" s="68"/>
      <c r="CQ797" s="68">
        <v>4.2</v>
      </c>
      <c r="CR797" s="20" t="str" cm="1">
        <f t="array" ref="CR797">IF(OR(ISBLANK(E797),ISBLANK(CQ797)),"Incomplete",_xlfn.XLOOKUP(CQ797,_xlfn.XLOOKUP(E797,'Normative data'!$Y$3:$Y$6,'Normative data'!$Z$3:$AG$6,,-1),'Normative data'!$Z$2:$AG$2,"Not Found",-1))</f>
        <v>Incomplete</v>
      </c>
      <c r="CS797" s="68">
        <v>4</v>
      </c>
      <c r="CT797" s="66">
        <v>2</v>
      </c>
      <c r="CU797" s="20" cm="1">
        <f t="array" ref="CU797">_xlfn.XLOOKUP(CS797&amp;CT797,(VLOOKUP!$A$3:$A$250)&amp;(VLOOKUP!$B$3:$B$250),VLOOKUP!$C$3:$C$250,"Incomplete",-1)</f>
        <v>500</v>
      </c>
      <c r="CV797" s="20" t="str" cm="1">
        <f t="array" ref="CV797">_xlfn.XLOOKUP(CU797, _xlfn.XLOOKUP(E797, 'Normative data'!$Y$11:$Y$14, 'Normative data'!$Z$11:$AG$14, ,-1), 'Normative data'!$Z$10:$AG$10, "Not Found", -1)</f>
        <v xml:space="preserve">Very poor </v>
      </c>
      <c r="CW797" s="20" cm="1">
        <f t="array" ref="CW797">IF(OR(ISBLANK(CS797),ISBLANK(CT797)),"Incomplete",_xlfn.XLOOKUP(CS797&amp;CT797,VLOOKUP!$A$4:$A$250&amp;VLOOKUP!$B$4:$B$250,VLOOKUP!$D$4:$D$250,"0"))</f>
        <v>27</v>
      </c>
    </row>
    <row r="798" spans="1:101">
      <c r="A798" s="94" t="s">
        <v>255</v>
      </c>
      <c r="B798" s="94" t="s">
        <v>254</v>
      </c>
      <c r="C798" s="64" t="s">
        <v>86</v>
      </c>
      <c r="D798" s="97">
        <v>40734</v>
      </c>
      <c r="E798" s="64"/>
      <c r="F798" s="64">
        <v>8</v>
      </c>
      <c r="G798" s="64">
        <v>2025</v>
      </c>
      <c r="H798" s="66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  <c r="AD798" s="66"/>
      <c r="AE798" s="66"/>
      <c r="AF798" s="66"/>
      <c r="AG798" s="66"/>
      <c r="AH798" s="66"/>
      <c r="AI798" s="66"/>
      <c r="AJ798" s="66"/>
      <c r="AK798" s="66"/>
      <c r="AL798" s="66"/>
      <c r="AM798" s="66"/>
      <c r="AN798" s="66"/>
      <c r="AO798" s="66"/>
      <c r="AP798" s="66"/>
      <c r="AQ798" s="66"/>
      <c r="AR798" s="66"/>
      <c r="AS798" s="66"/>
      <c r="AT798" s="66"/>
      <c r="AU798" s="66"/>
      <c r="AV798" s="66"/>
      <c r="AW798" s="66"/>
      <c r="AX798" s="66"/>
      <c r="AY798" s="41" t="str">
        <f t="shared" si="246"/>
        <v>Incomplete</v>
      </c>
      <c r="AZ798" s="66"/>
      <c r="BA798" s="20" t="str">
        <f t="shared" si="247"/>
        <v>Incomplete</v>
      </c>
      <c r="BB798" s="66"/>
      <c r="BC798" s="20" t="str">
        <f t="shared" si="248"/>
        <v>Incomplete</v>
      </c>
      <c r="BD798" s="66"/>
      <c r="BE798" s="20" t="str">
        <f t="shared" si="249"/>
        <v>Incomplete</v>
      </c>
      <c r="BF798" s="66"/>
      <c r="BG798" s="66">
        <v>13</v>
      </c>
      <c r="BH798" s="66">
        <v>53.4</v>
      </c>
      <c r="BI798" s="20" t="e">
        <f>IF(OR(ISBLANK(#REF!), ISBLANK(#REF!)),"Incomplete",(SUM(#REF!-#REF!)))</f>
        <v>#REF!</v>
      </c>
      <c r="BJ798" s="66"/>
      <c r="BK798" s="66"/>
      <c r="BL798" s="66"/>
      <c r="BM798" s="66"/>
      <c r="BN798" s="66"/>
      <c r="BO798" s="66"/>
      <c r="BP798" s="66"/>
      <c r="BQ798" s="66"/>
      <c r="BR798" s="66"/>
      <c r="BS798" s="66"/>
      <c r="BT798" s="66"/>
      <c r="BU798" s="66"/>
      <c r="BV798" s="66"/>
      <c r="BW798" s="91" t="str">
        <f t="shared" si="250"/>
        <v>Incomplete</v>
      </c>
      <c r="BX798" s="91" t="str">
        <f>_xlfn.XLOOKUP(BW798,'Normative data'!$V$3:$V$6,'Normative data'!$W$3:$W$6,"Not Found",-1)</f>
        <v>Very low risk</v>
      </c>
      <c r="BY798" s="91" t="str">
        <f t="shared" si="251"/>
        <v>Incomplete</v>
      </c>
      <c r="BZ798" s="91" t="str">
        <f>_xlfn.XLOOKUP(BY798,'Normative data'!$V$3:$V$6,'Normative data'!$W$3:$W$6,"Not Found",-1)</f>
        <v>Very low risk</v>
      </c>
      <c r="CA798" s="66"/>
      <c r="CB798" s="66"/>
      <c r="CC798" s="20"/>
      <c r="CD798" s="66"/>
      <c r="CE798" s="66">
        <v>14</v>
      </c>
      <c r="CF798" s="66"/>
      <c r="CG798" s="66"/>
      <c r="CH798" s="20" t="str">
        <f>_xlfn.XLOOKUP(CG798, 'Normative data'!$S$9:$S$15,'Normative data'!$T$9:$T$15, "Not Found", -1)</f>
        <v>not completed</v>
      </c>
      <c r="CI798" s="66"/>
      <c r="CJ798" s="20" t="str">
        <f>_xlfn.XLOOKUP(CI798, 'Normative data'!$S$9:$S$15, 'Normative data'!$T$9:$T$15, "Not Found", -1)</f>
        <v>not completed</v>
      </c>
      <c r="CK798" s="106">
        <v>2.09</v>
      </c>
      <c r="CL798" s="106">
        <v>4.79</v>
      </c>
      <c r="CM798" s="106"/>
      <c r="CN798" s="106">
        <v>6.76</v>
      </c>
      <c r="CO798" s="106">
        <v>7.4</v>
      </c>
      <c r="CP798" s="110"/>
      <c r="CQ798" s="68"/>
      <c r="CR798" s="20" t="str" cm="1">
        <f t="array" ref="CR798">IF(OR(ISBLANK(E798),ISBLANK(CQ798)),"Incomplete",_xlfn.XLOOKUP(CQ798,_xlfn.XLOOKUP(E798,'Normative data'!$Y$3:$Y$6,'Normative data'!$Z$3:$AG$6,,-1),'Normative data'!$Z$2:$AG$2,"Not Found",-1))</f>
        <v>Incomplete</v>
      </c>
      <c r="CS798" s="68"/>
      <c r="CT798" s="66"/>
      <c r="CU798" s="20" t="str" cm="1">
        <f t="array" ref="CU798">_xlfn.XLOOKUP(CS798&amp;CT798,(VLOOKUP!$A$3:$A$250)&amp;(VLOOKUP!$B$3:$B$250),VLOOKUP!$C$3:$C$250,"Incomplete",-1)</f>
        <v>Incomplete</v>
      </c>
      <c r="CV798" s="20" t="str" cm="1">
        <f t="array" ref="CV798">_xlfn.XLOOKUP(CU798, _xlfn.XLOOKUP(E798, 'Normative data'!$Y$11:$Y$14, 'Normative data'!$Z$11:$AG$14, ,-1), 'Normative data'!$Z$10:$AG$10, "Not Found", -1)</f>
        <v>Excellent</v>
      </c>
      <c r="CW798" s="20" t="str" cm="1">
        <f t="array" ref="CW798">IF(OR(ISBLANK(CS798),ISBLANK(CT798)),"Incomplete",_xlfn.XLOOKUP(CS798&amp;CT798,VLOOKUP!$A$4:$A$250&amp;VLOOKUP!$B$4:$B$250,VLOOKUP!$D$4:$D$250,"0"))</f>
        <v>Incomplete</v>
      </c>
    </row>
    <row r="799" spans="1:101">
      <c r="A799" s="93" t="s">
        <v>1126</v>
      </c>
      <c r="B799" s="93" t="s">
        <v>254</v>
      </c>
      <c r="C799" s="64" t="s">
        <v>86</v>
      </c>
      <c r="D799" s="96"/>
      <c r="E799" s="64"/>
      <c r="F799" s="64">
        <v>8</v>
      </c>
      <c r="G799" s="64">
        <v>2025</v>
      </c>
      <c r="H799" s="66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  <c r="AD799" s="66"/>
      <c r="AE799" s="66"/>
      <c r="AF799" s="66"/>
      <c r="AG799" s="66"/>
      <c r="AH799" s="66"/>
      <c r="AI799" s="66"/>
      <c r="AJ799" s="66"/>
      <c r="AK799" s="66"/>
      <c r="AL799" s="66"/>
      <c r="AM799" s="66"/>
      <c r="AN799" s="66"/>
      <c r="AO799" s="66"/>
      <c r="AP799" s="66"/>
      <c r="AQ799" s="20"/>
      <c r="AR799" s="20"/>
      <c r="AS799" s="20"/>
      <c r="AT799" s="20"/>
      <c r="AU799" s="20"/>
      <c r="AV799" s="20"/>
      <c r="AW799" s="20"/>
      <c r="AX799" s="20"/>
      <c r="AY799" s="41" t="str">
        <f t="shared" si="246"/>
        <v>Incomplete</v>
      </c>
      <c r="AZ799" s="66"/>
      <c r="BA799" s="20" t="str">
        <f t="shared" si="247"/>
        <v>Incomplete</v>
      </c>
      <c r="BB799" s="66"/>
      <c r="BC799" s="20" t="str">
        <f t="shared" si="248"/>
        <v>Incomplete</v>
      </c>
      <c r="BD799" s="66"/>
      <c r="BE799" s="20" t="str">
        <f t="shared" si="249"/>
        <v>Incomplete</v>
      </c>
      <c r="BF799" s="66"/>
      <c r="BG799" s="66">
        <v>15</v>
      </c>
      <c r="BH799" s="66">
        <v>46</v>
      </c>
      <c r="BI799" s="20">
        <f>IF(OR(ISBLANK(BG799), ISBLANK(BH799)),"Incomplete",(SUM(BH799-BG799)))</f>
        <v>31</v>
      </c>
      <c r="BJ799" s="66"/>
      <c r="BK799" s="66">
        <v>5</v>
      </c>
      <c r="BL799" s="66"/>
      <c r="BM799" s="20">
        <v>6</v>
      </c>
      <c r="BN799" s="66"/>
      <c r="BO799" s="66"/>
      <c r="BP799" s="66"/>
      <c r="BQ799" s="66"/>
      <c r="BR799" s="66"/>
      <c r="BS799" s="66"/>
      <c r="BT799" s="66"/>
      <c r="BU799" s="66"/>
      <c r="BV799" s="66"/>
      <c r="BW799" s="91" t="str">
        <f t="shared" si="250"/>
        <v>Incomplete</v>
      </c>
      <c r="BX799" s="91" t="str">
        <f>_xlfn.XLOOKUP(BW799,'Normative data'!$V$3:$V$6,'Normative data'!$W$3:$W$6,"Not Found",-1)</f>
        <v>Very low risk</v>
      </c>
      <c r="BY799" s="91" t="str">
        <f t="shared" si="251"/>
        <v>Incomplete</v>
      </c>
      <c r="BZ799" s="91" t="str">
        <f>_xlfn.XLOOKUP(BY799,'Normative data'!$V$3:$V$6,'Normative data'!$W$3:$W$6,"Not Found",-1)</f>
        <v>Very low risk</v>
      </c>
      <c r="CA799" s="66"/>
      <c r="CB799" s="66"/>
      <c r="CC799" s="20"/>
      <c r="CD799" s="66"/>
      <c r="CE799" s="66">
        <v>14</v>
      </c>
      <c r="CF799" s="66"/>
      <c r="CG799" s="66"/>
      <c r="CH799" s="20" t="str">
        <f>_xlfn.XLOOKUP(CG799, 'Normative data'!$S$9:$S$15,'Normative data'!$T$9:$T$15, "Not Found", -1)</f>
        <v>not completed</v>
      </c>
      <c r="CI799" s="66"/>
      <c r="CJ799" s="20" t="str">
        <f>_xlfn.XLOOKUP(CI799, 'Normative data'!$S$9:$S$15, 'Normative data'!$T$9:$T$15, "Not Found", -1)</f>
        <v>not completed</v>
      </c>
      <c r="CK799" s="105"/>
      <c r="CL799" s="105"/>
      <c r="CM799" s="105"/>
      <c r="CN799" s="105"/>
      <c r="CO799" s="105"/>
      <c r="CP799" s="109"/>
      <c r="CQ799" s="68"/>
      <c r="CR799" s="20" t="str" cm="1">
        <f t="array" ref="CR799">IF(OR(ISBLANK(E799),ISBLANK(CQ799)),"Incomplete",_xlfn.XLOOKUP(CQ799,_xlfn.XLOOKUP(E799,'Normative data'!$Y$3:$Y$6,'Normative data'!$Z$3:$AG$6,,-1),'Normative data'!$Z$2:$AG$2,"Not Found",-1))</f>
        <v>Incomplete</v>
      </c>
      <c r="CS799" s="68"/>
      <c r="CT799" s="66"/>
      <c r="CU799" s="20" t="str" cm="1">
        <f t="array" ref="CU799">_xlfn.XLOOKUP(CS799&amp;CT799,(VLOOKUP!$A$3:$A$250)&amp;(VLOOKUP!$B$3:$B$250),VLOOKUP!$C$3:$C$250,"Incomplete",-1)</f>
        <v>Incomplete</v>
      </c>
      <c r="CV799" s="20" t="str" cm="1">
        <f t="array" ref="CV799">_xlfn.XLOOKUP(CU799, _xlfn.XLOOKUP(E799, 'Normative data'!$Y$11:$Y$14, 'Normative data'!$Z$11:$AG$14, ,-1), 'Normative data'!$Z$10:$AG$10, "Not Found", -1)</f>
        <v>Excellent</v>
      </c>
      <c r="CW799" s="20" t="str" cm="1">
        <f t="array" ref="CW799">IF(OR(ISBLANK(CS799),ISBLANK(CT799)),"Incomplete",_xlfn.XLOOKUP(CS799&amp;CT799,VLOOKUP!$A$4:$A$250&amp;VLOOKUP!$B$4:$B$250,VLOOKUP!$D$4:$D$250,"0"))</f>
        <v>Incomplete</v>
      </c>
    </row>
    <row r="800" spans="1:101">
      <c r="A800" s="94" t="s">
        <v>216</v>
      </c>
      <c r="B800" s="94" t="s">
        <v>221</v>
      </c>
      <c r="C800" s="64" t="s">
        <v>86</v>
      </c>
      <c r="D800" s="97">
        <v>40252</v>
      </c>
      <c r="E800" s="64"/>
      <c r="F800" s="64">
        <v>9</v>
      </c>
      <c r="G800" s="64">
        <v>2025</v>
      </c>
      <c r="H800" s="66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  <c r="AD800" s="66"/>
      <c r="AE800" s="66"/>
      <c r="AF800" s="66"/>
      <c r="AG800" s="66"/>
      <c r="AH800" s="66"/>
      <c r="AI800" s="66"/>
      <c r="AJ800" s="66"/>
      <c r="AK800" s="66"/>
      <c r="AL800" s="66"/>
      <c r="AM800" s="66"/>
      <c r="AN800" s="66"/>
      <c r="AO800" s="66"/>
      <c r="AP800" s="66"/>
      <c r="AQ800" s="20"/>
      <c r="AR800" s="20"/>
      <c r="AS800" s="20"/>
      <c r="AT800" s="20"/>
      <c r="AU800" s="20"/>
      <c r="AV800" s="20"/>
      <c r="AW800" s="20"/>
      <c r="AX800" s="20"/>
      <c r="AY800" s="41" t="str">
        <f t="shared" si="246"/>
        <v>Incomplete</v>
      </c>
      <c r="AZ800" s="66"/>
      <c r="BA800" s="20" t="str">
        <f t="shared" si="247"/>
        <v>Incomplete</v>
      </c>
      <c r="BB800" s="66"/>
      <c r="BC800" s="20" t="str">
        <f t="shared" si="248"/>
        <v>Incomplete</v>
      </c>
      <c r="BD800" s="66"/>
      <c r="BE800" s="20" t="str">
        <f t="shared" si="249"/>
        <v>Incomplete</v>
      </c>
      <c r="BF800" s="66"/>
      <c r="BG800" s="66">
        <v>12</v>
      </c>
      <c r="BH800" s="66">
        <v>27</v>
      </c>
      <c r="BI800" s="20" t="e">
        <f>IF(OR(ISBLANK(#REF!), ISBLANK(#REF!)),"Incomplete",(SUM(#REF!-#REF!)))</f>
        <v>#REF!</v>
      </c>
      <c r="BJ800" s="66"/>
      <c r="BK800" s="66"/>
      <c r="BL800" s="66"/>
      <c r="BM800" s="66"/>
      <c r="BN800" s="66"/>
      <c r="BO800" s="66"/>
      <c r="BP800" s="66"/>
      <c r="BQ800" s="66"/>
      <c r="BR800" s="66"/>
      <c r="BS800" s="66"/>
      <c r="BT800" s="66"/>
      <c r="BU800" s="66"/>
      <c r="BV800" s="66"/>
      <c r="BW800" s="91" t="str">
        <f t="shared" si="250"/>
        <v>Incomplete</v>
      </c>
      <c r="BX800" s="91" t="str">
        <f>_xlfn.XLOOKUP(BW800,'Normative data'!$V$3:$V$6,'Normative data'!$W$3:$W$6,"Not Found",-1)</f>
        <v>Very low risk</v>
      </c>
      <c r="BY800" s="91" t="str">
        <f t="shared" si="251"/>
        <v>Incomplete</v>
      </c>
      <c r="BZ800" s="91" t="str">
        <f>_xlfn.XLOOKUP(BY800,'Normative data'!$V$3:$V$6,'Normative data'!$W$3:$W$6,"Not Found",-1)</f>
        <v>Very low risk</v>
      </c>
      <c r="CA800" s="20"/>
      <c r="CC800" s="20"/>
      <c r="CE800" s="20"/>
      <c r="CF800" s="66"/>
      <c r="CG800" s="20"/>
      <c r="CH800" s="20" t="str">
        <f>_xlfn.XLOOKUP(CG800, 'Normative data'!$S$9:$S$15,'Normative data'!$T$9:$T$15, "Not Found", -1)</f>
        <v>not completed</v>
      </c>
      <c r="CI800" s="20"/>
      <c r="CJ800" s="20" t="str">
        <f>_xlfn.XLOOKUP(CI800, 'Normative data'!$S$9:$S$15, 'Normative data'!$T$9:$T$15, "Not Found", -1)</f>
        <v>not completed</v>
      </c>
      <c r="CK800" s="25">
        <v>2.5499999999999998</v>
      </c>
      <c r="CL800" s="25">
        <v>3.92</v>
      </c>
      <c r="CM800" s="25"/>
      <c r="CN800" s="25">
        <v>7.97</v>
      </c>
      <c r="CO800" s="25">
        <v>6.27</v>
      </c>
      <c r="CP800" s="111"/>
      <c r="CQ800" s="68"/>
      <c r="CR800" s="20" t="str" cm="1">
        <f t="array" ref="CR800">IF(OR(ISBLANK(E800),ISBLANK(CQ800)),"Incomplete",_xlfn.XLOOKUP(CQ800,_xlfn.XLOOKUP(E800,'Normative data'!$Y$3:$Y$6,'Normative data'!$Z$3:$AG$6,,-1),'Normative data'!$Z$2:$AG$2,"Not Found",-1))</f>
        <v>Incomplete</v>
      </c>
      <c r="CS800" s="68"/>
      <c r="CT800" s="66"/>
      <c r="CU800" s="20" t="str" cm="1">
        <f t="array" ref="CU800">_xlfn.XLOOKUP(CS800&amp;CT800,(VLOOKUP!$A$3:$A$250)&amp;(VLOOKUP!$B$3:$B$250),VLOOKUP!$C$3:$C$250,"Incomplete",-1)</f>
        <v>Incomplete</v>
      </c>
      <c r="CV800" s="20" t="str" cm="1">
        <f t="array" ref="CV800">_xlfn.XLOOKUP(CU800, _xlfn.XLOOKUP(E800, 'Normative data'!$Y$11:$Y$14, 'Normative data'!$Z$11:$AG$14, ,-1), 'Normative data'!$Z$10:$AG$10, "Not Found", -1)</f>
        <v>Excellent</v>
      </c>
      <c r="CW800" s="20" t="str" cm="1">
        <f t="array" ref="CW800">IF(OR(ISBLANK(CS800),ISBLANK(CT800)),"Incomplete",_xlfn.XLOOKUP(CS800&amp;CT800,VLOOKUP!$A$4:$A$250&amp;VLOOKUP!$B$4:$B$250,VLOOKUP!$D$4:$D$250,"0"))</f>
        <v>Incomplete</v>
      </c>
    </row>
    <row r="801" spans="1:101">
      <c r="A801" s="94" t="s">
        <v>1461</v>
      </c>
      <c r="B801" s="94" t="s">
        <v>1462</v>
      </c>
      <c r="C801" s="64" t="s">
        <v>86</v>
      </c>
      <c r="D801" s="97">
        <v>40505</v>
      </c>
      <c r="E801" s="64"/>
      <c r="F801" s="64">
        <v>9</v>
      </c>
      <c r="G801" s="64">
        <v>2025</v>
      </c>
      <c r="H801" s="66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  <c r="AD801" s="66"/>
      <c r="AE801" s="66"/>
      <c r="AF801" s="66"/>
      <c r="AG801" s="66"/>
      <c r="AH801" s="66"/>
      <c r="AI801" s="66"/>
      <c r="AJ801" s="66"/>
      <c r="AK801" s="66"/>
      <c r="AL801" s="66"/>
      <c r="AM801" s="66"/>
      <c r="AN801" s="66"/>
      <c r="AO801" s="66"/>
      <c r="AP801" s="66"/>
      <c r="AQ801" s="20"/>
      <c r="AR801" s="20"/>
      <c r="AS801" s="20"/>
      <c r="AT801" s="20"/>
      <c r="AU801" s="20"/>
      <c r="AV801" s="20"/>
      <c r="AW801" s="20"/>
      <c r="AX801" s="20"/>
      <c r="AY801" s="41" t="str">
        <f t="shared" si="246"/>
        <v>Incomplete</v>
      </c>
      <c r="AZ801" s="66"/>
      <c r="BA801" s="20" t="str">
        <f t="shared" si="247"/>
        <v>Incomplete</v>
      </c>
      <c r="BB801" s="66"/>
      <c r="BC801" s="20" t="str">
        <f t="shared" si="248"/>
        <v>Incomplete</v>
      </c>
      <c r="BD801" s="66"/>
      <c r="BE801" s="20" t="str">
        <f t="shared" si="249"/>
        <v>Incomplete</v>
      </c>
      <c r="BF801" s="66"/>
      <c r="BG801" s="66">
        <v>18</v>
      </c>
      <c r="BH801" s="66">
        <v>40</v>
      </c>
      <c r="BI801" s="20" t="e">
        <f>IF(OR(ISBLANK(#REF!), ISBLANK(#REF!)),"Incomplete",(SUM(#REF!-#REF!)))</f>
        <v>#REF!</v>
      </c>
      <c r="BJ801" s="66"/>
      <c r="BK801" s="66"/>
      <c r="BL801" s="66"/>
      <c r="BM801" s="66"/>
      <c r="BN801" s="66"/>
      <c r="BO801" s="66"/>
      <c r="BP801" s="66"/>
      <c r="BQ801" s="66"/>
      <c r="BR801" s="66"/>
      <c r="BS801" s="66"/>
      <c r="BT801" s="66"/>
      <c r="BU801" s="66"/>
      <c r="BV801" s="66"/>
      <c r="BW801" s="91" t="str">
        <f t="shared" si="250"/>
        <v>Incomplete</v>
      </c>
      <c r="BX801" s="91" t="str">
        <f>_xlfn.XLOOKUP(BW801,'Normative data'!$V$3:$V$6,'Normative data'!$W$3:$W$6,"Not Found",-1)</f>
        <v>Very low risk</v>
      </c>
      <c r="BY801" s="91" t="str">
        <f t="shared" si="251"/>
        <v>Incomplete</v>
      </c>
      <c r="BZ801" s="91" t="str">
        <f>_xlfn.XLOOKUP(BY801,'Normative data'!$V$3:$V$6,'Normative data'!$W$3:$W$6,"Not Found",-1)</f>
        <v>Very low risk</v>
      </c>
      <c r="CA801" s="66"/>
      <c r="CB801" s="66"/>
      <c r="CC801" s="20"/>
      <c r="CD801" s="66"/>
      <c r="CE801" s="66">
        <v>7</v>
      </c>
      <c r="CF801" s="66"/>
      <c r="CG801" s="20"/>
      <c r="CH801" s="20" t="str">
        <f>_xlfn.XLOOKUP(CG801, 'Normative data'!$S$9:$S$15,'Normative data'!$T$9:$T$15, "Not Found", -1)</f>
        <v>not completed</v>
      </c>
      <c r="CI801" s="20"/>
      <c r="CJ801" s="20" t="str">
        <f>_xlfn.XLOOKUP(CI801, 'Normative data'!$S$9:$S$15, 'Normative data'!$T$9:$T$15, "Not Found", -1)</f>
        <v>not completed</v>
      </c>
      <c r="CK801" s="24">
        <v>2.2799999999999998</v>
      </c>
      <c r="CL801" s="24">
        <v>4.3899999999999997</v>
      </c>
      <c r="CM801" s="24"/>
      <c r="CN801" s="24">
        <v>7.21</v>
      </c>
      <c r="CO801" s="24">
        <v>6.93</v>
      </c>
      <c r="CP801" s="110"/>
      <c r="CQ801" s="68"/>
      <c r="CR801" s="20" t="str" cm="1">
        <f t="array" ref="CR801">IF(OR(ISBLANK(E801),ISBLANK(CQ801)),"Incomplete",_xlfn.XLOOKUP(CQ801,_xlfn.XLOOKUP(E801,'Normative data'!$Y$3:$Y$6,'Normative data'!$Z$3:$AG$6,,-1),'Normative data'!$Z$2:$AG$2,"Not Found",-1))</f>
        <v>Incomplete</v>
      </c>
      <c r="CS801" s="68"/>
      <c r="CT801" s="66"/>
      <c r="CU801" s="20" t="str" cm="1">
        <f t="array" ref="CU801">_xlfn.XLOOKUP(CS801&amp;CT801,(VLOOKUP!$A$3:$A$250)&amp;(VLOOKUP!$B$3:$B$250),VLOOKUP!$C$3:$C$250,"Incomplete",-1)</f>
        <v>Incomplete</v>
      </c>
      <c r="CV801" s="20" t="str" cm="1">
        <f t="array" ref="CV801">_xlfn.XLOOKUP(CU801, _xlfn.XLOOKUP(E801, 'Normative data'!$Y$11:$Y$14, 'Normative data'!$Z$11:$AG$14, ,-1), 'Normative data'!$Z$10:$AG$10, "Not Found", -1)</f>
        <v>Excellent</v>
      </c>
      <c r="CW801" s="20" t="str" cm="1">
        <f t="array" ref="CW801">IF(OR(ISBLANK(CS801),ISBLANK(CT801)),"Incomplete",_xlfn.XLOOKUP(CS801&amp;CT801,VLOOKUP!$A$4:$A$250&amp;VLOOKUP!$B$4:$B$250,VLOOKUP!$D$4:$D$250,"0"))</f>
        <v>Incomplete</v>
      </c>
    </row>
    <row r="802" spans="1:101">
      <c r="A802" s="94" t="s">
        <v>1461</v>
      </c>
      <c r="B802" s="94" t="s">
        <v>1462</v>
      </c>
      <c r="C802" s="64" t="s">
        <v>86</v>
      </c>
      <c r="D802" s="97">
        <v>40505</v>
      </c>
      <c r="E802" s="64"/>
      <c r="F802" s="64">
        <v>9</v>
      </c>
      <c r="G802" s="64">
        <v>2025</v>
      </c>
      <c r="H802" s="66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  <c r="AD802" s="66"/>
      <c r="AE802" s="66"/>
      <c r="AF802" s="66"/>
      <c r="AG802" s="66"/>
      <c r="AH802" s="66"/>
      <c r="AI802" s="66"/>
      <c r="AJ802" s="66"/>
      <c r="AK802" s="66"/>
      <c r="AL802" s="66"/>
      <c r="AM802" s="66"/>
      <c r="AN802" s="66"/>
      <c r="AO802" s="66"/>
      <c r="AP802" s="66"/>
      <c r="AQ802" s="20"/>
      <c r="AR802" s="20"/>
      <c r="AS802" s="20"/>
      <c r="AT802" s="20"/>
      <c r="AU802" s="20"/>
      <c r="AV802" s="20"/>
      <c r="AW802" s="20"/>
      <c r="AX802" s="20"/>
      <c r="AY802" s="41" t="str">
        <f t="shared" si="246"/>
        <v>Incomplete</v>
      </c>
      <c r="AZ802" s="66"/>
      <c r="BA802" s="20" t="str">
        <f t="shared" si="247"/>
        <v>Incomplete</v>
      </c>
      <c r="BB802" s="66"/>
      <c r="BC802" s="20" t="str">
        <f t="shared" si="248"/>
        <v>Incomplete</v>
      </c>
      <c r="BD802" s="66"/>
      <c r="BE802" s="20" t="str">
        <f t="shared" si="249"/>
        <v>Incomplete</v>
      </c>
      <c r="BF802" s="66"/>
      <c r="BG802" s="66"/>
      <c r="BH802" s="20"/>
      <c r="BI802" s="20" t="str">
        <f>IF(OR(ISBLANK(BG802), ISBLANK(BH802)),"Incomplete",(SUM(BH802-BG802)))</f>
        <v>Incomplete</v>
      </c>
      <c r="BJ802" s="66"/>
      <c r="BK802" s="66"/>
      <c r="BL802" s="66"/>
      <c r="BM802" s="20"/>
      <c r="BN802" s="66"/>
      <c r="BO802" s="66"/>
      <c r="BP802" s="66"/>
      <c r="BQ802" s="66"/>
      <c r="BR802" s="66"/>
      <c r="BS802" s="66"/>
      <c r="BT802" s="66"/>
      <c r="BU802" s="66"/>
      <c r="BV802" s="66"/>
      <c r="BW802" s="91" t="str">
        <f t="shared" si="250"/>
        <v>Incomplete</v>
      </c>
      <c r="BX802" s="91" t="str">
        <f>_xlfn.XLOOKUP(BW802,'Normative data'!$V$3:$V$6,'Normative data'!$W$3:$W$6,"Not Found",-1)</f>
        <v>Very low risk</v>
      </c>
      <c r="BY802" s="91" t="str">
        <f t="shared" si="251"/>
        <v>Incomplete</v>
      </c>
      <c r="BZ802" s="91" t="str">
        <f>_xlfn.XLOOKUP(BY802,'Normative data'!$V$3:$V$6,'Normative data'!$W$3:$W$6,"Not Found",-1)</f>
        <v>Very low risk</v>
      </c>
      <c r="CA802" s="20"/>
      <c r="CC802" s="20"/>
      <c r="CE802" s="20"/>
      <c r="CF802" s="66"/>
      <c r="CG802" s="20"/>
      <c r="CH802" s="20" t="str">
        <f>_xlfn.XLOOKUP(CG802, 'Normative data'!$S$9:$S$15,'Normative data'!$T$9:$T$15, "Not Found", -1)</f>
        <v>not completed</v>
      </c>
      <c r="CI802" s="20"/>
      <c r="CJ802" s="20" t="str">
        <f>_xlfn.XLOOKUP(CI802, 'Normative data'!$S$9:$S$15, 'Normative data'!$T$9:$T$15, "Not Found", -1)</f>
        <v>not completed</v>
      </c>
      <c r="CK802" s="20" t="s">
        <v>289</v>
      </c>
      <c r="CL802" s="20" t="s">
        <v>825</v>
      </c>
      <c r="CN802" s="20" t="s">
        <v>598</v>
      </c>
      <c r="CO802" s="20" t="s">
        <v>520</v>
      </c>
      <c r="CP802" s="68"/>
      <c r="CQ802" s="68"/>
      <c r="CR802" s="20" t="str" cm="1">
        <f t="array" ref="CR802">IF(OR(ISBLANK(E802),ISBLANK(CQ802)),"Incomplete",_xlfn.XLOOKUP(CQ802,_xlfn.XLOOKUP(E802,'Normative data'!$Y$3:$Y$6,'Normative data'!$Z$3:$AG$6,,-1),'Normative data'!$Z$2:$AG$2,"Not Found",-1))</f>
        <v>Incomplete</v>
      </c>
      <c r="CS802" s="68"/>
      <c r="CT802" s="66"/>
      <c r="CU802" s="20" t="str" cm="1">
        <f t="array" ref="CU802">_xlfn.XLOOKUP(CS802&amp;CT802,(VLOOKUP!$A$3:$A$250)&amp;(VLOOKUP!$B$3:$B$250),VLOOKUP!$C$3:$C$250,"Incomplete",-1)</f>
        <v>Incomplete</v>
      </c>
      <c r="CV802" s="20" t="str" cm="1">
        <f t="array" ref="CV802">_xlfn.XLOOKUP(CU802, _xlfn.XLOOKUP(E802, 'Normative data'!$Y$11:$Y$14, 'Normative data'!$Z$11:$AG$14, ,-1), 'Normative data'!$Z$10:$AG$10, "Not Found", -1)</f>
        <v>Excellent</v>
      </c>
      <c r="CW802" s="20" t="str" cm="1">
        <f t="array" ref="CW802">IF(OR(ISBLANK(CS802),ISBLANK(CT802)),"Incomplete",_xlfn.XLOOKUP(CS802&amp;CT802,VLOOKUP!$A$4:$A$250&amp;VLOOKUP!$B$4:$B$250,VLOOKUP!$D$4:$D$250,"0"))</f>
        <v>Incomplete</v>
      </c>
    </row>
    <row r="803" spans="1:101">
      <c r="A803" s="64" t="s">
        <v>324</v>
      </c>
      <c r="B803" s="64" t="s">
        <v>323</v>
      </c>
      <c r="C803" s="64" t="s">
        <v>86</v>
      </c>
      <c r="D803" s="65">
        <v>40574</v>
      </c>
      <c r="E803" s="64"/>
      <c r="F803" s="64">
        <v>8</v>
      </c>
      <c r="G803" s="64">
        <v>2025</v>
      </c>
      <c r="H803" s="66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  <c r="AD803" s="66"/>
      <c r="AE803" s="66"/>
      <c r="AF803" s="66"/>
      <c r="AG803" s="66"/>
      <c r="AH803" s="66"/>
      <c r="AI803" s="66"/>
      <c r="AJ803" s="66"/>
      <c r="AK803" s="66"/>
      <c r="AL803" s="66"/>
      <c r="AM803" s="66"/>
      <c r="AN803" s="66"/>
      <c r="AO803" s="66"/>
      <c r="AP803" s="66"/>
      <c r="AQ803" s="66"/>
      <c r="AR803" s="66"/>
      <c r="AS803" s="66"/>
      <c r="AT803" s="66"/>
      <c r="AU803" s="66"/>
      <c r="AV803" s="66"/>
      <c r="AW803" s="66"/>
      <c r="AX803" s="66"/>
      <c r="AY803" s="41" t="str">
        <f t="shared" si="246"/>
        <v>Incomplete</v>
      </c>
      <c r="AZ803" s="66"/>
      <c r="BA803" s="20" t="str">
        <f t="shared" si="247"/>
        <v>Incomplete</v>
      </c>
      <c r="BB803" s="66"/>
      <c r="BC803" s="20" t="str">
        <f t="shared" si="248"/>
        <v>Incomplete</v>
      </c>
      <c r="BD803" s="66"/>
      <c r="BE803" s="20" t="str">
        <f t="shared" si="249"/>
        <v>Incomplete</v>
      </c>
      <c r="BF803" s="66"/>
      <c r="BG803" s="66"/>
      <c r="BH803" s="66"/>
      <c r="BI803" s="20" t="str">
        <f>IF(OR(ISBLANK(BG803), ISBLANK(BH803)),"Incomplete",(SUM(BH803-BG803)))</f>
        <v>Incomplete</v>
      </c>
      <c r="BJ803" s="66"/>
      <c r="BK803" s="66"/>
      <c r="BL803" s="66"/>
      <c r="BM803" s="66"/>
      <c r="BN803" s="66"/>
      <c r="BO803" s="66"/>
      <c r="BP803" s="66"/>
      <c r="BQ803" s="66"/>
      <c r="BR803" s="66"/>
      <c r="BS803" s="66"/>
      <c r="BT803" s="66"/>
      <c r="BU803" s="66"/>
      <c r="BV803" s="66"/>
      <c r="BW803" s="91" t="str">
        <f t="shared" si="250"/>
        <v>Incomplete</v>
      </c>
      <c r="BX803" s="91" t="str">
        <f>_xlfn.XLOOKUP(BW803,'Normative data'!$V$3:$V$6,'Normative data'!$W$3:$W$6,"Not Found",-1)</f>
        <v>Very low risk</v>
      </c>
      <c r="BY803" s="91" t="str">
        <f t="shared" si="251"/>
        <v>Incomplete</v>
      </c>
      <c r="BZ803" s="91" t="str">
        <f>_xlfn.XLOOKUP(BY803,'Normative data'!$V$3:$V$6,'Normative data'!$W$3:$W$6,"Not Found",-1)</f>
        <v>Very low risk</v>
      </c>
      <c r="CA803" s="66"/>
      <c r="CB803" s="66"/>
      <c r="CC803" s="20"/>
      <c r="CD803" s="66"/>
      <c r="CE803" s="66"/>
      <c r="CF803" s="66"/>
      <c r="CG803" s="20"/>
      <c r="CH803" s="20" t="str">
        <f>_xlfn.XLOOKUP(CG803, 'Normative data'!$S$9:$S$15,'Normative data'!$T$9:$T$15, "Not Found", -1)</f>
        <v>not completed</v>
      </c>
      <c r="CI803" s="20"/>
      <c r="CJ803" s="20" t="str">
        <f>_xlfn.XLOOKUP(CI803, 'Normative data'!$S$9:$S$15, 'Normative data'!$T$9:$T$15, "Not Found", -1)</f>
        <v>not completed</v>
      </c>
      <c r="CK803" s="20" t="s">
        <v>1463</v>
      </c>
      <c r="CL803" s="20" t="s">
        <v>1307</v>
      </c>
      <c r="CN803" s="20" t="s">
        <v>1464</v>
      </c>
      <c r="CO803" s="20" t="s">
        <v>1465</v>
      </c>
      <c r="CP803" s="68"/>
      <c r="CQ803" s="68"/>
      <c r="CR803" s="20" t="str" cm="1">
        <f t="array" ref="CR803">IF(OR(ISBLANK(E803),ISBLANK(CQ803)),"Incomplete",_xlfn.XLOOKUP(CQ803,_xlfn.XLOOKUP(E803,'Normative data'!$Y$3:$Y$6,'Normative data'!$Z$3:$AG$6,,-1),'Normative data'!$Z$2:$AG$2,"Not Found",-1))</f>
        <v>Incomplete</v>
      </c>
      <c r="CS803" s="68"/>
      <c r="CT803" s="66"/>
      <c r="CU803" s="20" t="str" cm="1">
        <f t="array" ref="CU803">_xlfn.XLOOKUP(CS803&amp;CT803,(VLOOKUP!$A$3:$A$250)&amp;(VLOOKUP!$B$3:$B$250),VLOOKUP!$C$3:$C$250,"Incomplete",-1)</f>
        <v>Incomplete</v>
      </c>
      <c r="CV803" s="20" t="str" cm="1">
        <f t="array" ref="CV803">_xlfn.XLOOKUP(CU803, _xlfn.XLOOKUP(E803, 'Normative data'!$Y$11:$Y$14, 'Normative data'!$Z$11:$AG$14, ,-1), 'Normative data'!$Z$10:$AG$10, "Not Found", -1)</f>
        <v>Excellent</v>
      </c>
      <c r="CW803" s="20" t="str" cm="1">
        <f t="array" ref="CW803">IF(OR(ISBLANK(CS803),ISBLANK(CT803)),"Incomplete",_xlfn.XLOOKUP(CS803&amp;CT803,VLOOKUP!$A$4:$A$250&amp;VLOOKUP!$B$4:$B$250,VLOOKUP!$D$4:$D$250,"0"))</f>
        <v>Incomplete</v>
      </c>
    </row>
    <row r="804" spans="1:101">
      <c r="A804" s="64" t="s">
        <v>1466</v>
      </c>
      <c r="B804" s="64" t="s">
        <v>323</v>
      </c>
      <c r="C804" s="64" t="s">
        <v>86</v>
      </c>
      <c r="D804" s="65">
        <v>40574</v>
      </c>
      <c r="E804" s="64"/>
      <c r="F804" s="64">
        <v>8</v>
      </c>
      <c r="G804" s="64">
        <v>2025</v>
      </c>
      <c r="H804" s="66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  <c r="AD804" s="66"/>
      <c r="AE804" s="66"/>
      <c r="AF804" s="66"/>
      <c r="AG804" s="66"/>
      <c r="AH804" s="66"/>
      <c r="AI804" s="66"/>
      <c r="AJ804" s="66"/>
      <c r="AK804" s="66"/>
      <c r="AL804" s="66"/>
      <c r="AM804" s="66"/>
      <c r="AN804" s="66"/>
      <c r="AO804" s="66"/>
      <c r="AP804" s="66"/>
      <c r="AQ804" s="20"/>
      <c r="AR804" s="20"/>
      <c r="AS804" s="20"/>
      <c r="AT804" s="20"/>
      <c r="AU804" s="20"/>
      <c r="AV804" s="20"/>
      <c r="AW804" s="20"/>
      <c r="AX804" s="20"/>
      <c r="AY804" s="41" t="str">
        <f t="shared" si="246"/>
        <v>Incomplete</v>
      </c>
      <c r="AZ804" s="66"/>
      <c r="BA804" s="20" t="str">
        <f t="shared" si="247"/>
        <v>Incomplete</v>
      </c>
      <c r="BB804" s="66"/>
      <c r="BC804" s="20" t="str">
        <f t="shared" si="248"/>
        <v>Incomplete</v>
      </c>
      <c r="BD804" s="66"/>
      <c r="BE804" s="20" t="str">
        <f t="shared" si="249"/>
        <v>Incomplete</v>
      </c>
      <c r="BF804" s="66"/>
      <c r="BG804" s="66"/>
      <c r="BH804" s="20"/>
      <c r="BI804" s="20" t="str">
        <f>IF(OR(ISBLANK(BG804), ISBLANK(BH804)),"Incomplete",(SUM(BH804-BG804)))</f>
        <v>Incomplete</v>
      </c>
      <c r="BJ804" s="66"/>
      <c r="BK804" s="66"/>
      <c r="BL804" s="66"/>
      <c r="BM804" s="20"/>
      <c r="BN804" s="66"/>
      <c r="BO804" s="66"/>
      <c r="BP804" s="66"/>
      <c r="BQ804" s="66"/>
      <c r="BR804" s="66"/>
      <c r="BS804" s="66"/>
      <c r="BT804" s="66"/>
      <c r="BU804" s="66"/>
      <c r="BV804" s="66"/>
      <c r="BW804" s="91" t="str">
        <f t="shared" si="250"/>
        <v>Incomplete</v>
      </c>
      <c r="BX804" s="91" t="str">
        <f>_xlfn.XLOOKUP(BW804,'Normative data'!$V$3:$V$6,'Normative data'!$W$3:$W$6,"Not Found",-1)</f>
        <v>Very low risk</v>
      </c>
      <c r="BY804" s="91" t="str">
        <f t="shared" si="251"/>
        <v>Incomplete</v>
      </c>
      <c r="BZ804" s="91" t="str">
        <f>_xlfn.XLOOKUP(BY804,'Normative data'!$V$3:$V$6,'Normative data'!$W$3:$W$6,"Not Found",-1)</f>
        <v>Very low risk</v>
      </c>
      <c r="CA804" s="20"/>
      <c r="CB804" s="66"/>
      <c r="CC804" s="20"/>
      <c r="CD804" s="66"/>
      <c r="CE804" s="66">
        <v>2</v>
      </c>
      <c r="CF804" s="66"/>
      <c r="CG804" s="20"/>
      <c r="CH804" s="20" t="str">
        <f>_xlfn.XLOOKUP(CG804, 'Normative data'!$S$9:$S$15,'Normative data'!$T$9:$T$15, "Not Found", -1)</f>
        <v>not completed</v>
      </c>
      <c r="CI804" s="20"/>
      <c r="CJ804" s="20" t="str">
        <f>_xlfn.XLOOKUP(CI804, 'Normative data'!$S$9:$S$15, 'Normative data'!$T$9:$T$15, "Not Found", -1)</f>
        <v>not completed</v>
      </c>
      <c r="CK804" s="72">
        <v>2.54</v>
      </c>
      <c r="CL804" s="72">
        <v>3.94</v>
      </c>
      <c r="CM804" s="72"/>
      <c r="CN804" s="72">
        <v>7.85</v>
      </c>
      <c r="CO804" s="72">
        <v>6.35</v>
      </c>
      <c r="CP804" s="111"/>
      <c r="CQ804" s="68"/>
      <c r="CR804" s="20" t="str" cm="1">
        <f t="array" ref="CR804">IF(OR(ISBLANK(E804),ISBLANK(CQ804)),"Incomplete",_xlfn.XLOOKUP(CQ804,_xlfn.XLOOKUP(E804,'Normative data'!$Y$3:$Y$6,'Normative data'!$Z$3:$AG$6,,-1),'Normative data'!$Z$2:$AG$2,"Not Found",-1))</f>
        <v>Incomplete</v>
      </c>
      <c r="CS804" s="68"/>
      <c r="CT804" s="66"/>
      <c r="CU804" s="20" t="str" cm="1">
        <f t="array" ref="CU804">_xlfn.XLOOKUP(CS804&amp;CT804,(VLOOKUP!$A$3:$A$250)&amp;(VLOOKUP!$B$3:$B$250),VLOOKUP!$C$3:$C$250,"Incomplete",-1)</f>
        <v>Incomplete</v>
      </c>
      <c r="CV804" s="20" t="str" cm="1">
        <f t="array" ref="CV804">_xlfn.XLOOKUP(CU804, _xlfn.XLOOKUP(E804, 'Normative data'!$Y$11:$Y$14, 'Normative data'!$Z$11:$AG$14, ,-1), 'Normative data'!$Z$10:$AG$10, "Not Found", -1)</f>
        <v>Excellent</v>
      </c>
      <c r="CW804" s="20" t="str" cm="1">
        <f t="array" ref="CW804">IF(OR(ISBLANK(CS804),ISBLANK(CT804)),"Incomplete",_xlfn.XLOOKUP(CS804&amp;CT804,VLOOKUP!$A$4:$A$250&amp;VLOOKUP!$B$4:$B$250,VLOOKUP!$D$4:$D$250,"0"))</f>
        <v>Incomplete</v>
      </c>
    </row>
    <row r="805" spans="1:101">
      <c r="A805" s="64" t="s">
        <v>721</v>
      </c>
      <c r="B805" s="64" t="s">
        <v>720</v>
      </c>
      <c r="C805" s="64" t="s">
        <v>86</v>
      </c>
      <c r="D805" s="65"/>
      <c r="E805" s="64"/>
      <c r="F805" s="64">
        <v>10</v>
      </c>
      <c r="G805" s="64">
        <v>2025</v>
      </c>
      <c r="H805" s="66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  <c r="AD805" s="66"/>
      <c r="AE805" s="66"/>
      <c r="AF805" s="66"/>
      <c r="AG805" s="66"/>
      <c r="AH805" s="66"/>
      <c r="AI805" s="66"/>
      <c r="AJ805" s="66"/>
      <c r="AK805" s="66"/>
      <c r="AL805" s="66"/>
      <c r="AM805" s="66"/>
      <c r="AN805" s="66"/>
      <c r="AO805" s="66"/>
      <c r="AP805" s="66"/>
      <c r="AQ805" s="20"/>
      <c r="AR805" s="20"/>
      <c r="AS805" s="20"/>
      <c r="AT805" s="20"/>
      <c r="AU805" s="20"/>
      <c r="AV805" s="20"/>
      <c r="AW805" s="20"/>
      <c r="AX805" s="20"/>
      <c r="AY805" s="41" t="str">
        <f t="shared" si="246"/>
        <v>Incomplete</v>
      </c>
      <c r="AZ805" s="66"/>
      <c r="BA805" s="20" t="str">
        <f t="shared" si="247"/>
        <v>Incomplete</v>
      </c>
      <c r="BB805" s="66"/>
      <c r="BC805" s="20" t="str">
        <f t="shared" si="248"/>
        <v>Incomplete</v>
      </c>
      <c r="BD805" s="66"/>
      <c r="BE805" s="20" t="str">
        <f t="shared" si="249"/>
        <v>Incomplete</v>
      </c>
      <c r="BF805" s="66"/>
      <c r="BG805" s="66">
        <v>17</v>
      </c>
      <c r="BH805" s="20">
        <v>31</v>
      </c>
      <c r="BI805" s="20" t="e">
        <f>IF(OR(ISBLANK(#REF!), ISBLANK(#REF!)),"Incomplete",(SUM(#REF!-#REF!)))</f>
        <v>#REF!</v>
      </c>
      <c r="BJ805" s="66"/>
      <c r="BK805" s="66">
        <v>2</v>
      </c>
      <c r="BL805" s="66"/>
      <c r="BM805" s="20">
        <v>2</v>
      </c>
      <c r="BN805" s="66"/>
      <c r="BO805" s="66"/>
      <c r="BP805" s="66"/>
      <c r="BQ805" s="66"/>
      <c r="BR805" s="66"/>
      <c r="BS805" s="66"/>
      <c r="BT805" s="66"/>
      <c r="BU805" s="66"/>
      <c r="BV805" s="66"/>
      <c r="BW805" s="91" t="str">
        <f t="shared" si="250"/>
        <v>Incomplete</v>
      </c>
      <c r="BX805" s="91" t="str">
        <f>_xlfn.XLOOKUP(BW805,'Normative data'!$V$3:$V$6,'Normative data'!$W$3:$W$6,"Not Found",-1)</f>
        <v>Very low risk</v>
      </c>
      <c r="BY805" s="91" t="str">
        <f t="shared" si="251"/>
        <v>Incomplete</v>
      </c>
      <c r="BZ805" s="91" t="str">
        <f>_xlfn.XLOOKUP(BY805,'Normative data'!$V$3:$V$6,'Normative data'!$W$3:$W$6,"Not Found",-1)</f>
        <v>Very low risk</v>
      </c>
      <c r="CA805" s="20"/>
      <c r="CC805" s="20"/>
      <c r="CE805" s="20">
        <v>10</v>
      </c>
      <c r="CF805" s="66"/>
      <c r="CG805" s="20"/>
      <c r="CH805" s="20" t="str">
        <f>_xlfn.XLOOKUP(CG805, 'Normative data'!$S$9:$S$15,'Normative data'!$T$9:$T$15, "Not Found", -1)</f>
        <v>not completed</v>
      </c>
      <c r="CI805" s="20"/>
      <c r="CJ805" s="20" t="str">
        <f>_xlfn.XLOOKUP(CI805, 'Normative data'!$S$9:$S$15, 'Normative data'!$T$9:$T$15, "Not Found", -1)</f>
        <v>not completed</v>
      </c>
      <c r="CK805" s="20" t="s">
        <v>1467</v>
      </c>
      <c r="CL805" s="20" t="s">
        <v>1468</v>
      </c>
      <c r="CN805" s="20" t="s">
        <v>1054</v>
      </c>
      <c r="CO805" s="20" t="s">
        <v>994</v>
      </c>
      <c r="CP805" s="68"/>
      <c r="CQ805" s="68"/>
      <c r="CR805" s="20" t="str" cm="1">
        <f t="array" ref="CR805">IF(OR(ISBLANK(E805),ISBLANK(CQ805)),"Incomplete",_xlfn.XLOOKUP(CQ805,_xlfn.XLOOKUP(E805,'Normative data'!$Y$3:$Y$6,'Normative data'!$Z$3:$AG$6,,-1),'Normative data'!$Z$2:$AG$2,"Not Found",-1))</f>
        <v>Incomplete</v>
      </c>
      <c r="CS805" s="68"/>
      <c r="CT805" s="66"/>
      <c r="CU805" s="20" t="str" cm="1">
        <f t="array" ref="CU805">_xlfn.XLOOKUP(CS805&amp;CT805,(VLOOKUP!$A$3:$A$250)&amp;(VLOOKUP!$B$3:$B$250),VLOOKUP!$C$3:$C$250,"Incomplete",-1)</f>
        <v>Incomplete</v>
      </c>
      <c r="CV805" s="20" t="str" cm="1">
        <f t="array" ref="CV805">_xlfn.XLOOKUP(CU805, _xlfn.XLOOKUP(E805, 'Normative data'!$Y$11:$Y$14, 'Normative data'!$Z$11:$AG$14, ,-1), 'Normative data'!$Z$10:$AG$10, "Not Found", -1)</f>
        <v>Excellent</v>
      </c>
      <c r="CW805" s="20" t="str" cm="1">
        <f t="array" ref="CW805">IF(OR(ISBLANK(CS805),ISBLANK(CT805)),"Incomplete",_xlfn.XLOOKUP(CS805&amp;CT805,VLOOKUP!$A$4:$A$250&amp;VLOOKUP!$B$4:$B$250,VLOOKUP!$D$4:$D$250,"0"))</f>
        <v>Incomplete</v>
      </c>
    </row>
    <row r="806" spans="1:101">
      <c r="A806" s="64" t="s">
        <v>721</v>
      </c>
      <c r="B806" s="64" t="s">
        <v>720</v>
      </c>
      <c r="C806" s="64" t="s">
        <v>86</v>
      </c>
      <c r="D806" s="120"/>
      <c r="E806" s="64"/>
      <c r="F806" s="64"/>
      <c r="G806" s="64">
        <v>2026</v>
      </c>
      <c r="H806" s="66" t="s">
        <v>114</v>
      </c>
      <c r="I806" s="64">
        <v>1</v>
      </c>
      <c r="J806" s="64"/>
      <c r="K806" s="64"/>
      <c r="L806" s="64"/>
      <c r="M806" s="64"/>
      <c r="N806" s="64"/>
      <c r="O806" s="64"/>
      <c r="P806" s="64"/>
      <c r="Q806" s="64"/>
      <c r="R806" s="64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  <c r="AD806" s="66"/>
      <c r="AE806" s="66"/>
      <c r="AF806" s="66"/>
      <c r="AG806" s="66"/>
      <c r="AH806" s="66"/>
      <c r="AI806" s="66"/>
      <c r="AJ806" s="66"/>
      <c r="AK806" s="66"/>
      <c r="AL806" s="66"/>
      <c r="AM806" s="66"/>
      <c r="AN806" s="66"/>
      <c r="AO806" s="66"/>
      <c r="AP806" s="66"/>
      <c r="AQ806" s="20">
        <v>23.1</v>
      </c>
      <c r="AR806" s="20">
        <v>0.434</v>
      </c>
      <c r="AS806" s="20">
        <v>30.8</v>
      </c>
      <c r="AT806" s="20">
        <v>0.501</v>
      </c>
      <c r="AU806" s="20">
        <v>12.9</v>
      </c>
      <c r="AV806" s="20">
        <v>0.32400000000000001</v>
      </c>
      <c r="AW806" s="20">
        <v>11.9</v>
      </c>
      <c r="AX806" s="20">
        <v>0.312</v>
      </c>
      <c r="AY806" s="41" t="str">
        <f t="shared" si="246"/>
        <v>Incomplete</v>
      </c>
      <c r="AZ806" s="66"/>
      <c r="BA806" s="20" t="str">
        <f t="shared" si="247"/>
        <v>Incomplete</v>
      </c>
      <c r="BB806" s="66"/>
      <c r="BC806" s="20" t="str">
        <f t="shared" si="248"/>
        <v>Incomplete</v>
      </c>
      <c r="BD806" s="66"/>
      <c r="BE806" s="20" t="str">
        <f t="shared" si="249"/>
        <v>Incomplete</v>
      </c>
      <c r="BF806" s="66"/>
      <c r="BG806" s="66">
        <v>20</v>
      </c>
      <c r="BH806" s="20">
        <v>41</v>
      </c>
      <c r="BI806" s="20">
        <f>IF(OR(ISBLANK(BG806), ISBLANK(BH806)),"Incomplete",(SUM(BH806-BG806)))</f>
        <v>21</v>
      </c>
      <c r="BJ806" s="66"/>
      <c r="BK806" s="66"/>
      <c r="BL806" s="66"/>
      <c r="BM806" s="20"/>
      <c r="BN806" s="66"/>
      <c r="BO806" s="66"/>
      <c r="BP806" s="66"/>
      <c r="BQ806" s="66"/>
      <c r="BR806" s="66"/>
      <c r="BS806" s="66"/>
      <c r="BT806" s="66"/>
      <c r="BU806" s="66"/>
      <c r="BV806" s="66"/>
      <c r="BW806" s="91" t="str">
        <f t="shared" si="250"/>
        <v>Incomplete</v>
      </c>
      <c r="BX806" s="91" t="str">
        <f>_xlfn.XLOOKUP(BW806,'Normative data'!$V$3:$V$6,'Normative data'!$W$3:$W$6,"Not Found",-1)</f>
        <v>Very low risk</v>
      </c>
      <c r="BY806" s="91" t="str">
        <f t="shared" si="251"/>
        <v>Incomplete</v>
      </c>
      <c r="BZ806" s="91" t="str">
        <f>_xlfn.XLOOKUP(BY806,'Normative data'!$V$3:$V$6,'Normative data'!$W$3:$W$6,"Not Found",-1)</f>
        <v>Very low risk</v>
      </c>
      <c r="CA806" s="20"/>
      <c r="CC806" s="20"/>
      <c r="CE806" s="20"/>
      <c r="CF806" s="66"/>
      <c r="CG806" s="20"/>
      <c r="CH806" s="20" t="str">
        <f>_xlfn.XLOOKUP(CG806, 'Normative data'!$S$9:$S$15,'Normative data'!$T$9:$T$15, "Not Found", -1)</f>
        <v>not completed</v>
      </c>
      <c r="CI806" s="20"/>
      <c r="CJ806" s="20" t="str">
        <f>_xlfn.XLOOKUP(CI806, 'Normative data'!$S$9:$S$15, 'Normative data'!$T$9:$T$15, "Not Found", -1)</f>
        <v>not completed</v>
      </c>
      <c r="CK806" s="20">
        <v>2.13</v>
      </c>
      <c r="CL806" s="20">
        <v>4.6900000000000004</v>
      </c>
      <c r="CN806" s="20">
        <v>6.61</v>
      </c>
      <c r="CO806" s="20">
        <v>7.24</v>
      </c>
      <c r="CP806" s="68"/>
      <c r="CQ806" s="68">
        <v>3.5</v>
      </c>
      <c r="CR806" s="20" t="str" cm="1">
        <f t="array" ref="CR806">IF(OR(ISBLANK(E806),ISBLANK(CQ806)),"Incomplete",_xlfn.XLOOKUP(CQ806,_xlfn.XLOOKUP(E806,'Normative data'!$Y$3:$Y$6,'Normative data'!$Z$3:$AG$6,,-1),'Normative data'!$Z$2:$AG$2,"Not Found",-1))</f>
        <v>Incomplete</v>
      </c>
      <c r="CS806" s="68">
        <v>3</v>
      </c>
      <c r="CT806" s="66">
        <v>5</v>
      </c>
      <c r="CU806" s="20" cm="1">
        <f t="array" ref="CU806">_xlfn.XLOOKUP(CS806&amp;CT806,(VLOOKUP!$A$3:$A$250)&amp;(VLOOKUP!$B$3:$B$250),VLOOKUP!$C$3:$C$250,"Incomplete",-1)</f>
        <v>400</v>
      </c>
      <c r="CV806" s="20" t="str" cm="1">
        <f t="array" ref="CV806">_xlfn.XLOOKUP(CU806, _xlfn.XLOOKUP(E806, 'Normative data'!$Y$11:$Y$14, 'Normative data'!$Z$11:$AG$14, ,-1), 'Normative data'!$Z$10:$AG$10, "Not Found", -1)</f>
        <v xml:space="preserve">Very poor </v>
      </c>
      <c r="CW806" s="20" cm="1">
        <f t="array" ref="CW806">IF(OR(ISBLANK(CS806),ISBLANK(CT806)),"Incomplete",_xlfn.XLOOKUP(CS806&amp;CT806,VLOOKUP!$A$4:$A$250&amp;VLOOKUP!$B$4:$B$250,VLOOKUP!$D$4:$D$250,"0"))</f>
        <v>25</v>
      </c>
    </row>
    <row r="807" spans="1:101">
      <c r="A807" s="93" t="s">
        <v>1080</v>
      </c>
      <c r="B807" s="93" t="s">
        <v>720</v>
      </c>
      <c r="C807" s="64" t="s">
        <v>86</v>
      </c>
      <c r="D807" s="96">
        <v>40357</v>
      </c>
      <c r="E807" s="64"/>
      <c r="F807" s="64">
        <v>9</v>
      </c>
      <c r="G807" s="64">
        <v>2025</v>
      </c>
      <c r="H807" s="66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6"/>
      <c r="T807" s="66"/>
      <c r="U807" s="66"/>
      <c r="V807" s="75"/>
      <c r="W807" s="75"/>
      <c r="X807" s="75"/>
      <c r="Y807" s="75"/>
      <c r="Z807" s="75"/>
      <c r="AA807" s="75"/>
      <c r="AB807" s="75"/>
      <c r="AC807" s="75"/>
      <c r="AD807" s="75"/>
      <c r="AE807" s="75"/>
      <c r="AF807" s="75"/>
      <c r="AG807" s="75"/>
      <c r="AH807" s="75"/>
      <c r="AI807" s="75"/>
      <c r="AJ807" s="75"/>
      <c r="AK807" s="75"/>
      <c r="AL807" s="75"/>
      <c r="AM807" s="75"/>
      <c r="AN807" s="75"/>
      <c r="AO807" s="75"/>
      <c r="AP807" s="75"/>
      <c r="AQ807" s="66"/>
      <c r="AR807" s="66"/>
      <c r="AS807" s="66"/>
      <c r="AT807" s="66"/>
      <c r="AU807" s="66"/>
      <c r="AV807" s="66"/>
      <c r="AW807" s="66"/>
      <c r="AX807" s="66"/>
      <c r="AY807" s="41" t="str">
        <f t="shared" si="246"/>
        <v>Incomplete</v>
      </c>
      <c r="AZ807" s="66"/>
      <c r="BA807" s="20" t="str">
        <f t="shared" si="247"/>
        <v>Incomplete</v>
      </c>
      <c r="BB807" s="66"/>
      <c r="BC807" s="20" t="str">
        <f t="shared" si="248"/>
        <v>Incomplete</v>
      </c>
      <c r="BD807" s="66"/>
      <c r="BE807" s="20" t="str">
        <f t="shared" si="249"/>
        <v>Incomplete</v>
      </c>
      <c r="BF807" s="66"/>
      <c r="BG807" s="66">
        <v>16</v>
      </c>
      <c r="BH807" s="66">
        <v>39</v>
      </c>
      <c r="BI807" s="20" t="e">
        <f>IF(OR(ISBLANK(#REF!), ISBLANK(#REF!)),"Incomplete",(SUM(#REF!-#REF!)))</f>
        <v>#REF!</v>
      </c>
      <c r="BJ807" s="66"/>
      <c r="BK807" s="66"/>
      <c r="BL807" s="66"/>
      <c r="BM807" s="66"/>
      <c r="BN807" s="66"/>
      <c r="BO807" s="66"/>
      <c r="BP807" s="66"/>
      <c r="BQ807" s="66"/>
      <c r="BR807" s="66"/>
      <c r="BS807" s="66"/>
      <c r="BT807" s="66"/>
      <c r="BU807" s="66"/>
      <c r="BV807" s="66"/>
      <c r="BW807" s="91" t="str">
        <f t="shared" si="250"/>
        <v>Incomplete</v>
      </c>
      <c r="BX807" s="91" t="str">
        <f>_xlfn.XLOOKUP(BW807,'Normative data'!$V$3:$V$6,'Normative data'!$W$3:$W$6,"Not Found",-1)</f>
        <v>Very low risk</v>
      </c>
      <c r="BY807" s="91" t="str">
        <f t="shared" si="251"/>
        <v>Incomplete</v>
      </c>
      <c r="BZ807" s="91" t="str">
        <f>_xlfn.XLOOKUP(BY807,'Normative data'!$V$3:$V$6,'Normative data'!$W$3:$W$6,"Not Found",-1)</f>
        <v>Very low risk</v>
      </c>
      <c r="CA807" s="66"/>
      <c r="CB807" s="66"/>
      <c r="CC807" s="20"/>
      <c r="CD807" s="66"/>
      <c r="CE807" s="66">
        <v>14</v>
      </c>
      <c r="CF807" s="66"/>
      <c r="CG807" s="66"/>
      <c r="CH807" s="20" t="str">
        <f>_xlfn.XLOOKUP(CG807, 'Normative data'!$S$9:$S$15,'Normative data'!$T$9:$T$15, "Not Found", -1)</f>
        <v>not completed</v>
      </c>
      <c r="CI807" s="66"/>
      <c r="CJ807" s="20" t="str">
        <f>_xlfn.XLOOKUP(CI807, 'Normative data'!$S$9:$S$15, 'Normative data'!$T$9:$T$15, "Not Found", -1)</f>
        <v>not completed</v>
      </c>
      <c r="CK807" s="105">
        <v>2.2799999999999998</v>
      </c>
      <c r="CL807" s="105">
        <v>4.3899999999999997</v>
      </c>
      <c r="CM807" s="105"/>
      <c r="CN807" s="105">
        <v>6.97</v>
      </c>
      <c r="CO807" s="105">
        <v>7.17</v>
      </c>
      <c r="CP807" s="109"/>
      <c r="CQ807" s="68"/>
      <c r="CR807" s="20" t="str" cm="1">
        <f t="array" ref="CR807">IF(OR(ISBLANK(E807),ISBLANK(CQ807)),"Incomplete",_xlfn.XLOOKUP(CQ807,_xlfn.XLOOKUP(E807,'Normative data'!$Y$3:$Y$6,'Normative data'!$Z$3:$AG$6,,-1),'Normative data'!$Z$2:$AG$2,"Not Found",-1))</f>
        <v>Incomplete</v>
      </c>
      <c r="CS807" s="68"/>
      <c r="CT807" s="66"/>
      <c r="CU807" s="20" t="str" cm="1">
        <f t="array" ref="CU807">_xlfn.XLOOKUP(CS807&amp;CT807,(VLOOKUP!$A$3:$A$250)&amp;(VLOOKUP!$B$3:$B$250),VLOOKUP!$C$3:$C$250,"Incomplete",-1)</f>
        <v>Incomplete</v>
      </c>
      <c r="CV807" s="20" t="str" cm="1">
        <f t="array" ref="CV807">_xlfn.XLOOKUP(CU807, _xlfn.XLOOKUP(E807, 'Normative data'!$Y$11:$Y$14, 'Normative data'!$Z$11:$AG$14, ,-1), 'Normative data'!$Z$10:$AG$10, "Not Found", -1)</f>
        <v>Excellent</v>
      </c>
      <c r="CW807" s="20" t="str" cm="1">
        <f t="array" ref="CW807">IF(OR(ISBLANK(CS807),ISBLANK(CT807)),"Incomplete",_xlfn.XLOOKUP(CS807&amp;CT807,VLOOKUP!$A$4:$A$250&amp;VLOOKUP!$B$4:$B$250,VLOOKUP!$D$4:$D$250,"0"))</f>
        <v>Incomplete</v>
      </c>
    </row>
    <row r="808" spans="1:101">
      <c r="A808" s="64" t="s">
        <v>1080</v>
      </c>
      <c r="B808" s="64" t="s">
        <v>720</v>
      </c>
      <c r="C808" s="64" t="s">
        <v>86</v>
      </c>
      <c r="D808" s="96">
        <v>40357</v>
      </c>
      <c r="E808" s="64"/>
      <c r="F808" s="64">
        <v>9</v>
      </c>
      <c r="G808" s="64">
        <v>2025</v>
      </c>
      <c r="H808" s="66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6"/>
      <c r="T808" s="66"/>
      <c r="U808" s="68"/>
      <c r="V808" s="68"/>
      <c r="W808" s="66"/>
      <c r="X808" s="66"/>
      <c r="Y808" s="66"/>
      <c r="Z808" s="66"/>
      <c r="AA808" s="66"/>
      <c r="AB808" s="66"/>
      <c r="AC808" s="66"/>
      <c r="AD808" s="66"/>
      <c r="AE808" s="66"/>
      <c r="AF808" s="66"/>
      <c r="AG808" s="66"/>
      <c r="AH808" s="66"/>
      <c r="AI808" s="66"/>
      <c r="AJ808" s="66"/>
      <c r="AK808" s="66"/>
      <c r="AL808" s="66"/>
      <c r="AM808" s="66"/>
      <c r="AN808" s="66"/>
      <c r="AO808" s="66"/>
      <c r="AP808" s="66"/>
      <c r="AQ808" s="20"/>
      <c r="AR808" s="20"/>
      <c r="AS808" s="20"/>
      <c r="AT808" s="20"/>
      <c r="AU808" s="20"/>
      <c r="AV808" s="20"/>
      <c r="AW808" s="20"/>
      <c r="AX808" s="20"/>
      <c r="AY808" s="41" t="str">
        <f t="shared" si="246"/>
        <v>Incomplete</v>
      </c>
      <c r="AZ808" s="66"/>
      <c r="BA808" s="20" t="str">
        <f t="shared" si="247"/>
        <v>Incomplete</v>
      </c>
      <c r="BB808" s="66"/>
      <c r="BC808" s="20" t="str">
        <f t="shared" si="248"/>
        <v>Incomplete</v>
      </c>
      <c r="BD808" s="66"/>
      <c r="BE808" s="20" t="str">
        <f t="shared" si="249"/>
        <v>Incomplete</v>
      </c>
      <c r="BF808" s="66"/>
      <c r="BG808" s="66"/>
      <c r="BH808" s="20"/>
      <c r="BI808" s="20" t="str">
        <f>IF(OR(ISBLANK(BG808), ISBLANK(BH808)),"Incomplete",(SUM(BH808-BG808)))</f>
        <v>Incomplete</v>
      </c>
      <c r="BJ808" s="66"/>
      <c r="BK808" s="66"/>
      <c r="BL808" s="66"/>
      <c r="BM808" s="20"/>
      <c r="BN808" s="66"/>
      <c r="BO808" s="66"/>
      <c r="BP808" s="66"/>
      <c r="BQ808" s="66"/>
      <c r="BR808" s="66"/>
      <c r="BS808" s="66"/>
      <c r="BT808" s="66"/>
      <c r="BU808" s="66"/>
      <c r="BV808" s="66"/>
      <c r="BW808" s="91" t="str">
        <f t="shared" si="250"/>
        <v>Incomplete</v>
      </c>
      <c r="BX808" s="91" t="str">
        <f>_xlfn.XLOOKUP(BW808,'Normative data'!$V$3:$V$6,'Normative data'!$W$3:$W$6,"Not Found",-1)</f>
        <v>Very low risk</v>
      </c>
      <c r="BY808" s="91" t="str">
        <f t="shared" si="251"/>
        <v>Incomplete</v>
      </c>
      <c r="BZ808" s="91" t="str">
        <f>_xlfn.XLOOKUP(BY808,'Normative data'!$V$3:$V$6,'Normative data'!$W$3:$W$6,"Not Found",-1)</f>
        <v>Very low risk</v>
      </c>
      <c r="CA808" s="66"/>
      <c r="CB808" s="66"/>
      <c r="CC808" s="20"/>
      <c r="CD808" s="66"/>
      <c r="CE808" s="66"/>
      <c r="CF808" s="66"/>
      <c r="CG808" s="66"/>
      <c r="CH808" s="20" t="str">
        <f>_xlfn.XLOOKUP(CG808, 'Normative data'!$S$9:$S$15,'Normative data'!$T$9:$T$15, "Not Found", -1)</f>
        <v>not completed</v>
      </c>
      <c r="CI808" s="66"/>
      <c r="CJ808" s="20" t="str">
        <f>_xlfn.XLOOKUP(CI808, 'Normative data'!$S$9:$S$15, 'Normative data'!$T$9:$T$15, "Not Found", -1)</f>
        <v>not completed</v>
      </c>
      <c r="CK808" s="66" t="s">
        <v>596</v>
      </c>
      <c r="CL808" s="66" t="s">
        <v>597</v>
      </c>
      <c r="CM808" s="66"/>
      <c r="CN808" s="66" t="s">
        <v>206</v>
      </c>
      <c r="CO808" s="66" t="s">
        <v>206</v>
      </c>
      <c r="CP808" s="68"/>
      <c r="CQ808" s="68"/>
      <c r="CR808" s="20" t="str" cm="1">
        <f t="array" ref="CR808">IF(OR(ISBLANK(E808),ISBLANK(CQ808)),"Incomplete",_xlfn.XLOOKUP(CQ808,_xlfn.XLOOKUP(E808,'Normative data'!$Y$3:$Y$6,'Normative data'!$Z$3:$AG$6,,-1),'Normative data'!$Z$2:$AG$2,"Not Found",-1))</f>
        <v>Incomplete</v>
      </c>
      <c r="CS808" s="68"/>
      <c r="CT808" s="66"/>
      <c r="CU808" s="20" t="str" cm="1">
        <f t="array" ref="CU808">_xlfn.XLOOKUP(CS808&amp;CT808,(VLOOKUP!$A$3:$A$250)&amp;(VLOOKUP!$B$3:$B$250),VLOOKUP!$C$3:$C$250,"Incomplete",-1)</f>
        <v>Incomplete</v>
      </c>
      <c r="CV808" s="20" t="str" cm="1">
        <f t="array" ref="CV808">_xlfn.XLOOKUP(CU808, _xlfn.XLOOKUP(E808, 'Normative data'!$Y$11:$Y$14, 'Normative data'!$Z$11:$AG$14, ,-1), 'Normative data'!$Z$10:$AG$10, "Not Found", -1)</f>
        <v>Excellent</v>
      </c>
      <c r="CW808" s="20" t="str" cm="1">
        <f t="array" ref="CW808">IF(OR(ISBLANK(CS808),ISBLANK(CT808)),"Incomplete",_xlfn.XLOOKUP(CS808&amp;CT808,VLOOKUP!$A$4:$A$250&amp;VLOOKUP!$B$4:$B$250,VLOOKUP!$D$4:$D$250,"0"))</f>
        <v>Incomplete</v>
      </c>
    </row>
    <row r="809" spans="1:101">
      <c r="A809" s="64" t="s">
        <v>1080</v>
      </c>
      <c r="B809" s="64" t="s">
        <v>720</v>
      </c>
      <c r="C809" s="64" t="s">
        <v>86</v>
      </c>
      <c r="D809" s="96">
        <v>40357</v>
      </c>
      <c r="E809" s="64"/>
      <c r="F809" s="64"/>
      <c r="G809" s="64">
        <v>2026</v>
      </c>
      <c r="H809" s="66" t="s">
        <v>114</v>
      </c>
      <c r="I809" s="64">
        <v>1</v>
      </c>
      <c r="J809" s="64"/>
      <c r="K809" s="64"/>
      <c r="L809" s="64"/>
      <c r="M809" s="64"/>
      <c r="N809" s="64"/>
      <c r="O809" s="64"/>
      <c r="P809" s="64"/>
      <c r="Q809" s="64"/>
      <c r="R809" s="64"/>
      <c r="S809" s="66"/>
      <c r="T809" s="66"/>
      <c r="U809" s="66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  <c r="AH809" s="61"/>
      <c r="AI809" s="61"/>
      <c r="AJ809" s="61"/>
      <c r="AK809" s="61"/>
      <c r="AL809" s="61"/>
      <c r="AM809" s="61"/>
      <c r="AN809" s="61"/>
      <c r="AO809" s="61"/>
      <c r="AP809" s="61"/>
      <c r="AQ809" s="20">
        <v>21.5</v>
      </c>
      <c r="AR809" s="20">
        <v>0.41899999999999998</v>
      </c>
      <c r="AS809" s="20">
        <v>22.6</v>
      </c>
      <c r="AT809" s="20">
        <v>0.42899999999999999</v>
      </c>
      <c r="AU809" s="20">
        <v>9.5</v>
      </c>
      <c r="AV809" s="20">
        <v>0.27900000000000003</v>
      </c>
      <c r="AW809" s="20">
        <v>11.9</v>
      </c>
      <c r="AX809" s="20">
        <v>0.312</v>
      </c>
      <c r="AY809" s="41" t="str">
        <f t="shared" si="246"/>
        <v>Incomplete</v>
      </c>
      <c r="AZ809" s="66"/>
      <c r="BA809" s="20" t="str">
        <f t="shared" si="247"/>
        <v>Incomplete</v>
      </c>
      <c r="BB809" s="66"/>
      <c r="BC809" s="20" t="str">
        <f t="shared" si="248"/>
        <v>Incomplete</v>
      </c>
      <c r="BD809" s="66"/>
      <c r="BE809" s="20" t="str">
        <f t="shared" si="249"/>
        <v>Incomplete</v>
      </c>
      <c r="BF809" s="66"/>
      <c r="BG809" s="66">
        <v>17</v>
      </c>
      <c r="BH809" s="66">
        <v>48</v>
      </c>
      <c r="BI809" s="20">
        <f>IF(OR(ISBLANK(BG809), ISBLANK(BH809)),"Incomplete",(SUM(BH809-BG809)))</f>
        <v>31</v>
      </c>
      <c r="BJ809" s="66"/>
      <c r="BK809" s="66"/>
      <c r="BL809" s="66"/>
      <c r="BM809" s="66"/>
      <c r="BN809" s="66"/>
      <c r="BO809" s="66"/>
      <c r="BP809" s="66"/>
      <c r="BQ809" s="66"/>
      <c r="BR809" s="66"/>
      <c r="BS809" s="66"/>
      <c r="BT809" s="66"/>
      <c r="BU809" s="66"/>
      <c r="BV809" s="66"/>
      <c r="BW809" s="91" t="str">
        <f t="shared" si="250"/>
        <v>Incomplete</v>
      </c>
      <c r="BX809" s="91" t="str">
        <f>_xlfn.XLOOKUP(BW809,'Normative data'!$V$3:$V$6,'Normative data'!$W$3:$W$6,"Not Found",-1)</f>
        <v>Very low risk</v>
      </c>
      <c r="BY809" s="91" t="str">
        <f t="shared" si="251"/>
        <v>Incomplete</v>
      </c>
      <c r="BZ809" s="91" t="str">
        <f>_xlfn.XLOOKUP(BY809,'Normative data'!$V$3:$V$6,'Normative data'!$W$3:$W$6,"Not Found",-1)</f>
        <v>Very low risk</v>
      </c>
      <c r="CA809" s="66"/>
      <c r="CB809" s="66"/>
      <c r="CC809" s="20"/>
      <c r="CD809" s="66"/>
      <c r="CE809" s="66"/>
      <c r="CF809" s="66"/>
      <c r="CG809" s="20"/>
      <c r="CH809" s="20" t="str">
        <f>_xlfn.XLOOKUP(CG809, 'Normative data'!$S$9:$S$15,'Normative data'!$T$9:$T$15, "Not Found", -1)</f>
        <v>not completed</v>
      </c>
      <c r="CI809" s="20"/>
      <c r="CJ809" s="20" t="str">
        <f>_xlfn.XLOOKUP(CI809, 'Normative data'!$S$9:$S$15, 'Normative data'!$T$9:$T$15, "Not Found", -1)</f>
        <v>not completed</v>
      </c>
      <c r="CK809" s="20">
        <v>2.2400000000000002</v>
      </c>
      <c r="CL809" s="20">
        <v>4.46</v>
      </c>
      <c r="CN809" s="20">
        <v>7.7</v>
      </c>
      <c r="CO809" s="20">
        <v>7.7</v>
      </c>
      <c r="CP809" s="68"/>
      <c r="CQ809" s="68">
        <v>3.5</v>
      </c>
      <c r="CR809" s="20" t="str" cm="1">
        <f t="array" ref="CR809">IF(OR(ISBLANK(E809),ISBLANK(CQ809)),"Incomplete",_xlfn.XLOOKUP(CQ809,_xlfn.XLOOKUP(E809,'Normative data'!$Y$3:$Y$6,'Normative data'!$Z$3:$AG$6,,-1),'Normative data'!$Z$2:$AG$2,"Not Found",-1))</f>
        <v>Incomplete</v>
      </c>
      <c r="CS809" s="68">
        <v>3</v>
      </c>
      <c r="CT809" s="66">
        <v>5</v>
      </c>
      <c r="CU809" s="20" cm="1">
        <f t="array" ref="CU809">_xlfn.XLOOKUP(CS809&amp;CT809,(VLOOKUP!$A$3:$A$250)&amp;(VLOOKUP!$B$3:$B$250),VLOOKUP!$C$3:$C$250,"Incomplete",-1)</f>
        <v>400</v>
      </c>
      <c r="CV809" s="20" t="str" cm="1">
        <f t="array" ref="CV809">_xlfn.XLOOKUP(CU809, _xlfn.XLOOKUP(E809, 'Normative data'!$Y$11:$Y$14, 'Normative data'!$Z$11:$AG$14, ,-1), 'Normative data'!$Z$10:$AG$10, "Not Found", -1)</f>
        <v xml:space="preserve">Very poor </v>
      </c>
      <c r="CW809" s="20" cm="1">
        <f t="array" ref="CW809">IF(OR(ISBLANK(CS809),ISBLANK(CT809)),"Incomplete",_xlfn.XLOOKUP(CS809&amp;CT809,VLOOKUP!$A$4:$A$250&amp;VLOOKUP!$B$4:$B$250,VLOOKUP!$D$4:$D$250,"0"))</f>
        <v>25</v>
      </c>
    </row>
    <row r="810" spans="1:101">
      <c r="A810" s="93" t="s">
        <v>1469</v>
      </c>
      <c r="B810" s="93" t="s">
        <v>1470</v>
      </c>
      <c r="C810" s="64" t="s">
        <v>86</v>
      </c>
      <c r="D810" s="96">
        <v>39841</v>
      </c>
      <c r="E810" s="64"/>
      <c r="F810" s="64">
        <v>10</v>
      </c>
      <c r="G810" s="64">
        <v>2025</v>
      </c>
      <c r="H810" s="66"/>
      <c r="I810" s="64"/>
      <c r="J810" s="64" t="s">
        <v>122</v>
      </c>
      <c r="K810" s="64"/>
      <c r="L810" s="64"/>
      <c r="M810" s="64"/>
      <c r="N810" s="64"/>
      <c r="O810" s="64"/>
      <c r="P810" s="64"/>
      <c r="Q810" s="64"/>
      <c r="R810" s="64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  <c r="AD810" s="66"/>
      <c r="AE810" s="66"/>
      <c r="AF810" s="66"/>
      <c r="AG810" s="66"/>
      <c r="AH810" s="66"/>
      <c r="AI810" s="66"/>
      <c r="AJ810" s="66"/>
      <c r="AK810" s="66"/>
      <c r="AL810" s="66"/>
      <c r="AM810" s="66"/>
      <c r="AN810" s="66"/>
      <c r="AO810" s="66"/>
      <c r="AP810" s="66"/>
      <c r="AQ810" s="20"/>
      <c r="AR810" s="20"/>
      <c r="AS810" s="20"/>
      <c r="AT810" s="20"/>
      <c r="AU810" s="20"/>
      <c r="AV810" s="20"/>
      <c r="AW810" s="20"/>
      <c r="AX810" s="20"/>
      <c r="AY810" s="41" t="str">
        <f t="shared" si="246"/>
        <v>Incomplete</v>
      </c>
      <c r="AZ810" s="66"/>
      <c r="BA810" s="20" t="str">
        <f t="shared" si="247"/>
        <v>Incomplete</v>
      </c>
      <c r="BB810" s="66"/>
      <c r="BC810" s="20" t="str">
        <f t="shared" si="248"/>
        <v>Incomplete</v>
      </c>
      <c r="BD810" s="66"/>
      <c r="BE810" s="20" t="str">
        <f t="shared" si="249"/>
        <v>Incomplete</v>
      </c>
      <c r="BF810" s="66"/>
      <c r="BG810" s="66">
        <v>12.2</v>
      </c>
      <c r="BH810" s="20"/>
      <c r="BI810" s="20" t="str">
        <f>IF(OR(ISBLANK(#REF!), ISBLANK(BH810)),"Incomplete",(SUM(BH810-#REF!)))</f>
        <v>Incomplete</v>
      </c>
      <c r="BJ810" s="66"/>
      <c r="BK810" s="66"/>
      <c r="BL810" s="66"/>
      <c r="BM810" s="66"/>
      <c r="BN810" s="66"/>
      <c r="BO810" s="66"/>
      <c r="BP810" s="66"/>
      <c r="BQ810" s="66"/>
      <c r="BR810" s="66"/>
      <c r="BS810" s="66"/>
      <c r="BT810" s="66"/>
      <c r="BU810" s="66"/>
      <c r="BV810" s="66"/>
      <c r="BW810" s="91" t="str">
        <f t="shared" si="250"/>
        <v>Incomplete</v>
      </c>
      <c r="BX810" s="91" t="str">
        <f>_xlfn.XLOOKUP(BW810,'Normative data'!$V$3:$V$6,'Normative data'!$W$3:$W$6,"Not Found",-1)</f>
        <v>Very low risk</v>
      </c>
      <c r="BY810" s="91" t="str">
        <f t="shared" si="251"/>
        <v>Incomplete</v>
      </c>
      <c r="BZ810" s="91" t="str">
        <f>_xlfn.XLOOKUP(BY810,'Normative data'!$V$3:$V$6,'Normative data'!$W$3:$W$6,"Not Found",-1)</f>
        <v>Very low risk</v>
      </c>
      <c r="CA810" s="66"/>
      <c r="CB810" s="66"/>
      <c r="CC810" s="20"/>
      <c r="CD810" s="66"/>
      <c r="CE810" s="66">
        <v>3</v>
      </c>
      <c r="CF810" s="66"/>
      <c r="CG810" s="20">
        <v>18.16</v>
      </c>
      <c r="CH810" s="20" t="str">
        <f>_xlfn.XLOOKUP(CG810, 'Normative data'!$S$9:$S$15,'Normative data'!$T$9:$T$15, "Not Found", -1)</f>
        <v>Average</v>
      </c>
      <c r="CI810" s="20">
        <v>18.73</v>
      </c>
      <c r="CJ810" s="20" t="str">
        <f>_xlfn.XLOOKUP(CI810, 'Normative data'!$S$9:$S$15, 'Normative data'!$T$9:$T$15, "Not Found", -1)</f>
        <v>Average</v>
      </c>
      <c r="CK810" s="21">
        <v>2.36</v>
      </c>
      <c r="CL810" s="21">
        <v>4.24</v>
      </c>
      <c r="CM810" s="21"/>
      <c r="CN810" s="21">
        <v>6.92</v>
      </c>
      <c r="CO810" s="21">
        <v>7.23</v>
      </c>
      <c r="CP810" s="68"/>
      <c r="CQ810" s="68"/>
      <c r="CR810" s="20" t="str" cm="1">
        <f t="array" ref="CR810">IF(OR(ISBLANK(E810),ISBLANK(CQ810)),"Incomplete",_xlfn.XLOOKUP(CQ810,_xlfn.XLOOKUP(E810,'Normative data'!$Y$3:$Y$6,'Normative data'!$Z$3:$AG$6,,-1),'Normative data'!$Z$2:$AG$2,"Not Found",-1))</f>
        <v>Incomplete</v>
      </c>
      <c r="CS810" s="68"/>
      <c r="CT810" s="66"/>
      <c r="CU810" s="20" t="str" cm="1">
        <f t="array" ref="CU810">_xlfn.XLOOKUP(CS810&amp;CT810,(VLOOKUP!$A$3:$A$250)&amp;(VLOOKUP!$B$3:$B$250),VLOOKUP!$C$3:$C$250,"Incomplete",-1)</f>
        <v>Incomplete</v>
      </c>
      <c r="CV810" s="20" t="str" cm="1">
        <f t="array" ref="CV810">_xlfn.XLOOKUP(CU810, _xlfn.XLOOKUP(E810, 'Normative data'!$Y$11:$Y$14, 'Normative data'!$Z$11:$AG$14, ,-1), 'Normative data'!$Z$10:$AG$10, "Not Found", -1)</f>
        <v>Excellent</v>
      </c>
      <c r="CW810" s="20" t="str" cm="1">
        <f t="array" ref="CW810">IF(OR(ISBLANK(CS810),ISBLANK(CT810)),"Incomplete",_xlfn.XLOOKUP(CS810&amp;CT810,VLOOKUP!$A$4:$A$250&amp;VLOOKUP!$B$4:$B$250,VLOOKUP!$D$4:$D$250,"0"))</f>
        <v>Incomplete</v>
      </c>
    </row>
    <row r="811" spans="1:101">
      <c r="A811" s="64" t="s">
        <v>1469</v>
      </c>
      <c r="B811" s="64" t="s">
        <v>1470</v>
      </c>
      <c r="C811" s="64" t="s">
        <v>86</v>
      </c>
      <c r="D811" s="96">
        <v>39841</v>
      </c>
      <c r="E811" s="64"/>
      <c r="F811" s="64"/>
      <c r="G811" s="64">
        <v>2026</v>
      </c>
      <c r="H811" s="66" t="s">
        <v>114</v>
      </c>
      <c r="I811" s="64">
        <v>1</v>
      </c>
      <c r="J811" s="64"/>
      <c r="K811" s="64"/>
      <c r="L811" s="64"/>
      <c r="M811" s="64"/>
      <c r="N811" s="64"/>
      <c r="O811" s="64"/>
      <c r="P811" s="64"/>
      <c r="Q811" s="64"/>
      <c r="R811" s="64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  <c r="AD811" s="66"/>
      <c r="AE811" s="66"/>
      <c r="AF811" s="66"/>
      <c r="AG811" s="66"/>
      <c r="AH811" s="66"/>
      <c r="AI811" s="66"/>
      <c r="AJ811" s="66"/>
      <c r="AK811" s="66"/>
      <c r="AL811" s="66"/>
      <c r="AM811" s="66"/>
      <c r="AN811" s="66"/>
      <c r="AO811" s="66"/>
      <c r="AP811" s="66"/>
      <c r="AQ811" s="20" t="s">
        <v>1471</v>
      </c>
      <c r="AR811" s="20" t="s">
        <v>1472</v>
      </c>
      <c r="AS811" s="20" t="s">
        <v>1473</v>
      </c>
      <c r="AT811" s="20" t="s">
        <v>1161</v>
      </c>
      <c r="AU811" s="20" t="s">
        <v>842</v>
      </c>
      <c r="AV811" s="20" t="s">
        <v>843</v>
      </c>
      <c r="AW811" s="20" t="s">
        <v>1153</v>
      </c>
      <c r="AX811" s="20" t="s">
        <v>1154</v>
      </c>
      <c r="AY811" s="41" t="str">
        <f t="shared" si="246"/>
        <v>Incomplete</v>
      </c>
      <c r="AZ811" s="66"/>
      <c r="BA811" s="20" t="str">
        <f t="shared" si="247"/>
        <v>Incomplete</v>
      </c>
      <c r="BB811" s="66"/>
      <c r="BC811" s="20" t="str">
        <f t="shared" si="248"/>
        <v>Incomplete</v>
      </c>
      <c r="BD811" s="66"/>
      <c r="BE811" s="20" t="str">
        <f t="shared" si="249"/>
        <v>Incomplete</v>
      </c>
      <c r="BF811" s="66"/>
      <c r="BG811" s="66"/>
      <c r="BH811" s="66"/>
      <c r="BI811" s="20" t="str">
        <f t="shared" ref="BI811:BI816" si="252">IF(OR(ISBLANK(BG811), ISBLANK(BH811)),"Incomplete",(SUM(BH811-BG811)))</f>
        <v>Incomplete</v>
      </c>
      <c r="BJ811" s="66"/>
      <c r="BK811" s="66"/>
      <c r="BL811" s="66"/>
      <c r="BM811" s="66"/>
      <c r="BN811" s="66"/>
      <c r="BO811" s="66"/>
      <c r="BP811" s="66"/>
      <c r="BQ811" s="66"/>
      <c r="BR811" s="66"/>
      <c r="BS811" s="66"/>
      <c r="BT811" s="66"/>
      <c r="BU811" s="66"/>
      <c r="BV811" s="66"/>
      <c r="BW811" s="91" t="str">
        <f t="shared" si="250"/>
        <v>Incomplete</v>
      </c>
      <c r="BX811" s="91" t="str">
        <f>_xlfn.XLOOKUP(BW811,'Normative data'!$V$3:$V$6,'Normative data'!$W$3:$W$6,"Not Found",-1)</f>
        <v>Very low risk</v>
      </c>
      <c r="BY811" s="91" t="str">
        <f t="shared" si="251"/>
        <v>Incomplete</v>
      </c>
      <c r="BZ811" s="91" t="str">
        <f>_xlfn.XLOOKUP(BY811,'Normative data'!$V$3:$V$6,'Normative data'!$W$3:$W$6,"Not Found",-1)</f>
        <v>Very low risk</v>
      </c>
      <c r="CA811" s="66"/>
      <c r="CB811" s="66"/>
      <c r="CC811" s="20"/>
      <c r="CD811" s="66"/>
      <c r="CE811" s="66"/>
      <c r="CF811" s="66"/>
      <c r="CG811" s="20"/>
      <c r="CH811" s="20" t="str">
        <f>_xlfn.XLOOKUP(CG811, 'Normative data'!$S$9:$S$15,'Normative data'!$T$9:$T$15, "Not Found", -1)</f>
        <v>not completed</v>
      </c>
      <c r="CI811" s="20"/>
      <c r="CJ811" s="20" t="str">
        <f>_xlfn.XLOOKUP(CI811, 'Normative data'!$S$9:$S$15, 'Normative data'!$T$9:$T$15, "Not Found", -1)</f>
        <v>not completed</v>
      </c>
      <c r="CK811" s="66" t="s">
        <v>497</v>
      </c>
      <c r="CL811" s="66" t="s">
        <v>498</v>
      </c>
      <c r="CM811" s="66"/>
      <c r="CN811" s="66" t="s">
        <v>424</v>
      </c>
      <c r="CO811" s="66" t="s">
        <v>425</v>
      </c>
      <c r="CP811" s="68"/>
      <c r="CQ811" s="68"/>
      <c r="CR811" s="20" t="str" cm="1">
        <f t="array" ref="CR811">IF(OR(ISBLANK(E811),ISBLANK(CQ811)),"Incomplete",_xlfn.XLOOKUP(CQ811,_xlfn.XLOOKUP(E811,'Normative data'!$Y$3:$Y$6,'Normative data'!$Z$3:$AG$6,,-1),'Normative data'!$Z$2:$AG$2,"Not Found",-1))</f>
        <v>Incomplete</v>
      </c>
      <c r="CS811" s="68"/>
      <c r="CT811" s="66"/>
      <c r="CU811" s="20" t="str" cm="1">
        <f t="array" ref="CU811">_xlfn.XLOOKUP(CS811&amp;CT811,(VLOOKUP!$A$3:$A$250)&amp;(VLOOKUP!$B$3:$B$250),VLOOKUP!$C$3:$C$250,"Incomplete",-1)</f>
        <v>Incomplete</v>
      </c>
      <c r="CV811" s="20" t="str" cm="1">
        <f t="array" ref="CV811">_xlfn.XLOOKUP(CU811, _xlfn.XLOOKUP(E811, 'Normative data'!$Y$11:$Y$14, 'Normative data'!$Z$11:$AG$14, ,-1), 'Normative data'!$Z$10:$AG$10, "Not Found", -1)</f>
        <v>Excellent</v>
      </c>
      <c r="CW811" s="20" t="str" cm="1">
        <f t="array" ref="CW811">IF(OR(ISBLANK(CS811),ISBLANK(CT811)),"Incomplete",_xlfn.XLOOKUP(CS811&amp;CT811,VLOOKUP!$A$4:$A$250&amp;VLOOKUP!$B$4:$B$250,VLOOKUP!$D$4:$D$250,"0"))</f>
        <v>Incomplete</v>
      </c>
    </row>
    <row r="812" spans="1:101">
      <c r="A812" s="64" t="s">
        <v>1469</v>
      </c>
      <c r="B812" s="64" t="s">
        <v>1474</v>
      </c>
      <c r="C812" s="64" t="s">
        <v>86</v>
      </c>
      <c r="D812" s="96">
        <v>39841</v>
      </c>
      <c r="E812" s="64"/>
      <c r="F812" s="64"/>
      <c r="G812" s="64">
        <v>2026</v>
      </c>
      <c r="H812" s="66" t="s">
        <v>114</v>
      </c>
      <c r="I812" s="64">
        <v>1</v>
      </c>
      <c r="J812" s="64"/>
      <c r="K812" s="64"/>
      <c r="L812" s="64"/>
      <c r="M812" s="64"/>
      <c r="N812" s="64"/>
      <c r="O812" s="64"/>
      <c r="P812" s="64"/>
      <c r="Q812" s="64"/>
      <c r="R812" s="64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  <c r="AD812" s="66"/>
      <c r="AE812" s="66"/>
      <c r="AF812" s="66"/>
      <c r="AG812" s="66"/>
      <c r="AH812" s="66"/>
      <c r="AI812" s="66"/>
      <c r="AJ812" s="66"/>
      <c r="AK812" s="66"/>
      <c r="AL812" s="66"/>
      <c r="AM812" s="66"/>
      <c r="AN812" s="66"/>
      <c r="AO812" s="66"/>
      <c r="AP812" s="66"/>
      <c r="AQ812" s="20">
        <v>21.1</v>
      </c>
      <c r="AR812" s="20">
        <v>0.41499999999999998</v>
      </c>
      <c r="AS812" s="20">
        <v>28</v>
      </c>
      <c r="AT812" s="20">
        <v>0.47799999999999998</v>
      </c>
      <c r="AU812" s="20">
        <v>14.3</v>
      </c>
      <c r="AV812" s="20">
        <v>0.34100000000000003</v>
      </c>
      <c r="AW812" s="20">
        <v>15.4</v>
      </c>
      <c r="AX812" s="20">
        <v>0.35399999999999998</v>
      </c>
      <c r="AY812" s="41" t="str">
        <f t="shared" si="246"/>
        <v>Incomplete</v>
      </c>
      <c r="AZ812" s="66"/>
      <c r="BA812" s="20" t="str">
        <f t="shared" si="247"/>
        <v>Incomplete</v>
      </c>
      <c r="BB812" s="66"/>
      <c r="BC812" s="20" t="str">
        <f t="shared" si="248"/>
        <v>Incomplete</v>
      </c>
      <c r="BD812" s="66"/>
      <c r="BE812" s="20" t="str">
        <f t="shared" si="249"/>
        <v>Incomplete</v>
      </c>
      <c r="BF812" s="66"/>
      <c r="BG812" s="66">
        <v>8</v>
      </c>
      <c r="BH812" s="66">
        <v>34</v>
      </c>
      <c r="BI812" s="20">
        <f t="shared" si="252"/>
        <v>26</v>
      </c>
      <c r="BJ812" s="66"/>
      <c r="BK812" s="66"/>
      <c r="BL812" s="66"/>
      <c r="BM812" s="20"/>
      <c r="BN812" s="66"/>
      <c r="BO812" s="66"/>
      <c r="BP812" s="66"/>
      <c r="BQ812" s="66"/>
      <c r="BR812" s="66"/>
      <c r="BS812" s="66"/>
      <c r="BT812" s="66"/>
      <c r="BU812" s="66"/>
      <c r="BV812" s="66"/>
      <c r="BW812" s="91" t="str">
        <f t="shared" si="250"/>
        <v>Incomplete</v>
      </c>
      <c r="BX812" s="91" t="str">
        <f>_xlfn.XLOOKUP(BW812,'Normative data'!$V$3:$V$6,'Normative data'!$W$3:$W$6,"Not Found",-1)</f>
        <v>Very low risk</v>
      </c>
      <c r="BY812" s="91" t="str">
        <f t="shared" si="251"/>
        <v>Incomplete</v>
      </c>
      <c r="BZ812" s="91" t="str">
        <f>_xlfn.XLOOKUP(BY812,'Normative data'!$V$3:$V$6,'Normative data'!$W$3:$W$6,"Not Found",-1)</f>
        <v>Very low risk</v>
      </c>
      <c r="CA812" s="66"/>
      <c r="CB812" s="66"/>
      <c r="CC812" s="20">
        <v>60</v>
      </c>
      <c r="CD812" s="66"/>
      <c r="CE812" s="66">
        <v>20</v>
      </c>
      <c r="CF812" s="66"/>
      <c r="CG812" s="66"/>
      <c r="CH812" s="20" t="str">
        <f>_xlfn.XLOOKUP(CG812, 'Normative data'!$S$9:$S$15,'Normative data'!$T$9:$T$15, "Not Found", -1)</f>
        <v>not completed</v>
      </c>
      <c r="CI812" s="66"/>
      <c r="CJ812" s="20" t="str">
        <f>_xlfn.XLOOKUP(CI812, 'Normative data'!$S$9:$S$15, 'Normative data'!$T$9:$T$15, "Not Found", -1)</f>
        <v>not completed</v>
      </c>
      <c r="CK812" s="66">
        <v>2.23</v>
      </c>
      <c r="CL812" s="66">
        <v>4.4800000000000004</v>
      </c>
      <c r="CM812" s="66"/>
      <c r="CN812" s="66">
        <v>6.81</v>
      </c>
      <c r="CO812" s="66">
        <v>7.34</v>
      </c>
      <c r="CP812" s="68"/>
      <c r="CQ812" s="121" t="s">
        <v>1475</v>
      </c>
      <c r="CR812" s="20" t="str" cm="1">
        <f t="array" ref="CR812">IF(OR(ISBLANK(E812),ISBLANK(CQ812)),"Incomplete",_xlfn.XLOOKUP(CQ812,_xlfn.XLOOKUP(E812,'Normative data'!$Y$3:$Y$6,'Normative data'!$Z$3:$AG$6,,-1),'Normative data'!$Z$2:$AG$2,"Not Found",-1))</f>
        <v>Incomplete</v>
      </c>
      <c r="CS812" s="68">
        <v>9</v>
      </c>
      <c r="CT812" s="66">
        <v>2</v>
      </c>
      <c r="CU812" s="20" cm="1">
        <f t="array" ref="CU812">_xlfn.XLOOKUP(CS812&amp;CT812,(VLOOKUP!$A$3:$A$250)&amp;(VLOOKUP!$B$3:$B$250),VLOOKUP!$C$3:$C$250,"Incomplete",-1)</f>
        <v>1480</v>
      </c>
      <c r="CV812" s="20" t="str" cm="1">
        <f t="array" ref="CV812">_xlfn.XLOOKUP(CU812, _xlfn.XLOOKUP(E812, 'Normative data'!$Y$11:$Y$14, 'Normative data'!$Z$11:$AG$14, ,-1), 'Normative data'!$Z$10:$AG$10, "Not Found", -1)</f>
        <v>Average</v>
      </c>
      <c r="CW812" s="20" cm="1">
        <f t="array" ref="CW812">IF(OR(ISBLANK(CS812),ISBLANK(CT812)),"Incomplete",_xlfn.XLOOKUP(CS812&amp;CT812,VLOOKUP!$A$4:$A$250&amp;VLOOKUP!$B$4:$B$250,VLOOKUP!$D$4:$D$250,"0"))</f>
        <v>44</v>
      </c>
    </row>
    <row r="813" spans="1:101">
      <c r="A813" s="64" t="s">
        <v>1476</v>
      </c>
      <c r="B813" s="64" t="s">
        <v>1474</v>
      </c>
      <c r="C813" s="64" t="s">
        <v>86</v>
      </c>
      <c r="D813" s="96">
        <v>39841</v>
      </c>
      <c r="E813" s="64"/>
      <c r="F813" s="64"/>
      <c r="G813" s="64">
        <v>2025</v>
      </c>
      <c r="H813" s="66"/>
      <c r="I813" s="64"/>
      <c r="J813" s="64" t="s">
        <v>122</v>
      </c>
      <c r="K813" s="64"/>
      <c r="L813" s="64"/>
      <c r="M813" s="64"/>
      <c r="N813" s="64"/>
      <c r="O813" s="64"/>
      <c r="P813" s="64"/>
      <c r="Q813" s="64"/>
      <c r="R813" s="64"/>
      <c r="S813" s="66"/>
      <c r="T813" s="66" t="s">
        <v>325</v>
      </c>
      <c r="U813" s="66" t="s">
        <v>1477</v>
      </c>
      <c r="V813" s="66"/>
      <c r="W813" s="66"/>
      <c r="X813" s="66"/>
      <c r="Y813" s="66"/>
      <c r="Z813" s="66"/>
      <c r="AA813" s="66"/>
      <c r="AB813" s="66"/>
      <c r="AC813" s="66"/>
      <c r="AD813" s="66"/>
      <c r="AE813" s="66"/>
      <c r="AF813" s="66"/>
      <c r="AG813" s="66"/>
      <c r="AH813" s="66"/>
      <c r="AI813" s="66"/>
      <c r="AJ813" s="66"/>
      <c r="AK813" s="66"/>
      <c r="AL813" s="66"/>
      <c r="AM813" s="66"/>
      <c r="AN813" s="66"/>
      <c r="AO813" s="66"/>
      <c r="AP813" s="66"/>
      <c r="AQ813" s="20"/>
      <c r="AR813" s="20"/>
      <c r="AS813" s="20" t="s">
        <v>1473</v>
      </c>
      <c r="AT813" s="20" t="s">
        <v>1161</v>
      </c>
      <c r="AU813" s="20" t="s">
        <v>842</v>
      </c>
      <c r="AV813" s="20" t="s">
        <v>843</v>
      </c>
      <c r="AW813" s="20" t="s">
        <v>1153</v>
      </c>
      <c r="AX813" s="20" t="s">
        <v>1154</v>
      </c>
      <c r="AY813" s="41" t="str">
        <f>IF(OR(ISBLANK(#REF!), ISBLANK(AQ813)), "Incomplete", (60.7*AQ813)+(45.3*#REF!)-2055)</f>
        <v>Incomplete</v>
      </c>
      <c r="AZ813" s="66"/>
      <c r="BA813" s="20" t="e">
        <f>IF(OR(ISBLANK(#REF!), ISBLANK(#REF!)), "Incomplete", (60.7*#REF!)+(45.3*#REF!)-2055)</f>
        <v>#REF!</v>
      </c>
      <c r="BB813" s="66"/>
      <c r="BC813" s="20" t="e">
        <f>IF(OR(ISBLANK(#REF!), ISBLANK(#REF!)), "Incomplete", (60.7*#REF!)+(45.3*#REF!)-2055)</f>
        <v>#REF!</v>
      </c>
      <c r="BD813" s="66"/>
      <c r="BE813" s="20" t="e">
        <f>IF(OR(ISBLANK(#REF!), ISBLANK(#REF!)), "Incomplete", (60.7*#REF!)+(45.3*#REF!)-2055)</f>
        <v>#REF!</v>
      </c>
      <c r="BF813" s="66"/>
      <c r="BG813" s="66"/>
      <c r="BH813" s="66"/>
      <c r="BI813" s="20" t="str">
        <f t="shared" si="252"/>
        <v>Incomplete</v>
      </c>
      <c r="BJ813" s="66"/>
      <c r="BK813" s="66"/>
      <c r="BL813" s="66"/>
      <c r="BM813" s="66"/>
      <c r="BN813" s="66"/>
      <c r="BO813" s="66"/>
      <c r="BP813" s="66"/>
      <c r="BQ813" s="66"/>
      <c r="BR813" s="66"/>
      <c r="BS813" s="66"/>
      <c r="BT813" s="66"/>
      <c r="BU813" s="66"/>
      <c r="BV813" s="66"/>
      <c r="BW813" s="91" t="str">
        <f>IFERROR(SUM(BQ813+BR813+BS813)/(3*(#REF!-S813))*100, "Incomplete")</f>
        <v>Incomplete</v>
      </c>
      <c r="BX813" s="91" t="str">
        <f>_xlfn.XLOOKUP(BW813,'Normative data'!$V$3:$V$6,'Normative data'!$W$3:$W$6,"Not Found",-1)</f>
        <v>Very low risk</v>
      </c>
      <c r="BY813" s="91" t="str">
        <f>IFERROR(SUM(BT813+BU813+BV813)/(3*(#REF!-S813))*100, "Incomplete")</f>
        <v>Incomplete</v>
      </c>
      <c r="BZ813" s="91" t="str">
        <f>_xlfn.XLOOKUP(BY813,'Normative data'!$V$3:$V$6,'Normative data'!$W$3:$W$6,"Not Found",-1)</f>
        <v>Very low risk</v>
      </c>
      <c r="CA813" s="20"/>
      <c r="CB813" s="66"/>
      <c r="CC813" s="20"/>
      <c r="CD813" s="66"/>
      <c r="CE813" s="66"/>
      <c r="CF813" s="66"/>
      <c r="CG813" s="66"/>
      <c r="CH813" s="20" t="str">
        <f>_xlfn.XLOOKUP(CG813, 'Normative data'!$S$9:$S$15,'Normative data'!$T$9:$T$15, "Not Found", -1)</f>
        <v>not completed</v>
      </c>
      <c r="CI813" s="66"/>
      <c r="CJ813" s="20" t="str">
        <f>_xlfn.XLOOKUP(CI813, 'Normative data'!$S$9:$S$15, 'Normative data'!$T$9:$T$15, "Not Found", -1)</f>
        <v>not completed</v>
      </c>
      <c r="CK813" s="66" t="s">
        <v>497</v>
      </c>
      <c r="CL813" s="66" t="s">
        <v>498</v>
      </c>
      <c r="CM813" s="66"/>
      <c r="CN813" s="66" t="s">
        <v>424</v>
      </c>
      <c r="CO813" s="66" t="s">
        <v>425</v>
      </c>
      <c r="CP813" s="68"/>
      <c r="CQ813" s="68"/>
      <c r="CR813" s="20" t="str" cm="1">
        <f t="array" ref="CR813">IF(OR(ISBLANK(E813),ISBLANK(CQ813)),"Incomplete",_xlfn.XLOOKUP(CQ813,_xlfn.XLOOKUP(E813,'Normative data'!$Y$3:$Y$6,'Normative data'!$Z$3:$AG$6,,-1),'Normative data'!$Z$2:$AG$2,"Not Found",-1))</f>
        <v>Incomplete</v>
      </c>
      <c r="CS813" s="68"/>
      <c r="CT813" s="66"/>
      <c r="CU813" s="20" t="str" cm="1">
        <f t="array" ref="CU813">_xlfn.XLOOKUP(CS813&amp;CT813,(VLOOKUP!$A$3:$A$250)&amp;(VLOOKUP!$B$3:$B$250),VLOOKUP!$C$3:$C$250,"Incomplete",-1)</f>
        <v>Incomplete</v>
      </c>
      <c r="CV813" s="20" t="str" cm="1">
        <f t="array" ref="CV813">_xlfn.XLOOKUP(CU813, _xlfn.XLOOKUP(E813, 'Normative data'!$Y$11:$Y$14, 'Normative data'!$Z$11:$AG$14, ,-1), 'Normative data'!$Z$10:$AG$10, "Not Found", -1)</f>
        <v>Excellent</v>
      </c>
      <c r="CW813" s="20" t="str" cm="1">
        <f t="array" ref="CW813">IF(OR(ISBLANK(CS813),ISBLANK(CT813)),"Incomplete",_xlfn.XLOOKUP(CS813&amp;CT813,VLOOKUP!$A$4:$A$250&amp;VLOOKUP!$B$4:$B$250,VLOOKUP!$D$4:$D$250,"0"))</f>
        <v>Incomplete</v>
      </c>
    </row>
    <row r="814" spans="1:101">
      <c r="A814" s="64" t="s">
        <v>912</v>
      </c>
      <c r="B814" s="64" t="s">
        <v>911</v>
      </c>
      <c r="C814" s="64" t="s">
        <v>86</v>
      </c>
      <c r="D814" s="65"/>
      <c r="E814" s="64"/>
      <c r="F814" s="66" t="s">
        <v>99</v>
      </c>
      <c r="G814" s="64">
        <v>2026</v>
      </c>
      <c r="H814" s="66"/>
      <c r="I814" s="66">
        <v>2</v>
      </c>
      <c r="J814" s="66"/>
      <c r="K814" s="66"/>
      <c r="L814" s="66"/>
      <c r="M814" s="64"/>
      <c r="N814" s="64"/>
      <c r="O814" s="64"/>
      <c r="P814" s="64"/>
      <c r="Q814" s="64"/>
      <c r="R814" s="64"/>
      <c r="S814" s="66">
        <v>83</v>
      </c>
      <c r="T814" s="66">
        <v>159.30000000000001</v>
      </c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  <c r="AG814" s="64"/>
      <c r="AH814" s="64"/>
      <c r="AI814" s="64"/>
      <c r="AJ814" s="64"/>
      <c r="AK814" s="64"/>
      <c r="AL814" s="64"/>
      <c r="AM814" s="64"/>
      <c r="AN814" s="64"/>
      <c r="AO814" s="64"/>
      <c r="AP814" s="64"/>
      <c r="AQ814" s="20"/>
      <c r="AR814" s="20"/>
      <c r="AS814" s="20"/>
      <c r="AT814" s="20"/>
      <c r="AU814" s="20"/>
      <c r="AV814" s="20"/>
      <c r="AW814" s="20"/>
      <c r="AX814" s="20"/>
      <c r="AY814" s="41" t="str">
        <f>IF(OR(ISBLANK(U814), ISBLANK(AQ814)), "Incomplete", (60.7*AQ814)+(45.3*U814)-2055)</f>
        <v>Incomplete</v>
      </c>
      <c r="AZ814" s="64"/>
      <c r="BA814" s="20" t="str">
        <f>IF(OR(ISBLANK(U814), ISBLANK(AS814)), "Incomplete", (60.7*AS814)+(45.3*U814)-2055)</f>
        <v>Incomplete</v>
      </c>
      <c r="BB814" s="64"/>
      <c r="BC814" s="20" t="str">
        <f>IF(OR(ISBLANK(U814), ISBLANK(AU814)), "Incomplete", (60.7*AU814)+(45.3*U814)-2055)</f>
        <v>Incomplete</v>
      </c>
      <c r="BD814" s="64"/>
      <c r="BE814" s="20" t="str">
        <f>IF(OR(ISBLANK(U814), ISBLANK(AW814)), "Incomplete", (60.7*AW814)+(45.3*U814)-2055)</f>
        <v>Incomplete</v>
      </c>
      <c r="BF814" s="64"/>
      <c r="BG814" s="64">
        <v>16</v>
      </c>
      <c r="BH814" s="64">
        <v>38.6</v>
      </c>
      <c r="BI814" s="20">
        <f t="shared" si="252"/>
        <v>22.6</v>
      </c>
      <c r="BJ814" s="66"/>
      <c r="BK814" s="64"/>
      <c r="BL814" s="66"/>
      <c r="BM814" s="66"/>
      <c r="BN814" s="66"/>
      <c r="BO814" s="64"/>
      <c r="BP814" s="64"/>
      <c r="BQ814" s="64">
        <v>70</v>
      </c>
      <c r="BR814" s="64">
        <v>60</v>
      </c>
      <c r="BS814" s="64">
        <v>63</v>
      </c>
      <c r="BT814" s="64">
        <v>70</v>
      </c>
      <c r="BU814" s="64">
        <v>68</v>
      </c>
      <c r="BV814" s="64">
        <v>59</v>
      </c>
      <c r="BW814" s="91">
        <f t="shared" ref="BW814:BW819" si="253">IFERROR(SUM(BQ814+BR814+BS814)/(3*(T814-S814))*100, "Incomplete")</f>
        <v>84.316295325469625</v>
      </c>
      <c r="BX814" s="91" t="str">
        <f>_xlfn.XLOOKUP(BW814,'Normative data'!$V$3:$V$6,'Normative data'!$W$3:$W$6,"Not Found",-1)</f>
        <v>High risk</v>
      </c>
      <c r="BY814" s="91">
        <f t="shared" ref="BY814:BY819" si="254">IFERROR(SUM(BT814+BU814+BV814)/(3*(T814-S814))*100, "Incomplete")</f>
        <v>86.063783311489715</v>
      </c>
      <c r="BZ814" s="91" t="str">
        <f>_xlfn.XLOOKUP(BY814,'Normative data'!$V$3:$V$6,'Normative data'!$W$3:$W$6,"Not Found",-1)</f>
        <v>High risk</v>
      </c>
      <c r="CA814" s="64"/>
      <c r="CB814" s="66"/>
      <c r="CD814" s="66"/>
      <c r="CE814" s="64"/>
      <c r="CF814" s="66"/>
      <c r="CG814" s="66"/>
      <c r="CH814" s="20" t="str">
        <f>_xlfn.XLOOKUP(CG814, 'Normative data'!$S$9:$S$15,'Normative data'!$T$9:$T$15, "Not Found", -1)</f>
        <v>not completed</v>
      </c>
      <c r="CI814" s="66"/>
      <c r="CJ814" s="20" t="str">
        <f>_xlfn.XLOOKUP(CI814, 'Normative data'!$S$9:$S$15, 'Normative data'!$T$9:$T$15, "Not Found", -1)</f>
        <v>not completed</v>
      </c>
      <c r="CK814" s="105"/>
      <c r="CL814" s="105"/>
      <c r="CM814" s="105"/>
      <c r="CN814" s="105"/>
      <c r="CO814" s="105"/>
      <c r="CP814" s="68"/>
      <c r="CQ814" s="67"/>
      <c r="CR814" s="20" t="str" cm="1">
        <f t="array" ref="CR814">IF(OR(ISBLANK(E814),ISBLANK(CQ814)),"Incomplete",_xlfn.XLOOKUP(CQ814,_xlfn.XLOOKUP(E814,'Normative data'!$Y$3:$Y$6,'Normative data'!$Z$3:$AG$6,,-1),'Normative data'!$Z$2:$AG$2,"Not Found",-1))</f>
        <v>Incomplete</v>
      </c>
      <c r="CS814" s="68"/>
      <c r="CT814" s="66"/>
      <c r="CU814" s="20" t="str" cm="1">
        <f t="array" ref="CU814">_xlfn.XLOOKUP(CS814&amp;CT814,(VLOOKUP!$A$3:$A$250)&amp;(VLOOKUP!$B$3:$B$250),VLOOKUP!$C$3:$C$250,"Incomplete",-1)</f>
        <v>Incomplete</v>
      </c>
      <c r="CV814" s="20" t="str" cm="1">
        <f t="array" ref="CV814">_xlfn.XLOOKUP(CU814, _xlfn.XLOOKUP(E814, 'Normative data'!$Y$11:$Y$14, 'Normative data'!$Z$11:$AG$14, ,-1), 'Normative data'!$Z$10:$AG$10, "Not Found", -1)</f>
        <v>Excellent</v>
      </c>
      <c r="CW814" s="20" t="str" cm="1">
        <f t="array" ref="CW814">IF(OR(ISBLANK(CS814),ISBLANK(CT814)),"Incomplete",_xlfn.XLOOKUP(CS814&amp;CT814,VLOOKUP!$A$4:$A$250&amp;VLOOKUP!$B$4:$B$250,VLOOKUP!$D$4:$D$250,"0"))</f>
        <v>Incomplete</v>
      </c>
    </row>
    <row r="815" spans="1:101">
      <c r="A815" s="64" t="s">
        <v>1064</v>
      </c>
      <c r="B815" s="64" t="s">
        <v>1478</v>
      </c>
      <c r="C815" s="64" t="s">
        <v>86</v>
      </c>
      <c r="D815" s="65">
        <v>40230</v>
      </c>
      <c r="E815" s="64"/>
      <c r="F815" s="64"/>
      <c r="G815" s="64">
        <v>2025</v>
      </c>
      <c r="H815" s="66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  <c r="AD815" s="66"/>
      <c r="AE815" s="66"/>
      <c r="AF815" s="66"/>
      <c r="AG815" s="66"/>
      <c r="AH815" s="66"/>
      <c r="AI815" s="66"/>
      <c r="AJ815" s="66"/>
      <c r="AK815" s="66"/>
      <c r="AL815" s="66"/>
      <c r="AM815" s="66"/>
      <c r="AN815" s="66"/>
      <c r="AO815" s="66"/>
      <c r="AP815" s="66"/>
      <c r="AQ815" s="20"/>
      <c r="AR815" s="20"/>
      <c r="AS815" s="20"/>
      <c r="AT815" s="20"/>
      <c r="AU815" s="20"/>
      <c r="AV815" s="20"/>
      <c r="AW815" s="20"/>
      <c r="AX815" s="20"/>
      <c r="AY815" s="41" t="str">
        <f>IF(OR(ISBLANK(U815), ISBLANK(AQ815)), "Incomplete", (60.7*AQ815)+(45.3*U815)-2055)</f>
        <v>Incomplete</v>
      </c>
      <c r="AZ815" s="66"/>
      <c r="BA815" s="20" t="str">
        <f>IF(OR(ISBLANK(U815), ISBLANK(AS815)), "Incomplete", (60.7*AS815)+(45.3*U815)-2055)</f>
        <v>Incomplete</v>
      </c>
      <c r="BB815" s="66"/>
      <c r="BC815" s="20" t="str">
        <f>IF(OR(ISBLANK(U815), ISBLANK(AU815)), "Incomplete", (60.7*AU815)+(45.3*U815)-2055)</f>
        <v>Incomplete</v>
      </c>
      <c r="BD815" s="66"/>
      <c r="BE815" s="20" t="str">
        <f>IF(OR(ISBLANK(U815), ISBLANK(AW815)), "Incomplete", (60.7*AW815)+(45.3*U815)-2055)</f>
        <v>Incomplete</v>
      </c>
      <c r="BF815" s="66"/>
      <c r="BG815" s="66"/>
      <c r="BH815" s="66"/>
      <c r="BI815" s="20" t="str">
        <f t="shared" si="252"/>
        <v>Incomplete</v>
      </c>
      <c r="BJ815" s="66"/>
      <c r="BK815" s="66"/>
      <c r="BL815" s="66"/>
      <c r="BM815" s="66"/>
      <c r="BN815" s="66"/>
      <c r="BO815" s="66"/>
      <c r="BP815" s="66"/>
      <c r="BQ815" s="66"/>
      <c r="BR815" s="66"/>
      <c r="BS815" s="66"/>
      <c r="BT815" s="66"/>
      <c r="BU815" s="66"/>
      <c r="BV815" s="66"/>
      <c r="BW815" s="91" t="str">
        <f t="shared" si="253"/>
        <v>Incomplete</v>
      </c>
      <c r="BX815" s="91" t="str">
        <f>_xlfn.XLOOKUP(BW815,'Normative data'!$V$3:$V$6,'Normative data'!$W$3:$W$6,"Not Found",-1)</f>
        <v>Very low risk</v>
      </c>
      <c r="BY815" s="91" t="str">
        <f t="shared" si="254"/>
        <v>Incomplete</v>
      </c>
      <c r="BZ815" s="91" t="str">
        <f>_xlfn.XLOOKUP(BY815,'Normative data'!$V$3:$V$6,'Normative data'!$W$3:$W$6,"Not Found",-1)</f>
        <v>Very low risk</v>
      </c>
      <c r="CA815" s="20"/>
      <c r="CB815" s="66"/>
      <c r="CC815" s="20"/>
      <c r="CD815" s="66"/>
      <c r="CE815" s="66"/>
      <c r="CF815" s="66"/>
      <c r="CG815" s="66">
        <v>16.37</v>
      </c>
      <c r="CH815" s="20" t="str">
        <f>_xlfn.XLOOKUP(CG815, 'Normative data'!$S$9:$S$15,'Normative data'!$T$9:$T$15, "Not Found", -1)</f>
        <v>Excellent</v>
      </c>
      <c r="CI815" s="66">
        <v>16.66</v>
      </c>
      <c r="CJ815" s="20" t="str">
        <f>_xlfn.XLOOKUP(CI815, 'Normative data'!$S$9:$S$15, 'Normative data'!$T$9:$T$15, "Not Found", -1)</f>
        <v>Excellent</v>
      </c>
      <c r="CK815" s="66" t="s">
        <v>1073</v>
      </c>
      <c r="CL815" s="66" t="s">
        <v>1074</v>
      </c>
      <c r="CM815" s="105"/>
      <c r="CN815" s="66" t="s">
        <v>329</v>
      </c>
      <c r="CO815" s="66" t="s">
        <v>999</v>
      </c>
      <c r="CP815" s="68"/>
      <c r="CQ815" s="68"/>
      <c r="CR815" s="20" t="str" cm="1">
        <f t="array" ref="CR815">IF(OR(ISBLANK(E815),ISBLANK(CQ815)),"Incomplete",_xlfn.XLOOKUP(CQ815,_xlfn.XLOOKUP(E815,'Normative data'!$Y$3:$Y$6,'Normative data'!$Z$3:$AG$6,,-1),'Normative data'!$Z$2:$AG$2,"Not Found",-1))</f>
        <v>Incomplete</v>
      </c>
      <c r="CS815" s="68"/>
      <c r="CT815" s="66"/>
      <c r="CU815" s="20" t="str" cm="1">
        <f t="array" ref="CU815">_xlfn.XLOOKUP(CS815&amp;CT815,(VLOOKUP!$A$3:$A$250)&amp;(VLOOKUP!$B$3:$B$250),VLOOKUP!$C$3:$C$250,"Incomplete",-1)</f>
        <v>Incomplete</v>
      </c>
      <c r="CV815" s="20" t="str" cm="1">
        <f t="array" ref="CV815">_xlfn.XLOOKUP(CU815, _xlfn.XLOOKUP(E815, 'Normative data'!$Y$11:$Y$14, 'Normative data'!$Z$11:$AG$14, ,-1), 'Normative data'!$Z$10:$AG$10, "Not Found", -1)</f>
        <v>Excellent</v>
      </c>
      <c r="CW815" s="20" t="str" cm="1">
        <f t="array" ref="CW815">IF(OR(ISBLANK(CS815),ISBLANK(CT815)),"Incomplete",_xlfn.XLOOKUP(CS815&amp;CT815,VLOOKUP!$A$4:$A$250&amp;VLOOKUP!$B$4:$B$250,VLOOKUP!$D$4:$D$250,"0"))</f>
        <v>Incomplete</v>
      </c>
    </row>
    <row r="816" spans="1:101">
      <c r="A816" s="64" t="s">
        <v>1064</v>
      </c>
      <c r="B816" s="64" t="s">
        <v>1478</v>
      </c>
      <c r="C816" s="64" t="s">
        <v>86</v>
      </c>
      <c r="D816" s="65">
        <v>40230</v>
      </c>
      <c r="E816" s="64"/>
      <c r="F816" s="64"/>
      <c r="G816" s="64">
        <v>2025</v>
      </c>
      <c r="H816" s="66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  <c r="AD816" s="66"/>
      <c r="AE816" s="66"/>
      <c r="AF816" s="66"/>
      <c r="AG816" s="66"/>
      <c r="AH816" s="66"/>
      <c r="AI816" s="66"/>
      <c r="AJ816" s="66"/>
      <c r="AK816" s="66"/>
      <c r="AL816" s="66"/>
      <c r="AM816" s="66"/>
      <c r="AN816" s="66"/>
      <c r="AO816" s="66"/>
      <c r="AP816" s="66"/>
      <c r="AQ816" s="66"/>
      <c r="AR816" s="66"/>
      <c r="AS816" s="66"/>
      <c r="AT816" s="66"/>
      <c r="AU816" s="66"/>
      <c r="AV816" s="66"/>
      <c r="AW816" s="66"/>
      <c r="AX816" s="66"/>
      <c r="AY816" s="41" t="str">
        <f>IF(OR(ISBLANK(U816), ISBLANK(AQ816)), "Incomplete", (60.7*AQ816)+(45.3*U816)-2055)</f>
        <v>Incomplete</v>
      </c>
      <c r="AZ816" s="66"/>
      <c r="BA816" s="20" t="str">
        <f>IF(OR(ISBLANK(U816), ISBLANK(AS816)), "Incomplete", (60.7*AS816)+(45.3*U816)-2055)</f>
        <v>Incomplete</v>
      </c>
      <c r="BB816" s="66"/>
      <c r="BC816" s="20" t="str">
        <f>IF(OR(ISBLANK(U816), ISBLANK(AU816)), "Incomplete", (60.7*AU816)+(45.3*U816)-2055)</f>
        <v>Incomplete</v>
      </c>
      <c r="BD816" s="66"/>
      <c r="BE816" s="20" t="str">
        <f>IF(OR(ISBLANK(U816), ISBLANK(AW816)), "Incomplete", (60.7*AW816)+(45.3*U816)-2055)</f>
        <v>Incomplete</v>
      </c>
      <c r="BF816" s="66"/>
      <c r="BG816" s="66"/>
      <c r="BH816" s="66"/>
      <c r="BI816" s="20" t="str">
        <f t="shared" si="252"/>
        <v>Incomplete</v>
      </c>
      <c r="BJ816" s="66"/>
      <c r="BK816" s="66"/>
      <c r="BL816" s="66"/>
      <c r="BM816" s="66"/>
      <c r="BN816" s="66"/>
      <c r="BO816" s="66"/>
      <c r="BP816" s="66"/>
      <c r="BQ816" s="66"/>
      <c r="BR816" s="66"/>
      <c r="BS816" s="66"/>
      <c r="BT816" s="66"/>
      <c r="BU816" s="66"/>
      <c r="BV816" s="66"/>
      <c r="BW816" s="91" t="str">
        <f t="shared" si="253"/>
        <v>Incomplete</v>
      </c>
      <c r="BX816" s="91" t="str">
        <f>_xlfn.XLOOKUP(BW816,'Normative data'!$V$3:$V$6,'Normative data'!$W$3:$W$6,"Not Found",-1)</f>
        <v>Very low risk</v>
      </c>
      <c r="BY816" s="91" t="str">
        <f t="shared" si="254"/>
        <v>Incomplete</v>
      </c>
      <c r="BZ816" s="91" t="str">
        <f>_xlfn.XLOOKUP(BY816,'Normative data'!$V$3:$V$6,'Normative data'!$W$3:$W$6,"Not Found",-1)</f>
        <v>Very low risk</v>
      </c>
      <c r="CA816" s="66"/>
      <c r="CB816" s="66"/>
      <c r="CC816" s="20"/>
      <c r="CD816" s="66"/>
      <c r="CE816" s="66"/>
      <c r="CF816" s="66"/>
      <c r="CG816" s="66">
        <v>16.260000000000002</v>
      </c>
      <c r="CH816" s="20" t="str">
        <f>_xlfn.XLOOKUP(CG816, 'Normative data'!$S$9:$S$15,'Normative data'!$T$9:$T$15, "Not Found", -1)</f>
        <v>Excellent</v>
      </c>
      <c r="CI816" s="66">
        <v>16.62</v>
      </c>
      <c r="CJ816" s="20" t="str">
        <f>_xlfn.XLOOKUP(CI816, 'Normative data'!$S$9:$S$15, 'Normative data'!$T$9:$T$15, "Not Found", -1)</f>
        <v>Excellent</v>
      </c>
      <c r="CK816" s="105"/>
      <c r="CL816" s="105"/>
      <c r="CM816" s="105"/>
      <c r="CN816" s="105"/>
      <c r="CO816" s="105"/>
      <c r="CP816" s="68"/>
      <c r="CQ816" s="68"/>
      <c r="CR816" s="20" t="str" cm="1">
        <f t="array" ref="CR816">IF(OR(ISBLANK(E816),ISBLANK(CQ816)),"Incomplete",_xlfn.XLOOKUP(CQ816,_xlfn.XLOOKUP(E816,'Normative data'!$Y$3:$Y$6,'Normative data'!$Z$3:$AG$6,,-1),'Normative data'!$Z$2:$AG$2,"Not Found",-1))</f>
        <v>Incomplete</v>
      </c>
      <c r="CS816" s="68"/>
      <c r="CT816" s="66"/>
      <c r="CU816" s="20" t="str" cm="1">
        <f t="array" ref="CU816">_xlfn.XLOOKUP(CS816&amp;CT816,(VLOOKUP!$A$3:$A$250)&amp;(VLOOKUP!$B$3:$B$250),VLOOKUP!$C$3:$C$250,"Incomplete",-1)</f>
        <v>Incomplete</v>
      </c>
      <c r="CV816" s="20" t="str" cm="1">
        <f t="array" ref="CV816">_xlfn.XLOOKUP(CU816, _xlfn.XLOOKUP(E816, 'Normative data'!$Y$11:$Y$14, 'Normative data'!$Z$11:$AG$14, ,-1), 'Normative data'!$Z$10:$AG$10, "Not Found", -1)</f>
        <v>Excellent</v>
      </c>
      <c r="CW816" s="20" t="str" cm="1">
        <f t="array" ref="CW816">IF(OR(ISBLANK(CS816),ISBLANK(CT816)),"Incomplete",_xlfn.XLOOKUP(CS816&amp;CT816,VLOOKUP!$A$4:$A$250&amp;VLOOKUP!$B$4:$B$250,VLOOKUP!$D$4:$D$250,"0"))</f>
        <v>Incomplete</v>
      </c>
    </row>
    <row r="817" spans="1:101">
      <c r="A817" s="64" t="s">
        <v>1451</v>
      </c>
      <c r="B817" s="64" t="s">
        <v>1478</v>
      </c>
      <c r="C817" s="64" t="s">
        <v>86</v>
      </c>
      <c r="D817" s="65">
        <v>40230</v>
      </c>
      <c r="E817" s="64"/>
      <c r="F817" s="64"/>
      <c r="G817" s="64">
        <v>2025</v>
      </c>
      <c r="H817" s="66"/>
      <c r="I817" s="64"/>
      <c r="J817" s="64" t="s">
        <v>122</v>
      </c>
      <c r="K817" s="64"/>
      <c r="L817" s="64"/>
      <c r="M817" s="64"/>
      <c r="N817" s="64"/>
      <c r="O817" s="64"/>
      <c r="P817" s="64"/>
      <c r="Q817" s="64"/>
      <c r="R817" s="64"/>
      <c r="S817" s="66"/>
      <c r="T817" s="66" t="s">
        <v>1479</v>
      </c>
      <c r="U817" s="66" t="s">
        <v>1480</v>
      </c>
      <c r="V817" s="66"/>
      <c r="W817" s="66"/>
      <c r="X817" s="66"/>
      <c r="Y817" s="66"/>
      <c r="Z817" s="66"/>
      <c r="AA817" s="66"/>
      <c r="AB817" s="66"/>
      <c r="AC817" s="66"/>
      <c r="AD817" s="66"/>
      <c r="AE817" s="66"/>
      <c r="AF817" s="66"/>
      <c r="AG817" s="66"/>
      <c r="AH817" s="66"/>
      <c r="AI817" s="66"/>
      <c r="AJ817" s="66"/>
      <c r="AK817" s="66"/>
      <c r="AL817" s="66"/>
      <c r="AM817" s="66"/>
      <c r="AN817" s="66"/>
      <c r="AO817" s="66"/>
      <c r="AP817" s="66"/>
      <c r="AQ817" s="20">
        <v>26.8</v>
      </c>
      <c r="AR817" s="20">
        <v>0.46800000000000003</v>
      </c>
      <c r="AS817" s="20">
        <v>30</v>
      </c>
      <c r="AT817" s="20">
        <v>0.495</v>
      </c>
      <c r="AU817" s="20">
        <v>14.8</v>
      </c>
      <c r="AV817" s="20">
        <v>0.34699999999999998</v>
      </c>
      <c r="AW817" s="20">
        <v>15.9</v>
      </c>
      <c r="AX817" s="20">
        <v>0.36</v>
      </c>
      <c r="AY817" s="41" t="e">
        <f>IF(OR(ISBLANK(U817), ISBLANK(#REF!)), "Incomplete", (60.7*#REF!)+(45.3*U817)-2055)</f>
        <v>#REF!</v>
      </c>
      <c r="AZ817" s="66"/>
      <c r="BA817" s="20" t="e">
        <f>IF(OR(ISBLANK(U817), ISBLANK(#REF!)), "Incomplete", (60.7*#REF!)+(45.3*U817)-2055)</f>
        <v>#REF!</v>
      </c>
      <c r="BB817" s="66"/>
      <c r="BC817" s="20" t="e">
        <f>IF(OR(ISBLANK(U817), ISBLANK(#REF!)), "Incomplete", (60.7*#REF!)+(45.3*U817)-2055)</f>
        <v>#REF!</v>
      </c>
      <c r="BD817" s="66"/>
      <c r="BE817" s="20" t="e">
        <f>IF(OR(ISBLANK(U817), ISBLANK(#REF!)), "Incomplete", (60.7*#REF!)+(45.3*U817)-2055)</f>
        <v>#REF!</v>
      </c>
      <c r="BF817" s="66"/>
      <c r="BG817" s="66">
        <v>11</v>
      </c>
      <c r="BH817" s="66">
        <v>46.4</v>
      </c>
      <c r="BI817" s="20" t="e">
        <f>IF(OR(ISBLANK(#REF!), ISBLANK(#REF!)),"Incomplete",(SUM(#REF!-#REF!)))</f>
        <v>#REF!</v>
      </c>
      <c r="BJ817" s="66"/>
      <c r="BK817" s="66"/>
      <c r="BL817" s="66"/>
      <c r="BM817" s="66"/>
      <c r="BN817" s="66"/>
      <c r="BO817" s="66"/>
      <c r="BP817" s="66"/>
      <c r="BQ817" s="66"/>
      <c r="BR817" s="66"/>
      <c r="BS817" s="66"/>
      <c r="BT817" s="66"/>
      <c r="BU817" s="66"/>
      <c r="BV817" s="66"/>
      <c r="BW817" s="91" t="str">
        <f t="shared" si="253"/>
        <v>Incomplete</v>
      </c>
      <c r="BX817" s="91" t="str">
        <f>_xlfn.XLOOKUP(BW817,'Normative data'!$V$3:$V$6,'Normative data'!$W$3:$W$6,"Not Found",-1)</f>
        <v>Very low risk</v>
      </c>
      <c r="BY817" s="91" t="str">
        <f t="shared" si="254"/>
        <v>Incomplete</v>
      </c>
      <c r="BZ817" s="91" t="str">
        <f>_xlfn.XLOOKUP(BY817,'Normative data'!$V$3:$V$6,'Normative data'!$W$3:$W$6,"Not Found",-1)</f>
        <v>Very low risk</v>
      </c>
      <c r="CA817" s="66"/>
      <c r="CB817" s="66"/>
      <c r="CC817" s="20"/>
      <c r="CD817" s="66"/>
      <c r="CE817" s="66">
        <v>18</v>
      </c>
      <c r="CF817" s="66"/>
      <c r="CG817" s="20">
        <v>16.739999999999998</v>
      </c>
      <c r="CH817" s="20" t="e">
        <f>_xlfn.XLOOKUP(#REF!, 'Normative data'!$S$9:$S$15,'Normative data'!$T$9:$T$15, "Not Found", -1)</f>
        <v>#REF!</v>
      </c>
      <c r="CI817" s="20">
        <v>17.05</v>
      </c>
      <c r="CJ817" s="20" t="e">
        <f>_xlfn.XLOOKUP(#REF!, 'Normative data'!$S$9:$S$15, 'Normative data'!$T$9:$T$15, "Not Found", -1)</f>
        <v>#REF!</v>
      </c>
      <c r="CK817" s="24">
        <v>2.0699999999999998</v>
      </c>
      <c r="CL817" s="24">
        <v>4.83</v>
      </c>
      <c r="CM817" s="21"/>
      <c r="CN817" s="24">
        <v>6.37</v>
      </c>
      <c r="CO817" s="24">
        <v>7.85</v>
      </c>
      <c r="CP817" s="68"/>
      <c r="CQ817" s="68"/>
      <c r="CR817" s="20" t="str" cm="1">
        <f t="array" ref="CR817">IF(OR(ISBLANK(E817),ISBLANK(CQ817)),"Incomplete",_xlfn.XLOOKUP(CQ817,_xlfn.XLOOKUP(E817,'Normative data'!$Y$3:$Y$6,'Normative data'!$Z$3:$AG$6,,-1),'Normative data'!$Z$2:$AG$2,"Not Found",-1))</f>
        <v>Incomplete</v>
      </c>
      <c r="CS817" s="68"/>
      <c r="CT817" s="66"/>
      <c r="CU817" s="20" t="str" cm="1">
        <f t="array" ref="CU817">_xlfn.XLOOKUP(CS817&amp;CT817,(VLOOKUP!$A$3:$A$250)&amp;(VLOOKUP!$B$3:$B$250),VLOOKUP!$C$3:$C$250,"Incomplete",-1)</f>
        <v>Incomplete</v>
      </c>
      <c r="CV817" s="20" t="str" cm="1">
        <f t="array" ref="CV817">_xlfn.XLOOKUP(CU817, _xlfn.XLOOKUP(E817, 'Normative data'!$Y$11:$Y$14, 'Normative data'!$Z$11:$AG$14, ,-1), 'Normative data'!$Z$10:$AG$10, "Not Found", -1)</f>
        <v>Excellent</v>
      </c>
      <c r="CW817" s="20" t="str" cm="1">
        <f t="array" ref="CW817">IF(OR(ISBLANK(CS817),ISBLANK(CT817)),"Incomplete",_xlfn.XLOOKUP(CS817&amp;CT817,VLOOKUP!$A$4:$A$250&amp;VLOOKUP!$B$4:$B$250,VLOOKUP!$D$4:$D$250,"0"))</f>
        <v>Incomplete</v>
      </c>
    </row>
    <row r="818" spans="1:101">
      <c r="A818" s="64" t="s">
        <v>1451</v>
      </c>
      <c r="B818" s="64" t="s">
        <v>1478</v>
      </c>
      <c r="C818" s="64" t="s">
        <v>86</v>
      </c>
      <c r="D818" s="65">
        <v>40230</v>
      </c>
      <c r="E818" s="64"/>
      <c r="F818" s="64"/>
      <c r="G818" s="64">
        <v>2026</v>
      </c>
      <c r="H818" s="66" t="s">
        <v>114</v>
      </c>
      <c r="I818" s="64">
        <v>1</v>
      </c>
      <c r="J818" s="64"/>
      <c r="K818" s="64"/>
      <c r="L818" s="64"/>
      <c r="M818" s="64"/>
      <c r="N818" s="64"/>
      <c r="O818" s="64"/>
      <c r="P818" s="64"/>
      <c r="Q818" s="64"/>
      <c r="R818" s="64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  <c r="AD818" s="66"/>
      <c r="AE818" s="66"/>
      <c r="AF818" s="66"/>
      <c r="AG818" s="66"/>
      <c r="AH818" s="66"/>
      <c r="AI818" s="66"/>
      <c r="AJ818" s="66"/>
      <c r="AK818" s="66"/>
      <c r="AL818" s="66"/>
      <c r="AM818" s="66"/>
      <c r="AN818" s="66"/>
      <c r="AO818" s="66"/>
      <c r="AP818" s="66"/>
      <c r="AQ818" s="104" t="s">
        <v>1481</v>
      </c>
      <c r="AR818" s="104" t="s">
        <v>1482</v>
      </c>
      <c r="AS818" s="104" t="s">
        <v>1483</v>
      </c>
      <c r="AT818" s="104" t="s">
        <v>1484</v>
      </c>
      <c r="AU818" s="104" t="s">
        <v>1485</v>
      </c>
      <c r="AV818" s="104" t="s">
        <v>1486</v>
      </c>
      <c r="AW818" s="104" t="s">
        <v>865</v>
      </c>
      <c r="AX818" s="104" t="s">
        <v>866</v>
      </c>
      <c r="AY818" s="41" t="str">
        <f>IF(OR(ISBLANK(U818), ISBLANK(AQ818)), "Incomplete", (60.7*AQ818)+(45.3*U818)-2055)</f>
        <v>Incomplete</v>
      </c>
      <c r="AZ818" s="66"/>
      <c r="BA818" s="20" t="str">
        <f>IF(OR(ISBLANK(U818), ISBLANK(AS818)), "Incomplete", (60.7*AS818)+(45.3*U818)-2055)</f>
        <v>Incomplete</v>
      </c>
      <c r="BB818" s="66"/>
      <c r="BC818" s="20" t="str">
        <f>IF(OR(ISBLANK(U818), ISBLANK(AU818)), "Incomplete", (60.7*AU818)+(45.3*U818)-2055)</f>
        <v>Incomplete</v>
      </c>
      <c r="BD818" s="66"/>
      <c r="BE818" s="20" t="str">
        <f>IF(OR(ISBLANK(U818), ISBLANK(AW818)), "Incomplete", (60.7*AW818)+(45.3*U818)-2055)</f>
        <v>Incomplete</v>
      </c>
      <c r="BF818" s="66"/>
      <c r="BG818" s="104" t="s">
        <v>633</v>
      </c>
      <c r="BH818" s="104" t="s">
        <v>1487</v>
      </c>
      <c r="BI818" s="20" t="e">
        <f>IF(OR(ISBLANK(BG818), ISBLANK(BH818)),"Incomplete",(SUM(BH818-BG818)))</f>
        <v>#VALUE!</v>
      </c>
      <c r="BJ818" s="66"/>
      <c r="BK818" s="66"/>
      <c r="BL818" s="66"/>
      <c r="BM818" s="66"/>
      <c r="BN818" s="66"/>
      <c r="BO818" s="66"/>
      <c r="BP818" s="66"/>
      <c r="BQ818" s="66"/>
      <c r="BR818" s="66"/>
      <c r="BS818" s="66"/>
      <c r="BT818" s="66"/>
      <c r="BU818" s="66"/>
      <c r="BV818" s="66"/>
      <c r="BW818" s="91" t="str">
        <f t="shared" si="253"/>
        <v>Incomplete</v>
      </c>
      <c r="BX818" s="91" t="str">
        <f>_xlfn.XLOOKUP(BW818,'Normative data'!$V$3:$V$6,'Normative data'!$W$3:$W$6,"Not Found",-1)</f>
        <v>Very low risk</v>
      </c>
      <c r="BY818" s="91" t="str">
        <f t="shared" si="254"/>
        <v>Incomplete</v>
      </c>
      <c r="BZ818" s="91" t="str">
        <f>_xlfn.XLOOKUP(BY818,'Normative data'!$V$3:$V$6,'Normative data'!$W$3:$W$6,"Not Found",-1)</f>
        <v>Very low risk</v>
      </c>
      <c r="CA818" s="66"/>
      <c r="CB818" s="66"/>
      <c r="CC818" s="30">
        <v>54</v>
      </c>
      <c r="CD818" s="104"/>
      <c r="CE818" s="104">
        <v>15</v>
      </c>
      <c r="CF818" s="104"/>
      <c r="CG818" s="104" t="s">
        <v>1488</v>
      </c>
      <c r="CH818" s="20" t="str">
        <f>_xlfn.XLOOKUP(CG818, 'Normative data'!$S$9:$S$15,'Normative data'!$T$9:$T$15, "Not Found", -1)</f>
        <v>Poor</v>
      </c>
      <c r="CI818" s="104" t="s">
        <v>1489</v>
      </c>
      <c r="CJ818" s="20" t="str">
        <f>_xlfn.XLOOKUP(CI818, 'Normative data'!$S$9:$S$15, 'Normative data'!$T$9:$T$15, "Not Found", -1)</f>
        <v>Poor</v>
      </c>
      <c r="CK818" s="30" t="s">
        <v>1490</v>
      </c>
      <c r="CL818" s="30" t="s">
        <v>1491</v>
      </c>
      <c r="CM818" s="30"/>
      <c r="CN818" s="30" t="s">
        <v>664</v>
      </c>
      <c r="CO818" s="30" t="s">
        <v>665</v>
      </c>
      <c r="CP818" s="112"/>
      <c r="CQ818" s="124" t="s">
        <v>844</v>
      </c>
      <c r="CR818" s="20" t="str" cm="1">
        <f t="array" ref="CR818">IF(OR(ISBLANK(E818),ISBLANK(CQ818)),"Incomplete",_xlfn.XLOOKUP(CQ818,_xlfn.XLOOKUP(E818,'Normative data'!$Y$3:$Y$6,'Normative data'!$Z$3:$AG$6,,-1),'Normative data'!$Z$2:$AG$2,"Not Found",-1))</f>
        <v>Incomplete</v>
      </c>
      <c r="CS818" s="68">
        <v>13</v>
      </c>
      <c r="CT818" s="66">
        <v>2</v>
      </c>
      <c r="CU818" s="20" cm="1">
        <f t="array" ref="CU818">_xlfn.XLOOKUP(CS818&amp;CT818,(VLOOKUP!$A$3:$A$250)&amp;(VLOOKUP!$B$3:$B$250),VLOOKUP!$C$3:$C$250,"Incomplete",-1)</f>
        <v>2400</v>
      </c>
      <c r="CV818" s="20" t="str" cm="1">
        <f t="array" ref="CV818">_xlfn.XLOOKUP(CU818, _xlfn.XLOOKUP(E818, 'Normative data'!$Y$11:$Y$14, 'Normative data'!$Z$11:$AG$14, ,-1), 'Normative data'!$Z$10:$AG$10, "Not Found", -1)</f>
        <v>Excellent</v>
      </c>
      <c r="CW818" s="20" cm="1">
        <f t="array" ref="CW818">IF(OR(ISBLANK(CS818),ISBLANK(CT818)),"Incomplete",_xlfn.XLOOKUP(CS818&amp;CT818,VLOOKUP!$A$4:$A$250&amp;VLOOKUP!$B$4:$B$250,VLOOKUP!$D$4:$D$250,"0"))</f>
        <v>58</v>
      </c>
    </row>
    <row r="819" spans="1:101">
      <c r="A819" s="93" t="s">
        <v>1346</v>
      </c>
      <c r="B819" s="93" t="s">
        <v>1065</v>
      </c>
      <c r="C819" s="64" t="s">
        <v>86</v>
      </c>
      <c r="D819" s="96">
        <v>40830</v>
      </c>
      <c r="E819" s="64"/>
      <c r="F819" s="64">
        <v>8</v>
      </c>
      <c r="G819" s="64">
        <v>2025</v>
      </c>
      <c r="H819" s="66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6"/>
      <c r="T819" s="66">
        <v>177</v>
      </c>
      <c r="U819" s="66">
        <v>69.7</v>
      </c>
      <c r="V819" s="66"/>
      <c r="W819" s="66">
        <v>13.9</v>
      </c>
      <c r="X819" s="66">
        <f>SUM(T819-W819)</f>
        <v>163.1</v>
      </c>
      <c r="Y819" s="66">
        <v>31.3</v>
      </c>
      <c r="Z819" s="66">
        <v>22.2</v>
      </c>
      <c r="AA819" s="66">
        <v>19.899999999999999</v>
      </c>
      <c r="AB819" s="66"/>
      <c r="AC819" s="66"/>
      <c r="AD819" s="66"/>
      <c r="AE819" s="66"/>
      <c r="AF819" s="66"/>
      <c r="AG819" s="66"/>
      <c r="AH819" s="66"/>
      <c r="AI819" s="66"/>
      <c r="AJ819" s="66"/>
      <c r="AK819" s="66"/>
      <c r="AL819" s="66"/>
      <c r="AM819" s="66"/>
      <c r="AN819" s="66"/>
      <c r="AO819" s="66"/>
      <c r="AP819" s="66"/>
      <c r="AQ819" s="20"/>
      <c r="AR819" s="20"/>
      <c r="AS819" s="20"/>
      <c r="AT819" s="20"/>
      <c r="AU819" s="20"/>
      <c r="AV819" s="20"/>
      <c r="AW819" s="20"/>
      <c r="AX819" s="20"/>
      <c r="AY819" s="41" t="str">
        <f>IF(OR(ISBLANK(U819), ISBLANK(AQ819)), "Incomplete", (60.7*AQ819)+(45.3*U819)-2055)</f>
        <v>Incomplete</v>
      </c>
      <c r="AZ819" s="66"/>
      <c r="BA819" s="20" t="str">
        <f>IF(OR(ISBLANK(U819), ISBLANK(AS819)), "Incomplete", (60.7*AS819)+(45.3*U819)-2055)</f>
        <v>Incomplete</v>
      </c>
      <c r="BB819" s="66"/>
      <c r="BC819" s="20" t="str">
        <f>IF(OR(ISBLANK(U819), ISBLANK(AU819)), "Incomplete", (60.7*AU819)+(45.3*U819)-2055)</f>
        <v>Incomplete</v>
      </c>
      <c r="BD819" s="66"/>
      <c r="BE819" s="20" t="str">
        <f>IF(OR(ISBLANK(U819), ISBLANK(AW819)), "Incomplete", (60.7*AW819)+(45.3*U819)-2055)</f>
        <v>Incomplete</v>
      </c>
      <c r="BF819" s="66"/>
      <c r="BG819" s="66">
        <v>11</v>
      </c>
      <c r="BH819" s="66">
        <v>39</v>
      </c>
      <c r="BI819" s="20" t="e">
        <f>IF(OR(ISBLANK(#REF!), ISBLANK(#REF!)),"Incomplete",(SUM(#REF!-#REF!)))</f>
        <v>#REF!</v>
      </c>
      <c r="BJ819" s="66"/>
      <c r="BK819" s="66">
        <v>11</v>
      </c>
      <c r="BL819" s="66"/>
      <c r="BM819" s="66">
        <v>11</v>
      </c>
      <c r="BN819" s="66"/>
      <c r="BO819" s="66"/>
      <c r="BP819" s="66"/>
      <c r="BQ819" s="66"/>
      <c r="BR819" s="66"/>
      <c r="BS819" s="66"/>
      <c r="BT819" s="66"/>
      <c r="BU819" s="66"/>
      <c r="BV819" s="66"/>
      <c r="BW819" s="91">
        <f t="shared" si="253"/>
        <v>0</v>
      </c>
      <c r="BX819" s="91" t="str">
        <f>_xlfn.XLOOKUP(BW819,'Normative data'!$V$3:$V$6,'Normative data'!$W$3:$W$6,"Not Found",-1)</f>
        <v>Not completed</v>
      </c>
      <c r="BY819" s="91">
        <f t="shared" si="254"/>
        <v>0</v>
      </c>
      <c r="BZ819" s="91" t="str">
        <f>_xlfn.XLOOKUP(BY819,'Normative data'!$V$3:$V$6,'Normative data'!$W$3:$W$6,"Not Found",-1)</f>
        <v>Not completed</v>
      </c>
      <c r="CA819" s="66"/>
      <c r="CB819" s="66"/>
      <c r="CC819" s="20"/>
      <c r="CD819" s="66"/>
      <c r="CE819" s="66"/>
      <c r="CF819" s="66"/>
      <c r="CG819" s="20"/>
      <c r="CH819" s="20" t="str">
        <f>_xlfn.XLOOKUP(CG819, 'Normative data'!$S$9:$S$15,'Normative data'!$T$9:$T$15, "Not Found", -1)</f>
        <v>not completed</v>
      </c>
      <c r="CI819" s="20"/>
      <c r="CJ819" s="20" t="str">
        <f>_xlfn.XLOOKUP(CI819, 'Normative data'!$S$9:$S$15, 'Normative data'!$T$9:$T$15, "Not Found", -1)</f>
        <v>not completed</v>
      </c>
      <c r="CK819" s="21">
        <v>2.2400000000000002</v>
      </c>
      <c r="CL819" s="21">
        <v>4.46</v>
      </c>
      <c r="CM819" s="21"/>
      <c r="CN819" s="21">
        <v>6.77</v>
      </c>
      <c r="CO819" s="21">
        <v>7.39</v>
      </c>
      <c r="CP819" s="109"/>
      <c r="CQ819" s="68"/>
      <c r="CR819" s="20" t="str" cm="1">
        <f t="array" ref="CR819">IF(OR(ISBLANK(E819),ISBLANK(CQ819)),"Incomplete",_xlfn.XLOOKUP(CQ819,_xlfn.XLOOKUP(E819,'Normative data'!$Y$3:$Y$6,'Normative data'!$Z$3:$AG$6,,-1),'Normative data'!$Z$2:$AG$2,"Not Found",-1))</f>
        <v>Incomplete</v>
      </c>
      <c r="CS819" s="68"/>
      <c r="CT819" s="66"/>
      <c r="CU819" s="20" t="str" cm="1">
        <f t="array" ref="CU819">_xlfn.XLOOKUP(CS819&amp;CT819,(VLOOKUP!$A$3:$A$250)&amp;(VLOOKUP!$B$3:$B$250),VLOOKUP!$C$3:$C$250,"Incomplete",-1)</f>
        <v>Incomplete</v>
      </c>
      <c r="CV819" s="20" t="str" cm="1">
        <f t="array" ref="CV819">_xlfn.XLOOKUP(CU819, _xlfn.XLOOKUP(E819, 'Normative data'!$Y$11:$Y$14, 'Normative data'!$Z$11:$AG$14, ,-1), 'Normative data'!$Z$10:$AG$10, "Not Found", -1)</f>
        <v>Excellent</v>
      </c>
      <c r="CW819" s="20" t="str" cm="1">
        <f t="array" ref="CW819">IF(OR(ISBLANK(CS819),ISBLANK(CT819)),"Incomplete",_xlfn.XLOOKUP(CS819&amp;CT819,VLOOKUP!$A$4:$A$250&amp;VLOOKUP!$B$4:$B$250,VLOOKUP!$D$4:$D$250,"0"))</f>
        <v>Incomplete</v>
      </c>
    </row>
    <row r="820" spans="1:101">
      <c r="A820" s="93" t="s">
        <v>1346</v>
      </c>
      <c r="B820" s="93" t="s">
        <v>1065</v>
      </c>
      <c r="C820" s="64" t="s">
        <v>86</v>
      </c>
      <c r="D820" s="96">
        <v>40830</v>
      </c>
      <c r="E820" s="64"/>
      <c r="F820" s="64">
        <v>8</v>
      </c>
      <c r="G820" s="64">
        <v>2025</v>
      </c>
      <c r="H820" s="66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6"/>
      <c r="T820" s="66">
        <v>178</v>
      </c>
      <c r="U820" s="66" t="s">
        <v>1492</v>
      </c>
      <c r="V820" s="66"/>
      <c r="W820" s="66"/>
      <c r="X820" s="66"/>
      <c r="Y820" s="66"/>
      <c r="Z820" s="66"/>
      <c r="AA820" s="66"/>
      <c r="AB820" s="66"/>
      <c r="AC820" s="66"/>
      <c r="AD820" s="66"/>
      <c r="AE820" s="66"/>
      <c r="AF820" s="66"/>
      <c r="AG820" s="66"/>
      <c r="AH820" s="66"/>
      <c r="AI820" s="66"/>
      <c r="AJ820" s="66"/>
      <c r="AK820" s="66"/>
      <c r="AL820" s="66"/>
      <c r="AM820" s="66"/>
      <c r="AN820" s="66"/>
      <c r="AO820" s="66"/>
      <c r="AP820" s="66"/>
      <c r="AQ820" s="20"/>
      <c r="AR820" s="20"/>
      <c r="AS820" s="20"/>
      <c r="AT820" s="20"/>
      <c r="AU820" s="20"/>
      <c r="AV820" s="20"/>
      <c r="AW820" s="20"/>
      <c r="AX820" s="20"/>
      <c r="AY820" s="41" t="str">
        <f>IF(OR(ISBLANK(#REF!), ISBLANK(AQ820)), "Incomplete", (60.7*AQ820)+(45.3*#REF!)-2055)</f>
        <v>Incomplete</v>
      </c>
      <c r="AZ820" s="66"/>
      <c r="BA820" s="20" t="str">
        <f>IF(OR(ISBLANK(#REF!), ISBLANK(AS820)), "Incomplete", (60.7*AS820)+(45.3*#REF!)-2055)</f>
        <v>Incomplete</v>
      </c>
      <c r="BB820" s="66"/>
      <c r="BC820" s="20" t="str">
        <f>IF(OR(ISBLANK(#REF!), ISBLANK(AU820)), "Incomplete", (60.7*AU820)+(45.3*#REF!)-2055)</f>
        <v>Incomplete</v>
      </c>
      <c r="BD820" s="66"/>
      <c r="BE820" s="20" t="str">
        <f>IF(OR(ISBLANK(#REF!), ISBLANK(AW820)), "Incomplete", (60.7*AW820)+(45.3*#REF!)-2055)</f>
        <v>Incomplete</v>
      </c>
      <c r="BF820" s="66"/>
      <c r="BG820" s="64"/>
      <c r="BH820" s="64"/>
      <c r="BI820" s="20">
        <f>IF(OR(ISBLANK(BG819), ISBLANK(BH819)),"Incomplete",(SUM(BH819-BG819)))</f>
        <v>28</v>
      </c>
      <c r="BJ820" s="66"/>
      <c r="BK820" s="66"/>
      <c r="BL820" s="66"/>
      <c r="BM820" s="66"/>
      <c r="BN820" s="66"/>
      <c r="BO820" s="66"/>
      <c r="BP820" s="66"/>
      <c r="BQ820" s="66"/>
      <c r="BR820" s="66"/>
      <c r="BS820" s="66"/>
      <c r="BT820" s="66"/>
      <c r="BU820" s="66"/>
      <c r="BV820" s="66"/>
      <c r="BW820" s="91" t="str">
        <f>IFERROR(SUM(BQ820+BR820+BS820)/(3*(#REF!-S820))*100, "Incomplete")</f>
        <v>Incomplete</v>
      </c>
      <c r="BX820" s="91" t="str">
        <f>_xlfn.XLOOKUP(BW820,'Normative data'!$V$3:$V$6,'Normative data'!$W$3:$W$6,"Not Found",-1)</f>
        <v>Very low risk</v>
      </c>
      <c r="BY820" s="91" t="str">
        <f>IFERROR(SUM(BT820+BU820+BV820)/(3*(#REF!-S820))*100, "Incomplete")</f>
        <v>Incomplete</v>
      </c>
      <c r="BZ820" s="91" t="str">
        <f>_xlfn.XLOOKUP(BY820,'Normative data'!$V$3:$V$6,'Normative data'!$W$3:$W$6,"Not Found",-1)</f>
        <v>Very low risk</v>
      </c>
      <c r="CA820" s="20"/>
      <c r="CB820" s="66"/>
      <c r="CC820" s="20"/>
      <c r="CD820" s="66"/>
      <c r="CE820" s="66">
        <v>5</v>
      </c>
      <c r="CF820" s="66"/>
      <c r="CG820" s="66"/>
      <c r="CH820" s="20" t="str">
        <f>_xlfn.XLOOKUP(CG820, 'Normative data'!$S$9:$S$15,'Normative data'!$T$9:$T$15, "Not Found", -1)</f>
        <v>not completed</v>
      </c>
      <c r="CI820" s="66"/>
      <c r="CJ820" s="20" t="str">
        <f>_xlfn.XLOOKUP(CI820, 'Normative data'!$S$9:$S$15, 'Normative data'!$T$9:$T$15, "Not Found", -1)</f>
        <v>not completed</v>
      </c>
      <c r="CK820" s="66" t="s">
        <v>205</v>
      </c>
      <c r="CL820" s="66" t="s">
        <v>354</v>
      </c>
      <c r="CM820" s="105"/>
      <c r="CN820" s="66" t="s">
        <v>737</v>
      </c>
      <c r="CO820" s="66" t="s">
        <v>736</v>
      </c>
      <c r="CP820" s="109"/>
      <c r="CQ820" s="68"/>
      <c r="CR820" s="20" t="str" cm="1">
        <f t="array" ref="CR820">IF(OR(ISBLANK(E820),ISBLANK(CQ820)),"Incomplete",_xlfn.XLOOKUP(CQ820,_xlfn.XLOOKUP(E820,'Normative data'!$Y$3:$Y$6,'Normative data'!$Z$3:$AG$6,,-1),'Normative data'!$Z$2:$AG$2,"Not Found",-1))</f>
        <v>Incomplete</v>
      </c>
      <c r="CS820" s="68"/>
      <c r="CT820" s="66"/>
      <c r="CU820" s="20" t="str" cm="1">
        <f t="array" ref="CU820">_xlfn.XLOOKUP(CS820&amp;CT820,(VLOOKUP!$A$3:$A$250)&amp;(VLOOKUP!$B$3:$B$250),VLOOKUP!$C$3:$C$250,"Incomplete",-1)</f>
        <v>Incomplete</v>
      </c>
      <c r="CV820" s="20" t="str" cm="1">
        <f t="array" ref="CV820">_xlfn.XLOOKUP(CU820, _xlfn.XLOOKUP(E820, 'Normative data'!$Y$11:$Y$14, 'Normative data'!$Z$11:$AG$14, ,-1), 'Normative data'!$Z$10:$AG$10, "Not Found", -1)</f>
        <v>Excellent</v>
      </c>
      <c r="CW820" s="20" t="str" cm="1">
        <f t="array" ref="CW820">IF(OR(ISBLANK(CS820),ISBLANK(CT820)),"Incomplete",_xlfn.XLOOKUP(CS820&amp;CT820,VLOOKUP!$A$4:$A$250&amp;VLOOKUP!$B$4:$B$250,VLOOKUP!$D$4:$D$250,"0"))</f>
        <v>Incomplete</v>
      </c>
    </row>
    <row r="821" spans="1:101">
      <c r="A821" s="64" t="s">
        <v>1493</v>
      </c>
      <c r="B821" s="64" t="s">
        <v>1494</v>
      </c>
      <c r="C821" s="64" t="s">
        <v>86</v>
      </c>
      <c r="D821" s="65"/>
      <c r="E821" s="64"/>
      <c r="F821" s="66" t="s">
        <v>157</v>
      </c>
      <c r="G821" s="64">
        <v>2026</v>
      </c>
      <c r="H821" s="66"/>
      <c r="I821" s="66">
        <v>2</v>
      </c>
      <c r="J821" s="66" t="s">
        <v>88</v>
      </c>
      <c r="K821" s="66" t="s">
        <v>170</v>
      </c>
      <c r="L821" s="66"/>
      <c r="M821" s="64"/>
      <c r="N821" s="64"/>
      <c r="O821" s="64"/>
      <c r="P821" s="64"/>
      <c r="Q821" s="64"/>
      <c r="R821" s="64"/>
      <c r="S821" s="66">
        <v>84</v>
      </c>
      <c r="T821" s="66">
        <v>175.4</v>
      </c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  <c r="AH821" s="64"/>
      <c r="AI821" s="64"/>
      <c r="AJ821" s="64"/>
      <c r="AK821" s="64"/>
      <c r="AL821" s="64"/>
      <c r="AM821" s="64"/>
      <c r="AN821" s="64"/>
      <c r="AO821" s="64"/>
      <c r="AP821" s="64"/>
      <c r="AQ821" s="20"/>
      <c r="AR821" s="20"/>
      <c r="AS821" s="20"/>
      <c r="AT821" s="20"/>
      <c r="AU821" s="20"/>
      <c r="AV821" s="20"/>
      <c r="AW821" s="20"/>
      <c r="AX821" s="20"/>
      <c r="AY821" s="41" t="str">
        <f>IF(OR(ISBLANK(U821), ISBLANK(AQ821)), "Incomplete", (60.7*AQ821)+(45.3*U821)-2055)</f>
        <v>Incomplete</v>
      </c>
      <c r="AZ821" s="64"/>
      <c r="BA821" s="20" t="str">
        <f>IF(OR(ISBLANK(U821), ISBLANK(AS821)), "Incomplete", (60.7*AS821)+(45.3*U821)-2055)</f>
        <v>Incomplete</v>
      </c>
      <c r="BB821" s="64"/>
      <c r="BC821" s="20" t="str">
        <f>IF(OR(ISBLANK(U821), ISBLANK(AU821)), "Incomplete", (60.7*AU821)+(45.3*U821)-2055)</f>
        <v>Incomplete</v>
      </c>
      <c r="BD821" s="64"/>
      <c r="BE821" s="20" t="str">
        <f>IF(OR(ISBLANK(U821), ISBLANK(AW821)), "Incomplete", (60.7*AW821)+(45.3*U821)-2055)</f>
        <v>Incomplete</v>
      </c>
      <c r="BF821" s="64"/>
      <c r="BG821" s="64"/>
      <c r="BH821" s="64">
        <v>34</v>
      </c>
      <c r="BI821" s="20" t="str">
        <f t="shared" ref="BI821:BI826" si="255">IF(OR(ISBLANK(BG821), ISBLANK(BH821)),"Incomplete",(SUM(BH821-BG821)))</f>
        <v>Incomplete</v>
      </c>
      <c r="BJ821" s="66"/>
      <c r="BK821" s="64">
        <v>9</v>
      </c>
      <c r="BL821" s="66"/>
      <c r="BM821" s="64">
        <v>10.5</v>
      </c>
      <c r="BN821" s="66"/>
      <c r="BO821" s="64"/>
      <c r="BP821" s="64"/>
      <c r="BQ821" s="64">
        <v>76</v>
      </c>
      <c r="BR821" s="64">
        <v>94</v>
      </c>
      <c r="BS821" s="64">
        <v>84</v>
      </c>
      <c r="BT821" s="64">
        <v>83</v>
      </c>
      <c r="BU821" s="64">
        <v>79</v>
      </c>
      <c r="BV821" s="64">
        <v>78</v>
      </c>
      <c r="BW821" s="91">
        <f>IFERROR(SUM(BQ821+BR821+BS821)/(3*(T821-S821))*100, "Incomplete")</f>
        <v>92.633114514952581</v>
      </c>
      <c r="BX821" s="91" t="str">
        <f>_xlfn.XLOOKUP(BW821,'Normative data'!$V$3:$V$6,'Normative data'!$W$3:$W$6,"Not Found",-1)</f>
        <v>High risk</v>
      </c>
      <c r="BY821" s="91">
        <f>IFERROR(SUM(BT821+BU821+BV821)/(3*(T821-S821))*100, "Incomplete")</f>
        <v>87.527352297592984</v>
      </c>
      <c r="BZ821" s="91" t="str">
        <f>_xlfn.XLOOKUP(BY821,'Normative data'!$V$3:$V$6,'Normative data'!$W$3:$W$6,"Not Found",-1)</f>
        <v>High risk</v>
      </c>
      <c r="CA821" s="64"/>
      <c r="CB821" s="66"/>
      <c r="CD821" s="66"/>
      <c r="CE821" s="64"/>
      <c r="CF821" s="66"/>
      <c r="CG821" s="66"/>
      <c r="CH821" s="20" t="str">
        <f>_xlfn.XLOOKUP(CG821, 'Normative data'!$S$9:$S$15,'Normative data'!$T$9:$T$15, "Not Found", -1)</f>
        <v>not completed</v>
      </c>
      <c r="CI821" s="66"/>
      <c r="CJ821" s="20" t="str">
        <f>_xlfn.XLOOKUP(CI821, 'Normative data'!$S$9:$S$15, 'Normative data'!$T$9:$T$15, "Not Found", -1)</f>
        <v>not completed</v>
      </c>
      <c r="CK821" s="64">
        <v>2.31</v>
      </c>
      <c r="CL821" s="64">
        <v>4.33</v>
      </c>
      <c r="CM821" s="66"/>
      <c r="CN821" s="64">
        <v>6.94</v>
      </c>
      <c r="CO821" s="64">
        <v>7.2</v>
      </c>
      <c r="CP821" s="68"/>
      <c r="CQ821" s="67">
        <v>6.1</v>
      </c>
      <c r="CR821" s="20" t="str" cm="1">
        <f t="array" ref="CR821">IF(OR(ISBLANK(E821),ISBLANK(CQ821)),"Incomplete",_xlfn.XLOOKUP(CQ821,_xlfn.XLOOKUP(E821,'Normative data'!$Y$3:$Y$6,'Normative data'!$Z$3:$AG$6,,-1),'Normative data'!$Z$2:$AG$2,"Not Found",-1))</f>
        <v>Incomplete</v>
      </c>
      <c r="CS821" s="68">
        <v>6</v>
      </c>
      <c r="CT821" s="66">
        <v>1</v>
      </c>
      <c r="CU821" s="20" cm="1">
        <f t="array" ref="CU821">_xlfn.XLOOKUP(CS821&amp;CT821,(VLOOKUP!$A$3:$A$250)&amp;(VLOOKUP!$B$3:$B$250),VLOOKUP!$C$3:$C$250,"Incomplete",-1)</f>
        <v>840</v>
      </c>
      <c r="CV821" s="20" t="str" cm="1">
        <f t="array" ref="CV821">_xlfn.XLOOKUP(CU821, _xlfn.XLOOKUP(E821, 'Normative data'!$Y$11:$Y$14, 'Normative data'!$Z$11:$AG$14, ,-1), 'Normative data'!$Z$10:$AG$10, "Not Found", -1)</f>
        <v xml:space="preserve">Fair </v>
      </c>
      <c r="CW821" s="20" cm="1">
        <f t="array" ref="CW821">IF(OR(ISBLANK(CS821),ISBLANK(CT821)),"Incomplete",_xlfn.XLOOKUP(CS821&amp;CT821,VLOOKUP!$A$4:$A$250&amp;VLOOKUP!$B$4:$B$250,VLOOKUP!$D$4:$D$250,"0"))</f>
        <v>33</v>
      </c>
    </row>
    <row r="822" spans="1:101">
      <c r="A822" s="64" t="s">
        <v>495</v>
      </c>
      <c r="B822" s="64" t="s">
        <v>496</v>
      </c>
      <c r="C822" s="64" t="s">
        <v>86</v>
      </c>
      <c r="D822" s="65"/>
      <c r="E822" s="64"/>
      <c r="F822" s="66" t="s">
        <v>192</v>
      </c>
      <c r="G822" s="64">
        <v>2026</v>
      </c>
      <c r="H822" s="66"/>
      <c r="I822" s="66">
        <v>2</v>
      </c>
      <c r="J822" s="66"/>
      <c r="K822" s="66"/>
      <c r="L822" s="66"/>
      <c r="M822" s="64"/>
      <c r="N822" s="64"/>
      <c r="O822" s="64"/>
      <c r="P822" s="64"/>
      <c r="Q822" s="64"/>
      <c r="R822" s="64"/>
      <c r="S822" s="66">
        <v>84.6</v>
      </c>
      <c r="T822" s="66">
        <v>161.5</v>
      </c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  <c r="AG822" s="64"/>
      <c r="AH822" s="64"/>
      <c r="AI822" s="64"/>
      <c r="AJ822" s="64"/>
      <c r="AK822" s="64"/>
      <c r="AL822" s="64"/>
      <c r="AM822" s="64"/>
      <c r="AN822" s="64"/>
      <c r="AO822" s="64"/>
      <c r="AP822" s="64"/>
      <c r="AQ822" s="66"/>
      <c r="AR822" s="66"/>
      <c r="AS822" s="66"/>
      <c r="AT822" s="66"/>
      <c r="AU822" s="66"/>
      <c r="AV822" s="66"/>
      <c r="AW822" s="66"/>
      <c r="AX822" s="66"/>
      <c r="AY822" s="41" t="str">
        <f>IF(OR(ISBLANK(U822), ISBLANK(AQ822)), "Incomplete", (60.7*AQ822)+(45.3*U822)-2055)</f>
        <v>Incomplete</v>
      </c>
      <c r="AZ822" s="64"/>
      <c r="BA822" s="20" t="str">
        <f>IF(OR(ISBLANK(U822), ISBLANK(AS822)), "Incomplete", (60.7*AS822)+(45.3*U822)-2055)</f>
        <v>Incomplete</v>
      </c>
      <c r="BB822" s="64"/>
      <c r="BC822" s="20" t="str">
        <f>IF(OR(ISBLANK(U822), ISBLANK(AU822)), "Incomplete", (60.7*AU822)+(45.3*U822)-2055)</f>
        <v>Incomplete</v>
      </c>
      <c r="BD822" s="64"/>
      <c r="BE822" s="20" t="str">
        <f>IF(OR(ISBLANK(U822), ISBLANK(AW822)), "Incomplete", (60.7*AW822)+(45.3*U822)-2055)</f>
        <v>Incomplete</v>
      </c>
      <c r="BF822" s="64"/>
      <c r="BG822" s="64">
        <v>14</v>
      </c>
      <c r="BH822" s="64">
        <v>37</v>
      </c>
      <c r="BI822" s="20">
        <f t="shared" si="255"/>
        <v>23</v>
      </c>
      <c r="BJ822" s="66"/>
      <c r="BK822" s="64">
        <v>6</v>
      </c>
      <c r="BL822" s="66"/>
      <c r="BM822" s="64">
        <v>12</v>
      </c>
      <c r="BN822" s="66"/>
      <c r="BO822" s="64">
        <v>49</v>
      </c>
      <c r="BP822" s="64">
        <v>49</v>
      </c>
      <c r="BQ822" s="64">
        <v>68</v>
      </c>
      <c r="BR822" s="64">
        <v>90</v>
      </c>
      <c r="BS822" s="64">
        <v>80</v>
      </c>
      <c r="BT822" s="64">
        <v>63</v>
      </c>
      <c r="BU822" s="64">
        <v>80</v>
      </c>
      <c r="BV822" s="64">
        <v>70</v>
      </c>
      <c r="BW822" s="91">
        <f>IFERROR(SUM(BQ822+BR822+BS822)/(3*(T822-S822))*100, "Incomplete")</f>
        <v>103.16428261811876</v>
      </c>
      <c r="BX822" s="91" t="str">
        <f>_xlfn.XLOOKUP(BW822,'Normative data'!$V$3:$V$6,'Normative data'!$W$3:$W$6,"Not Found",-1)</f>
        <v>Low risk</v>
      </c>
      <c r="BY822" s="91">
        <f>IFERROR(SUM(BT822+BU822+BV822)/(3*(T822-S822))*100, "Incomplete")</f>
        <v>92.327698309492845</v>
      </c>
      <c r="BZ822" s="91" t="str">
        <f>_xlfn.XLOOKUP(BY822,'Normative data'!$V$3:$V$6,'Normative data'!$W$3:$W$6,"Not Found",-1)</f>
        <v>High risk</v>
      </c>
      <c r="CA822" s="64">
        <v>39</v>
      </c>
      <c r="CB822" s="66"/>
      <c r="CC822" s="20"/>
      <c r="CD822" s="66"/>
      <c r="CE822" s="64">
        <v>2</v>
      </c>
      <c r="CF822" s="66"/>
      <c r="CG822" s="66"/>
      <c r="CH822" s="20" t="str">
        <f>_xlfn.XLOOKUP(CG822, 'Normative data'!$S$9:$S$15,'Normative data'!$T$9:$T$15, "Not Found", -1)</f>
        <v>not completed</v>
      </c>
      <c r="CI822" s="66"/>
      <c r="CJ822" s="20" t="str">
        <f>_xlfn.XLOOKUP(CI822, 'Normative data'!$S$9:$S$15, 'Normative data'!$T$9:$T$15, "Not Found", -1)</f>
        <v>not completed</v>
      </c>
      <c r="CK822" s="105"/>
      <c r="CL822" s="105"/>
      <c r="CM822" s="105"/>
      <c r="CN822" s="105"/>
      <c r="CO822" s="105"/>
      <c r="CP822" s="68"/>
      <c r="CQ822" s="67">
        <v>6.3</v>
      </c>
      <c r="CR822" s="20" t="str" cm="1">
        <f t="array" ref="CR822">IF(OR(ISBLANK(E822),ISBLANK(CQ822)),"Incomplete",_xlfn.XLOOKUP(CQ822,_xlfn.XLOOKUP(E822,'Normative data'!$Y$3:$Y$6,'Normative data'!$Z$3:$AG$6,,-1),'Normative data'!$Z$2:$AG$2,"Not Found",-1))</f>
        <v>Incomplete</v>
      </c>
      <c r="CS822" s="68">
        <v>6</v>
      </c>
      <c r="CT822" s="66">
        <v>3</v>
      </c>
      <c r="CU822" s="20" cm="1">
        <f t="array" ref="CU822">_xlfn.XLOOKUP(CS822&amp;CT822,(VLOOKUP!$A$3:$A$250)&amp;(VLOOKUP!$B$3:$B$250),VLOOKUP!$C$3:$C$250,"Incomplete",-1)</f>
        <v>880</v>
      </c>
      <c r="CV822" s="20" t="str" cm="1">
        <f t="array" ref="CV822">_xlfn.XLOOKUP(CU822, _xlfn.XLOOKUP(E822, 'Normative data'!$Y$11:$Y$14, 'Normative data'!$Z$11:$AG$14, ,-1), 'Normative data'!$Z$10:$AG$10, "Not Found", -1)</f>
        <v xml:space="preserve">Fair </v>
      </c>
      <c r="CW822" s="20" cm="1">
        <f t="array" ref="CW822">IF(OR(ISBLANK(CS822),ISBLANK(CT822)),"Incomplete",_xlfn.XLOOKUP(CS822&amp;CT822,VLOOKUP!$A$4:$A$250&amp;VLOOKUP!$B$4:$B$250,VLOOKUP!$D$4:$D$250,"0"))</f>
        <v>34</v>
      </c>
    </row>
    <row r="823" spans="1:101">
      <c r="A823" s="94" t="s">
        <v>1495</v>
      </c>
      <c r="B823" s="94" t="s">
        <v>1496</v>
      </c>
      <c r="C823" s="64" t="s">
        <v>86</v>
      </c>
      <c r="D823" s="97">
        <v>40795</v>
      </c>
      <c r="E823" s="64"/>
      <c r="F823" s="64">
        <v>8</v>
      </c>
      <c r="G823" s="64">
        <v>2025</v>
      </c>
      <c r="H823" s="66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  <c r="AD823" s="66"/>
      <c r="AE823" s="66"/>
      <c r="AF823" s="66"/>
      <c r="AG823" s="66"/>
      <c r="AH823" s="66"/>
      <c r="AI823" s="66"/>
      <c r="AJ823" s="66"/>
      <c r="AK823" s="66"/>
      <c r="AL823" s="66"/>
      <c r="AM823" s="66"/>
      <c r="AN823" s="66"/>
      <c r="AO823" s="66"/>
      <c r="AP823" s="66"/>
      <c r="AQ823" s="66"/>
      <c r="AR823" s="66"/>
      <c r="AS823" s="66"/>
      <c r="AT823" s="66"/>
      <c r="AU823" s="66"/>
      <c r="AV823" s="66"/>
      <c r="AW823" s="66"/>
      <c r="AX823" s="66"/>
      <c r="AY823" s="41" t="str">
        <f>IF(OR(ISBLANK(U823), ISBLANK(AQ823)), "Incomplete", (60.7*AQ823)+(45.3*U823)-2055)</f>
        <v>Incomplete</v>
      </c>
      <c r="AZ823" s="66"/>
      <c r="BA823" s="20" t="str">
        <f>IF(OR(ISBLANK(U823), ISBLANK(AS823)), "Incomplete", (60.7*AS823)+(45.3*U823)-2055)</f>
        <v>Incomplete</v>
      </c>
      <c r="BB823" s="66"/>
      <c r="BC823" s="20" t="str">
        <f>IF(OR(ISBLANK(U823), ISBLANK(AU823)), "Incomplete", (60.7*AU823)+(45.3*U823)-2055)</f>
        <v>Incomplete</v>
      </c>
      <c r="BD823" s="66"/>
      <c r="BE823" s="20" t="str">
        <f>IF(OR(ISBLANK(U823), ISBLANK(AW823)), "Incomplete", (60.7*AW823)+(45.3*U823)-2055)</f>
        <v>Incomplete</v>
      </c>
      <c r="BF823" s="66"/>
      <c r="BG823" s="66">
        <v>14</v>
      </c>
      <c r="BH823" s="66">
        <v>33.5</v>
      </c>
      <c r="BI823" s="20">
        <f t="shared" si="255"/>
        <v>19.5</v>
      </c>
      <c r="BJ823" s="66"/>
      <c r="BK823" s="66"/>
      <c r="BL823" s="66"/>
      <c r="BM823" s="66"/>
      <c r="BN823" s="66"/>
      <c r="BO823" s="66"/>
      <c r="BP823" s="66"/>
      <c r="BQ823" s="66"/>
      <c r="BR823" s="66"/>
      <c r="BS823" s="66"/>
      <c r="BT823" s="66"/>
      <c r="BU823" s="66"/>
      <c r="BV823" s="66"/>
      <c r="BW823" s="91" t="str">
        <f>IFERROR(SUM(BQ823+BR823+BS823)/(3*(T823-S823))*100, "Incomplete")</f>
        <v>Incomplete</v>
      </c>
      <c r="BX823" s="91" t="str">
        <f>_xlfn.XLOOKUP(BW823,'Normative data'!$V$3:$V$6,'Normative data'!$W$3:$W$6,"Not Found",-1)</f>
        <v>Very low risk</v>
      </c>
      <c r="BY823" s="91" t="str">
        <f>IFERROR(SUM(BT823+BU823+BV823)/(3*(T823-S823))*100, "Incomplete")</f>
        <v>Incomplete</v>
      </c>
      <c r="BZ823" s="91" t="str">
        <f>_xlfn.XLOOKUP(BY823,'Normative data'!$V$3:$V$6,'Normative data'!$W$3:$W$6,"Not Found",-1)</f>
        <v>Very low risk</v>
      </c>
      <c r="CA823" s="66"/>
      <c r="CB823" s="66"/>
      <c r="CC823" s="20"/>
      <c r="CD823" s="66"/>
      <c r="CE823" s="66">
        <v>9</v>
      </c>
      <c r="CF823" s="66"/>
      <c r="CG823" s="66"/>
      <c r="CH823" s="20" t="str">
        <f>_xlfn.XLOOKUP(CG823, 'Normative data'!$S$9:$S$15,'Normative data'!$T$9:$T$15, "Not Found", -1)</f>
        <v>not completed</v>
      </c>
      <c r="CI823" s="66"/>
      <c r="CJ823" s="20" t="str">
        <f>_xlfn.XLOOKUP(CI823, 'Normative data'!$S$9:$S$15, 'Normative data'!$T$9:$T$15, "Not Found", -1)</f>
        <v>not completed</v>
      </c>
      <c r="CK823" s="106">
        <v>2.42</v>
      </c>
      <c r="CL823" s="106">
        <v>4.13</v>
      </c>
      <c r="CM823" s="105"/>
      <c r="CN823" s="106">
        <v>7.28</v>
      </c>
      <c r="CO823" s="106">
        <v>6.87</v>
      </c>
      <c r="CP823" s="110"/>
      <c r="CQ823" s="68"/>
      <c r="CR823" s="20" t="str" cm="1">
        <f t="array" ref="CR823">IF(OR(ISBLANK(E823),ISBLANK(CQ823)),"Incomplete",_xlfn.XLOOKUP(CQ823,_xlfn.XLOOKUP(E823,'Normative data'!$Y$3:$Y$6,'Normative data'!$Z$3:$AG$6,,-1),'Normative data'!$Z$2:$AG$2,"Not Found",-1))</f>
        <v>Incomplete</v>
      </c>
      <c r="CS823" s="68"/>
      <c r="CT823" s="66"/>
      <c r="CU823" s="20" t="str" cm="1">
        <f t="array" ref="CU823">_xlfn.XLOOKUP(CS823&amp;CT823,(VLOOKUP!$A$3:$A$250)&amp;(VLOOKUP!$B$3:$B$250),VLOOKUP!$C$3:$C$250,"Incomplete",-1)</f>
        <v>Incomplete</v>
      </c>
      <c r="CV823" s="20" t="str" cm="1">
        <f t="array" ref="CV823">_xlfn.XLOOKUP(CU823, _xlfn.XLOOKUP(E823, 'Normative data'!$Y$11:$Y$14, 'Normative data'!$Z$11:$AG$14, ,-1), 'Normative data'!$Z$10:$AG$10, "Not Found", -1)</f>
        <v>Excellent</v>
      </c>
      <c r="CW823" s="20" t="str" cm="1">
        <f t="array" ref="CW823">IF(OR(ISBLANK(CS823),ISBLANK(CT823)),"Incomplete",_xlfn.XLOOKUP(CS823&amp;CT823,VLOOKUP!$A$4:$A$250&amp;VLOOKUP!$B$4:$B$250,VLOOKUP!$D$4:$D$250,"0"))</f>
        <v>Incomplete</v>
      </c>
    </row>
    <row r="824" spans="1:101">
      <c r="A824" s="93" t="s">
        <v>674</v>
      </c>
      <c r="B824" s="93" t="s">
        <v>1496</v>
      </c>
      <c r="C824" s="64" t="s">
        <v>86</v>
      </c>
      <c r="D824" s="96">
        <v>40362</v>
      </c>
      <c r="E824" s="64"/>
      <c r="F824" s="64">
        <v>9</v>
      </c>
      <c r="G824" s="64">
        <v>2025</v>
      </c>
      <c r="H824" s="66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  <c r="AD824" s="66"/>
      <c r="AE824" s="66"/>
      <c r="AF824" s="66"/>
      <c r="AG824" s="66"/>
      <c r="AH824" s="66"/>
      <c r="AI824" s="66"/>
      <c r="AJ824" s="66"/>
      <c r="AK824" s="66"/>
      <c r="AL824" s="66"/>
      <c r="AM824" s="66"/>
      <c r="AN824" s="66"/>
      <c r="AO824" s="66"/>
      <c r="AP824" s="66"/>
      <c r="AQ824" s="66"/>
      <c r="AR824" s="66"/>
      <c r="AS824" s="66"/>
      <c r="AT824" s="66"/>
      <c r="AU824" s="66"/>
      <c r="AV824" s="66"/>
      <c r="AW824" s="66"/>
      <c r="AX824" s="66"/>
      <c r="AY824" s="41" t="str">
        <f>IF(OR(ISBLANK(U824), ISBLANK(AQ824)), "Incomplete", (60.7*AQ824)+(45.3*U824)-2055)</f>
        <v>Incomplete</v>
      </c>
      <c r="AZ824" s="66"/>
      <c r="BA824" s="20" t="str">
        <f>IF(OR(ISBLANK(U824), ISBLANK(AS824)), "Incomplete", (60.7*AS824)+(45.3*U824)-2055)</f>
        <v>Incomplete</v>
      </c>
      <c r="BB824" s="66"/>
      <c r="BC824" s="20" t="str">
        <f>IF(OR(ISBLANK(U824), ISBLANK(AU824)), "Incomplete", (60.7*AU824)+(45.3*U824)-2055)</f>
        <v>Incomplete</v>
      </c>
      <c r="BD824" s="66"/>
      <c r="BE824" s="20" t="str">
        <f>IF(OR(ISBLANK(U824), ISBLANK(AW824)), "Incomplete", (60.7*AW824)+(45.3*U824)-2055)</f>
        <v>Incomplete</v>
      </c>
      <c r="BF824" s="66"/>
      <c r="BG824" s="66">
        <v>12</v>
      </c>
      <c r="BH824" s="66">
        <v>34</v>
      </c>
      <c r="BI824" s="20">
        <f t="shared" si="255"/>
        <v>22</v>
      </c>
      <c r="BJ824" s="66"/>
      <c r="BK824" s="66"/>
      <c r="BL824" s="66"/>
      <c r="BM824" s="66"/>
      <c r="BN824" s="66"/>
      <c r="BO824" s="66"/>
      <c r="BP824" s="66"/>
      <c r="BQ824" s="66"/>
      <c r="BR824" s="66"/>
      <c r="BS824" s="66"/>
      <c r="BT824" s="66"/>
      <c r="BU824" s="66"/>
      <c r="BV824" s="66"/>
      <c r="BW824" s="91" t="str">
        <f>IFERROR(SUM(BQ824+BR824+BS824)/(3*(T824-S824))*100, "Incomplete")</f>
        <v>Incomplete</v>
      </c>
      <c r="BX824" s="91" t="str">
        <f>_xlfn.XLOOKUP(BW824,'Normative data'!$V$3:$V$6,'Normative data'!$W$3:$W$6,"Not Found",-1)</f>
        <v>Very low risk</v>
      </c>
      <c r="BY824" s="91" t="str">
        <f>IFERROR(SUM(BT824+BU824+BV824)/(3*(T824-S824))*100, "Incomplete")</f>
        <v>Incomplete</v>
      </c>
      <c r="BZ824" s="91" t="str">
        <f>_xlfn.XLOOKUP(BY824,'Normative data'!$V$3:$V$6,'Normative data'!$W$3:$W$6,"Not Found",-1)</f>
        <v>Very low risk</v>
      </c>
      <c r="CA824" s="66"/>
      <c r="CB824" s="66"/>
      <c r="CC824" s="20"/>
      <c r="CD824" s="66"/>
      <c r="CE824" s="66">
        <v>10</v>
      </c>
      <c r="CF824" s="66"/>
      <c r="CG824" s="20"/>
      <c r="CH824" s="20" t="str">
        <f>_xlfn.XLOOKUP(CG824, 'Normative data'!$S$9:$S$15,'Normative data'!$T$9:$T$15, "Not Found", -1)</f>
        <v>not completed</v>
      </c>
      <c r="CI824" s="20"/>
      <c r="CJ824" s="20" t="str">
        <f>_xlfn.XLOOKUP(CI824, 'Normative data'!$S$9:$S$15, 'Normative data'!$T$9:$T$15, "Not Found", -1)</f>
        <v>not completed</v>
      </c>
      <c r="CK824" s="21">
        <v>2.34</v>
      </c>
      <c r="CL824" s="21">
        <v>4.2699999999999996</v>
      </c>
      <c r="CM824" s="21"/>
      <c r="CN824" s="21">
        <v>6.56</v>
      </c>
      <c r="CO824" s="21">
        <v>7.62</v>
      </c>
      <c r="CP824" s="109"/>
      <c r="CQ824" s="68"/>
      <c r="CR824" s="20" t="str" cm="1">
        <f t="array" ref="CR824">IF(OR(ISBLANK(E824),ISBLANK(CQ824)),"Incomplete",_xlfn.XLOOKUP(CQ824,_xlfn.XLOOKUP(E824,'Normative data'!$Y$3:$Y$6,'Normative data'!$Z$3:$AG$6,,-1),'Normative data'!$Z$2:$AG$2,"Not Found",-1))</f>
        <v>Incomplete</v>
      </c>
      <c r="CS824" s="68"/>
      <c r="CT824" s="66"/>
      <c r="CU824" s="20" t="str" cm="1">
        <f t="array" ref="CU824">_xlfn.XLOOKUP(CS824&amp;CT824,(VLOOKUP!$A$3:$A$250)&amp;(VLOOKUP!$B$3:$B$250),VLOOKUP!$C$3:$C$250,"Incomplete",-1)</f>
        <v>Incomplete</v>
      </c>
      <c r="CV824" s="20" t="str" cm="1">
        <f t="array" ref="CV824">_xlfn.XLOOKUP(CU824, _xlfn.XLOOKUP(E824, 'Normative data'!$Y$11:$Y$14, 'Normative data'!$Z$11:$AG$14, ,-1), 'Normative data'!$Z$10:$AG$10, "Not Found", -1)</f>
        <v>Excellent</v>
      </c>
      <c r="CW824" s="20" t="str" cm="1">
        <f t="array" ref="CW824">IF(OR(ISBLANK(CS824),ISBLANK(CT824)),"Incomplete",_xlfn.XLOOKUP(CS824&amp;CT824,VLOOKUP!$A$4:$A$250&amp;VLOOKUP!$B$4:$B$250,VLOOKUP!$D$4:$D$250,"0"))</f>
        <v>Incomplete</v>
      </c>
    </row>
    <row r="825" spans="1:101">
      <c r="A825" s="64" t="s">
        <v>674</v>
      </c>
      <c r="B825" s="64" t="s">
        <v>1496</v>
      </c>
      <c r="C825" s="64" t="s">
        <v>86</v>
      </c>
      <c r="D825" s="96">
        <v>40362</v>
      </c>
      <c r="E825" s="64"/>
      <c r="F825" s="64">
        <v>9</v>
      </c>
      <c r="G825" s="64">
        <v>2025</v>
      </c>
      <c r="H825" s="66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6"/>
      <c r="T825" s="66" t="s">
        <v>1497</v>
      </c>
      <c r="U825" s="66" t="s">
        <v>1498</v>
      </c>
      <c r="V825" s="66"/>
      <c r="W825" s="66"/>
      <c r="X825" s="66"/>
      <c r="Y825" s="66"/>
      <c r="Z825" s="66"/>
      <c r="AA825" s="66"/>
      <c r="AB825" s="66"/>
      <c r="AC825" s="66"/>
      <c r="AD825" s="66"/>
      <c r="AE825" s="66"/>
      <c r="AF825" s="66"/>
      <c r="AG825" s="66"/>
      <c r="AH825" s="66"/>
      <c r="AI825" s="66"/>
      <c r="AJ825" s="66"/>
      <c r="AK825" s="66"/>
      <c r="AL825" s="66"/>
      <c r="AM825" s="66"/>
      <c r="AN825" s="66"/>
      <c r="AO825" s="66"/>
      <c r="AP825" s="66"/>
      <c r="AQ825" s="20"/>
      <c r="AR825" s="20"/>
      <c r="AS825" s="20"/>
      <c r="AT825" s="20"/>
      <c r="AU825" s="20"/>
      <c r="AV825" s="20"/>
      <c r="AW825" s="20"/>
      <c r="AX825" s="20"/>
      <c r="AY825" s="41" t="str">
        <f>IF(OR(ISBLANK(#REF!), ISBLANK(AQ825)), "Incomplete", (60.7*AQ825)+(45.3*#REF!)-2055)</f>
        <v>Incomplete</v>
      </c>
      <c r="AZ825" s="66"/>
      <c r="BA825" s="20" t="str">
        <f>IF(OR(ISBLANK(#REF!), ISBLANK(AS825)), "Incomplete", (60.7*AS825)+(45.3*#REF!)-2055)</f>
        <v>Incomplete</v>
      </c>
      <c r="BB825" s="66"/>
      <c r="BC825" s="20" t="str">
        <f>IF(OR(ISBLANK(#REF!), ISBLANK(AU825)), "Incomplete", (60.7*AU825)+(45.3*#REF!)-2055)</f>
        <v>Incomplete</v>
      </c>
      <c r="BD825" s="66"/>
      <c r="BE825" s="20" t="str">
        <f>IF(OR(ISBLANK(#REF!), ISBLANK(AW825)), "Incomplete", (60.7*AW825)+(45.3*#REF!)-2055)</f>
        <v>Incomplete</v>
      </c>
      <c r="BF825" s="66"/>
      <c r="BG825" s="66"/>
      <c r="BH825" s="20"/>
      <c r="BI825" s="20" t="str">
        <f t="shared" si="255"/>
        <v>Incomplete</v>
      </c>
      <c r="BJ825" s="66"/>
      <c r="BK825" s="66"/>
      <c r="BL825" s="66"/>
      <c r="BM825" s="66"/>
      <c r="BN825" s="66"/>
      <c r="BO825" s="66"/>
      <c r="BP825" s="66"/>
      <c r="BQ825" s="66"/>
      <c r="BR825" s="66"/>
      <c r="BS825" s="66"/>
      <c r="BT825" s="66"/>
      <c r="BU825" s="66"/>
      <c r="BV825" s="66"/>
      <c r="BW825" s="91" t="str">
        <f>IFERROR(SUM(BQ825+BR825+BS825)/(3*(#REF!-S825))*100, "Incomplete")</f>
        <v>Incomplete</v>
      </c>
      <c r="BX825" s="91" t="str">
        <f>_xlfn.XLOOKUP(BW825,'Normative data'!$V$3:$V$6,'Normative data'!$W$3:$W$6,"Not Found",-1)</f>
        <v>Very low risk</v>
      </c>
      <c r="BY825" s="91" t="str">
        <f>IFERROR(SUM(BT825+BU825+BV825)/(3*(#REF!-S825))*100, "Incomplete")</f>
        <v>Incomplete</v>
      </c>
      <c r="BZ825" s="91" t="str">
        <f>_xlfn.XLOOKUP(BY825,'Normative data'!$V$3:$V$6,'Normative data'!$W$3:$W$6,"Not Found",-1)</f>
        <v>Very low risk</v>
      </c>
      <c r="CA825" s="20"/>
      <c r="CB825" s="66"/>
      <c r="CC825" s="20"/>
      <c r="CD825" s="66"/>
      <c r="CE825" s="66"/>
      <c r="CF825" s="66"/>
      <c r="CG825" s="20"/>
      <c r="CH825" s="20" t="str">
        <f>_xlfn.XLOOKUP(CG825, 'Normative data'!$S$9:$S$15,'Normative data'!$T$9:$T$15, "Not Found", -1)</f>
        <v>not completed</v>
      </c>
      <c r="CI825" s="20"/>
      <c r="CJ825" s="20" t="str">
        <f>_xlfn.XLOOKUP(CI825, 'Normative data'!$S$9:$S$15, 'Normative data'!$T$9:$T$15, "Not Found", -1)</f>
        <v>not completed</v>
      </c>
      <c r="CK825" s="66" t="s">
        <v>145</v>
      </c>
      <c r="CL825" s="66" t="s">
        <v>146</v>
      </c>
      <c r="CM825" s="66"/>
      <c r="CN825" s="66" t="s">
        <v>1075</v>
      </c>
      <c r="CO825" s="66" t="s">
        <v>1076</v>
      </c>
      <c r="CP825" s="68"/>
      <c r="CQ825" s="68"/>
      <c r="CR825" s="20" t="str" cm="1">
        <f t="array" ref="CR825">IF(OR(ISBLANK(E825),ISBLANK(CQ825)),"Incomplete",_xlfn.XLOOKUP(CQ825,_xlfn.XLOOKUP(E825,'Normative data'!$Y$3:$Y$6,'Normative data'!$Z$3:$AG$6,,-1),'Normative data'!$Z$2:$AG$2,"Not Found",-1))</f>
        <v>Incomplete</v>
      </c>
      <c r="CS825" s="68"/>
      <c r="CT825" s="66"/>
      <c r="CU825" s="20" t="str" cm="1">
        <f t="array" ref="CU825">_xlfn.XLOOKUP(CS825&amp;CT825,(VLOOKUP!$A$3:$A$250)&amp;(VLOOKUP!$B$3:$B$250),VLOOKUP!$C$3:$C$250,"Incomplete",-1)</f>
        <v>Incomplete</v>
      </c>
      <c r="CV825" s="20" t="str" cm="1">
        <f t="array" ref="CV825">_xlfn.XLOOKUP(CU825, _xlfn.XLOOKUP(E825, 'Normative data'!$Y$11:$Y$14, 'Normative data'!$Z$11:$AG$14, ,-1), 'Normative data'!$Z$10:$AG$10, "Not Found", -1)</f>
        <v>Excellent</v>
      </c>
      <c r="CW825" s="20" t="str" cm="1">
        <f t="array" ref="CW825">IF(OR(ISBLANK(CS825),ISBLANK(CT825)),"Incomplete",_xlfn.XLOOKUP(CS825&amp;CT825,VLOOKUP!$A$4:$A$250&amp;VLOOKUP!$B$4:$B$250,VLOOKUP!$D$4:$D$250,"0"))</f>
        <v>Incomplete</v>
      </c>
    </row>
    <row r="826" spans="1:101">
      <c r="A826" s="64" t="s">
        <v>1499</v>
      </c>
      <c r="B826" s="64" t="s">
        <v>1496</v>
      </c>
      <c r="C826" s="64" t="s">
        <v>86</v>
      </c>
      <c r="D826" s="120"/>
      <c r="E826" s="64"/>
      <c r="F826" s="64"/>
      <c r="G826" s="64">
        <v>2026</v>
      </c>
      <c r="H826" s="66" t="s">
        <v>114</v>
      </c>
      <c r="I826" s="64">
        <v>1</v>
      </c>
      <c r="J826" s="64"/>
      <c r="K826" s="64"/>
      <c r="L826" s="64"/>
      <c r="M826" s="64"/>
      <c r="N826" s="64"/>
      <c r="O826" s="64"/>
      <c r="P826" s="64"/>
      <c r="Q826" s="64"/>
      <c r="R826" s="64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  <c r="AD826" s="66"/>
      <c r="AE826" s="66"/>
      <c r="AF826" s="66"/>
      <c r="AG826" s="66"/>
      <c r="AH826" s="66"/>
      <c r="AI826" s="66"/>
      <c r="AJ826" s="66"/>
      <c r="AK826" s="66"/>
      <c r="AL826" s="66"/>
      <c r="AM826" s="66"/>
      <c r="AN826" s="66"/>
      <c r="AO826" s="66"/>
      <c r="AP826" s="66"/>
      <c r="AQ826" s="66">
        <v>24.4</v>
      </c>
      <c r="AR826" s="66">
        <v>0.44600000000000001</v>
      </c>
      <c r="AS826" s="66">
        <v>26.4</v>
      </c>
      <c r="AT826" s="66">
        <v>0.46400000000000002</v>
      </c>
      <c r="AU826" s="66">
        <v>12.6</v>
      </c>
      <c r="AV826" s="66">
        <v>0.32</v>
      </c>
      <c r="AW826" s="66">
        <v>14.1</v>
      </c>
      <c r="AX826" s="66">
        <v>0.33900000000000002</v>
      </c>
      <c r="AY826" s="41" t="str">
        <f>IF(OR(ISBLANK(U826), ISBLANK(AQ826)), "Incomplete", (60.7*AQ826)+(45.3*U826)-2055)</f>
        <v>Incomplete</v>
      </c>
      <c r="AZ826" s="66"/>
      <c r="BA826" s="20" t="str">
        <f>IF(OR(ISBLANK(U826), ISBLANK(AS826)), "Incomplete", (60.7*AS826)+(45.3*U826)-2055)</f>
        <v>Incomplete</v>
      </c>
      <c r="BB826" s="66"/>
      <c r="BC826" s="20" t="str">
        <f>IF(OR(ISBLANK(U826), ISBLANK(AU826)), "Incomplete", (60.7*AU826)+(45.3*U826)-2055)</f>
        <v>Incomplete</v>
      </c>
      <c r="BD826" s="66"/>
      <c r="BE826" s="20" t="str">
        <f>IF(OR(ISBLANK(U826), ISBLANK(AW826)), "Incomplete", (60.7*AW826)+(45.3*U826)-2055)</f>
        <v>Incomplete</v>
      </c>
      <c r="BF826" s="66"/>
      <c r="BG826" s="66">
        <v>13</v>
      </c>
      <c r="BH826" s="20">
        <v>45</v>
      </c>
      <c r="BI826" s="20">
        <f t="shared" si="255"/>
        <v>32</v>
      </c>
      <c r="BJ826" s="66"/>
      <c r="BK826" s="66"/>
      <c r="BL826" s="66"/>
      <c r="BM826" s="66"/>
      <c r="BN826" s="66"/>
      <c r="BO826" s="66"/>
      <c r="BP826" s="66"/>
      <c r="BQ826" s="66"/>
      <c r="BR826" s="66"/>
      <c r="BS826" s="66"/>
      <c r="BT826" s="66"/>
      <c r="BU826" s="66"/>
      <c r="BV826" s="66"/>
      <c r="BW826" s="91" t="str">
        <f>IFERROR(SUM(BQ826+BR826+BS826)/(3*(T826-S826))*100, "Incomplete")</f>
        <v>Incomplete</v>
      </c>
      <c r="BX826" s="91" t="str">
        <f>_xlfn.XLOOKUP(BW826,'Normative data'!$V$3:$V$6,'Normative data'!$W$3:$W$6,"Not Found",-1)</f>
        <v>Very low risk</v>
      </c>
      <c r="BY826" s="91" t="str">
        <f>IFERROR(SUM(BT826+BU826+BV826)/(3*(T826-S826))*100, "Incomplete")</f>
        <v>Incomplete</v>
      </c>
      <c r="BZ826" s="91" t="str">
        <f>_xlfn.XLOOKUP(BY826,'Normative data'!$V$3:$V$6,'Normative data'!$W$3:$W$6,"Not Found",-1)</f>
        <v>Very low risk</v>
      </c>
      <c r="CA826" s="66"/>
      <c r="CB826" s="66"/>
      <c r="CC826" s="20">
        <v>44</v>
      </c>
      <c r="CD826" s="66"/>
      <c r="CE826" s="66">
        <v>3</v>
      </c>
      <c r="CF826" s="66"/>
      <c r="CG826" s="66"/>
      <c r="CH826" s="20" t="str">
        <f>_xlfn.XLOOKUP(CG826, 'Normative data'!$S$9:$S$15,'Normative data'!$T$9:$T$15, "Not Found", -1)</f>
        <v>not completed</v>
      </c>
      <c r="CI826" s="66"/>
      <c r="CJ826" s="20" t="str">
        <f>_xlfn.XLOOKUP(CI826, 'Normative data'!$S$9:$S$15, 'Normative data'!$T$9:$T$15, "Not Found", -1)</f>
        <v>not completed</v>
      </c>
      <c r="CK826" s="66">
        <v>2.57</v>
      </c>
      <c r="CL826" s="66">
        <v>3.89</v>
      </c>
      <c r="CM826" s="66"/>
      <c r="CN826" s="66">
        <v>7.02</v>
      </c>
      <c r="CO826" s="66">
        <v>7.12</v>
      </c>
      <c r="CP826" s="68"/>
      <c r="CQ826" s="68">
        <v>7.1</v>
      </c>
      <c r="CR826" s="20" t="str" cm="1">
        <f t="array" ref="CR826">IF(OR(ISBLANK(E826),ISBLANK(CQ826)),"Incomplete",_xlfn.XLOOKUP(CQ826,_xlfn.XLOOKUP(E826,'Normative data'!$Y$3:$Y$6,'Normative data'!$Z$3:$AG$6,,-1),'Normative data'!$Z$2:$AG$2,"Not Found",-1))</f>
        <v>Incomplete</v>
      </c>
      <c r="CS826" s="68">
        <v>7</v>
      </c>
      <c r="CT826" s="66">
        <v>1</v>
      </c>
      <c r="CU826" s="20" cm="1">
        <f t="array" ref="CU826">_xlfn.XLOOKUP(CS826&amp;CT826,(VLOOKUP!$A$3:$A$250)&amp;(VLOOKUP!$B$3:$B$250),VLOOKUP!$C$3:$C$250,"Incomplete",-1)</f>
        <v>1040</v>
      </c>
      <c r="CV826" s="20" t="str" cm="1">
        <f t="array" ref="CV826">_xlfn.XLOOKUP(CU826, _xlfn.XLOOKUP(E826, 'Normative data'!$Y$11:$Y$14, 'Normative data'!$Z$11:$AG$14, ,-1), 'Normative data'!$Z$10:$AG$10, "Not Found", -1)</f>
        <v xml:space="preserve">Fair </v>
      </c>
      <c r="CW826" s="20" cm="1">
        <f t="array" ref="CW826">IF(OR(ISBLANK(CS826),ISBLANK(CT826)),"Incomplete",_xlfn.XLOOKUP(CS826&amp;CT826,VLOOKUP!$A$4:$A$250&amp;VLOOKUP!$B$4:$B$250,VLOOKUP!$D$4:$D$250,"0"))</f>
        <v>37</v>
      </c>
    </row>
    <row r="827" spans="1:101">
      <c r="A827" s="93" t="s">
        <v>470</v>
      </c>
      <c r="B827" s="93" t="s">
        <v>892</v>
      </c>
      <c r="C827" s="64" t="s">
        <v>86</v>
      </c>
      <c r="D827" s="96">
        <v>40072</v>
      </c>
      <c r="E827" s="64"/>
      <c r="F827" s="64">
        <v>10</v>
      </c>
      <c r="G827" s="64">
        <v>2025</v>
      </c>
      <c r="H827" s="66"/>
      <c r="I827" s="64"/>
      <c r="J827" s="64" t="s">
        <v>122</v>
      </c>
      <c r="K827" s="64"/>
      <c r="L827" s="64"/>
      <c r="M827" s="64"/>
      <c r="N827" s="64"/>
      <c r="O827" s="64"/>
      <c r="P827" s="64"/>
      <c r="Q827" s="64"/>
      <c r="R827" s="64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  <c r="AD827" s="66"/>
      <c r="AE827" s="66"/>
      <c r="AF827" s="66"/>
      <c r="AG827" s="66"/>
      <c r="AH827" s="66"/>
      <c r="AI827" s="66"/>
      <c r="AJ827" s="66"/>
      <c r="AK827" s="66"/>
      <c r="AL827" s="66"/>
      <c r="AM827" s="66"/>
      <c r="AN827" s="66"/>
      <c r="AO827" s="66"/>
      <c r="AP827" s="66"/>
      <c r="AQ827" s="20"/>
      <c r="AR827" s="20"/>
      <c r="AS827" s="20"/>
      <c r="AT827" s="20"/>
      <c r="AU827" s="20"/>
      <c r="AV827" s="20"/>
      <c r="AW827" s="20"/>
      <c r="AX827" s="20"/>
      <c r="AY827" s="41" t="str">
        <f>IF(OR(ISBLANK(U827), ISBLANK(AQ827)), "Incomplete", (60.7*AQ827)+(45.3*U827)-2055)</f>
        <v>Incomplete</v>
      </c>
      <c r="AZ827" s="66"/>
      <c r="BA827" s="20" t="str">
        <f>IF(OR(ISBLANK(U827), ISBLANK(AS827)), "Incomplete", (60.7*AS827)+(45.3*U827)-2055)</f>
        <v>Incomplete</v>
      </c>
      <c r="BB827" s="66"/>
      <c r="BC827" s="20" t="str">
        <f>IF(OR(ISBLANK(U827), ISBLANK(AU827)), "Incomplete", (60.7*AU827)+(45.3*U827)-2055)</f>
        <v>Incomplete</v>
      </c>
      <c r="BD827" s="66"/>
      <c r="BE827" s="20" t="str">
        <f>IF(OR(ISBLANK(U827), ISBLANK(AW827)), "Incomplete", (60.7*AW827)+(45.3*U827)-2055)</f>
        <v>Incomplete</v>
      </c>
      <c r="BF827" s="66"/>
      <c r="BG827" s="66">
        <v>16</v>
      </c>
      <c r="BH827" s="20">
        <v>40</v>
      </c>
      <c r="BI827" s="20" t="e">
        <f>IF(OR(ISBLANK(#REF!), ISBLANK(#REF!)),"Incomplete",(SUM(#REF!-#REF!)))</f>
        <v>#REF!</v>
      </c>
      <c r="BJ827" s="66"/>
      <c r="BK827" s="66"/>
      <c r="BL827" s="66"/>
      <c r="BM827" s="20"/>
      <c r="BN827" s="66"/>
      <c r="BO827" s="66"/>
      <c r="BP827" s="66"/>
      <c r="BQ827" s="66"/>
      <c r="BR827" s="66"/>
      <c r="BS827" s="66"/>
      <c r="BT827" s="66"/>
      <c r="BU827" s="66"/>
      <c r="BV827" s="66"/>
      <c r="BW827" s="91" t="str">
        <f>IFERROR(SUM(BQ827+BR827+BS827)/(3*(T827-S827))*100, "Incomplete")</f>
        <v>Incomplete</v>
      </c>
      <c r="BX827" s="91" t="str">
        <f>_xlfn.XLOOKUP(BW827,'Normative data'!$V$3:$V$6,'Normative data'!$W$3:$W$6,"Not Found",-1)</f>
        <v>Very low risk</v>
      </c>
      <c r="BY827" s="91" t="str">
        <f>IFERROR(SUM(BT827+BU827+BV827)/(3*(T827-S827))*100, "Incomplete")</f>
        <v>Incomplete</v>
      </c>
      <c r="BZ827" s="91" t="str">
        <f>_xlfn.XLOOKUP(BY827,'Normative data'!$V$3:$V$6,'Normative data'!$W$3:$W$6,"Not Found",-1)</f>
        <v>Very low risk</v>
      </c>
      <c r="CA827" s="66"/>
      <c r="CB827" s="66"/>
      <c r="CC827" s="20"/>
      <c r="CD827" s="66"/>
      <c r="CE827" s="66">
        <v>4</v>
      </c>
      <c r="CF827" s="66"/>
      <c r="CG827" s="20">
        <v>17.760000000000002</v>
      </c>
      <c r="CH827" s="20" t="str">
        <f>_xlfn.XLOOKUP(CG827, 'Normative data'!$S$9:$S$15,'Normative data'!$T$9:$T$15, "Not Found", -1)</f>
        <v>Above Average</v>
      </c>
      <c r="CI827" s="20">
        <v>17.61</v>
      </c>
      <c r="CJ827" s="20" t="str">
        <f>_xlfn.XLOOKUP(CI827, 'Normative data'!$S$9:$S$15, 'Normative data'!$T$9:$T$15, "Not Found", -1)</f>
        <v>Above Average</v>
      </c>
      <c r="CK827" s="105">
        <v>2.0299999999999998</v>
      </c>
      <c r="CL827" s="105">
        <v>4.93</v>
      </c>
      <c r="CM827" s="105"/>
      <c r="CN827" s="105">
        <v>6.15</v>
      </c>
      <c r="CO827" s="105">
        <v>8.15</v>
      </c>
      <c r="CP827" s="68"/>
      <c r="CQ827" s="68"/>
      <c r="CR827" s="20" t="str" cm="1">
        <f t="array" ref="CR827">IF(OR(ISBLANK(E827),ISBLANK(CQ827)),"Incomplete",_xlfn.XLOOKUP(CQ827,_xlfn.XLOOKUP(E827,'Normative data'!$Y$3:$Y$6,'Normative data'!$Z$3:$AG$6,,-1),'Normative data'!$Z$2:$AG$2,"Not Found",-1))</f>
        <v>Incomplete</v>
      </c>
      <c r="CS827" s="68"/>
      <c r="CT827" s="66"/>
      <c r="CU827" s="20" t="str" cm="1">
        <f t="array" ref="CU827">_xlfn.XLOOKUP(CS827&amp;CT827,(VLOOKUP!$A$3:$A$250)&amp;(VLOOKUP!$B$3:$B$250),VLOOKUP!$C$3:$C$250,"Incomplete",-1)</f>
        <v>Incomplete</v>
      </c>
      <c r="CV827" s="20" t="str" cm="1">
        <f t="array" ref="CV827">_xlfn.XLOOKUP(CU827, _xlfn.XLOOKUP(E827, 'Normative data'!$Y$11:$Y$14, 'Normative data'!$Z$11:$AG$14, ,-1), 'Normative data'!$Z$10:$AG$10, "Not Found", -1)</f>
        <v>Excellent</v>
      </c>
      <c r="CW827" s="20" t="str" cm="1">
        <f t="array" ref="CW827">IF(OR(ISBLANK(CS827),ISBLANK(CT827)),"Incomplete",_xlfn.XLOOKUP(CS827&amp;CT827,VLOOKUP!$A$4:$A$250&amp;VLOOKUP!$B$4:$B$250,VLOOKUP!$D$4:$D$250,"0"))</f>
        <v>Incomplete</v>
      </c>
    </row>
    <row r="828" spans="1:101">
      <c r="A828" s="64" t="s">
        <v>470</v>
      </c>
      <c r="B828" s="64" t="s">
        <v>892</v>
      </c>
      <c r="C828" s="64" t="s">
        <v>86</v>
      </c>
      <c r="D828" s="96">
        <v>40072</v>
      </c>
      <c r="E828" s="64"/>
      <c r="F828" s="64"/>
      <c r="G828" s="64">
        <v>2025</v>
      </c>
      <c r="H828" s="66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6"/>
      <c r="T828" s="66" t="s">
        <v>1500</v>
      </c>
      <c r="U828" s="66" t="s">
        <v>1501</v>
      </c>
      <c r="V828" s="66"/>
      <c r="W828" s="66"/>
      <c r="X828" s="66"/>
      <c r="Y828" s="66"/>
      <c r="Z828" s="66"/>
      <c r="AA828" s="66"/>
      <c r="AB828" s="66"/>
      <c r="AC828" s="66"/>
      <c r="AD828" s="66"/>
      <c r="AE828" s="66"/>
      <c r="AF828" s="66"/>
      <c r="AG828" s="66"/>
      <c r="AH828" s="66"/>
      <c r="AI828" s="66"/>
      <c r="AJ828" s="66"/>
      <c r="AK828" s="66"/>
      <c r="AL828" s="66"/>
      <c r="AM828" s="66"/>
      <c r="AN828" s="66"/>
      <c r="AO828" s="66"/>
      <c r="AP828" s="66"/>
      <c r="AQ828" s="20"/>
      <c r="AR828" s="20"/>
      <c r="AS828" s="20"/>
      <c r="AT828" s="20"/>
      <c r="AU828" s="20"/>
      <c r="AV828" s="20"/>
      <c r="AW828" s="20"/>
      <c r="AX828" s="20"/>
      <c r="AY828" s="41" t="str">
        <f>IF(OR(ISBLANK(#REF!), ISBLANK(AQ828)), "Incomplete", (60.7*AQ828)+(45.3*#REF!)-2055)</f>
        <v>Incomplete</v>
      </c>
      <c r="AZ828" s="66"/>
      <c r="BA828" s="20" t="str">
        <f>IF(OR(ISBLANK(#REF!), ISBLANK(AS828)), "Incomplete", (60.7*AS828)+(45.3*#REF!)-2055)</f>
        <v>Incomplete</v>
      </c>
      <c r="BB828" s="66"/>
      <c r="BC828" s="20" t="str">
        <f>IF(OR(ISBLANK(#REF!), ISBLANK(AU828)), "Incomplete", (60.7*AU828)+(45.3*#REF!)-2055)</f>
        <v>Incomplete</v>
      </c>
      <c r="BD828" s="66"/>
      <c r="BE828" s="20" t="str">
        <f>IF(OR(ISBLANK(#REF!), ISBLANK(AW828)), "Incomplete", (60.7*AW828)+(45.3*#REF!)-2055)</f>
        <v>Incomplete</v>
      </c>
      <c r="BF828" s="66"/>
      <c r="BG828" s="66"/>
      <c r="BH828" s="66"/>
      <c r="BI828" s="20" t="str">
        <f t="shared" ref="BI828:BI834" si="256">IF(OR(ISBLANK(BG828), ISBLANK(BH828)),"Incomplete",(SUM(BH828-BG828)))</f>
        <v>Incomplete</v>
      </c>
      <c r="BJ828" s="66"/>
      <c r="BK828" s="66"/>
      <c r="BL828" s="66"/>
      <c r="BM828" s="66"/>
      <c r="BN828" s="66"/>
      <c r="BO828" s="66"/>
      <c r="BP828" s="66"/>
      <c r="BQ828" s="66"/>
      <c r="BR828" s="66"/>
      <c r="BS828" s="66"/>
      <c r="BT828" s="66"/>
      <c r="BU828" s="66"/>
      <c r="BV828" s="66"/>
      <c r="BW828" s="91" t="str">
        <f>IFERROR(SUM(BQ828+BR828+BS828)/(3*(#REF!-S828))*100, "Incomplete")</f>
        <v>Incomplete</v>
      </c>
      <c r="BX828" s="91" t="str">
        <f>_xlfn.XLOOKUP(BW828,'Normative data'!$V$3:$V$6,'Normative data'!$W$3:$W$6,"Not Found",-1)</f>
        <v>Very low risk</v>
      </c>
      <c r="BY828" s="91" t="str">
        <f>IFERROR(SUM(BT828+BU828+BV828)/(3*(#REF!-S828))*100, "Incomplete")</f>
        <v>Incomplete</v>
      </c>
      <c r="BZ828" s="91" t="str">
        <f>_xlfn.XLOOKUP(BY828,'Normative data'!$V$3:$V$6,'Normative data'!$W$3:$W$6,"Not Found",-1)</f>
        <v>Very low risk</v>
      </c>
      <c r="CA828" s="66"/>
      <c r="CB828" s="66"/>
      <c r="CC828" s="20"/>
      <c r="CD828" s="66"/>
      <c r="CE828" s="66"/>
      <c r="CF828" s="66"/>
      <c r="CG828" s="66">
        <v>16.940000000000001</v>
      </c>
      <c r="CH828" s="20" t="str">
        <f>_xlfn.XLOOKUP(CG828, 'Normative data'!$S$9:$S$15,'Normative data'!$T$9:$T$15, "Not Found", -1)</f>
        <v>Above Average</v>
      </c>
      <c r="CI828" s="66">
        <v>17.18</v>
      </c>
      <c r="CJ828" s="20" t="str">
        <f>_xlfn.XLOOKUP(CI828, 'Normative data'!$S$9:$S$15, 'Normative data'!$T$9:$T$15, "Not Found", -1)</f>
        <v>Above Average</v>
      </c>
      <c r="CK828" s="66" t="s">
        <v>401</v>
      </c>
      <c r="CL828" s="66" t="s">
        <v>867</v>
      </c>
      <c r="CM828" s="105"/>
      <c r="CN828" s="66" t="s">
        <v>1502</v>
      </c>
      <c r="CO828" s="66" t="s">
        <v>1503</v>
      </c>
      <c r="CP828" s="68"/>
      <c r="CQ828" s="68"/>
      <c r="CR828" s="20" t="str" cm="1">
        <f t="array" ref="CR828">IF(OR(ISBLANK(E828),ISBLANK(CQ828)),"Incomplete",_xlfn.XLOOKUP(CQ828,_xlfn.XLOOKUP(E828,'Normative data'!$Y$3:$Y$6,'Normative data'!$Z$3:$AG$6,,-1),'Normative data'!$Z$2:$AG$2,"Not Found",-1))</f>
        <v>Incomplete</v>
      </c>
      <c r="CS828" s="68"/>
      <c r="CT828" s="66"/>
      <c r="CU828" s="20" t="str" cm="1">
        <f t="array" ref="CU828">_xlfn.XLOOKUP(CS828&amp;CT828,(VLOOKUP!$A$3:$A$250)&amp;(VLOOKUP!$B$3:$B$250),VLOOKUP!$C$3:$C$250,"Incomplete",-1)</f>
        <v>Incomplete</v>
      </c>
      <c r="CV828" s="20" t="str" cm="1">
        <f t="array" ref="CV828">_xlfn.XLOOKUP(CU828, _xlfn.XLOOKUP(E828, 'Normative data'!$Y$11:$Y$14, 'Normative data'!$Z$11:$AG$14, ,-1), 'Normative data'!$Z$10:$AG$10, "Not Found", -1)</f>
        <v>Excellent</v>
      </c>
      <c r="CW828" s="20" t="str" cm="1">
        <f t="array" ref="CW828">IF(OR(ISBLANK(CS828),ISBLANK(CT828)),"Incomplete",_xlfn.XLOOKUP(CS828&amp;CT828,VLOOKUP!$A$4:$A$250&amp;VLOOKUP!$B$4:$B$250,VLOOKUP!$D$4:$D$250,"0"))</f>
        <v>Incomplete</v>
      </c>
    </row>
    <row r="829" spans="1:101">
      <c r="A829" s="64" t="s">
        <v>1504</v>
      </c>
      <c r="B829" s="64" t="s">
        <v>892</v>
      </c>
      <c r="C829" s="64" t="s">
        <v>86</v>
      </c>
      <c r="D829" s="96">
        <v>40072</v>
      </c>
      <c r="E829" s="64"/>
      <c r="F829" s="64"/>
      <c r="G829" s="64">
        <v>2026</v>
      </c>
      <c r="H829" s="66" t="s">
        <v>114</v>
      </c>
      <c r="I829" s="64">
        <v>1</v>
      </c>
      <c r="J829" s="64"/>
      <c r="K829" s="64"/>
      <c r="L829" s="64"/>
      <c r="M829" s="64"/>
      <c r="N829" s="64"/>
      <c r="O829" s="64"/>
      <c r="P829" s="64"/>
      <c r="Q829" s="64"/>
      <c r="R829" s="64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  <c r="AD829" s="66"/>
      <c r="AE829" s="66"/>
      <c r="AF829" s="66"/>
      <c r="AG829" s="66"/>
      <c r="AH829" s="66"/>
      <c r="AI829" s="66"/>
      <c r="AJ829" s="66"/>
      <c r="AK829" s="66"/>
      <c r="AL829" s="66"/>
      <c r="AM829" s="66"/>
      <c r="AN829" s="66"/>
      <c r="AO829" s="66"/>
      <c r="AP829" s="66"/>
      <c r="AQ829" s="104" t="s">
        <v>1505</v>
      </c>
      <c r="AR829" s="104" t="s">
        <v>1506</v>
      </c>
      <c r="AS829" s="104">
        <v>25.9</v>
      </c>
      <c r="AT829" s="104" t="s">
        <v>1507</v>
      </c>
      <c r="AU829" s="104">
        <v>13.1</v>
      </c>
      <c r="AV829" s="104">
        <v>0.32700000000000001</v>
      </c>
      <c r="AW829" s="104">
        <v>14.2</v>
      </c>
      <c r="AX829" s="104" t="s">
        <v>1508</v>
      </c>
      <c r="AY829" s="41" t="str">
        <f t="shared" ref="AY829:AY842" si="257">IF(OR(ISBLANK(U829), ISBLANK(AQ829)), "Incomplete", (60.7*AQ829)+(45.3*U829)-2055)</f>
        <v>Incomplete</v>
      </c>
      <c r="AZ829" s="66"/>
      <c r="BA829" s="20" t="str">
        <f t="shared" ref="BA829:BA842" si="258">IF(OR(ISBLANK(U829), ISBLANK(AS829)), "Incomplete", (60.7*AS829)+(45.3*U829)-2055)</f>
        <v>Incomplete</v>
      </c>
      <c r="BB829" s="66"/>
      <c r="BC829" s="20" t="str">
        <f t="shared" ref="BC829:BC842" si="259">IF(OR(ISBLANK(U829), ISBLANK(AU829)), "Incomplete", (60.7*AU829)+(45.3*U829)-2055)</f>
        <v>Incomplete</v>
      </c>
      <c r="BD829" s="66"/>
      <c r="BE829" s="20" t="str">
        <f t="shared" ref="BE829:BE842" si="260">IF(OR(ISBLANK(U829), ISBLANK(AW829)), "Incomplete", (60.7*AW829)+(45.3*U829)-2055)</f>
        <v>Incomplete</v>
      </c>
      <c r="BF829" s="66"/>
      <c r="BG829" s="104">
        <v>17</v>
      </c>
      <c r="BH829" s="104">
        <v>48</v>
      </c>
      <c r="BI829" s="20">
        <f t="shared" si="256"/>
        <v>31</v>
      </c>
      <c r="BJ829" s="66"/>
      <c r="BK829" s="66"/>
      <c r="BL829" s="66"/>
      <c r="BM829" s="66"/>
      <c r="BN829" s="66"/>
      <c r="BO829" s="66"/>
      <c r="BP829" s="66"/>
      <c r="BQ829" s="66"/>
      <c r="BR829" s="66"/>
      <c r="BS829" s="66"/>
      <c r="BT829" s="66"/>
      <c r="BU829" s="66"/>
      <c r="BV829" s="66"/>
      <c r="BW829" s="91" t="str">
        <f t="shared" ref="BW829:BW842" si="261">IFERROR(SUM(BQ829+BR829+BS829)/(3*(T829-S829))*100, "Incomplete")</f>
        <v>Incomplete</v>
      </c>
      <c r="BX829" s="91" t="str">
        <f>_xlfn.XLOOKUP(BW829,'Normative data'!$V$3:$V$6,'Normative data'!$W$3:$W$6,"Not Found",-1)</f>
        <v>Very low risk</v>
      </c>
      <c r="BY829" s="91" t="str">
        <f t="shared" ref="BY829:BY842" si="262">IFERROR(SUM(BT829+BU829+BV829)/(3*(T829-S829))*100, "Incomplete")</f>
        <v>Incomplete</v>
      </c>
      <c r="BZ829" s="91" t="str">
        <f>_xlfn.XLOOKUP(BY829,'Normative data'!$V$3:$V$6,'Normative data'!$W$3:$W$6,"Not Found",-1)</f>
        <v>Very low risk</v>
      </c>
      <c r="CA829" s="66"/>
      <c r="CB829" s="66"/>
      <c r="CC829" s="30">
        <v>60</v>
      </c>
      <c r="CD829" s="104"/>
      <c r="CE829" s="104">
        <v>20</v>
      </c>
      <c r="CF829" s="104"/>
      <c r="CG829" s="104" t="s">
        <v>1509</v>
      </c>
      <c r="CH829" s="20" t="str">
        <f>_xlfn.XLOOKUP(CG829, 'Normative data'!$S$9:$S$15,'Normative data'!$T$9:$T$15, "Not Found", -1)</f>
        <v>Poor</v>
      </c>
      <c r="CI829" s="104" t="s">
        <v>1510</v>
      </c>
      <c r="CJ829" s="20" t="str">
        <f>_xlfn.XLOOKUP(CI829, 'Normative data'!$S$9:$S$15, 'Normative data'!$T$9:$T$15, "Not Found", -1)</f>
        <v>Poor</v>
      </c>
      <c r="CK829" s="30" t="s">
        <v>401</v>
      </c>
      <c r="CL829" s="30" t="s">
        <v>867</v>
      </c>
      <c r="CM829" s="30"/>
      <c r="CN829" s="30" t="s">
        <v>1511</v>
      </c>
      <c r="CO829" s="30" t="s">
        <v>1186</v>
      </c>
      <c r="CP829" s="112"/>
      <c r="CQ829" s="124" t="s">
        <v>469</v>
      </c>
      <c r="CR829" s="20" t="str" cm="1">
        <f t="array" ref="CR829">IF(OR(ISBLANK(E829),ISBLANK(CQ829)),"Incomplete",_xlfn.XLOOKUP(CQ829,_xlfn.XLOOKUP(E829,'Normative data'!$Y$3:$Y$6,'Normative data'!$Z$3:$AG$6,,-1),'Normative data'!$Z$2:$AG$2,"Not Found",-1))</f>
        <v>Incomplete</v>
      </c>
      <c r="CS829" s="68">
        <v>12</v>
      </c>
      <c r="CT829" s="66">
        <v>1</v>
      </c>
      <c r="CU829" s="20" cm="1">
        <f t="array" ref="CU829">_xlfn.XLOOKUP(CS829&amp;CT829,(VLOOKUP!$A$3:$A$250)&amp;(VLOOKUP!$B$3:$B$250),VLOOKUP!$C$3:$C$250,"Incomplete",-1)</f>
        <v>2140</v>
      </c>
      <c r="CV829" s="20" t="str" cm="1">
        <f t="array" ref="CV829">_xlfn.XLOOKUP(CU829, _xlfn.XLOOKUP(E829, 'Normative data'!$Y$11:$Y$14, 'Normative data'!$Z$11:$AG$14, ,-1), 'Normative data'!$Z$10:$AG$10, "Not Found", -1)</f>
        <v xml:space="preserve">Good </v>
      </c>
      <c r="CW829" s="20" cm="1">
        <f t="array" ref="CW829">IF(OR(ISBLANK(CS829),ISBLANK(CT829)),"Incomplete",_xlfn.XLOOKUP(CS829&amp;CT829,VLOOKUP!$A$4:$A$250&amp;VLOOKUP!$B$4:$B$250,VLOOKUP!$D$4:$D$250,"0"))</f>
        <v>54</v>
      </c>
    </row>
    <row r="830" spans="1:101">
      <c r="A830" s="64" t="s">
        <v>977</v>
      </c>
      <c r="B830" s="64" t="s">
        <v>1253</v>
      </c>
      <c r="C830" s="64" t="s">
        <v>86</v>
      </c>
      <c r="D830" s="65">
        <v>40450</v>
      </c>
      <c r="E830" s="64"/>
      <c r="F830" s="66" t="s">
        <v>99</v>
      </c>
      <c r="G830" s="64">
        <v>2026</v>
      </c>
      <c r="H830" s="66"/>
      <c r="I830" s="66">
        <v>2</v>
      </c>
      <c r="J830" s="66" t="s">
        <v>88</v>
      </c>
      <c r="K830" s="66" t="s">
        <v>297</v>
      </c>
      <c r="L830" s="66"/>
      <c r="M830" s="64"/>
      <c r="N830" s="64"/>
      <c r="O830" s="64"/>
      <c r="P830" s="64"/>
      <c r="Q830" s="64"/>
      <c r="R830" s="64"/>
      <c r="S830" s="66">
        <v>91.3</v>
      </c>
      <c r="T830" s="66">
        <v>174.2</v>
      </c>
      <c r="U830" s="64">
        <v>71.900000000000006</v>
      </c>
      <c r="V830" s="64">
        <v>36.700000000000003</v>
      </c>
      <c r="W830" s="64">
        <v>20.399999999999999</v>
      </c>
      <c r="X830" s="64">
        <v>51.5</v>
      </c>
      <c r="Y830" s="64">
        <v>28.6</v>
      </c>
      <c r="Z830" s="64">
        <v>23.6</v>
      </c>
      <c r="AA830" s="64">
        <v>28.4</v>
      </c>
      <c r="AB830" s="64">
        <v>7.87</v>
      </c>
      <c r="AC830" s="64">
        <v>101</v>
      </c>
      <c r="AD830" s="64">
        <v>7.94</v>
      </c>
      <c r="AE830" s="64">
        <v>101.8</v>
      </c>
      <c r="AF830" s="64">
        <v>2.8</v>
      </c>
      <c r="AG830" s="64">
        <v>101.1</v>
      </c>
      <c r="AH830" s="64">
        <v>2.8</v>
      </c>
      <c r="AI830" s="64">
        <v>101.3</v>
      </c>
      <c r="AJ830" s="64">
        <v>344.2</v>
      </c>
      <c r="AK830" s="64">
        <v>336.9</v>
      </c>
      <c r="AL830" s="64">
        <v>302.2</v>
      </c>
      <c r="AM830" s="64">
        <v>296.3</v>
      </c>
      <c r="AN830" s="64">
        <v>99</v>
      </c>
      <c r="AO830" s="64">
        <v>0.96</v>
      </c>
      <c r="AP830" s="64">
        <v>7</v>
      </c>
      <c r="AQ830" s="20"/>
      <c r="AR830" s="20"/>
      <c r="AS830" s="20"/>
      <c r="AT830" s="20"/>
      <c r="AU830" s="20"/>
      <c r="AV830" s="20"/>
      <c r="AW830" s="20"/>
      <c r="AX830" s="20"/>
      <c r="AY830" s="41" t="str">
        <f t="shared" si="257"/>
        <v>Incomplete</v>
      </c>
      <c r="AZ830" s="64"/>
      <c r="BA830" s="20" t="str">
        <f t="shared" si="258"/>
        <v>Incomplete</v>
      </c>
      <c r="BB830" s="64"/>
      <c r="BC830" s="20" t="str">
        <f t="shared" si="259"/>
        <v>Incomplete</v>
      </c>
      <c r="BD830" s="64"/>
      <c r="BE830" s="20" t="str">
        <f t="shared" si="260"/>
        <v>Incomplete</v>
      </c>
      <c r="BF830" s="64"/>
      <c r="BG830" s="64">
        <v>4</v>
      </c>
      <c r="BH830" s="64">
        <v>25</v>
      </c>
      <c r="BI830" s="20">
        <f t="shared" si="256"/>
        <v>21</v>
      </c>
      <c r="BJ830" s="66"/>
      <c r="BK830" s="64"/>
      <c r="BL830" s="66"/>
      <c r="BM830" s="66"/>
      <c r="BN830" s="66"/>
      <c r="BO830" s="64"/>
      <c r="BP830" s="64"/>
      <c r="BQ830" s="64">
        <v>74</v>
      </c>
      <c r="BR830" s="64">
        <v>71</v>
      </c>
      <c r="BS830" s="64">
        <v>71</v>
      </c>
      <c r="BT830" s="64">
        <v>69</v>
      </c>
      <c r="BU830" s="64">
        <v>72</v>
      </c>
      <c r="BV830" s="64">
        <v>62</v>
      </c>
      <c r="BW830" s="91">
        <f t="shared" si="261"/>
        <v>86.85162846803378</v>
      </c>
      <c r="BX830" s="91" t="str">
        <f>_xlfn.XLOOKUP(BW830,'Normative data'!$V$3:$V$6,'Normative data'!$W$3:$W$6,"Not Found",-1)</f>
        <v>High risk</v>
      </c>
      <c r="BY830" s="91">
        <f t="shared" si="262"/>
        <v>81.624447125050267</v>
      </c>
      <c r="BZ830" s="91" t="str">
        <f>_xlfn.XLOOKUP(BY830,'Normative data'!$V$3:$V$6,'Normative data'!$W$3:$W$6,"Not Found",-1)</f>
        <v>High risk</v>
      </c>
      <c r="CA830" s="17">
        <v>16</v>
      </c>
      <c r="CB830" s="66"/>
      <c r="CC830" s="20"/>
      <c r="CD830" s="66"/>
      <c r="CE830" s="64">
        <v>16</v>
      </c>
      <c r="CF830" s="66"/>
      <c r="CG830" s="64">
        <v>18.32</v>
      </c>
      <c r="CH830" s="20" t="str">
        <f>_xlfn.XLOOKUP(CG830, 'Normative data'!$S$9:$S$15,'Normative data'!$T$9:$T$15, "Not Found", -1)</f>
        <v>Average</v>
      </c>
      <c r="CI830" s="64">
        <v>18.21</v>
      </c>
      <c r="CJ830" s="20" t="str">
        <f>_xlfn.XLOOKUP(CI830, 'Normative data'!$S$9:$S$15, 'Normative data'!$T$9:$T$15, "Not Found", -1)</f>
        <v>Average</v>
      </c>
      <c r="CK830" s="64">
        <v>2.61</v>
      </c>
      <c r="CL830" s="64">
        <v>3.83</v>
      </c>
      <c r="CM830" s="66"/>
      <c r="CN830" s="64">
        <v>7.42</v>
      </c>
      <c r="CO830" s="64">
        <v>6.74</v>
      </c>
      <c r="CP830" s="68"/>
      <c r="CQ830" s="67"/>
      <c r="CR830" s="20" t="str" cm="1">
        <f t="array" ref="CR830">IF(OR(ISBLANK(E830),ISBLANK(CQ830)),"Incomplete",_xlfn.XLOOKUP(CQ830,_xlfn.XLOOKUP(E830,'Normative data'!$Y$3:$Y$6,'Normative data'!$Z$3:$AG$6,,-1),'Normative data'!$Z$2:$AG$2,"Not Found",-1))</f>
        <v>Incomplete</v>
      </c>
      <c r="CS830" s="68"/>
      <c r="CT830" s="66"/>
      <c r="CU830" s="20" t="str" cm="1">
        <f t="array" ref="CU830">_xlfn.XLOOKUP(CS830&amp;CT830,(VLOOKUP!$A$3:$A$250)&amp;(VLOOKUP!$B$3:$B$250),VLOOKUP!$C$3:$C$250,"Incomplete",-1)</f>
        <v>Incomplete</v>
      </c>
      <c r="CV830" s="20" t="str" cm="1">
        <f t="array" ref="CV830">_xlfn.XLOOKUP(CU830, _xlfn.XLOOKUP(E830, 'Normative data'!$Y$11:$Y$14, 'Normative data'!$Z$11:$AG$14, ,-1), 'Normative data'!$Z$10:$AG$10, "Not Found", -1)</f>
        <v>Excellent</v>
      </c>
      <c r="CW830" s="20" t="str" cm="1">
        <f t="array" ref="CW830">IF(OR(ISBLANK(CS830),ISBLANK(CT830)),"Incomplete",_xlfn.XLOOKUP(CS830&amp;CT830,VLOOKUP!$A$4:$A$250&amp;VLOOKUP!$B$4:$B$250,VLOOKUP!$D$4:$D$250,"0"))</f>
        <v>Incomplete</v>
      </c>
    </row>
    <row r="831" spans="1:101">
      <c r="A831" s="64" t="s">
        <v>1512</v>
      </c>
      <c r="B831" s="64" t="s">
        <v>1253</v>
      </c>
      <c r="C831" s="64" t="s">
        <v>86</v>
      </c>
      <c r="D831" s="65">
        <v>39675</v>
      </c>
      <c r="E831" s="64"/>
      <c r="F831" s="66">
        <v>12</v>
      </c>
      <c r="G831" s="64">
        <v>2026</v>
      </c>
      <c r="H831" s="66"/>
      <c r="I831" s="66">
        <v>2</v>
      </c>
      <c r="J831" s="66" t="s">
        <v>122</v>
      </c>
      <c r="K831" s="66" t="s">
        <v>101</v>
      </c>
      <c r="L831" s="66" t="s">
        <v>102</v>
      </c>
      <c r="M831" s="64"/>
      <c r="N831" s="64"/>
      <c r="O831" s="64"/>
      <c r="P831" s="64"/>
      <c r="Q831" s="64"/>
      <c r="R831" s="64"/>
      <c r="S831" s="66">
        <v>86.9</v>
      </c>
      <c r="T831" s="66">
        <v>164</v>
      </c>
      <c r="U831" s="64">
        <v>60.6</v>
      </c>
      <c r="V831" s="64">
        <v>33.799999999999997</v>
      </c>
      <c r="W831" s="64">
        <v>14.4</v>
      </c>
      <c r="X831" s="64">
        <v>46.1</v>
      </c>
      <c r="Y831" s="64">
        <v>25.4</v>
      </c>
      <c r="Z831" s="64">
        <v>22.5</v>
      </c>
      <c r="AA831" s="64">
        <v>23.7</v>
      </c>
      <c r="AB831" s="64">
        <v>7.16</v>
      </c>
      <c r="AC831" s="64">
        <v>105.6</v>
      </c>
      <c r="AD831" s="64">
        <v>7.24</v>
      </c>
      <c r="AE831" s="64">
        <v>106.8</v>
      </c>
      <c r="AF831" s="64">
        <v>2.4</v>
      </c>
      <c r="AG831" s="64">
        <v>96.8</v>
      </c>
      <c r="AH831" s="64">
        <v>2.4</v>
      </c>
      <c r="AI831" s="64">
        <v>96.6</v>
      </c>
      <c r="AJ831" s="64">
        <v>265.39999999999998</v>
      </c>
      <c r="AK831" s="64">
        <v>257.10000000000002</v>
      </c>
      <c r="AL831" s="64">
        <v>235.6</v>
      </c>
      <c r="AM831" s="64">
        <v>229.3</v>
      </c>
      <c r="AN831" s="64">
        <v>103</v>
      </c>
      <c r="AO831" s="64">
        <v>0.8</v>
      </c>
      <c r="AP831" s="64">
        <v>7</v>
      </c>
      <c r="AQ831" s="64">
        <v>27.5</v>
      </c>
      <c r="AR831" s="64">
        <v>0.47399999999999998</v>
      </c>
      <c r="AS831" s="64">
        <v>31.4</v>
      </c>
      <c r="AT831" s="64">
        <v>0.50600000000000001</v>
      </c>
      <c r="AU831" s="64">
        <v>16.899999999999999</v>
      </c>
      <c r="AV831" s="64">
        <v>0.371</v>
      </c>
      <c r="AW831" s="64">
        <v>16.5</v>
      </c>
      <c r="AX831" s="64">
        <v>0.36699999999999999</v>
      </c>
      <c r="AY831" s="41">
        <f t="shared" si="257"/>
        <v>2359.4300000000003</v>
      </c>
      <c r="AZ831" s="64"/>
      <c r="BA831" s="20">
        <f t="shared" si="258"/>
        <v>2596.16</v>
      </c>
      <c r="BB831" s="64"/>
      <c r="BC831" s="20">
        <f t="shared" si="259"/>
        <v>1716.0099999999998</v>
      </c>
      <c r="BD831" s="64"/>
      <c r="BE831" s="20">
        <f t="shared" si="260"/>
        <v>1691.73</v>
      </c>
      <c r="BF831" s="64"/>
      <c r="BG831" s="64">
        <v>13</v>
      </c>
      <c r="BH831" s="64">
        <v>54</v>
      </c>
      <c r="BI831" s="20">
        <f t="shared" si="256"/>
        <v>41</v>
      </c>
      <c r="BJ831" s="66"/>
      <c r="BK831" s="64">
        <v>12</v>
      </c>
      <c r="BL831" s="66"/>
      <c r="BM831" s="64">
        <v>8.5</v>
      </c>
      <c r="BN831" s="66"/>
      <c r="BO831" s="64">
        <v>50</v>
      </c>
      <c r="BP831" s="64">
        <v>52</v>
      </c>
      <c r="BQ831" s="64">
        <v>82</v>
      </c>
      <c r="BR831" s="64">
        <v>85</v>
      </c>
      <c r="BS831" s="64">
        <v>84</v>
      </c>
      <c r="BT831" s="64">
        <v>86</v>
      </c>
      <c r="BU831" s="64">
        <v>85</v>
      </c>
      <c r="BV831" s="64">
        <v>77</v>
      </c>
      <c r="BW831" s="91">
        <f t="shared" si="261"/>
        <v>108.51707738867273</v>
      </c>
      <c r="BX831" s="91" t="str">
        <f>_xlfn.XLOOKUP(BW831,'Normative data'!$V$3:$V$6,'Normative data'!$W$3:$W$6,"Not Found",-1)</f>
        <v>Low risk</v>
      </c>
      <c r="BY831" s="91">
        <f t="shared" si="262"/>
        <v>107.22006052745354</v>
      </c>
      <c r="BZ831" s="91" t="str">
        <f>_xlfn.XLOOKUP(BY831,'Normative data'!$V$3:$V$6,'Normative data'!$W$3:$W$6,"Not Found",-1)</f>
        <v>Low risk</v>
      </c>
      <c r="CA831" s="64"/>
      <c r="CB831" s="66"/>
      <c r="CD831" s="66"/>
      <c r="CE831" s="64"/>
      <c r="CF831" s="66"/>
      <c r="CG831" s="17">
        <v>17.07</v>
      </c>
      <c r="CH831" s="20" t="str">
        <f>_xlfn.XLOOKUP(CG831, 'Normative data'!$S$9:$S$15,'Normative data'!$T$9:$T$15, "Not Found", -1)</f>
        <v>Above Average</v>
      </c>
      <c r="CI831" s="17">
        <v>17.39</v>
      </c>
      <c r="CJ831" s="20" t="str">
        <f>_xlfn.XLOOKUP(CI831, 'Normative data'!$S$9:$S$15, 'Normative data'!$T$9:$T$15, "Not Found", -1)</f>
        <v>Above Average</v>
      </c>
      <c r="CK831" s="105"/>
      <c r="CL831" s="105"/>
      <c r="CM831" s="105"/>
      <c r="CN831" s="105"/>
      <c r="CO831" s="105"/>
      <c r="CP831" s="68"/>
      <c r="CQ831" s="67">
        <v>9.4</v>
      </c>
      <c r="CR831" s="20" t="str" cm="1">
        <f t="array" ref="CR831">IF(OR(ISBLANK(E831),ISBLANK(CQ831)),"Incomplete",_xlfn.XLOOKUP(CQ831,_xlfn.XLOOKUP(E831,'Normative data'!$Y$3:$Y$6,'Normative data'!$Z$3:$AG$6,,-1),'Normative data'!$Z$2:$AG$2,"Not Found",-1))</f>
        <v>Incomplete</v>
      </c>
      <c r="CS831" s="68">
        <v>9</v>
      </c>
      <c r="CT831" s="66">
        <v>4</v>
      </c>
      <c r="CU831" s="20" cm="1">
        <f t="array" ref="CU831">_xlfn.XLOOKUP(CS831&amp;CT831,(VLOOKUP!$A$3:$A$250)&amp;(VLOOKUP!$B$3:$B$250),VLOOKUP!$C$3:$C$250,"Incomplete",-1)</f>
        <v>1520</v>
      </c>
      <c r="CV831" s="20" t="str" cm="1">
        <f t="array" ref="CV831">_xlfn.XLOOKUP(CU831, _xlfn.XLOOKUP(E831, 'Normative data'!$Y$11:$Y$14, 'Normative data'!$Z$11:$AG$14, ,-1), 'Normative data'!$Z$10:$AG$10, "Not Found", -1)</f>
        <v>Average</v>
      </c>
      <c r="CW831" s="20" cm="1">
        <f t="array" ref="CW831">IF(OR(ISBLANK(CS831),ISBLANK(CT831)),"Incomplete",_xlfn.XLOOKUP(CS831&amp;CT831,VLOOKUP!$A$4:$A$250&amp;VLOOKUP!$B$4:$B$250,VLOOKUP!$D$4:$D$250,"0"))</f>
        <v>45</v>
      </c>
    </row>
    <row r="832" spans="1:101">
      <c r="A832" s="94" t="s">
        <v>674</v>
      </c>
      <c r="B832" s="94" t="s">
        <v>1513</v>
      </c>
      <c r="C832" s="64" t="s">
        <v>86</v>
      </c>
      <c r="D832" s="65">
        <v>40772</v>
      </c>
      <c r="E832" s="64"/>
      <c r="F832" s="64">
        <v>8</v>
      </c>
      <c r="G832" s="64">
        <v>2025</v>
      </c>
      <c r="H832" s="66"/>
      <c r="I832" s="64"/>
      <c r="J832" s="64" t="s">
        <v>122</v>
      </c>
      <c r="K832" s="64"/>
      <c r="L832" s="64"/>
      <c r="M832" s="64"/>
      <c r="N832" s="64"/>
      <c r="O832" s="64"/>
      <c r="P832" s="64"/>
      <c r="Q832" s="64"/>
      <c r="R832" s="64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  <c r="AD832" s="66"/>
      <c r="AE832" s="66"/>
      <c r="AF832" s="66"/>
      <c r="AG832" s="66"/>
      <c r="AH832" s="66"/>
      <c r="AI832" s="66"/>
      <c r="AJ832" s="66"/>
      <c r="AK832" s="66"/>
      <c r="AL832" s="66"/>
      <c r="AM832" s="66"/>
      <c r="AN832" s="66"/>
      <c r="AO832" s="66"/>
      <c r="AP832" s="66"/>
      <c r="AQ832" s="20"/>
      <c r="AR832" s="20"/>
      <c r="AS832" s="20"/>
      <c r="AT832" s="20"/>
      <c r="AU832" s="20"/>
      <c r="AV832" s="20"/>
      <c r="AW832" s="20"/>
      <c r="AX832" s="20"/>
      <c r="AY832" s="41" t="str">
        <f t="shared" si="257"/>
        <v>Incomplete</v>
      </c>
      <c r="AZ832" s="66"/>
      <c r="BA832" s="20" t="str">
        <f t="shared" si="258"/>
        <v>Incomplete</v>
      </c>
      <c r="BB832" s="66"/>
      <c r="BC832" s="20" t="str">
        <f t="shared" si="259"/>
        <v>Incomplete</v>
      </c>
      <c r="BD832" s="66"/>
      <c r="BE832" s="20" t="str">
        <f t="shared" si="260"/>
        <v>Incomplete</v>
      </c>
      <c r="BF832" s="66"/>
      <c r="BG832" s="66"/>
      <c r="BH832" s="20"/>
      <c r="BI832" s="20" t="str">
        <f t="shared" si="256"/>
        <v>Incomplete</v>
      </c>
      <c r="BJ832" s="66"/>
      <c r="BK832" s="66"/>
      <c r="BL832" s="66"/>
      <c r="BM832" s="66"/>
      <c r="BN832" s="66"/>
      <c r="BO832" s="66"/>
      <c r="BP832" s="66"/>
      <c r="BQ832" s="66"/>
      <c r="BR832" s="66"/>
      <c r="BS832" s="66"/>
      <c r="BT832" s="66"/>
      <c r="BU832" s="66"/>
      <c r="BV832" s="66"/>
      <c r="BW832" s="91" t="str">
        <f t="shared" si="261"/>
        <v>Incomplete</v>
      </c>
      <c r="BX832" s="91" t="str">
        <f>_xlfn.XLOOKUP(BW832,'Normative data'!$V$3:$V$6,'Normative data'!$W$3:$W$6,"Not Found",-1)</f>
        <v>Very low risk</v>
      </c>
      <c r="BY832" s="91" t="str">
        <f t="shared" si="262"/>
        <v>Incomplete</v>
      </c>
      <c r="BZ832" s="91" t="str">
        <f>_xlfn.XLOOKUP(BY832,'Normative data'!$V$3:$V$6,'Normative data'!$W$3:$W$6,"Not Found",-1)</f>
        <v>Very low risk</v>
      </c>
      <c r="CA832" s="20"/>
      <c r="CC832" s="20"/>
      <c r="CE832" s="20">
        <v>15</v>
      </c>
      <c r="CF832" s="66"/>
      <c r="CG832" s="20">
        <v>18.55</v>
      </c>
      <c r="CH832" s="20" t="str">
        <f>_xlfn.XLOOKUP(CG832, 'Normative data'!$S$9:$S$15,'Normative data'!$T$9:$T$15, "Not Found", -1)</f>
        <v>Average</v>
      </c>
      <c r="CI832" s="20">
        <v>18.29</v>
      </c>
      <c r="CJ832" s="20" t="str">
        <f>_xlfn.XLOOKUP(CI832, 'Normative data'!$S$9:$S$15, 'Normative data'!$T$9:$T$15, "Not Found", -1)</f>
        <v>Average</v>
      </c>
      <c r="CK832" s="24">
        <v>2.09</v>
      </c>
      <c r="CL832" s="24">
        <v>4.78</v>
      </c>
      <c r="CM832" s="21"/>
      <c r="CN832" s="24">
        <v>6.6</v>
      </c>
      <c r="CO832" s="24">
        <v>7.58</v>
      </c>
      <c r="CP832" s="68"/>
      <c r="CQ832" s="68"/>
      <c r="CR832" s="20" t="str" cm="1">
        <f t="array" ref="CR832">IF(OR(ISBLANK(E832),ISBLANK(CQ832)),"Incomplete",_xlfn.XLOOKUP(CQ832,_xlfn.XLOOKUP(E832,'Normative data'!$Y$3:$Y$6,'Normative data'!$Z$3:$AG$6,,-1),'Normative data'!$Z$2:$AG$2,"Not Found",-1))</f>
        <v>Incomplete</v>
      </c>
      <c r="CS832" s="68"/>
      <c r="CT832" s="66"/>
      <c r="CU832" s="20" t="str" cm="1">
        <f t="array" ref="CU832">_xlfn.XLOOKUP(CS832&amp;CT832,(VLOOKUP!$A$3:$A$250)&amp;(VLOOKUP!$B$3:$B$250),VLOOKUP!$C$3:$C$250,"Incomplete",-1)</f>
        <v>Incomplete</v>
      </c>
      <c r="CV832" s="20" t="str" cm="1">
        <f t="array" ref="CV832">_xlfn.XLOOKUP(CU832, _xlfn.XLOOKUP(E832, 'Normative data'!$Y$11:$Y$14, 'Normative data'!$Z$11:$AG$14, ,-1), 'Normative data'!$Z$10:$AG$10, "Not Found", -1)</f>
        <v>Excellent</v>
      </c>
      <c r="CW832" s="20" t="str" cm="1">
        <f t="array" ref="CW832">IF(OR(ISBLANK(CS832),ISBLANK(CT832)),"Incomplete",_xlfn.XLOOKUP(CS832&amp;CT832,VLOOKUP!$A$4:$A$250&amp;VLOOKUP!$B$4:$B$250,VLOOKUP!$D$4:$D$250,"0"))</f>
        <v>Incomplete</v>
      </c>
    </row>
    <row r="833" spans="1:101">
      <c r="A833" s="64" t="s">
        <v>1514</v>
      </c>
      <c r="B833" s="64" t="s">
        <v>1515</v>
      </c>
      <c r="C833" s="64" t="s">
        <v>86</v>
      </c>
      <c r="D833" s="65">
        <v>41131</v>
      </c>
      <c r="E833" s="64">
        <v>13.8</v>
      </c>
      <c r="F833" s="66" t="s">
        <v>97</v>
      </c>
      <c r="G833" s="64">
        <v>2026</v>
      </c>
      <c r="H833" s="66"/>
      <c r="I833" s="66">
        <v>2</v>
      </c>
      <c r="J833" s="66" t="s">
        <v>100</v>
      </c>
      <c r="K833" s="66" t="s">
        <v>108</v>
      </c>
      <c r="L833" s="66"/>
      <c r="M833" s="64"/>
      <c r="N833" s="64"/>
      <c r="O833" s="64"/>
      <c r="P833" s="64"/>
      <c r="Q833" s="64"/>
      <c r="R833" s="64"/>
      <c r="S833" s="66">
        <v>81.099999999999994</v>
      </c>
      <c r="T833" s="66">
        <v>162.19999999999999</v>
      </c>
      <c r="U833" s="64">
        <v>69.400000000000006</v>
      </c>
      <c r="V833" s="64">
        <v>30.7</v>
      </c>
      <c r="W833" s="64">
        <v>27.3</v>
      </c>
      <c r="X833" s="64">
        <v>42.1</v>
      </c>
      <c r="Y833" s="64">
        <v>23.1</v>
      </c>
      <c r="Z833" s="64">
        <v>26.4</v>
      </c>
      <c r="AA833" s="64">
        <v>39.299999999999997</v>
      </c>
      <c r="AB833" s="64">
        <v>6.58</v>
      </c>
      <c r="AC833" s="64">
        <v>96.6</v>
      </c>
      <c r="AD833" s="64">
        <v>6.51</v>
      </c>
      <c r="AE833" s="64">
        <v>95.6</v>
      </c>
      <c r="AF833" s="64">
        <v>4.2</v>
      </c>
      <c r="AG833" s="64">
        <v>179.3</v>
      </c>
      <c r="AH833" s="64">
        <v>4.0999999999999996</v>
      </c>
      <c r="AI833" s="64">
        <v>177.8</v>
      </c>
      <c r="AJ833" s="64">
        <v>314.39999999999998</v>
      </c>
      <c r="AK833" s="64">
        <v>320.3</v>
      </c>
      <c r="AL833" s="64">
        <v>273.3</v>
      </c>
      <c r="AM833" s="64">
        <v>280.89999999999998</v>
      </c>
      <c r="AN833" s="64">
        <v>75</v>
      </c>
      <c r="AO833" s="64"/>
      <c r="AP833" s="64"/>
      <c r="AQ833" s="66"/>
      <c r="AR833" s="66"/>
      <c r="AS833" s="66"/>
      <c r="AT833" s="66"/>
      <c r="AU833" s="66"/>
      <c r="AV833" s="66"/>
      <c r="AW833" s="66"/>
      <c r="AX833" s="66"/>
      <c r="AY833" s="41" t="str">
        <f t="shared" si="257"/>
        <v>Incomplete</v>
      </c>
      <c r="AZ833" s="64"/>
      <c r="BA833" s="20" t="str">
        <f t="shared" si="258"/>
        <v>Incomplete</v>
      </c>
      <c r="BB833" s="64"/>
      <c r="BC833" s="20" t="str">
        <f t="shared" si="259"/>
        <v>Incomplete</v>
      </c>
      <c r="BD833" s="64"/>
      <c r="BE833" s="20" t="str">
        <f t="shared" si="260"/>
        <v>Incomplete</v>
      </c>
      <c r="BF833" s="64"/>
      <c r="BG833" s="64">
        <v>11</v>
      </c>
      <c r="BH833" s="64">
        <v>41.4</v>
      </c>
      <c r="BI833" s="20">
        <f t="shared" si="256"/>
        <v>30.4</v>
      </c>
      <c r="BJ833" s="66"/>
      <c r="BK833" s="64">
        <v>5</v>
      </c>
      <c r="BL833" s="66"/>
      <c r="BM833" s="64">
        <v>5</v>
      </c>
      <c r="BN833" s="66"/>
      <c r="BO833" s="64">
        <v>52.5</v>
      </c>
      <c r="BP833" s="64">
        <v>51</v>
      </c>
      <c r="BQ833" s="64">
        <v>77</v>
      </c>
      <c r="BR833" s="64">
        <v>62</v>
      </c>
      <c r="BS833" s="64">
        <v>45</v>
      </c>
      <c r="BT833" s="64">
        <v>69</v>
      </c>
      <c r="BU833" s="64">
        <v>64</v>
      </c>
      <c r="BV833" s="64">
        <v>59</v>
      </c>
      <c r="BW833" s="91">
        <f t="shared" si="261"/>
        <v>75.626798191533098</v>
      </c>
      <c r="BX833" s="91" t="str">
        <f>_xlfn.XLOOKUP(BW833,'Normative data'!$V$3:$V$6,'Normative data'!$W$3:$W$6,"Not Found",-1)</f>
        <v>High risk</v>
      </c>
      <c r="BY833" s="91">
        <f t="shared" si="262"/>
        <v>78.914919852034529</v>
      </c>
      <c r="BZ833" s="91" t="str">
        <f>_xlfn.XLOOKUP(BY833,'Normative data'!$V$3:$V$6,'Normative data'!$W$3:$W$6,"Not Found",-1)</f>
        <v>High risk</v>
      </c>
      <c r="CA833" s="64">
        <v>10</v>
      </c>
      <c r="CB833" s="66"/>
      <c r="CC833" s="20"/>
      <c r="CD833" s="66"/>
      <c r="CE833" s="64">
        <v>14</v>
      </c>
      <c r="CF833" s="66"/>
      <c r="CG833" s="64">
        <v>21.58</v>
      </c>
      <c r="CH833" s="20" t="str">
        <f>_xlfn.XLOOKUP(CG833, 'Normative data'!$S$9:$S$15,'Normative data'!$T$9:$T$15, "Not Found", -1)</f>
        <v>Average</v>
      </c>
      <c r="CI833" s="64">
        <v>20.55</v>
      </c>
      <c r="CJ833" s="20" t="str">
        <f>_xlfn.XLOOKUP(CI833, 'Normative data'!$S$9:$S$15, 'Normative data'!$T$9:$T$15, "Not Found", -1)</f>
        <v>Average</v>
      </c>
      <c r="CK833" s="64">
        <v>2.23</v>
      </c>
      <c r="CL833" s="64">
        <v>4.4800000000000004</v>
      </c>
      <c r="CM833" s="66"/>
      <c r="CN833" s="64">
        <v>7.6</v>
      </c>
      <c r="CO833" s="64">
        <v>6.58</v>
      </c>
      <c r="CP833" s="68"/>
      <c r="CQ833" s="67">
        <v>5.3</v>
      </c>
      <c r="CR833" s="20" t="str" cm="1">
        <f t="array" ref="CR833">IF(OR(ISBLANK(E833),ISBLANK(CQ833)),"Incomplete",_xlfn.XLOOKUP(CQ833,_xlfn.XLOOKUP(E833,'Normative data'!$Y$3:$Y$6,'Normative data'!$Z$3:$AG$6,,-1),'Normative data'!$Z$2:$AG$2,"Not Found",-1))</f>
        <v>Average</v>
      </c>
      <c r="CS833" s="68">
        <v>5</v>
      </c>
      <c r="CT833" s="66">
        <v>3</v>
      </c>
      <c r="CU833" s="20" cm="1">
        <f t="array" ref="CU833">_xlfn.XLOOKUP(CS833&amp;CT833,(VLOOKUP!$A$3:$A$250)&amp;(VLOOKUP!$B$3:$B$250),VLOOKUP!$C$3:$C$250,"Incomplete",-1)</f>
        <v>700</v>
      </c>
      <c r="CV833" s="20" t="str" cm="1">
        <f t="array" ref="CV833">_xlfn.XLOOKUP(CU833, _xlfn.XLOOKUP(E833, 'Normative data'!$Y$11:$Y$14, 'Normative data'!$Z$11:$AG$14, ,-1), 'Normative data'!$Z$10:$AG$10, "Not Found", -1)</f>
        <v>Average</v>
      </c>
      <c r="CW833" s="20" cm="1">
        <f t="array" ref="CW833">IF(OR(ISBLANK(CS833),ISBLANK(CT833)),"Incomplete",_xlfn.XLOOKUP(CS833&amp;CT833,VLOOKUP!$A$4:$A$250&amp;VLOOKUP!$B$4:$B$250,VLOOKUP!$D$4:$D$250,"0"))</f>
        <v>31</v>
      </c>
    </row>
    <row r="834" spans="1:101">
      <c r="A834" s="93" t="s">
        <v>1384</v>
      </c>
      <c r="B834" s="93" t="s">
        <v>1383</v>
      </c>
      <c r="C834" s="64" t="s">
        <v>86</v>
      </c>
      <c r="D834" s="96">
        <v>40791</v>
      </c>
      <c r="E834" s="64"/>
      <c r="F834" s="64">
        <v>8</v>
      </c>
      <c r="G834" s="64">
        <v>2025</v>
      </c>
      <c r="H834" s="66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  <c r="AD834" s="66"/>
      <c r="AE834" s="66"/>
      <c r="AF834" s="66"/>
      <c r="AG834" s="66"/>
      <c r="AH834" s="66"/>
      <c r="AI834" s="66"/>
      <c r="AJ834" s="66"/>
      <c r="AK834" s="66"/>
      <c r="AL834" s="66"/>
      <c r="AM834" s="66"/>
      <c r="AN834" s="66"/>
      <c r="AO834" s="66"/>
      <c r="AP834" s="66"/>
      <c r="AQ834" s="20"/>
      <c r="AR834" s="20"/>
      <c r="AS834" s="20"/>
      <c r="AT834" s="20"/>
      <c r="AU834" s="20"/>
      <c r="AV834" s="20"/>
      <c r="AW834" s="20"/>
      <c r="AX834" s="20"/>
      <c r="AY834" s="41" t="str">
        <f t="shared" si="257"/>
        <v>Incomplete</v>
      </c>
      <c r="AZ834" s="66"/>
      <c r="BA834" s="20" t="str">
        <f t="shared" si="258"/>
        <v>Incomplete</v>
      </c>
      <c r="BB834" s="66"/>
      <c r="BC834" s="20" t="str">
        <f t="shared" si="259"/>
        <v>Incomplete</v>
      </c>
      <c r="BD834" s="66"/>
      <c r="BE834" s="20" t="str">
        <f t="shared" si="260"/>
        <v>Incomplete</v>
      </c>
      <c r="BF834" s="66"/>
      <c r="BG834" s="66">
        <v>21</v>
      </c>
      <c r="BH834" s="66">
        <v>36</v>
      </c>
      <c r="BI834" s="20">
        <f t="shared" si="256"/>
        <v>15</v>
      </c>
      <c r="BJ834" s="66"/>
      <c r="BK834" s="66">
        <v>5</v>
      </c>
      <c r="BL834" s="66"/>
      <c r="BM834" s="66">
        <v>3</v>
      </c>
      <c r="BN834" s="66"/>
      <c r="BO834" s="66"/>
      <c r="BP834" s="66"/>
      <c r="BQ834" s="66"/>
      <c r="BR834" s="66"/>
      <c r="BS834" s="66"/>
      <c r="BT834" s="66"/>
      <c r="BU834" s="66"/>
      <c r="BV834" s="66"/>
      <c r="BW834" s="91" t="str">
        <f t="shared" si="261"/>
        <v>Incomplete</v>
      </c>
      <c r="BX834" s="91" t="str">
        <f>_xlfn.XLOOKUP(BW834,'Normative data'!$V$3:$V$6,'Normative data'!$W$3:$W$6,"Not Found",-1)</f>
        <v>Very low risk</v>
      </c>
      <c r="BY834" s="91" t="str">
        <f t="shared" si="262"/>
        <v>Incomplete</v>
      </c>
      <c r="BZ834" s="91" t="str">
        <f>_xlfn.XLOOKUP(BY834,'Normative data'!$V$3:$V$6,'Normative data'!$W$3:$W$6,"Not Found",-1)</f>
        <v>Very low risk</v>
      </c>
      <c r="CA834" s="20"/>
      <c r="CB834" s="66"/>
      <c r="CC834" s="20"/>
      <c r="CD834" s="66"/>
      <c r="CE834" s="66">
        <v>3</v>
      </c>
      <c r="CF834" s="66"/>
      <c r="CG834" s="66"/>
      <c r="CH834" s="20" t="str">
        <f>_xlfn.XLOOKUP(CG834, 'Normative data'!$S$9:$S$15,'Normative data'!$T$9:$T$15, "Not Found", -1)</f>
        <v>not completed</v>
      </c>
      <c r="CI834" s="66"/>
      <c r="CJ834" s="20" t="str">
        <f>_xlfn.XLOOKUP(CI834, 'Normative data'!$S$9:$S$15, 'Normative data'!$T$9:$T$15, "Not Found", -1)</f>
        <v>not completed</v>
      </c>
      <c r="CK834" s="105">
        <v>2.19</v>
      </c>
      <c r="CL834" s="105">
        <v>4.57</v>
      </c>
      <c r="CM834" s="105"/>
      <c r="CN834" s="105">
        <v>6.81</v>
      </c>
      <c r="CO834" s="105">
        <v>7.34</v>
      </c>
      <c r="CP834" s="109"/>
      <c r="CQ834" s="68"/>
      <c r="CR834" s="20" t="str" cm="1">
        <f t="array" ref="CR834">IF(OR(ISBLANK(E834),ISBLANK(CQ834)),"Incomplete",_xlfn.XLOOKUP(CQ834,_xlfn.XLOOKUP(E834,'Normative data'!$Y$3:$Y$6,'Normative data'!$Z$3:$AG$6,,-1),'Normative data'!$Z$2:$AG$2,"Not Found",-1))</f>
        <v>Incomplete</v>
      </c>
      <c r="CS834" s="68"/>
      <c r="CT834" s="66"/>
      <c r="CU834" s="20" t="str" cm="1">
        <f t="array" ref="CU834">_xlfn.XLOOKUP(CS834&amp;CT834,(VLOOKUP!$A$3:$A$250)&amp;(VLOOKUP!$B$3:$B$250),VLOOKUP!$C$3:$C$250,"Incomplete",-1)</f>
        <v>Incomplete</v>
      </c>
      <c r="CV834" s="20" t="str" cm="1">
        <f t="array" ref="CV834">_xlfn.XLOOKUP(CU834, _xlfn.XLOOKUP(E834, 'Normative data'!$Y$11:$Y$14, 'Normative data'!$Z$11:$AG$14, ,-1), 'Normative data'!$Z$10:$AG$10, "Not Found", -1)</f>
        <v>Excellent</v>
      </c>
      <c r="CW834" s="20" t="str" cm="1">
        <f t="array" ref="CW834">IF(OR(ISBLANK(CS834),ISBLANK(CT834)),"Incomplete",_xlfn.XLOOKUP(CS834&amp;CT834,VLOOKUP!$A$4:$A$250&amp;VLOOKUP!$B$4:$B$250,VLOOKUP!$D$4:$D$250,"0"))</f>
        <v>Incomplete</v>
      </c>
    </row>
    <row r="835" spans="1:101">
      <c r="A835" s="94" t="s">
        <v>315</v>
      </c>
      <c r="B835" s="94" t="s">
        <v>314</v>
      </c>
      <c r="C835" s="64" t="s">
        <v>86</v>
      </c>
      <c r="D835" s="97">
        <v>40249</v>
      </c>
      <c r="E835" s="64"/>
      <c r="F835" s="64">
        <v>9</v>
      </c>
      <c r="G835" s="64">
        <v>2025</v>
      </c>
      <c r="H835" s="66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6"/>
      <c r="T835" s="66"/>
      <c r="U835" s="66"/>
      <c r="V835" s="75"/>
      <c r="W835" s="75"/>
      <c r="X835" s="75"/>
      <c r="Y835" s="75"/>
      <c r="Z835" s="75"/>
      <c r="AA835" s="75"/>
      <c r="AB835" s="75"/>
      <c r="AC835" s="75"/>
      <c r="AD835" s="75"/>
      <c r="AE835" s="75"/>
      <c r="AF835" s="75"/>
      <c r="AG835" s="75"/>
      <c r="AH835" s="75"/>
      <c r="AI835" s="75"/>
      <c r="AJ835" s="75"/>
      <c r="AK835" s="75"/>
      <c r="AL835" s="75"/>
      <c r="AM835" s="75"/>
      <c r="AN835" s="75"/>
      <c r="AO835" s="75"/>
      <c r="AP835" s="75"/>
      <c r="AQ835" s="66"/>
      <c r="AR835" s="66"/>
      <c r="AS835" s="66"/>
      <c r="AT835" s="66"/>
      <c r="AU835" s="66"/>
      <c r="AV835" s="66"/>
      <c r="AW835" s="66"/>
      <c r="AX835" s="66"/>
      <c r="AY835" s="41" t="str">
        <f t="shared" si="257"/>
        <v>Incomplete</v>
      </c>
      <c r="AZ835" s="66"/>
      <c r="BA835" s="20" t="str">
        <f t="shared" si="258"/>
        <v>Incomplete</v>
      </c>
      <c r="BB835" s="66"/>
      <c r="BC835" s="20" t="str">
        <f t="shared" si="259"/>
        <v>Incomplete</v>
      </c>
      <c r="BD835" s="66"/>
      <c r="BE835" s="20" t="str">
        <f t="shared" si="260"/>
        <v>Incomplete</v>
      </c>
      <c r="BF835" s="66"/>
      <c r="BG835" s="66">
        <v>18.5</v>
      </c>
      <c r="BH835" s="66">
        <v>46.7</v>
      </c>
      <c r="BI835" s="20" t="e">
        <f>IF(OR(ISBLANK(#REF!), ISBLANK(#REF!)),"Incomplete",(SUM(#REF!-#REF!)))</f>
        <v>#REF!</v>
      </c>
      <c r="BJ835" s="66"/>
      <c r="BK835" s="66"/>
      <c r="BL835" s="66"/>
      <c r="BM835" s="66"/>
      <c r="BN835" s="66"/>
      <c r="BO835" s="66"/>
      <c r="BP835" s="66"/>
      <c r="BQ835" s="66"/>
      <c r="BR835" s="66"/>
      <c r="BS835" s="66"/>
      <c r="BT835" s="66"/>
      <c r="BU835" s="66"/>
      <c r="BV835" s="66"/>
      <c r="BW835" s="91" t="str">
        <f t="shared" si="261"/>
        <v>Incomplete</v>
      </c>
      <c r="BX835" s="91" t="str">
        <f>_xlfn.XLOOKUP(BW835,'Normative data'!$V$3:$V$6,'Normative data'!$W$3:$W$6,"Not Found",-1)</f>
        <v>Very low risk</v>
      </c>
      <c r="BY835" s="91" t="str">
        <f t="shared" si="262"/>
        <v>Incomplete</v>
      </c>
      <c r="BZ835" s="91" t="str">
        <f>_xlfn.XLOOKUP(BY835,'Normative data'!$V$3:$V$6,'Normative data'!$W$3:$W$6,"Not Found",-1)</f>
        <v>Very low risk</v>
      </c>
      <c r="CA835" s="66"/>
      <c r="CB835" s="66"/>
      <c r="CC835" s="20"/>
      <c r="CD835" s="66"/>
      <c r="CE835" s="66">
        <v>9</v>
      </c>
      <c r="CF835" s="66"/>
      <c r="CG835" s="66"/>
      <c r="CH835" s="20" t="str">
        <f>_xlfn.XLOOKUP(CG835, 'Normative data'!$S$9:$S$15,'Normative data'!$T$9:$T$15, "Not Found", -1)</f>
        <v>not completed</v>
      </c>
      <c r="CI835" s="66"/>
      <c r="CJ835" s="20" t="str">
        <f>_xlfn.XLOOKUP(CI835, 'Normative data'!$S$9:$S$15, 'Normative data'!$T$9:$T$15, "Not Found", -1)</f>
        <v>not completed</v>
      </c>
      <c r="CK835" s="106">
        <v>2.2400000000000002</v>
      </c>
      <c r="CL835" s="106">
        <v>4.46</v>
      </c>
      <c r="CM835" s="106"/>
      <c r="CN835" s="106">
        <v>6.94</v>
      </c>
      <c r="CO835" s="106">
        <v>7.2</v>
      </c>
      <c r="CP835" s="110"/>
      <c r="CQ835" s="68"/>
      <c r="CR835" s="20" t="str" cm="1">
        <f t="array" ref="CR835">IF(OR(ISBLANK(E835),ISBLANK(CQ835)),"Incomplete",_xlfn.XLOOKUP(CQ835,_xlfn.XLOOKUP(E835,'Normative data'!$Y$3:$Y$6,'Normative data'!$Z$3:$AG$6,,-1),'Normative data'!$Z$2:$AG$2,"Not Found",-1))</f>
        <v>Incomplete</v>
      </c>
      <c r="CS835" s="68"/>
      <c r="CT835" s="66"/>
      <c r="CU835" s="20" t="str" cm="1">
        <f t="array" ref="CU835">_xlfn.XLOOKUP(CS835&amp;CT835,(VLOOKUP!$A$3:$A$250)&amp;(VLOOKUP!$B$3:$B$250),VLOOKUP!$C$3:$C$250,"Incomplete",-1)</f>
        <v>Incomplete</v>
      </c>
      <c r="CV835" s="20" t="str" cm="1">
        <f t="array" ref="CV835">_xlfn.XLOOKUP(CU835, _xlfn.XLOOKUP(E835, 'Normative data'!$Y$11:$Y$14, 'Normative data'!$Z$11:$AG$14, ,-1), 'Normative data'!$Z$10:$AG$10, "Not Found", -1)</f>
        <v>Excellent</v>
      </c>
      <c r="CW835" s="20" t="str" cm="1">
        <f t="array" ref="CW835">IF(OR(ISBLANK(CS835),ISBLANK(CT835)),"Incomplete",_xlfn.XLOOKUP(CS835&amp;CT835,VLOOKUP!$A$4:$A$250&amp;VLOOKUP!$B$4:$B$250,VLOOKUP!$D$4:$D$250,"0"))</f>
        <v>Incomplete</v>
      </c>
    </row>
    <row r="836" spans="1:101">
      <c r="A836" s="64" t="s">
        <v>315</v>
      </c>
      <c r="B836" s="64" t="s">
        <v>314</v>
      </c>
      <c r="C836" s="64" t="s">
        <v>86</v>
      </c>
      <c r="D836" s="97">
        <v>40249</v>
      </c>
      <c r="E836" s="64"/>
      <c r="F836" s="64">
        <v>9</v>
      </c>
      <c r="G836" s="64">
        <v>2025</v>
      </c>
      <c r="H836" s="66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6"/>
      <c r="T836" s="66"/>
      <c r="U836" s="68"/>
      <c r="V836" s="68"/>
      <c r="W836" s="66"/>
      <c r="X836" s="66"/>
      <c r="Y836" s="66"/>
      <c r="Z836" s="66"/>
      <c r="AA836" s="66"/>
      <c r="AB836" s="66"/>
      <c r="AC836" s="66"/>
      <c r="AD836" s="66"/>
      <c r="AE836" s="66"/>
      <c r="AF836" s="66"/>
      <c r="AG836" s="66"/>
      <c r="AH836" s="66"/>
      <c r="AI836" s="66"/>
      <c r="AJ836" s="66"/>
      <c r="AK836" s="66"/>
      <c r="AL836" s="66"/>
      <c r="AM836" s="66"/>
      <c r="AN836" s="66"/>
      <c r="AO836" s="66"/>
      <c r="AP836" s="66"/>
      <c r="AQ836" s="20"/>
      <c r="AR836" s="20"/>
      <c r="AS836" s="20"/>
      <c r="AT836" s="20"/>
      <c r="AU836" s="20"/>
      <c r="AV836" s="20"/>
      <c r="AW836" s="20"/>
      <c r="AX836" s="20"/>
      <c r="AY836" s="41" t="str">
        <f t="shared" si="257"/>
        <v>Incomplete</v>
      </c>
      <c r="AZ836" s="66"/>
      <c r="BA836" s="20" t="str">
        <f t="shared" si="258"/>
        <v>Incomplete</v>
      </c>
      <c r="BB836" s="66"/>
      <c r="BC836" s="20" t="str">
        <f t="shared" si="259"/>
        <v>Incomplete</v>
      </c>
      <c r="BD836" s="66"/>
      <c r="BE836" s="20" t="str">
        <f t="shared" si="260"/>
        <v>Incomplete</v>
      </c>
      <c r="BF836" s="66"/>
      <c r="BG836" s="66"/>
      <c r="BH836" s="66"/>
      <c r="BI836" s="20" t="str">
        <f t="shared" ref="BI836:BI842" si="263">IF(OR(ISBLANK(BG836), ISBLANK(BH836)),"Incomplete",(SUM(BH836-BG836)))</f>
        <v>Incomplete</v>
      </c>
      <c r="BJ836" s="66"/>
      <c r="BK836" s="66"/>
      <c r="BL836" s="66"/>
      <c r="BM836" s="66"/>
      <c r="BN836" s="66"/>
      <c r="BO836" s="66"/>
      <c r="BP836" s="66"/>
      <c r="BQ836" s="66"/>
      <c r="BR836" s="66"/>
      <c r="BS836" s="66"/>
      <c r="BT836" s="66"/>
      <c r="BU836" s="66"/>
      <c r="BV836" s="66"/>
      <c r="BW836" s="91" t="str">
        <f t="shared" si="261"/>
        <v>Incomplete</v>
      </c>
      <c r="BX836" s="91" t="str">
        <f>_xlfn.XLOOKUP(BW836,'Normative data'!$V$3:$V$6,'Normative data'!$W$3:$W$6,"Not Found",-1)</f>
        <v>Very low risk</v>
      </c>
      <c r="BY836" s="91" t="str">
        <f t="shared" si="262"/>
        <v>Incomplete</v>
      </c>
      <c r="BZ836" s="91" t="str">
        <f>_xlfn.XLOOKUP(BY836,'Normative data'!$V$3:$V$6,'Normative data'!$W$3:$W$6,"Not Found",-1)</f>
        <v>Very low risk</v>
      </c>
      <c r="CA836" s="20"/>
      <c r="CC836" s="20"/>
      <c r="CE836" s="20"/>
      <c r="CF836" s="66"/>
      <c r="CG836" s="66"/>
      <c r="CH836" s="20" t="str">
        <f>_xlfn.XLOOKUP(CG836, 'Normative data'!$S$9:$S$15,'Normative data'!$T$9:$T$15, "Not Found", -1)</f>
        <v>not completed</v>
      </c>
      <c r="CI836" s="66"/>
      <c r="CJ836" s="20" t="str">
        <f>_xlfn.XLOOKUP(CI836, 'Normative data'!$S$9:$S$15, 'Normative data'!$T$9:$T$15, "Not Found", -1)</f>
        <v>not completed</v>
      </c>
      <c r="CK836" s="66" t="s">
        <v>518</v>
      </c>
      <c r="CL836" s="66" t="s">
        <v>519</v>
      </c>
      <c r="CM836" s="66"/>
      <c r="CN836" s="66" t="s">
        <v>737</v>
      </c>
      <c r="CO836" s="66" t="s">
        <v>736</v>
      </c>
      <c r="CP836" s="68"/>
      <c r="CQ836" s="68"/>
      <c r="CR836" s="20" t="str" cm="1">
        <f t="array" ref="CR836">IF(OR(ISBLANK(E836),ISBLANK(CQ836)),"Incomplete",_xlfn.XLOOKUP(CQ836,_xlfn.XLOOKUP(E836,'Normative data'!$Y$3:$Y$6,'Normative data'!$Z$3:$AG$6,,-1),'Normative data'!$Z$2:$AG$2,"Not Found",-1))</f>
        <v>Incomplete</v>
      </c>
      <c r="CS836" s="68"/>
      <c r="CT836" s="66"/>
      <c r="CU836" s="20" t="str" cm="1">
        <f t="array" ref="CU836">_xlfn.XLOOKUP(CS836&amp;CT836,(VLOOKUP!$A$3:$A$250)&amp;(VLOOKUP!$B$3:$B$250),VLOOKUP!$C$3:$C$250,"Incomplete",-1)</f>
        <v>Incomplete</v>
      </c>
      <c r="CV836" s="20" t="str" cm="1">
        <f t="array" ref="CV836">_xlfn.XLOOKUP(CU836, _xlfn.XLOOKUP(E836, 'Normative data'!$Y$11:$Y$14, 'Normative data'!$Z$11:$AG$14, ,-1), 'Normative data'!$Z$10:$AG$10, "Not Found", -1)</f>
        <v>Excellent</v>
      </c>
      <c r="CW836" s="20" t="str" cm="1">
        <f t="array" ref="CW836">IF(OR(ISBLANK(CS836),ISBLANK(CT836)),"Incomplete",_xlfn.XLOOKUP(CS836&amp;CT836,VLOOKUP!$A$4:$A$250&amp;VLOOKUP!$B$4:$B$250,VLOOKUP!$D$4:$D$250,"0"))</f>
        <v>Incomplete</v>
      </c>
    </row>
    <row r="837" spans="1:101">
      <c r="A837" s="64" t="s">
        <v>349</v>
      </c>
      <c r="B837" s="64" t="s">
        <v>348</v>
      </c>
      <c r="C837" s="64" t="s">
        <v>86</v>
      </c>
      <c r="D837" s="65">
        <v>41041</v>
      </c>
      <c r="E837" s="64">
        <v>13.4</v>
      </c>
      <c r="F837" s="66" t="s">
        <v>104</v>
      </c>
      <c r="G837" s="64">
        <v>2026</v>
      </c>
      <c r="H837" s="66"/>
      <c r="I837" s="66">
        <v>2</v>
      </c>
      <c r="J837" s="66" t="s">
        <v>88</v>
      </c>
      <c r="K837" s="66" t="s">
        <v>89</v>
      </c>
      <c r="L837" s="66"/>
      <c r="M837" s="64"/>
      <c r="N837" s="64"/>
      <c r="O837" s="64"/>
      <c r="P837" s="64"/>
      <c r="Q837" s="64"/>
      <c r="R837" s="64"/>
      <c r="S837" s="66">
        <v>76.8</v>
      </c>
      <c r="T837" s="66">
        <v>157.30000000000001</v>
      </c>
      <c r="U837" s="64">
        <v>61.4</v>
      </c>
      <c r="V837" s="59">
        <v>29</v>
      </c>
      <c r="W837" s="59">
        <v>21.5</v>
      </c>
      <c r="X837" s="59">
        <v>39.9</v>
      </c>
      <c r="Y837" s="59">
        <v>21.4</v>
      </c>
      <c r="Z837" s="59">
        <v>24.9</v>
      </c>
      <c r="AA837" s="59">
        <v>35.1</v>
      </c>
      <c r="AB837" s="59">
        <v>5.44</v>
      </c>
      <c r="AC837" s="59">
        <v>90.3</v>
      </c>
      <c r="AD837" s="59">
        <v>5.47</v>
      </c>
      <c r="AE837" s="59">
        <v>90.9</v>
      </c>
      <c r="AF837" s="59">
        <v>3.2</v>
      </c>
      <c r="AG837" s="59">
        <v>163.6</v>
      </c>
      <c r="AH837" s="59">
        <v>3.2</v>
      </c>
      <c r="AI837" s="59">
        <v>164.1</v>
      </c>
      <c r="AJ837" s="59">
        <v>321.2</v>
      </c>
      <c r="AK837" s="59">
        <v>316.89999999999998</v>
      </c>
      <c r="AL837" s="59">
        <v>286.7</v>
      </c>
      <c r="AM837" s="59">
        <v>282</v>
      </c>
      <c r="AN837" s="59">
        <v>75</v>
      </c>
      <c r="AO837" s="59">
        <v>0.9</v>
      </c>
      <c r="AP837" s="59">
        <v>6</v>
      </c>
      <c r="AQ837" s="20"/>
      <c r="AR837" s="20"/>
      <c r="AS837" s="20"/>
      <c r="AT837" s="20"/>
      <c r="AU837" s="20"/>
      <c r="AV837" s="20"/>
      <c r="AW837" s="20"/>
      <c r="AX837" s="20"/>
      <c r="AY837" s="41" t="str">
        <f t="shared" si="257"/>
        <v>Incomplete</v>
      </c>
      <c r="AZ837" s="64"/>
      <c r="BA837" s="20" t="str">
        <f t="shared" si="258"/>
        <v>Incomplete</v>
      </c>
      <c r="BB837" s="64"/>
      <c r="BC837" s="20" t="str">
        <f t="shared" si="259"/>
        <v>Incomplete</v>
      </c>
      <c r="BD837" s="64"/>
      <c r="BE837" s="20" t="str">
        <f t="shared" si="260"/>
        <v>Incomplete</v>
      </c>
      <c r="BF837" s="64"/>
      <c r="BG837" s="64">
        <v>14</v>
      </c>
      <c r="BH837" s="17">
        <v>33</v>
      </c>
      <c r="BI837" s="20">
        <f t="shared" si="263"/>
        <v>19</v>
      </c>
      <c r="BJ837" s="66"/>
      <c r="BK837" s="64">
        <v>6</v>
      </c>
      <c r="BL837" s="66"/>
      <c r="BM837" s="64">
        <v>7</v>
      </c>
      <c r="BN837" s="66"/>
      <c r="BO837" s="64">
        <v>52.5</v>
      </c>
      <c r="BP837" s="64">
        <v>51.5</v>
      </c>
      <c r="BQ837" s="64">
        <v>75</v>
      </c>
      <c r="BR837" s="64">
        <v>78</v>
      </c>
      <c r="BS837" s="64">
        <v>74</v>
      </c>
      <c r="BT837" s="64">
        <v>72</v>
      </c>
      <c r="BU837" s="64">
        <v>73</v>
      </c>
      <c r="BV837" s="64">
        <v>76</v>
      </c>
      <c r="BW837" s="91">
        <f t="shared" si="261"/>
        <v>93.995859213250498</v>
      </c>
      <c r="BX837" s="91" t="str">
        <f>_xlfn.XLOOKUP(BW837,'Normative data'!$V$3:$V$6,'Normative data'!$W$3:$W$6,"Not Found",-1)</f>
        <v>High risk</v>
      </c>
      <c r="BY837" s="91">
        <f t="shared" si="262"/>
        <v>91.511387163561054</v>
      </c>
      <c r="BZ837" s="91" t="str">
        <f>_xlfn.XLOOKUP(BY837,'Normative data'!$V$3:$V$6,'Normative data'!$W$3:$W$6,"Not Found",-1)</f>
        <v>High risk</v>
      </c>
      <c r="CA837" s="64">
        <v>33</v>
      </c>
      <c r="CB837" s="66"/>
      <c r="CC837" s="20"/>
      <c r="CD837" s="66"/>
      <c r="CE837" s="64">
        <v>8</v>
      </c>
      <c r="CF837" s="66"/>
      <c r="CG837" s="17">
        <v>18.96</v>
      </c>
      <c r="CH837" s="20" t="str">
        <f>_xlfn.XLOOKUP(CG837, 'Normative data'!$S$9:$S$15,'Normative data'!$T$9:$T$15, "Not Found", -1)</f>
        <v>Average</v>
      </c>
      <c r="CI837" s="17">
        <v>19.16</v>
      </c>
      <c r="CJ837" s="20" t="str">
        <f>_xlfn.XLOOKUP(CI837, 'Normative data'!$S$9:$S$15, 'Normative data'!$T$9:$T$15, "Not Found", -1)</f>
        <v>Average</v>
      </c>
      <c r="CK837" s="17">
        <v>2.4300000000000002</v>
      </c>
      <c r="CL837" s="17">
        <v>4.12</v>
      </c>
      <c r="CN837" s="17">
        <v>7.35</v>
      </c>
      <c r="CO837" s="17">
        <v>6.8</v>
      </c>
      <c r="CP837" s="68"/>
      <c r="CQ837" s="67"/>
      <c r="CR837" s="20" t="str" cm="1">
        <f t="array" ref="CR837">IF(OR(ISBLANK(E837),ISBLANK(CQ837)),"Incomplete",_xlfn.XLOOKUP(CQ837,_xlfn.XLOOKUP(E837,'Normative data'!$Y$3:$Y$6,'Normative data'!$Z$3:$AG$6,,-1),'Normative data'!$Z$2:$AG$2,"Not Found",-1))</f>
        <v>Incomplete</v>
      </c>
      <c r="CS837" s="68"/>
      <c r="CT837" s="66"/>
      <c r="CU837" s="20" t="str" cm="1">
        <f t="array" ref="CU837">_xlfn.XLOOKUP(CS837&amp;CT837,(VLOOKUP!$A$3:$A$250)&amp;(VLOOKUP!$B$3:$B$250),VLOOKUP!$C$3:$C$250,"Incomplete",-1)</f>
        <v>Incomplete</v>
      </c>
      <c r="CV837" s="20" t="str" cm="1">
        <f t="array" ref="CV837">_xlfn.XLOOKUP(CU837, _xlfn.XLOOKUP(E837, 'Normative data'!$Y$11:$Y$14, 'Normative data'!$Z$11:$AG$14, ,-1), 'Normative data'!$Z$10:$AG$10, "Not Found", -1)</f>
        <v>Excellent</v>
      </c>
      <c r="CW837" s="20" t="str" cm="1">
        <f t="array" ref="CW837">IF(OR(ISBLANK(CS837),ISBLANK(CT837)),"Incomplete",_xlfn.XLOOKUP(CS837&amp;CT837,VLOOKUP!$A$4:$A$250&amp;VLOOKUP!$B$4:$B$250,VLOOKUP!$D$4:$D$250,"0"))</f>
        <v>Incomplete</v>
      </c>
    </row>
    <row r="838" spans="1:101">
      <c r="A838" s="93" t="s">
        <v>1516</v>
      </c>
      <c r="B838" s="93" t="s">
        <v>1517</v>
      </c>
      <c r="C838" s="64" t="s">
        <v>86</v>
      </c>
      <c r="D838" s="96">
        <v>39618</v>
      </c>
      <c r="E838" s="64"/>
      <c r="F838" s="64">
        <v>11</v>
      </c>
      <c r="G838" s="64">
        <v>2025</v>
      </c>
      <c r="H838" s="66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  <c r="AD838" s="66"/>
      <c r="AE838" s="66"/>
      <c r="AF838" s="66"/>
      <c r="AG838" s="66"/>
      <c r="AH838" s="66"/>
      <c r="AI838" s="66"/>
      <c r="AJ838" s="66"/>
      <c r="AK838" s="66"/>
      <c r="AL838" s="66"/>
      <c r="AM838" s="66"/>
      <c r="AN838" s="66"/>
      <c r="AO838" s="66"/>
      <c r="AP838" s="66"/>
      <c r="AQ838" s="20"/>
      <c r="AR838" s="20"/>
      <c r="AS838" s="20"/>
      <c r="AT838" s="20"/>
      <c r="AU838" s="20"/>
      <c r="AV838" s="20"/>
      <c r="AW838" s="20"/>
      <c r="AX838" s="20"/>
      <c r="AY838" s="41" t="str">
        <f t="shared" si="257"/>
        <v>Incomplete</v>
      </c>
      <c r="AZ838" s="66"/>
      <c r="BA838" s="20" t="str">
        <f t="shared" si="258"/>
        <v>Incomplete</v>
      </c>
      <c r="BB838" s="66"/>
      <c r="BC838" s="20" t="str">
        <f t="shared" si="259"/>
        <v>Incomplete</v>
      </c>
      <c r="BD838" s="66"/>
      <c r="BE838" s="20" t="str">
        <f t="shared" si="260"/>
        <v>Incomplete</v>
      </c>
      <c r="BF838" s="66"/>
      <c r="BG838" s="66"/>
      <c r="BH838" s="20"/>
      <c r="BI838" s="20" t="str">
        <f t="shared" si="263"/>
        <v>Incomplete</v>
      </c>
      <c r="BJ838" s="66"/>
      <c r="BK838" s="66"/>
      <c r="BL838" s="66"/>
      <c r="BM838" s="20"/>
      <c r="BN838" s="66"/>
      <c r="BO838" s="66"/>
      <c r="BP838" s="66"/>
      <c r="BQ838" s="66"/>
      <c r="BR838" s="66"/>
      <c r="BS838" s="66"/>
      <c r="BT838" s="66"/>
      <c r="BU838" s="66"/>
      <c r="BV838" s="66"/>
      <c r="BW838" s="91" t="str">
        <f t="shared" si="261"/>
        <v>Incomplete</v>
      </c>
      <c r="BX838" s="91" t="str">
        <f>_xlfn.XLOOKUP(BW838,'Normative data'!$V$3:$V$6,'Normative data'!$W$3:$W$6,"Not Found",-1)</f>
        <v>Very low risk</v>
      </c>
      <c r="BY838" s="91" t="str">
        <f t="shared" si="262"/>
        <v>Incomplete</v>
      </c>
      <c r="BZ838" s="91" t="str">
        <f>_xlfn.XLOOKUP(BY838,'Normative data'!$V$3:$V$6,'Normative data'!$W$3:$W$6,"Not Found",-1)</f>
        <v>Very low risk</v>
      </c>
      <c r="CA838" s="20"/>
      <c r="CC838" s="20"/>
      <c r="CE838" s="20"/>
      <c r="CF838" s="66"/>
      <c r="CG838" s="20"/>
      <c r="CH838" s="20" t="str">
        <f>_xlfn.XLOOKUP(CG838, 'Normative data'!$S$9:$S$15,'Normative data'!$T$9:$T$15, "Not Found", -1)</f>
        <v>not completed</v>
      </c>
      <c r="CI838" s="20"/>
      <c r="CJ838" s="20" t="str">
        <f>_xlfn.XLOOKUP(CI838, 'Normative data'!$S$9:$S$15, 'Normative data'!$T$9:$T$15, "Not Found", -1)</f>
        <v>not completed</v>
      </c>
      <c r="CK838" s="21">
        <v>2.69</v>
      </c>
      <c r="CL838" s="21">
        <v>3.72</v>
      </c>
      <c r="CM838" s="21"/>
      <c r="CN838" s="21">
        <v>8.3699999999999992</v>
      </c>
      <c r="CO838" s="21">
        <v>5.97</v>
      </c>
      <c r="CP838" s="109"/>
      <c r="CQ838" s="68"/>
      <c r="CR838" s="20" t="str" cm="1">
        <f t="array" ref="CR838">IF(OR(ISBLANK(E838),ISBLANK(CQ838)),"Incomplete",_xlfn.XLOOKUP(CQ838,_xlfn.XLOOKUP(E838,'Normative data'!$Y$3:$Y$6,'Normative data'!$Z$3:$AG$6,,-1),'Normative data'!$Z$2:$AG$2,"Not Found",-1))</f>
        <v>Incomplete</v>
      </c>
      <c r="CS838" s="68"/>
      <c r="CT838" s="66"/>
      <c r="CU838" s="20" t="str" cm="1">
        <f t="array" ref="CU838">_xlfn.XLOOKUP(CS838&amp;CT838,(VLOOKUP!$A$3:$A$250)&amp;(VLOOKUP!$B$3:$B$250),VLOOKUP!$C$3:$C$250,"Incomplete",-1)</f>
        <v>Incomplete</v>
      </c>
      <c r="CV838" s="20" t="str" cm="1">
        <f t="array" ref="CV838">_xlfn.XLOOKUP(CU838, _xlfn.XLOOKUP(E838, 'Normative data'!$Y$11:$Y$14, 'Normative data'!$Z$11:$AG$14, ,-1), 'Normative data'!$Z$10:$AG$10, "Not Found", -1)</f>
        <v>Excellent</v>
      </c>
      <c r="CW838" s="20" t="str" cm="1">
        <f t="array" ref="CW838">IF(OR(ISBLANK(CS838),ISBLANK(CT838)),"Incomplete",_xlfn.XLOOKUP(CS838&amp;CT838,VLOOKUP!$A$4:$A$250&amp;VLOOKUP!$B$4:$B$250,VLOOKUP!$D$4:$D$250,"0"))</f>
        <v>Incomplete</v>
      </c>
    </row>
    <row r="839" spans="1:101">
      <c r="A839" s="64" t="s">
        <v>1518</v>
      </c>
      <c r="B839" s="64" t="s">
        <v>1519</v>
      </c>
      <c r="C839" s="64" t="s">
        <v>86</v>
      </c>
      <c r="D839" s="65" t="s">
        <v>1520</v>
      </c>
      <c r="E839" s="64">
        <v>16.5</v>
      </c>
      <c r="F839" s="66" t="s">
        <v>110</v>
      </c>
      <c r="G839" s="64">
        <v>2026</v>
      </c>
      <c r="H839" s="66"/>
      <c r="I839" s="66">
        <v>2</v>
      </c>
      <c r="J839" s="66"/>
      <c r="K839" s="66"/>
      <c r="L839" s="66"/>
      <c r="M839" s="64"/>
      <c r="N839" s="64"/>
      <c r="O839" s="64"/>
      <c r="P839" s="64"/>
      <c r="Q839" s="64"/>
      <c r="R839" s="64"/>
      <c r="S839" s="66">
        <v>81.400000000000006</v>
      </c>
      <c r="T839" s="66">
        <v>157.9</v>
      </c>
      <c r="U839" s="64">
        <v>73.099999999999994</v>
      </c>
      <c r="V839" s="64">
        <v>31</v>
      </c>
      <c r="W839" s="64">
        <v>30.5</v>
      </c>
      <c r="X839" s="64">
        <v>42.6</v>
      </c>
      <c r="Y839" s="64">
        <v>23.3</v>
      </c>
      <c r="Z839" s="64">
        <v>29.3</v>
      </c>
      <c r="AA839" s="64">
        <v>41.8</v>
      </c>
      <c r="AB839" s="64">
        <v>5.89</v>
      </c>
      <c r="AC839" s="64">
        <v>91</v>
      </c>
      <c r="AD839" s="64">
        <v>5.89</v>
      </c>
      <c r="AE839" s="64">
        <v>91</v>
      </c>
      <c r="AF839" s="64">
        <v>4.2</v>
      </c>
      <c r="AG839" s="64">
        <v>213.1</v>
      </c>
      <c r="AH839" s="64">
        <v>4.2</v>
      </c>
      <c r="AI839" s="64">
        <v>212.1</v>
      </c>
      <c r="AJ839" s="64">
        <v>316.8</v>
      </c>
      <c r="AK839" s="64">
        <v>315.89999999999998</v>
      </c>
      <c r="AL839" s="64">
        <v>277.89999999999998</v>
      </c>
      <c r="AM839" s="64">
        <v>278.5</v>
      </c>
      <c r="AN839" s="64">
        <v>64</v>
      </c>
      <c r="AO839" s="64">
        <v>0.98</v>
      </c>
      <c r="AP839" s="64">
        <v>6.5</v>
      </c>
      <c r="AQ839" s="64"/>
      <c r="AR839" s="64"/>
      <c r="AS839" s="64"/>
      <c r="AT839" s="64"/>
      <c r="AU839" s="64"/>
      <c r="AV839" s="64"/>
      <c r="AW839" s="64"/>
      <c r="AX839" s="64"/>
      <c r="AY839" s="41" t="str">
        <f t="shared" si="257"/>
        <v>Incomplete</v>
      </c>
      <c r="AZ839" s="64"/>
      <c r="BA839" s="20" t="str">
        <f t="shared" si="258"/>
        <v>Incomplete</v>
      </c>
      <c r="BB839" s="64"/>
      <c r="BC839" s="20" t="str">
        <f t="shared" si="259"/>
        <v>Incomplete</v>
      </c>
      <c r="BD839" s="64"/>
      <c r="BE839" s="20" t="str">
        <f t="shared" si="260"/>
        <v>Incomplete</v>
      </c>
      <c r="BF839" s="64"/>
      <c r="BG839" s="64">
        <v>15.1</v>
      </c>
      <c r="BH839" s="64">
        <v>37</v>
      </c>
      <c r="BI839" s="20">
        <f t="shared" si="263"/>
        <v>21.9</v>
      </c>
      <c r="BJ839" s="66"/>
      <c r="BK839" s="64"/>
      <c r="BL839" s="66"/>
      <c r="BN839" s="66"/>
      <c r="BO839" s="64"/>
      <c r="BP839" s="64"/>
      <c r="BQ839" s="64"/>
      <c r="BR839" s="64"/>
      <c r="BS839" s="64"/>
      <c r="BT839" s="64"/>
      <c r="BU839" s="64"/>
      <c r="BV839" s="64"/>
      <c r="BW839" s="91">
        <f t="shared" si="261"/>
        <v>0</v>
      </c>
      <c r="BX839" s="91" t="str">
        <f>_xlfn.XLOOKUP(BW839,'Normative data'!$V$3:$V$6,'Normative data'!$W$3:$W$6,"Not Found",-1)</f>
        <v>Not completed</v>
      </c>
      <c r="BY839" s="91">
        <f t="shared" si="262"/>
        <v>0</v>
      </c>
      <c r="BZ839" s="91" t="str">
        <f>_xlfn.XLOOKUP(BY839,'Normative data'!$V$3:$V$6,'Normative data'!$W$3:$W$6,"Not Found",-1)</f>
        <v>Not completed</v>
      </c>
      <c r="CA839" s="64"/>
      <c r="CB839" s="66"/>
      <c r="CD839" s="66"/>
      <c r="CE839" s="64"/>
      <c r="CF839" s="66"/>
      <c r="CG839" s="66"/>
      <c r="CH839" s="20" t="str">
        <f>_xlfn.XLOOKUP(CG839, 'Normative data'!$S$9:$S$15,'Normative data'!$T$9:$T$15, "Not Found", -1)</f>
        <v>not completed</v>
      </c>
      <c r="CI839" s="66"/>
      <c r="CJ839" s="20" t="str">
        <f>_xlfn.XLOOKUP(CI839, 'Normative data'!$S$9:$S$15, 'Normative data'!$T$9:$T$15, "Not Found", -1)</f>
        <v>not completed</v>
      </c>
      <c r="CK839" s="21"/>
      <c r="CL839" s="21"/>
      <c r="CM839" s="21"/>
      <c r="CN839" s="21"/>
      <c r="CO839" s="21"/>
      <c r="CP839" s="68"/>
      <c r="CQ839" s="67"/>
      <c r="CR839" s="20" t="str" cm="1">
        <f t="array" ref="CR839">IF(OR(ISBLANK(E839),ISBLANK(CQ839)),"Incomplete",_xlfn.XLOOKUP(CQ839,_xlfn.XLOOKUP(E839,'Normative data'!$Y$3:$Y$6,'Normative data'!$Z$3:$AG$6,,-1),'Normative data'!$Z$2:$AG$2,"Not Found",-1))</f>
        <v>Incomplete</v>
      </c>
      <c r="CS839" s="68"/>
      <c r="CT839" s="66"/>
      <c r="CU839" s="20" t="str" cm="1">
        <f t="array" ref="CU839">_xlfn.XLOOKUP(CS839&amp;CT839,(VLOOKUP!$A$3:$A$250)&amp;(VLOOKUP!$B$3:$B$250),VLOOKUP!$C$3:$C$250,"Incomplete",-1)</f>
        <v>Incomplete</v>
      </c>
      <c r="CV839" s="20" t="str" cm="1">
        <f t="array" ref="CV839">_xlfn.XLOOKUP(CU839, _xlfn.XLOOKUP(E839, 'Normative data'!$Y$11:$Y$14, 'Normative data'!$Z$11:$AG$14, ,-1), 'Normative data'!$Z$10:$AG$10, "Not Found", -1)</f>
        <v>Excellent</v>
      </c>
      <c r="CW839" s="20" t="str" cm="1">
        <f t="array" ref="CW839">IF(OR(ISBLANK(CS839),ISBLANK(CT839)),"Incomplete",_xlfn.XLOOKUP(CS839&amp;CT839,VLOOKUP!$A$4:$A$250&amp;VLOOKUP!$B$4:$B$250,VLOOKUP!$D$4:$D$250,"0"))</f>
        <v>Incomplete</v>
      </c>
    </row>
    <row r="840" spans="1:101">
      <c r="A840" s="64" t="s">
        <v>806</v>
      </c>
      <c r="B840" s="64" t="s">
        <v>805</v>
      </c>
      <c r="C840" s="64" t="s">
        <v>86</v>
      </c>
      <c r="D840" s="65">
        <v>40648</v>
      </c>
      <c r="E840" s="64">
        <v>15</v>
      </c>
      <c r="F840" s="66" t="s">
        <v>154</v>
      </c>
      <c r="G840" s="64">
        <v>2026</v>
      </c>
      <c r="H840" s="66"/>
      <c r="I840" s="66">
        <v>2</v>
      </c>
      <c r="J840" s="66"/>
      <c r="K840" s="66"/>
      <c r="L840" s="66"/>
      <c r="M840" s="64"/>
      <c r="N840" s="64"/>
      <c r="O840" s="64"/>
      <c r="P840" s="64"/>
      <c r="Q840" s="64"/>
      <c r="R840" s="64"/>
      <c r="S840" s="66">
        <v>80.8</v>
      </c>
      <c r="T840" s="66">
        <v>160.1</v>
      </c>
      <c r="U840" s="64">
        <v>43.1</v>
      </c>
      <c r="V840" s="64">
        <v>23.8</v>
      </c>
      <c r="W840" s="64">
        <v>9.5</v>
      </c>
      <c r="X840" s="64">
        <v>33.6</v>
      </c>
      <c r="Y840" s="64">
        <v>17.600000000000001</v>
      </c>
      <c r="Z840" s="64">
        <v>16.8</v>
      </c>
      <c r="AA840" s="64">
        <v>22.1</v>
      </c>
      <c r="AB840" s="64">
        <v>4.83</v>
      </c>
      <c r="AC840" s="64">
        <v>96.9</v>
      </c>
      <c r="AD840" s="64">
        <v>4.9400000000000004</v>
      </c>
      <c r="AE840" s="64">
        <v>99.1</v>
      </c>
      <c r="AF840" s="64">
        <v>1.6</v>
      </c>
      <c r="AG840" s="64">
        <v>75.3</v>
      </c>
      <c r="AH840" s="64">
        <v>1.6</v>
      </c>
      <c r="AI840" s="64">
        <v>75.599999999999994</v>
      </c>
      <c r="AJ840" s="64">
        <v>388.8</v>
      </c>
      <c r="AK840" s="64">
        <v>380</v>
      </c>
      <c r="AL840" s="64">
        <v>355.6</v>
      </c>
      <c r="AM840" s="64">
        <v>349.7</v>
      </c>
      <c r="AN840" s="64">
        <v>85</v>
      </c>
      <c r="AO840" s="64">
        <v>0.81</v>
      </c>
      <c r="AP840" s="64">
        <v>4.8</v>
      </c>
      <c r="AQ840" s="20"/>
      <c r="AR840" s="20"/>
      <c r="AS840" s="20"/>
      <c r="AT840" s="20"/>
      <c r="AU840" s="20"/>
      <c r="AV840" s="20"/>
      <c r="AW840" s="20"/>
      <c r="AX840" s="20"/>
      <c r="AY840" s="41" t="str">
        <f t="shared" si="257"/>
        <v>Incomplete</v>
      </c>
      <c r="AZ840" s="64"/>
      <c r="BA840" s="20" t="str">
        <f t="shared" si="258"/>
        <v>Incomplete</v>
      </c>
      <c r="BB840" s="64"/>
      <c r="BC840" s="20" t="str">
        <f t="shared" si="259"/>
        <v>Incomplete</v>
      </c>
      <c r="BD840" s="64"/>
      <c r="BE840" s="20" t="str">
        <f t="shared" si="260"/>
        <v>Incomplete</v>
      </c>
      <c r="BF840" s="64"/>
      <c r="BG840" s="64">
        <v>15</v>
      </c>
      <c r="BH840" s="17">
        <v>34</v>
      </c>
      <c r="BI840" s="20">
        <f t="shared" si="263"/>
        <v>19</v>
      </c>
      <c r="BJ840" s="66"/>
      <c r="BK840" s="64">
        <v>12</v>
      </c>
      <c r="BL840" s="66"/>
      <c r="BM840" s="64">
        <v>7.5</v>
      </c>
      <c r="BN840" s="66"/>
      <c r="BO840" s="64">
        <v>36.799999999999997</v>
      </c>
      <c r="BP840" s="64">
        <v>35.6</v>
      </c>
      <c r="BQ840" s="64"/>
      <c r="BR840" s="64"/>
      <c r="BS840" s="64"/>
      <c r="BT840" s="64"/>
      <c r="BU840" s="64"/>
      <c r="BV840" s="64"/>
      <c r="BW840" s="91">
        <f t="shared" si="261"/>
        <v>0</v>
      </c>
      <c r="BX840" s="91" t="str">
        <f>_xlfn.XLOOKUP(BW840,'Normative data'!$V$3:$V$6,'Normative data'!$W$3:$W$6,"Not Found",-1)</f>
        <v>Not completed</v>
      </c>
      <c r="BY840" s="91">
        <f t="shared" si="262"/>
        <v>0</v>
      </c>
      <c r="BZ840" s="91" t="str">
        <f>_xlfn.XLOOKUP(BY840,'Normative data'!$V$3:$V$6,'Normative data'!$W$3:$W$6,"Not Found",-1)</f>
        <v>Not completed</v>
      </c>
      <c r="CA840" s="64">
        <v>21</v>
      </c>
      <c r="CB840" s="66"/>
      <c r="CC840" s="66"/>
      <c r="CD840" s="66"/>
      <c r="CE840" s="64">
        <v>1</v>
      </c>
      <c r="CF840" s="66"/>
      <c r="CG840" s="64"/>
      <c r="CH840" s="20" t="str">
        <f>_xlfn.XLOOKUP(CG840, 'Normative data'!$S$9:$S$15,'Normative data'!$T$9:$T$15, "Not Found", -1)</f>
        <v>not completed</v>
      </c>
      <c r="CI840" s="64">
        <v>20.67</v>
      </c>
      <c r="CJ840" s="20" t="str">
        <f>_xlfn.XLOOKUP(CI840, 'Normative data'!$S$9:$S$15, 'Normative data'!$T$9:$T$15, "Not Found", -1)</f>
        <v>Average</v>
      </c>
      <c r="CK840" s="105"/>
      <c r="CL840" s="105"/>
      <c r="CM840" s="105"/>
      <c r="CN840" s="105"/>
      <c r="CO840" s="105"/>
      <c r="CP840" s="68"/>
      <c r="CQ840" s="67"/>
      <c r="CR840" s="20" t="str" cm="1">
        <f t="array" ref="CR840">IF(OR(ISBLANK(E840),ISBLANK(CQ840)),"Incomplete",_xlfn.XLOOKUP(CQ840,_xlfn.XLOOKUP(E840,'Normative data'!$Y$3:$Y$6,'Normative data'!$Z$3:$AG$6,,-1),'Normative data'!$Z$2:$AG$2,"Not Found",-1))</f>
        <v>Incomplete</v>
      </c>
      <c r="CS840" s="68"/>
      <c r="CT840" s="66"/>
      <c r="CU840" s="20" t="str" cm="1">
        <f t="array" ref="CU840">_xlfn.XLOOKUP(CS840&amp;CT840,(VLOOKUP!$A$3:$A$250)&amp;(VLOOKUP!$B$3:$B$250),VLOOKUP!$C$3:$C$250,"Incomplete",-1)</f>
        <v>Incomplete</v>
      </c>
      <c r="CV840" s="20" t="str" cm="1">
        <f t="array" ref="CV840">_xlfn.XLOOKUP(CU840, _xlfn.XLOOKUP(E840, 'Normative data'!$Y$11:$Y$14, 'Normative data'!$Z$11:$AG$14, ,-1), 'Normative data'!$Z$10:$AG$10, "Not Found", -1)</f>
        <v>Excellent</v>
      </c>
      <c r="CW840" s="20" t="str" cm="1">
        <f t="array" ref="CW840">IF(OR(ISBLANK(CS840),ISBLANK(CT840)),"Incomplete",_xlfn.XLOOKUP(CS840&amp;CT840,VLOOKUP!$A$4:$A$250&amp;VLOOKUP!$B$4:$B$250,VLOOKUP!$D$4:$D$250,"0"))</f>
        <v>Incomplete</v>
      </c>
    </row>
    <row r="841" spans="1:101">
      <c r="A841" s="64" t="s">
        <v>1521</v>
      </c>
      <c r="B841" s="64" t="s">
        <v>956</v>
      </c>
      <c r="C841" s="64" t="s">
        <v>86</v>
      </c>
      <c r="D841" s="65">
        <v>39399</v>
      </c>
      <c r="E841" s="64">
        <v>18.600000000000001</v>
      </c>
      <c r="F841" s="66">
        <v>12</v>
      </c>
      <c r="G841" s="64">
        <v>2026</v>
      </c>
      <c r="H841" s="66"/>
      <c r="I841" s="66">
        <v>2</v>
      </c>
      <c r="J841" s="66" t="s">
        <v>122</v>
      </c>
      <c r="K841" s="66" t="s">
        <v>95</v>
      </c>
      <c r="L841" s="66"/>
      <c r="M841" s="64"/>
      <c r="N841" s="64"/>
      <c r="O841" s="64"/>
      <c r="P841" s="64"/>
      <c r="Q841" s="64"/>
      <c r="R841" s="64"/>
      <c r="S841" s="66">
        <v>83</v>
      </c>
      <c r="T841" s="66">
        <v>158.80000000000001</v>
      </c>
      <c r="U841" s="64">
        <v>48.4</v>
      </c>
      <c r="V841" s="64">
        <v>27.1</v>
      </c>
      <c r="W841" s="64">
        <v>11.3</v>
      </c>
      <c r="X841" s="64">
        <v>37.1</v>
      </c>
      <c r="Y841" s="64">
        <v>19.899999999999999</v>
      </c>
      <c r="Z841" s="64">
        <v>19.2</v>
      </c>
      <c r="AA841" s="64">
        <v>23.4</v>
      </c>
      <c r="AB841" s="64">
        <v>5.46</v>
      </c>
      <c r="AC841" s="64">
        <v>97.7</v>
      </c>
      <c r="AD841" s="64">
        <v>5.6</v>
      </c>
      <c r="AE841" s="64">
        <v>100</v>
      </c>
      <c r="AF841" s="64">
        <v>1.9</v>
      </c>
      <c r="AG841" s="64">
        <v>85.4</v>
      </c>
      <c r="AH841" s="64">
        <v>1.9</v>
      </c>
      <c r="AI841" s="64">
        <v>86</v>
      </c>
      <c r="AJ841" s="64">
        <v>334.1</v>
      </c>
      <c r="AK841" s="64">
        <v>317.3</v>
      </c>
      <c r="AL841" s="64">
        <v>298.89999999999998</v>
      </c>
      <c r="AM841" s="64">
        <v>284.2</v>
      </c>
      <c r="AN841" s="64">
        <v>75</v>
      </c>
      <c r="AO841" s="64"/>
      <c r="AP841" s="64"/>
      <c r="AQ841" s="17">
        <v>30.5</v>
      </c>
      <c r="AR841" s="17">
        <v>0.499</v>
      </c>
      <c r="AS841" s="17">
        <v>36.5</v>
      </c>
      <c r="AT841" s="17">
        <v>0.54600000000000004</v>
      </c>
      <c r="AU841" s="17">
        <v>18.600000000000001</v>
      </c>
      <c r="AV841" s="17">
        <v>0.39</v>
      </c>
      <c r="AW841" s="17">
        <v>18.5</v>
      </c>
      <c r="AX841" s="17">
        <v>0.38900000000000001</v>
      </c>
      <c r="AY841" s="41">
        <f t="shared" si="257"/>
        <v>1988.87</v>
      </c>
      <c r="AZ841" s="64"/>
      <c r="BA841" s="20">
        <f t="shared" si="258"/>
        <v>2353.0699999999997</v>
      </c>
      <c r="BB841" s="64"/>
      <c r="BC841" s="20">
        <f t="shared" si="259"/>
        <v>1266.54</v>
      </c>
      <c r="BD841" s="64"/>
      <c r="BE841" s="20">
        <f t="shared" si="260"/>
        <v>1260.4700000000003</v>
      </c>
      <c r="BF841" s="64"/>
      <c r="BG841" s="64">
        <v>22</v>
      </c>
      <c r="BH841" s="64">
        <v>58</v>
      </c>
      <c r="BI841" s="20">
        <f t="shared" si="263"/>
        <v>36</v>
      </c>
      <c r="BJ841" s="66"/>
      <c r="BK841" s="64">
        <v>7</v>
      </c>
      <c r="BL841" s="66"/>
      <c r="BM841" s="17">
        <v>3.5</v>
      </c>
      <c r="BN841" s="66"/>
      <c r="BO841" s="64">
        <v>48</v>
      </c>
      <c r="BP841" s="64">
        <v>46.5</v>
      </c>
      <c r="BQ841" s="64">
        <v>92</v>
      </c>
      <c r="BR841" s="64">
        <v>90</v>
      </c>
      <c r="BS841" s="64">
        <v>90</v>
      </c>
      <c r="BT841" s="64">
        <v>92</v>
      </c>
      <c r="BU841" s="64">
        <v>98</v>
      </c>
      <c r="BV841" s="64">
        <v>86</v>
      </c>
      <c r="BW841" s="91">
        <f t="shared" si="261"/>
        <v>119.61301671064201</v>
      </c>
      <c r="BX841" s="91" t="str">
        <f>_xlfn.XLOOKUP(BW841,'Normative data'!$V$3:$V$6,'Normative data'!$W$3:$W$6,"Not Found",-1)</f>
        <v>Low risk</v>
      </c>
      <c r="BY841" s="91">
        <f t="shared" si="262"/>
        <v>121.37203166226911</v>
      </c>
      <c r="BZ841" s="91" t="str">
        <f>_xlfn.XLOOKUP(BY841,'Normative data'!$V$3:$V$6,'Normative data'!$W$3:$W$6,"Not Found",-1)</f>
        <v>Very low risk</v>
      </c>
      <c r="CA841" s="17">
        <v>25</v>
      </c>
      <c r="CB841" s="66"/>
      <c r="CC841" s="20"/>
      <c r="CD841" s="66"/>
      <c r="CE841" s="64">
        <v>30</v>
      </c>
      <c r="CF841" s="66"/>
      <c r="CG841" s="64">
        <v>16.43</v>
      </c>
      <c r="CH841" s="20" t="str">
        <f>_xlfn.XLOOKUP(CG841, 'Normative data'!$S$9:$S$15,'Normative data'!$T$9:$T$15, "Not Found", -1)</f>
        <v>Excellent</v>
      </c>
      <c r="CI841" s="64">
        <v>16.22</v>
      </c>
      <c r="CJ841" s="20" t="str">
        <f>_xlfn.XLOOKUP(CI841, 'Normative data'!$S$9:$S$15, 'Normative data'!$T$9:$T$15, "Not Found", -1)</f>
        <v>Excellent</v>
      </c>
      <c r="CK841" s="105"/>
      <c r="CL841" s="105"/>
      <c r="CM841" s="105"/>
      <c r="CN841" s="105"/>
      <c r="CO841" s="105"/>
      <c r="CP841" s="68"/>
      <c r="CQ841" s="67"/>
      <c r="CR841" s="20" t="str" cm="1">
        <f t="array" ref="CR841">IF(OR(ISBLANK(E841),ISBLANK(CQ841)),"Incomplete",_xlfn.XLOOKUP(CQ841,_xlfn.XLOOKUP(E841,'Normative data'!$Y$3:$Y$6,'Normative data'!$Z$3:$AG$6,,-1),'Normative data'!$Z$2:$AG$2,"Not Found",-1))</f>
        <v>Incomplete</v>
      </c>
      <c r="CS841" s="68"/>
      <c r="CT841" s="66"/>
      <c r="CU841" s="20" t="str" cm="1">
        <f t="array" ref="CU841">_xlfn.XLOOKUP(CS841&amp;CT841,(VLOOKUP!$A$3:$A$250)&amp;(VLOOKUP!$B$3:$B$250),VLOOKUP!$C$3:$C$250,"Incomplete",-1)</f>
        <v>Incomplete</v>
      </c>
      <c r="CV841" s="20" t="str" cm="1">
        <f t="array" ref="CV841">_xlfn.XLOOKUP(CU841, _xlfn.XLOOKUP(E841, 'Normative data'!$Y$11:$Y$14, 'Normative data'!$Z$11:$AG$14, ,-1), 'Normative data'!$Z$10:$AG$10, "Not Found", -1)</f>
        <v>Excellent</v>
      </c>
      <c r="CW841" s="20" t="str" cm="1">
        <f t="array" ref="CW841">IF(OR(ISBLANK(CS841),ISBLANK(CT841)),"Incomplete",_xlfn.XLOOKUP(CS841&amp;CT841,VLOOKUP!$A$4:$A$250&amp;VLOOKUP!$B$4:$B$250,VLOOKUP!$D$4:$D$250,"0"))</f>
        <v>Incomplete</v>
      </c>
    </row>
    <row r="842" spans="1:101">
      <c r="A842" s="64" t="s">
        <v>746</v>
      </c>
      <c r="B842" s="64" t="s">
        <v>750</v>
      </c>
      <c r="C842" s="64" t="s">
        <v>86</v>
      </c>
      <c r="D842" s="65"/>
      <c r="E842" s="64"/>
      <c r="F842" s="66" t="s">
        <v>192</v>
      </c>
      <c r="G842" s="64">
        <v>2026</v>
      </c>
      <c r="H842" s="66"/>
      <c r="I842" s="66">
        <v>2</v>
      </c>
      <c r="J842" s="66" t="s">
        <v>88</v>
      </c>
      <c r="K842" s="66" t="s">
        <v>886</v>
      </c>
      <c r="L842" s="66"/>
      <c r="M842" s="64"/>
      <c r="N842" s="64"/>
      <c r="O842" s="64"/>
      <c r="P842" s="64"/>
      <c r="Q842" s="64"/>
      <c r="R842" s="64"/>
      <c r="S842" s="66">
        <v>82.1</v>
      </c>
      <c r="T842" s="66">
        <v>165.5</v>
      </c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  <c r="AH842" s="64"/>
      <c r="AI842" s="64"/>
      <c r="AJ842" s="64"/>
      <c r="AK842" s="64"/>
      <c r="AL842" s="64"/>
      <c r="AM842" s="64"/>
      <c r="AN842" s="64"/>
      <c r="AO842" s="64"/>
      <c r="AP842" s="64"/>
      <c r="AQ842" s="66"/>
      <c r="AR842" s="66"/>
      <c r="AS842" s="66"/>
      <c r="AT842" s="66"/>
      <c r="AU842" s="66"/>
      <c r="AV842" s="66"/>
      <c r="AW842" s="66"/>
      <c r="AX842" s="66"/>
      <c r="AY842" s="41" t="str">
        <f t="shared" si="257"/>
        <v>Incomplete</v>
      </c>
      <c r="AZ842" s="64"/>
      <c r="BA842" s="20" t="str">
        <f t="shared" si="258"/>
        <v>Incomplete</v>
      </c>
      <c r="BB842" s="64"/>
      <c r="BC842" s="20" t="str">
        <f t="shared" si="259"/>
        <v>Incomplete</v>
      </c>
      <c r="BD842" s="64"/>
      <c r="BE842" s="20" t="str">
        <f t="shared" si="260"/>
        <v>Incomplete</v>
      </c>
      <c r="BF842" s="64"/>
      <c r="BG842" s="64">
        <v>9.5</v>
      </c>
      <c r="BH842" s="64">
        <v>43.2</v>
      </c>
      <c r="BI842" s="20">
        <f t="shared" si="263"/>
        <v>33.700000000000003</v>
      </c>
      <c r="BJ842" s="66"/>
      <c r="BK842" s="64">
        <v>10</v>
      </c>
      <c r="BL842" s="66"/>
      <c r="BM842" s="64">
        <v>13</v>
      </c>
      <c r="BN842" s="66"/>
      <c r="BO842" s="64">
        <v>58.5</v>
      </c>
      <c r="BP842" s="64">
        <v>60</v>
      </c>
      <c r="BQ842" s="64">
        <v>78</v>
      </c>
      <c r="BR842" s="64">
        <v>77</v>
      </c>
      <c r="BS842" s="64">
        <v>68</v>
      </c>
      <c r="BT842" s="64">
        <v>79</v>
      </c>
      <c r="BU842" s="64">
        <v>75</v>
      </c>
      <c r="BV842" s="64">
        <v>63</v>
      </c>
      <c r="BW842" s="91">
        <f t="shared" si="261"/>
        <v>89.128697042366099</v>
      </c>
      <c r="BX842" s="91" t="str">
        <f>_xlfn.XLOOKUP(BW842,'Normative data'!$V$3:$V$6,'Normative data'!$W$3:$W$6,"Not Found",-1)</f>
        <v>High risk</v>
      </c>
      <c r="BY842" s="91">
        <f t="shared" si="262"/>
        <v>86.730615507593924</v>
      </c>
      <c r="BZ842" s="91" t="str">
        <f>_xlfn.XLOOKUP(BY842,'Normative data'!$V$3:$V$6,'Normative data'!$W$3:$W$6,"Not Found",-1)</f>
        <v>High risk</v>
      </c>
      <c r="CA842" s="64">
        <v>13</v>
      </c>
      <c r="CB842" s="66"/>
      <c r="CC842" s="20"/>
      <c r="CD842" s="66"/>
      <c r="CE842" s="64">
        <v>4</v>
      </c>
      <c r="CF842" s="66"/>
      <c r="CG842" s="66"/>
      <c r="CH842" s="20" t="str">
        <f>_xlfn.XLOOKUP(CG842, 'Normative data'!$S$9:$S$15,'Normative data'!$T$9:$T$15, "Not Found", -1)</f>
        <v>not completed</v>
      </c>
      <c r="CI842" s="66"/>
      <c r="CJ842" s="20" t="str">
        <f>_xlfn.XLOOKUP(CI842, 'Normative data'!$S$9:$S$15, 'Normative data'!$T$9:$T$15, "Not Found", -1)</f>
        <v>not completed</v>
      </c>
      <c r="CK842" s="105"/>
      <c r="CL842" s="105"/>
      <c r="CM842" s="105"/>
      <c r="CN842" s="105"/>
      <c r="CO842" s="105"/>
      <c r="CP842" s="68"/>
      <c r="CQ842" s="67"/>
      <c r="CR842" s="20" t="str" cm="1">
        <f t="array" ref="CR842">IF(OR(ISBLANK(E842),ISBLANK(CQ842)),"Incomplete",_xlfn.XLOOKUP(CQ842,_xlfn.XLOOKUP(E842,'Normative data'!$Y$3:$Y$6,'Normative data'!$Z$3:$AG$6,,-1),'Normative data'!$Z$2:$AG$2,"Not Found",-1))</f>
        <v>Incomplete</v>
      </c>
      <c r="CS842" s="68"/>
      <c r="CT842" s="66"/>
      <c r="CU842" s="20" t="str" cm="1">
        <f t="array" ref="CU842">_xlfn.XLOOKUP(CS842&amp;CT842,(VLOOKUP!$A$3:$A$250)&amp;(VLOOKUP!$B$3:$B$250),VLOOKUP!$C$3:$C$250,"Incomplete",-1)</f>
        <v>Incomplete</v>
      </c>
      <c r="CV842" s="20" t="str" cm="1">
        <f t="array" ref="CV842">_xlfn.XLOOKUP(CU842, _xlfn.XLOOKUP(E842, 'Normative data'!$Y$11:$Y$14, 'Normative data'!$Z$11:$AG$14, ,-1), 'Normative data'!$Z$10:$AG$10, "Not Found", -1)</f>
        <v>Excellent</v>
      </c>
      <c r="CW842" s="20" t="str" cm="1">
        <f t="array" ref="CW842">IF(OR(ISBLANK(CS842),ISBLANK(CT842)),"Incomplete",_xlfn.XLOOKUP(CS842&amp;CT842,VLOOKUP!$A$4:$A$250&amp;VLOOKUP!$B$4:$B$250,VLOOKUP!$D$4:$D$250,"0"))</f>
        <v>Incomplete</v>
      </c>
    </row>
    <row r="843" spans="1:101">
      <c r="A843" s="64" t="s">
        <v>797</v>
      </c>
      <c r="B843" s="64" t="s">
        <v>796</v>
      </c>
      <c r="C843" s="64" t="s">
        <v>86</v>
      </c>
      <c r="D843" s="65">
        <v>40640</v>
      </c>
      <c r="E843" s="64"/>
      <c r="F843" s="64">
        <v>8</v>
      </c>
      <c r="G843" s="64">
        <v>2025</v>
      </c>
      <c r="H843" s="66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6"/>
      <c r="T843" s="66" t="s">
        <v>1522</v>
      </c>
      <c r="U843" s="66">
        <v>62</v>
      </c>
      <c r="V843" s="66"/>
      <c r="W843" s="66"/>
      <c r="X843" s="66"/>
      <c r="Y843" s="66"/>
      <c r="Z843" s="66"/>
      <c r="AA843" s="66"/>
      <c r="AB843" s="66"/>
      <c r="AC843" s="66"/>
      <c r="AD843" s="66"/>
      <c r="AE843" s="66"/>
      <c r="AF843" s="66"/>
      <c r="AG843" s="66"/>
      <c r="AH843" s="66"/>
      <c r="AI843" s="66"/>
      <c r="AJ843" s="66"/>
      <c r="AK843" s="66"/>
      <c r="AL843" s="66"/>
      <c r="AM843" s="66"/>
      <c r="AN843" s="66"/>
      <c r="AO843" s="66"/>
      <c r="AP843" s="66"/>
      <c r="AQ843" s="20"/>
      <c r="AR843" s="20"/>
      <c r="AS843" s="20"/>
      <c r="AT843" s="20"/>
      <c r="AU843" s="20"/>
      <c r="AV843" s="20"/>
      <c r="AW843" s="20"/>
      <c r="AX843" s="20"/>
      <c r="AY843" s="41" t="str">
        <f>IF(OR(ISBLANK(#REF!), ISBLANK(AQ843)), "Incomplete", (60.7*AQ843)+(45.3*#REF!)-2055)</f>
        <v>Incomplete</v>
      </c>
      <c r="AZ843" s="66"/>
      <c r="BA843" s="20" t="str">
        <f>IF(OR(ISBLANK(#REF!), ISBLANK(AS843)), "Incomplete", (60.7*AS843)+(45.3*#REF!)-2055)</f>
        <v>Incomplete</v>
      </c>
      <c r="BB843" s="66"/>
      <c r="BC843" s="20" t="str">
        <f>IF(OR(ISBLANK(#REF!), ISBLANK(AU843)), "Incomplete", (60.7*AU843)+(45.3*#REF!)-2055)</f>
        <v>Incomplete</v>
      </c>
      <c r="BD843" s="66"/>
      <c r="BE843" s="20" t="str">
        <f>IF(OR(ISBLANK(#REF!), ISBLANK(AW843)), "Incomplete", (60.7*AW843)+(45.3*#REF!)-2055)</f>
        <v>Incomplete</v>
      </c>
      <c r="BF843" s="66"/>
      <c r="BG843" s="66">
        <v>17.5</v>
      </c>
      <c r="BH843" s="20">
        <v>17.5</v>
      </c>
      <c r="BI843" s="20" t="e">
        <f>IF(OR(ISBLANK(#REF!), ISBLANK(#REF!)),"Incomplete",(SUM(#REF!-#REF!)))</f>
        <v>#REF!</v>
      </c>
      <c r="BJ843" s="66"/>
      <c r="BK843" s="66"/>
      <c r="BL843" s="66"/>
      <c r="BM843" s="66"/>
      <c r="BN843" s="66"/>
      <c r="BO843" s="66"/>
      <c r="BP843" s="66"/>
      <c r="BQ843" s="66"/>
      <c r="BR843" s="66"/>
      <c r="BS843" s="66"/>
      <c r="BT843" s="66"/>
      <c r="BU843" s="66"/>
      <c r="BV843" s="66"/>
      <c r="BW843" s="91" t="str">
        <f>IFERROR(SUM(BQ843+BR843+BS843)/(3*(#REF!-S843))*100, "Incomplete")</f>
        <v>Incomplete</v>
      </c>
      <c r="BX843" s="91" t="str">
        <f>_xlfn.XLOOKUP(BW843,'Normative data'!$V$3:$V$6,'Normative data'!$W$3:$W$6,"Not Found",-1)</f>
        <v>Very low risk</v>
      </c>
      <c r="BY843" s="91" t="str">
        <f>IFERROR(SUM(BT843+BU843+BV843)/(3*(#REF!-S843))*100, "Incomplete")</f>
        <v>Incomplete</v>
      </c>
      <c r="BZ843" s="91" t="str">
        <f>_xlfn.XLOOKUP(BY843,'Normative data'!$V$3:$V$6,'Normative data'!$W$3:$W$6,"Not Found",-1)</f>
        <v>Very low risk</v>
      </c>
      <c r="CA843" s="66"/>
      <c r="CB843" s="66"/>
      <c r="CC843" s="20"/>
      <c r="CD843" s="66"/>
      <c r="CE843" s="66">
        <v>5</v>
      </c>
      <c r="CF843" s="66"/>
      <c r="CG843" s="20"/>
      <c r="CH843" s="20" t="str">
        <f>_xlfn.XLOOKUP(CG843, 'Normative data'!$S$9:$S$15,'Normative data'!$T$9:$T$15, "Not Found", -1)</f>
        <v>not completed</v>
      </c>
      <c r="CI843" s="20"/>
      <c r="CJ843" s="20" t="str">
        <f>_xlfn.XLOOKUP(CI843, 'Normative data'!$S$9:$S$15, 'Normative data'!$T$9:$T$15, "Not Found", -1)</f>
        <v>not completed</v>
      </c>
      <c r="CK843" s="25">
        <v>2.62</v>
      </c>
      <c r="CL843" s="25">
        <v>3.82</v>
      </c>
      <c r="CM843" s="25"/>
      <c r="CN843" s="25">
        <v>6.9</v>
      </c>
      <c r="CO843" s="25">
        <v>7.25</v>
      </c>
      <c r="CP843" s="111"/>
      <c r="CQ843" s="68"/>
      <c r="CR843" s="20" t="str" cm="1">
        <f t="array" ref="CR843">IF(OR(ISBLANK(E843),ISBLANK(CQ843)),"Incomplete",_xlfn.XLOOKUP(CQ843,_xlfn.XLOOKUP(E843,'Normative data'!$Y$3:$Y$6,'Normative data'!$Z$3:$AG$6,,-1),'Normative data'!$Z$2:$AG$2,"Not Found",-1))</f>
        <v>Incomplete</v>
      </c>
      <c r="CS843" s="68"/>
      <c r="CT843" s="66"/>
      <c r="CU843" s="20" t="str" cm="1">
        <f t="array" ref="CU843">_xlfn.XLOOKUP(CS843&amp;CT843,(VLOOKUP!$A$3:$A$250)&amp;(VLOOKUP!$B$3:$B$250),VLOOKUP!$C$3:$C$250,"Incomplete",-1)</f>
        <v>Incomplete</v>
      </c>
      <c r="CV843" s="20" t="str" cm="1">
        <f t="array" ref="CV843">_xlfn.XLOOKUP(CU843, _xlfn.XLOOKUP(E843, 'Normative data'!$Y$11:$Y$14, 'Normative data'!$Z$11:$AG$14, ,-1), 'Normative data'!$Z$10:$AG$10, "Not Found", -1)</f>
        <v>Excellent</v>
      </c>
      <c r="CW843" s="20" t="str" cm="1">
        <f t="array" ref="CW843">IF(OR(ISBLANK(CS843),ISBLANK(CT843)),"Incomplete",_xlfn.XLOOKUP(CS843&amp;CT843,VLOOKUP!$A$4:$A$250&amp;VLOOKUP!$B$4:$B$250,VLOOKUP!$D$4:$D$250,"0"))</f>
        <v>Incomplete</v>
      </c>
    </row>
    <row r="844" spans="1:101">
      <c r="A844" s="64" t="s">
        <v>1523</v>
      </c>
      <c r="B844" s="64" t="s">
        <v>796</v>
      </c>
      <c r="C844" s="64" t="s">
        <v>86</v>
      </c>
      <c r="D844" s="65">
        <v>40640</v>
      </c>
      <c r="E844" s="64"/>
      <c r="F844" s="64">
        <v>8</v>
      </c>
      <c r="G844" s="64">
        <v>2025</v>
      </c>
      <c r="H844" s="66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6"/>
      <c r="T844" s="66" t="s">
        <v>1524</v>
      </c>
      <c r="U844" s="66" t="s">
        <v>1525</v>
      </c>
      <c r="V844" s="66"/>
      <c r="W844" s="66"/>
      <c r="X844" s="66"/>
      <c r="Y844" s="66"/>
      <c r="Z844" s="66"/>
      <c r="AA844" s="66"/>
      <c r="AB844" s="66"/>
      <c r="AC844" s="66"/>
      <c r="AD844" s="66"/>
      <c r="AE844" s="66"/>
      <c r="AF844" s="66"/>
      <c r="AG844" s="66"/>
      <c r="AH844" s="66"/>
      <c r="AI844" s="66"/>
      <c r="AJ844" s="66"/>
      <c r="AK844" s="66"/>
      <c r="AL844" s="66"/>
      <c r="AM844" s="66"/>
      <c r="AN844" s="66"/>
      <c r="AO844" s="66"/>
      <c r="AP844" s="66"/>
      <c r="AQ844" s="66"/>
      <c r="AR844" s="66"/>
      <c r="AS844" s="66"/>
      <c r="AT844" s="66"/>
      <c r="AU844" s="66"/>
      <c r="AV844" s="66"/>
      <c r="AW844" s="66"/>
      <c r="AX844" s="66"/>
      <c r="AY844" s="41" t="str">
        <f>IF(OR(ISBLANK(#REF!), ISBLANK(AQ844)), "Incomplete", (60.7*AQ844)+(45.3*#REF!)-2055)</f>
        <v>Incomplete</v>
      </c>
      <c r="AZ844" s="66"/>
      <c r="BA844" s="20" t="str">
        <f>IF(OR(ISBLANK(#REF!), ISBLANK(AS844)), "Incomplete", (60.7*AS844)+(45.3*#REF!)-2055)</f>
        <v>Incomplete</v>
      </c>
      <c r="BB844" s="66"/>
      <c r="BC844" s="20" t="str">
        <f>IF(OR(ISBLANK(#REF!), ISBLANK(AU844)), "Incomplete", (60.7*AU844)+(45.3*#REF!)-2055)</f>
        <v>Incomplete</v>
      </c>
      <c r="BD844" s="66"/>
      <c r="BE844" s="20" t="str">
        <f>IF(OR(ISBLANK(#REF!), ISBLANK(AW844)), "Incomplete", (60.7*AW844)+(45.3*#REF!)-2055)</f>
        <v>Incomplete</v>
      </c>
      <c r="BF844" s="66"/>
      <c r="BG844" s="66"/>
      <c r="BH844" s="66"/>
      <c r="BI844" s="20" t="str">
        <f>IF(OR(ISBLANK(BG844), ISBLANK(BH844)),"Incomplete",(SUM(BH844-BG844)))</f>
        <v>Incomplete</v>
      </c>
      <c r="BJ844" s="66"/>
      <c r="BK844" s="66"/>
      <c r="BL844" s="66"/>
      <c r="BM844" s="66"/>
      <c r="BN844" s="66"/>
      <c r="BO844" s="66"/>
      <c r="BP844" s="66"/>
      <c r="BQ844" s="66"/>
      <c r="BR844" s="66"/>
      <c r="BS844" s="66"/>
      <c r="BT844" s="66"/>
      <c r="BU844" s="66"/>
      <c r="BV844" s="66"/>
      <c r="BW844" s="91" t="str">
        <f>IFERROR(SUM(BQ844+BR844+BS844)/(3*(#REF!-S844))*100, "Incomplete")</f>
        <v>Incomplete</v>
      </c>
      <c r="BX844" s="91" t="str">
        <f>_xlfn.XLOOKUP(BW844,'Normative data'!$V$3:$V$6,'Normative data'!$W$3:$W$6,"Not Found",-1)</f>
        <v>Very low risk</v>
      </c>
      <c r="BY844" s="91" t="str">
        <f>IFERROR(SUM(BT844+BU844+BV844)/(3*(#REF!-S844))*100, "Incomplete")</f>
        <v>Incomplete</v>
      </c>
      <c r="BZ844" s="91" t="str">
        <f>_xlfn.XLOOKUP(BY844,'Normative data'!$V$3:$V$6,'Normative data'!$W$3:$W$6,"Not Found",-1)</f>
        <v>Very low risk</v>
      </c>
      <c r="CA844" s="66"/>
      <c r="CB844" s="66"/>
      <c r="CC844" s="20"/>
      <c r="CD844" s="66"/>
      <c r="CE844" s="66"/>
      <c r="CF844" s="66"/>
      <c r="CG844" s="20"/>
      <c r="CH844" s="20" t="str">
        <f>_xlfn.XLOOKUP(CG844, 'Normative data'!$S$9:$S$15,'Normative data'!$T$9:$T$15, "Not Found", -1)</f>
        <v>not completed</v>
      </c>
      <c r="CI844" s="20"/>
      <c r="CJ844" s="20" t="str">
        <f>_xlfn.XLOOKUP(CI844, 'Normative data'!$S$9:$S$15, 'Normative data'!$T$9:$T$15, "Not Found", -1)</f>
        <v>not completed</v>
      </c>
      <c r="CK844" s="20" t="s">
        <v>858</v>
      </c>
      <c r="CL844" s="20" t="s">
        <v>920</v>
      </c>
      <c r="CN844" s="20" t="s">
        <v>1526</v>
      </c>
      <c r="CO844" s="20" t="s">
        <v>1527</v>
      </c>
      <c r="CP844" s="68"/>
      <c r="CQ844" s="68"/>
      <c r="CR844" s="20" t="str" cm="1">
        <f t="array" ref="CR844">IF(OR(ISBLANK(E844),ISBLANK(CQ844)),"Incomplete",_xlfn.XLOOKUP(CQ844,_xlfn.XLOOKUP(E844,'Normative data'!$Y$3:$Y$6,'Normative data'!$Z$3:$AG$6,,-1),'Normative data'!$Z$2:$AG$2,"Not Found",-1))</f>
        <v>Incomplete</v>
      </c>
      <c r="CS844" s="68"/>
      <c r="CT844" s="66"/>
      <c r="CU844" s="20" t="str" cm="1">
        <f t="array" ref="CU844">_xlfn.XLOOKUP(CS844&amp;CT844,(VLOOKUP!$A$3:$A$250)&amp;(VLOOKUP!$B$3:$B$250),VLOOKUP!$C$3:$C$250,"Incomplete",-1)</f>
        <v>Incomplete</v>
      </c>
      <c r="CV844" s="20" t="str" cm="1">
        <f t="array" ref="CV844">_xlfn.XLOOKUP(CU844, _xlfn.XLOOKUP(E844, 'Normative data'!$Y$11:$Y$14, 'Normative data'!$Z$11:$AG$14, ,-1), 'Normative data'!$Z$10:$AG$10, "Not Found", -1)</f>
        <v>Excellent</v>
      </c>
      <c r="CW844" s="20" t="str" cm="1">
        <f t="array" ref="CW844">IF(OR(ISBLANK(CS844),ISBLANK(CT844)),"Incomplete",_xlfn.XLOOKUP(CS844&amp;CT844,VLOOKUP!$A$4:$A$250&amp;VLOOKUP!$B$4:$B$250,VLOOKUP!$D$4:$D$250,"0"))</f>
        <v>Incomplete</v>
      </c>
    </row>
    <row r="845" spans="1:101">
      <c r="A845" s="64" t="s">
        <v>1528</v>
      </c>
      <c r="B845" s="64" t="s">
        <v>1529</v>
      </c>
      <c r="C845" s="64" t="s">
        <v>86</v>
      </c>
      <c r="D845" s="65"/>
      <c r="E845" s="64"/>
      <c r="F845" s="64"/>
      <c r="G845" s="64">
        <v>2025</v>
      </c>
      <c r="H845" s="66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6"/>
      <c r="T845" s="66" t="s">
        <v>870</v>
      </c>
      <c r="U845" s="66">
        <v>52</v>
      </c>
      <c r="V845" s="66"/>
      <c r="W845" s="66"/>
      <c r="X845" s="66"/>
      <c r="Y845" s="66"/>
      <c r="Z845" s="66"/>
      <c r="AA845" s="66"/>
      <c r="AB845" s="66"/>
      <c r="AC845" s="66"/>
      <c r="AD845" s="66"/>
      <c r="AE845" s="66"/>
      <c r="AF845" s="66"/>
      <c r="AG845" s="66"/>
      <c r="AH845" s="66"/>
      <c r="AI845" s="66"/>
      <c r="AJ845" s="66"/>
      <c r="AK845" s="66"/>
      <c r="AL845" s="66"/>
      <c r="AM845" s="66"/>
      <c r="AN845" s="66"/>
      <c r="AO845" s="66"/>
      <c r="AP845" s="66"/>
      <c r="AQ845" s="66"/>
      <c r="AR845" s="66"/>
      <c r="AS845" s="66"/>
      <c r="AT845" s="66"/>
      <c r="AU845" s="66"/>
      <c r="AV845" s="66"/>
      <c r="AW845" s="66"/>
      <c r="AX845" s="66"/>
      <c r="AY845" s="41" t="str">
        <f>IF(OR(ISBLANK(U845), ISBLANK(AQ845)), "Incomplete", (60.7*AQ845)+(45.3*U845)-2055)</f>
        <v>Incomplete</v>
      </c>
      <c r="AZ845" s="66"/>
      <c r="BA845" s="20" t="str">
        <f>IF(OR(ISBLANK(U845), ISBLANK(AS845)), "Incomplete", (60.7*AS845)+(45.3*U845)-2055)</f>
        <v>Incomplete</v>
      </c>
      <c r="BB845" s="66"/>
      <c r="BC845" s="20" t="str">
        <f>IF(OR(ISBLANK(U845), ISBLANK(AU845)), "Incomplete", (60.7*AU845)+(45.3*U845)-2055)</f>
        <v>Incomplete</v>
      </c>
      <c r="BD845" s="66"/>
      <c r="BE845" s="20" t="str">
        <f>IF(OR(ISBLANK(U845), ISBLANK(AW845)), "Incomplete", (60.7*AW845)+(45.3*U845)-2055)</f>
        <v>Incomplete</v>
      </c>
      <c r="BF845" s="66"/>
      <c r="BG845" s="66"/>
      <c r="BH845" s="66"/>
      <c r="BI845" s="20" t="str">
        <f>IF(OR(ISBLANK(BG845), ISBLANK(BH845)),"Incomplete",(SUM(BH845-BG845)))</f>
        <v>Incomplete</v>
      </c>
      <c r="BJ845" s="66"/>
      <c r="BK845" s="66"/>
      <c r="BL845" s="66"/>
      <c r="BM845" s="66"/>
      <c r="BN845" s="66"/>
      <c r="BO845" s="66"/>
      <c r="BP845" s="66"/>
      <c r="BQ845" s="66"/>
      <c r="BR845" s="66"/>
      <c r="BS845" s="66"/>
      <c r="BT845" s="66"/>
      <c r="BU845" s="66"/>
      <c r="BV845" s="66"/>
      <c r="BW845" s="91" t="str">
        <f t="shared" ref="BW845:BW877" si="264">IFERROR(SUM(BQ845+BR845+BS845)/(3*(T845-S845))*100, "Incomplete")</f>
        <v>Incomplete</v>
      </c>
      <c r="BX845" s="91" t="str">
        <f>_xlfn.XLOOKUP(BW845,'Normative data'!$V$3:$V$6,'Normative data'!$W$3:$W$6,"Not Found",-1)</f>
        <v>Very low risk</v>
      </c>
      <c r="BY845" s="91" t="str">
        <f t="shared" ref="BY845:BY877" si="265">IFERROR(SUM(BT845+BU845+BV845)/(3*(T845-S845))*100, "Incomplete")</f>
        <v>Incomplete</v>
      </c>
      <c r="BZ845" s="91" t="str">
        <f>_xlfn.XLOOKUP(BY845,'Normative data'!$V$3:$V$6,'Normative data'!$W$3:$W$6,"Not Found",-1)</f>
        <v>Very low risk</v>
      </c>
      <c r="CA845" s="66"/>
      <c r="CB845" s="66"/>
      <c r="CC845" s="20"/>
      <c r="CD845" s="66"/>
      <c r="CE845" s="66"/>
      <c r="CF845" s="66"/>
      <c r="CG845" s="66"/>
      <c r="CH845" s="20" t="str">
        <f>_xlfn.XLOOKUP(CG845, 'Normative data'!$S$9:$S$15,'Normative data'!$T$9:$T$15, "Not Found", -1)</f>
        <v>not completed</v>
      </c>
      <c r="CI845" s="66"/>
      <c r="CJ845" s="20" t="str">
        <f>_xlfn.XLOOKUP(CI845, 'Normative data'!$S$9:$S$15, 'Normative data'!$T$9:$T$15, "Not Found", -1)</f>
        <v>not completed</v>
      </c>
      <c r="CK845" s="105"/>
      <c r="CL845" s="105"/>
      <c r="CM845" s="105"/>
      <c r="CN845" s="105"/>
      <c r="CO845" s="105"/>
      <c r="CP845" s="68"/>
      <c r="CQ845" s="68"/>
      <c r="CR845" s="20" t="str" cm="1">
        <f t="array" ref="CR845">IF(OR(ISBLANK(E845),ISBLANK(CQ845)),"Incomplete",_xlfn.XLOOKUP(CQ845,_xlfn.XLOOKUP(E845,'Normative data'!$Y$3:$Y$6,'Normative data'!$Z$3:$AG$6,,-1),'Normative data'!$Z$2:$AG$2,"Not Found",-1))</f>
        <v>Incomplete</v>
      </c>
      <c r="CS845" s="68"/>
      <c r="CT845" s="66"/>
      <c r="CU845" s="20" t="str" cm="1">
        <f t="array" ref="CU845">_xlfn.XLOOKUP(CS845&amp;CT845,(VLOOKUP!$A$3:$A$250)&amp;(VLOOKUP!$B$3:$B$250),VLOOKUP!$C$3:$C$250,"Incomplete",-1)</f>
        <v>Incomplete</v>
      </c>
      <c r="CV845" s="20" t="str" cm="1">
        <f t="array" ref="CV845">_xlfn.XLOOKUP(CU845, _xlfn.XLOOKUP(E845, 'Normative data'!$Y$11:$Y$14, 'Normative data'!$Z$11:$AG$14, ,-1), 'Normative data'!$Z$10:$AG$10, "Not Found", -1)</f>
        <v>Excellent</v>
      </c>
      <c r="CW845" s="20" t="str" cm="1">
        <f t="array" ref="CW845">IF(OR(ISBLANK(CS845),ISBLANK(CT845)),"Incomplete",_xlfn.XLOOKUP(CS845&amp;CT845,VLOOKUP!$A$4:$A$250&amp;VLOOKUP!$B$4:$B$250,VLOOKUP!$D$4:$D$250,"0"))</f>
        <v>Incomplete</v>
      </c>
    </row>
    <row r="846" spans="1:101">
      <c r="A846" s="64" t="s">
        <v>1528</v>
      </c>
      <c r="B846" s="64" t="s">
        <v>1529</v>
      </c>
      <c r="C846" s="64" t="s">
        <v>86</v>
      </c>
      <c r="D846" s="65"/>
      <c r="E846" s="64"/>
      <c r="F846" s="64"/>
      <c r="G846" s="64">
        <v>2025</v>
      </c>
      <c r="H846" s="66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6"/>
      <c r="T846" s="66" t="s">
        <v>1530</v>
      </c>
      <c r="U846" s="66" t="s">
        <v>1531</v>
      </c>
      <c r="V846" s="75"/>
      <c r="W846" s="75"/>
      <c r="X846" s="75"/>
      <c r="Y846" s="75"/>
      <c r="Z846" s="75"/>
      <c r="AA846" s="75"/>
      <c r="AB846" s="75"/>
      <c r="AC846" s="75"/>
      <c r="AD846" s="75"/>
      <c r="AE846" s="75"/>
      <c r="AF846" s="75"/>
      <c r="AG846" s="75"/>
      <c r="AH846" s="75"/>
      <c r="AI846" s="75"/>
      <c r="AJ846" s="75"/>
      <c r="AK846" s="75"/>
      <c r="AL846" s="75"/>
      <c r="AM846" s="75"/>
      <c r="AN846" s="75"/>
      <c r="AO846" s="75"/>
      <c r="AP846" s="75"/>
      <c r="AQ846" s="66">
        <v>25.7</v>
      </c>
      <c r="AR846" s="66">
        <v>0.42599999999999999</v>
      </c>
      <c r="AS846" s="66">
        <v>25.7</v>
      </c>
      <c r="AT846" s="66">
        <v>0.45800000000000002</v>
      </c>
      <c r="AU846" s="66">
        <v>11.9</v>
      </c>
      <c r="AV846" s="66">
        <v>0.312</v>
      </c>
      <c r="AW846" s="66">
        <v>12.8</v>
      </c>
      <c r="AX846" s="66">
        <v>0.32300000000000001</v>
      </c>
      <c r="AY846" s="41" t="e">
        <f>IF(OR(ISBLANK(U846), ISBLANK(#REF!)), "Incomplete", (60.7*#REF!)+(45.3*U846)-2055)</f>
        <v>#REF!</v>
      </c>
      <c r="AZ846" s="66"/>
      <c r="BA846" s="20" t="e">
        <f>IF(OR(ISBLANK(U846), ISBLANK(#REF!)), "Incomplete", (60.7*#REF!)+(45.3*U846)-2055)</f>
        <v>#REF!</v>
      </c>
      <c r="BB846" s="66"/>
      <c r="BC846" s="20" t="e">
        <f>IF(OR(ISBLANK(U846), ISBLANK(#REF!)), "Incomplete", (60.7*#REF!)+(45.3*U846)-2055)</f>
        <v>#REF!</v>
      </c>
      <c r="BD846" s="66"/>
      <c r="BE846" s="20" t="e">
        <f>IF(OR(ISBLANK(U846), ISBLANK(#REF!)), "Incomplete", (60.7*#REF!)+(45.3*U846)-2055)</f>
        <v>#REF!</v>
      </c>
      <c r="BF846" s="66"/>
      <c r="BG846" s="66"/>
      <c r="BH846" s="66"/>
      <c r="BI846" s="20" t="str">
        <f>IF(OR(ISBLANK(BG846), ISBLANK(BH846)),"Incomplete",(SUM(BH846-BG846)))</f>
        <v>Incomplete</v>
      </c>
      <c r="BJ846" s="66"/>
      <c r="BK846" s="66">
        <v>6</v>
      </c>
      <c r="BL846" s="66"/>
      <c r="BM846" s="66">
        <v>6</v>
      </c>
      <c r="BN846" s="66"/>
      <c r="BO846" s="66"/>
      <c r="BP846" s="66"/>
      <c r="BQ846" s="66"/>
      <c r="BR846" s="66"/>
      <c r="BS846" s="66"/>
      <c r="BT846" s="66"/>
      <c r="BU846" s="66"/>
      <c r="BV846" s="66"/>
      <c r="BW846" s="91" t="str">
        <f t="shared" si="264"/>
        <v>Incomplete</v>
      </c>
      <c r="BX846" s="91" t="str">
        <f>_xlfn.XLOOKUP(BW846,'Normative data'!$V$3:$V$6,'Normative data'!$W$3:$W$6,"Not Found",-1)</f>
        <v>Very low risk</v>
      </c>
      <c r="BY846" s="91" t="str">
        <f t="shared" si="265"/>
        <v>Incomplete</v>
      </c>
      <c r="BZ846" s="91" t="str">
        <f>_xlfn.XLOOKUP(BY846,'Normative data'!$V$3:$V$6,'Normative data'!$W$3:$W$6,"Not Found",-1)</f>
        <v>Very low risk</v>
      </c>
      <c r="CA846" s="66"/>
      <c r="CB846" s="66"/>
      <c r="CC846" s="66"/>
      <c r="CD846" s="66"/>
      <c r="CE846" s="66"/>
      <c r="CF846" s="66"/>
      <c r="CG846" s="66"/>
      <c r="CH846" s="20" t="str">
        <f>_xlfn.XLOOKUP(CG846, 'Normative data'!$S$9:$S$15,'Normative data'!$T$9:$T$15, "Not Found", -1)</f>
        <v>not completed</v>
      </c>
      <c r="CI846" s="66"/>
      <c r="CJ846" s="20" t="str">
        <f>_xlfn.XLOOKUP(CI846, 'Normative data'!$S$9:$S$15, 'Normative data'!$T$9:$T$15, "Not Found", -1)</f>
        <v>not completed</v>
      </c>
      <c r="CK846" s="21"/>
      <c r="CL846" s="21"/>
      <c r="CM846" s="21"/>
      <c r="CN846" s="21"/>
      <c r="CO846" s="21"/>
      <c r="CP846" s="68"/>
      <c r="CQ846" s="68"/>
      <c r="CR846" s="20" t="str" cm="1">
        <f t="array" ref="CR846">IF(OR(ISBLANK(E846),ISBLANK(CQ846)),"Incomplete",_xlfn.XLOOKUP(CQ846,_xlfn.XLOOKUP(E846,'Normative data'!$Y$3:$Y$6,'Normative data'!$Z$3:$AG$6,,-1),'Normative data'!$Z$2:$AG$2,"Not Found",-1))</f>
        <v>Incomplete</v>
      </c>
      <c r="CS846" s="68"/>
      <c r="CT846" s="66"/>
      <c r="CU846" s="20" t="str" cm="1">
        <f t="array" ref="CU846">_xlfn.XLOOKUP(CS846&amp;CT846,(VLOOKUP!$A$3:$A$250)&amp;(VLOOKUP!$B$3:$B$250),VLOOKUP!$C$3:$C$250,"Incomplete",-1)</f>
        <v>Incomplete</v>
      </c>
      <c r="CV846" s="20" t="str" cm="1">
        <f t="array" ref="CV846">_xlfn.XLOOKUP(CU846, _xlfn.XLOOKUP(E846, 'Normative data'!$Y$11:$Y$14, 'Normative data'!$Z$11:$AG$14, ,-1), 'Normative data'!$Z$10:$AG$10, "Not Found", -1)</f>
        <v>Excellent</v>
      </c>
      <c r="CW846" s="20" t="str" cm="1">
        <f t="array" ref="CW846">IF(OR(ISBLANK(CS846),ISBLANK(CT846)),"Incomplete",_xlfn.XLOOKUP(CS846&amp;CT846,VLOOKUP!$A$4:$A$250&amp;VLOOKUP!$B$4:$B$250,VLOOKUP!$D$4:$D$250,"0"))</f>
        <v>Incomplete</v>
      </c>
    </row>
    <row r="847" spans="1:101">
      <c r="A847" s="94" t="s">
        <v>1528</v>
      </c>
      <c r="B847" s="94" t="s">
        <v>1532</v>
      </c>
      <c r="C847" s="64" t="s">
        <v>86</v>
      </c>
      <c r="D847" s="97">
        <v>40067</v>
      </c>
      <c r="E847" s="64"/>
      <c r="F847" s="64">
        <v>9</v>
      </c>
      <c r="G847" s="64">
        <v>2025</v>
      </c>
      <c r="H847" s="66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6"/>
      <c r="T847" s="66">
        <v>166</v>
      </c>
      <c r="U847" s="68">
        <v>50.7</v>
      </c>
      <c r="V847" s="68"/>
      <c r="W847" s="66">
        <v>9.1999999999999993</v>
      </c>
      <c r="X847" s="66">
        <f>SUM(T847-W847)</f>
        <v>156.80000000000001</v>
      </c>
      <c r="Y847" s="66">
        <v>22.8</v>
      </c>
      <c r="Z847" s="66">
        <v>18.399999999999999</v>
      </c>
      <c r="AA847" s="66">
        <v>18.100000000000001</v>
      </c>
      <c r="AB847" s="66"/>
      <c r="AC847" s="66"/>
      <c r="AD847" s="66"/>
      <c r="AE847" s="66"/>
      <c r="AF847" s="66"/>
      <c r="AG847" s="66"/>
      <c r="AH847" s="66"/>
      <c r="AI847" s="66"/>
      <c r="AJ847" s="66"/>
      <c r="AK847" s="66"/>
      <c r="AL847" s="66"/>
      <c r="AM847" s="66"/>
      <c r="AN847" s="66"/>
      <c r="AO847" s="66"/>
      <c r="AP847" s="66"/>
      <c r="AQ847" s="103"/>
      <c r="AR847" s="66"/>
      <c r="AS847" s="66"/>
      <c r="AT847" s="66"/>
      <c r="AU847" s="66"/>
      <c r="AV847" s="66"/>
      <c r="AW847" s="66"/>
      <c r="AX847" s="66"/>
      <c r="AY847" s="41" t="str">
        <f t="shared" ref="AY847:AY876" si="266">IF(OR(ISBLANK(U847), ISBLANK(AQ847)), "Incomplete", (60.7*AQ847)+(45.3*U847)-2055)</f>
        <v>Incomplete</v>
      </c>
      <c r="AZ847" s="66"/>
      <c r="BA847" s="20" t="str">
        <f t="shared" ref="BA847:BA876" si="267">IF(OR(ISBLANK(U847), ISBLANK(AS847)), "Incomplete", (60.7*AS847)+(45.3*U847)-2055)</f>
        <v>Incomplete</v>
      </c>
      <c r="BB847" s="66"/>
      <c r="BC847" s="20" t="str">
        <f t="shared" ref="BC847:BC876" si="268">IF(OR(ISBLANK(U847), ISBLANK(AU847)), "Incomplete", (60.7*AU847)+(45.3*U847)-2055)</f>
        <v>Incomplete</v>
      </c>
      <c r="BD847" s="66"/>
      <c r="BE847" s="20" t="str">
        <f t="shared" ref="BE847:BE876" si="269">IF(OR(ISBLANK(U847), ISBLANK(AW847)), "Incomplete", (60.7*AW847)+(45.3*U847)-2055)</f>
        <v>Incomplete</v>
      </c>
      <c r="BF847" s="66"/>
      <c r="BG847" s="66">
        <v>14.5</v>
      </c>
      <c r="BH847" s="66">
        <v>36</v>
      </c>
      <c r="BI847" s="20" t="e">
        <f>IF(OR(ISBLANK(#REF!), ISBLANK(#REF!)),"Incomplete",(SUM(#REF!-#REF!)))</f>
        <v>#REF!</v>
      </c>
      <c r="BJ847" s="66"/>
      <c r="BK847" s="66">
        <v>7</v>
      </c>
      <c r="BL847" s="66"/>
      <c r="BM847" s="66">
        <v>6</v>
      </c>
      <c r="BN847" s="66"/>
      <c r="BO847" s="66"/>
      <c r="BP847" s="66"/>
      <c r="BQ847" s="66"/>
      <c r="BR847" s="66"/>
      <c r="BS847" s="66"/>
      <c r="BT847" s="66"/>
      <c r="BU847" s="66"/>
      <c r="BV847" s="66"/>
      <c r="BW847" s="91">
        <f t="shared" si="264"/>
        <v>0</v>
      </c>
      <c r="BX847" s="91" t="str">
        <f>_xlfn.XLOOKUP(BW847,'Normative data'!$V$3:$V$6,'Normative data'!$W$3:$W$6,"Not Found",-1)</f>
        <v>Not completed</v>
      </c>
      <c r="BY847" s="91">
        <f t="shared" si="265"/>
        <v>0</v>
      </c>
      <c r="BZ847" s="91" t="str">
        <f>_xlfn.XLOOKUP(BY847,'Normative data'!$V$3:$V$6,'Normative data'!$W$3:$W$6,"Not Found",-1)</f>
        <v>Not completed</v>
      </c>
      <c r="CA847" s="20"/>
      <c r="CB847" s="66"/>
      <c r="CC847" s="20"/>
      <c r="CD847" s="66"/>
      <c r="CE847" s="66">
        <v>15</v>
      </c>
      <c r="CF847" s="66"/>
      <c r="CG847" s="66"/>
      <c r="CH847" s="20" t="str">
        <f>_xlfn.XLOOKUP(CG847, 'Normative data'!$S$9:$S$15,'Normative data'!$T$9:$T$15, "Not Found", -1)</f>
        <v>not completed</v>
      </c>
      <c r="CI847" s="66"/>
      <c r="CJ847" s="20" t="str">
        <f>_xlfn.XLOOKUP(CI847, 'Normative data'!$S$9:$S$15, 'Normative data'!$T$9:$T$15, "Not Found", -1)</f>
        <v>not completed</v>
      </c>
      <c r="CK847" s="72">
        <v>2.2799999999999998</v>
      </c>
      <c r="CL847" s="72">
        <v>4.3899999999999997</v>
      </c>
      <c r="CM847" s="105"/>
      <c r="CN847" s="72">
        <v>7.06</v>
      </c>
      <c r="CO847" s="72">
        <v>7.08</v>
      </c>
      <c r="CP847" s="110"/>
      <c r="CQ847" s="68"/>
      <c r="CR847" s="20" t="str" cm="1">
        <f t="array" ref="CR847">IF(OR(ISBLANK(E847),ISBLANK(CQ847)),"Incomplete",_xlfn.XLOOKUP(CQ847,_xlfn.XLOOKUP(E847,'Normative data'!$Y$3:$Y$6,'Normative data'!$Z$3:$AG$6,,-1),'Normative data'!$Z$2:$AG$2,"Not Found",-1))</f>
        <v>Incomplete</v>
      </c>
      <c r="CS847" s="68"/>
      <c r="CT847" s="66"/>
      <c r="CU847" s="20" t="str" cm="1">
        <f t="array" ref="CU847">_xlfn.XLOOKUP(CS847&amp;CT847,(VLOOKUP!$A$3:$A$250)&amp;(VLOOKUP!$B$3:$B$250),VLOOKUP!$C$3:$C$250,"Incomplete",-1)</f>
        <v>Incomplete</v>
      </c>
      <c r="CV847" s="20" t="str" cm="1">
        <f t="array" ref="CV847">_xlfn.XLOOKUP(CU847, _xlfn.XLOOKUP(E847, 'Normative data'!$Y$11:$Y$14, 'Normative data'!$Z$11:$AG$14, ,-1), 'Normative data'!$Z$10:$AG$10, "Not Found", -1)</f>
        <v>Excellent</v>
      </c>
      <c r="CW847" s="20" t="str" cm="1">
        <f t="array" ref="CW847">IF(OR(ISBLANK(CS847),ISBLANK(CT847)),"Incomplete",_xlfn.XLOOKUP(CS847&amp;CT847,VLOOKUP!$A$4:$A$250&amp;VLOOKUP!$B$4:$B$250,VLOOKUP!$D$4:$D$250,"0"))</f>
        <v>Incomplete</v>
      </c>
    </row>
    <row r="848" spans="1:101">
      <c r="A848" s="93" t="s">
        <v>917</v>
      </c>
      <c r="B848" s="93" t="s">
        <v>1532</v>
      </c>
      <c r="C848" s="64" t="s">
        <v>86</v>
      </c>
      <c r="D848" s="96">
        <v>40735</v>
      </c>
      <c r="E848" s="64"/>
      <c r="F848" s="64">
        <v>8</v>
      </c>
      <c r="G848" s="64">
        <v>2025</v>
      </c>
      <c r="H848" s="66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6"/>
      <c r="T848" s="66"/>
      <c r="U848" s="66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  <c r="AH848" s="61"/>
      <c r="AI848" s="61"/>
      <c r="AJ848" s="61"/>
      <c r="AK848" s="61"/>
      <c r="AL848" s="61"/>
      <c r="AM848" s="61"/>
      <c r="AN848" s="61"/>
      <c r="AO848" s="61"/>
      <c r="AP848" s="61"/>
      <c r="AQ848" s="66"/>
      <c r="AR848" s="66"/>
      <c r="AS848" s="66"/>
      <c r="AT848" s="66"/>
      <c r="AU848" s="66"/>
      <c r="AV848" s="66"/>
      <c r="AW848" s="66"/>
      <c r="AX848" s="66"/>
      <c r="AY848" s="41" t="str">
        <f t="shared" si="266"/>
        <v>Incomplete</v>
      </c>
      <c r="AZ848" s="66"/>
      <c r="BA848" s="20" t="str">
        <f t="shared" si="267"/>
        <v>Incomplete</v>
      </c>
      <c r="BB848" s="66"/>
      <c r="BC848" s="20" t="str">
        <f t="shared" si="268"/>
        <v>Incomplete</v>
      </c>
      <c r="BD848" s="66"/>
      <c r="BE848" s="20" t="str">
        <f t="shared" si="269"/>
        <v>Incomplete</v>
      </c>
      <c r="BF848" s="66"/>
      <c r="BG848" s="66">
        <v>7</v>
      </c>
      <c r="BH848" s="66">
        <v>20</v>
      </c>
      <c r="BI848" s="20" t="e">
        <f>IF(OR(ISBLANK(#REF!), ISBLANK(#REF!)),"Incomplete",(SUM(#REF!-#REF!)))</f>
        <v>#REF!</v>
      </c>
      <c r="BJ848" s="66"/>
      <c r="BK848" s="66"/>
      <c r="BL848" s="66"/>
      <c r="BM848" s="66"/>
      <c r="BN848" s="66"/>
      <c r="BO848" s="66"/>
      <c r="BP848" s="66"/>
      <c r="BQ848" s="66"/>
      <c r="BR848" s="66"/>
      <c r="BS848" s="66"/>
      <c r="BT848" s="66"/>
      <c r="BU848" s="66"/>
      <c r="BV848" s="66"/>
      <c r="BW848" s="91" t="str">
        <f t="shared" si="264"/>
        <v>Incomplete</v>
      </c>
      <c r="BX848" s="91" t="str">
        <f>_xlfn.XLOOKUP(BW848,'Normative data'!$V$3:$V$6,'Normative data'!$W$3:$W$6,"Not Found",-1)</f>
        <v>Very low risk</v>
      </c>
      <c r="BY848" s="91" t="str">
        <f t="shared" si="265"/>
        <v>Incomplete</v>
      </c>
      <c r="BZ848" s="91" t="str">
        <f>_xlfn.XLOOKUP(BY848,'Normative data'!$V$3:$V$6,'Normative data'!$W$3:$W$6,"Not Found",-1)</f>
        <v>Very low risk</v>
      </c>
      <c r="CA848" s="66"/>
      <c r="CB848" s="66"/>
      <c r="CC848" s="66"/>
      <c r="CD848" s="66"/>
      <c r="CE848" s="66"/>
      <c r="CF848" s="66"/>
      <c r="CG848" s="20"/>
      <c r="CH848" s="20" t="str">
        <f>_xlfn.XLOOKUP(CG848, 'Normative data'!$S$9:$S$15,'Normative data'!$T$9:$T$15, "Not Found", -1)</f>
        <v>not completed</v>
      </c>
      <c r="CI848" s="20"/>
      <c r="CJ848" s="20" t="str">
        <f>_xlfn.XLOOKUP(CI848, 'Normative data'!$S$9:$S$15, 'Normative data'!$T$9:$T$15, "Not Found", -1)</f>
        <v>not completed</v>
      </c>
      <c r="CK848" s="66" t="s">
        <v>289</v>
      </c>
      <c r="CL848" s="66" t="s">
        <v>825</v>
      </c>
      <c r="CM848" s="105"/>
      <c r="CN848" s="66" t="s">
        <v>420</v>
      </c>
      <c r="CO848" s="66" t="s">
        <v>1533</v>
      </c>
      <c r="CP848" s="109"/>
      <c r="CQ848" s="68"/>
      <c r="CR848" s="20" t="str" cm="1">
        <f t="array" ref="CR848">IF(OR(ISBLANK(E848),ISBLANK(CQ848)),"Incomplete",_xlfn.XLOOKUP(CQ848,_xlfn.XLOOKUP(E848,'Normative data'!$Y$3:$Y$6,'Normative data'!$Z$3:$AG$6,,-1),'Normative data'!$Z$2:$AG$2,"Not Found",-1))</f>
        <v>Incomplete</v>
      </c>
      <c r="CS848" s="68"/>
      <c r="CT848" s="66"/>
      <c r="CU848" s="20" t="str" cm="1">
        <f t="array" ref="CU848">_xlfn.XLOOKUP(CS848&amp;CT848,(VLOOKUP!$A$3:$A$250)&amp;(VLOOKUP!$B$3:$B$250),VLOOKUP!$C$3:$C$250,"Incomplete",-1)</f>
        <v>Incomplete</v>
      </c>
      <c r="CV848" s="20" t="str" cm="1">
        <f t="array" ref="CV848">_xlfn.XLOOKUP(CU848, _xlfn.XLOOKUP(E848, 'Normative data'!$Y$11:$Y$14, 'Normative data'!$Z$11:$AG$14, ,-1), 'Normative data'!$Z$10:$AG$10, "Not Found", -1)</f>
        <v>Excellent</v>
      </c>
      <c r="CW848" s="20" t="str" cm="1">
        <f t="array" ref="CW848">IF(OR(ISBLANK(CS848),ISBLANK(CT848)),"Incomplete",_xlfn.XLOOKUP(CS848&amp;CT848,VLOOKUP!$A$4:$A$250&amp;VLOOKUP!$B$4:$B$250,VLOOKUP!$D$4:$D$250,"0"))</f>
        <v>Incomplete</v>
      </c>
    </row>
    <row r="849" spans="1:101">
      <c r="A849" s="93" t="s">
        <v>917</v>
      </c>
      <c r="B849" s="93" t="s">
        <v>1532</v>
      </c>
      <c r="C849" s="64" t="s">
        <v>86</v>
      </c>
      <c r="D849" s="96">
        <v>40735</v>
      </c>
      <c r="E849" s="64"/>
      <c r="F849" s="64">
        <v>8</v>
      </c>
      <c r="G849" s="64">
        <v>2025</v>
      </c>
      <c r="H849" s="66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  <c r="AD849" s="66"/>
      <c r="AE849" s="66"/>
      <c r="AF849" s="66"/>
      <c r="AG849" s="66"/>
      <c r="AH849" s="66"/>
      <c r="AI849" s="66"/>
      <c r="AJ849" s="66"/>
      <c r="AK849" s="66"/>
      <c r="AL849" s="66"/>
      <c r="AM849" s="66"/>
      <c r="AN849" s="66"/>
      <c r="AO849" s="66"/>
      <c r="AP849" s="66"/>
      <c r="AQ849" s="20"/>
      <c r="AR849" s="20"/>
      <c r="AS849" s="20"/>
      <c r="AT849" s="20"/>
      <c r="AU849" s="20"/>
      <c r="AV849" s="20"/>
      <c r="AW849" s="20"/>
      <c r="AX849" s="20"/>
      <c r="AY849" s="41" t="str">
        <f t="shared" si="266"/>
        <v>Incomplete</v>
      </c>
      <c r="AZ849" s="66"/>
      <c r="BA849" s="20" t="str">
        <f t="shared" si="267"/>
        <v>Incomplete</v>
      </c>
      <c r="BB849" s="66"/>
      <c r="BC849" s="20" t="str">
        <f t="shared" si="268"/>
        <v>Incomplete</v>
      </c>
      <c r="BD849" s="66"/>
      <c r="BE849" s="20" t="str">
        <f t="shared" si="269"/>
        <v>Incomplete</v>
      </c>
      <c r="BF849" s="66"/>
      <c r="BG849" s="66"/>
      <c r="BH849" s="66"/>
      <c r="BI849" s="20" t="str">
        <f>IF(OR(ISBLANK(BG849), ISBLANK(BH849)),"Incomplete",(SUM(BH849-BG849)))</f>
        <v>Incomplete</v>
      </c>
      <c r="BJ849" s="66"/>
      <c r="BK849" s="66"/>
      <c r="BL849" s="66"/>
      <c r="BM849" s="66"/>
      <c r="BN849" s="66"/>
      <c r="BO849" s="66"/>
      <c r="BP849" s="66"/>
      <c r="BQ849" s="66"/>
      <c r="BR849" s="66"/>
      <c r="BS849" s="66"/>
      <c r="BT849" s="66"/>
      <c r="BU849" s="66"/>
      <c r="BV849" s="66"/>
      <c r="BW849" s="91" t="str">
        <f t="shared" si="264"/>
        <v>Incomplete</v>
      </c>
      <c r="BX849" s="91" t="str">
        <f>_xlfn.XLOOKUP(BW849,'Normative data'!$V$3:$V$6,'Normative data'!$W$3:$W$6,"Not Found",-1)</f>
        <v>Very low risk</v>
      </c>
      <c r="BY849" s="91" t="str">
        <f t="shared" si="265"/>
        <v>Incomplete</v>
      </c>
      <c r="BZ849" s="91" t="str">
        <f>_xlfn.XLOOKUP(BY849,'Normative data'!$V$3:$V$6,'Normative data'!$W$3:$W$6,"Not Found",-1)</f>
        <v>Very low risk</v>
      </c>
      <c r="CA849" s="66"/>
      <c r="CB849" s="66"/>
      <c r="CC849" s="66"/>
      <c r="CD849" s="66"/>
      <c r="CE849" s="66">
        <v>5</v>
      </c>
      <c r="CF849" s="66"/>
      <c r="CG849" s="20"/>
      <c r="CH849" s="20" t="str">
        <f>_xlfn.XLOOKUP(CG849, 'Normative data'!$S$9:$S$15,'Normative data'!$T$9:$T$15, "Not Found", -1)</f>
        <v>not completed</v>
      </c>
      <c r="CI849" s="20"/>
      <c r="CJ849" s="20" t="str">
        <f>_xlfn.XLOOKUP(CI849, 'Normative data'!$S$9:$S$15, 'Normative data'!$T$9:$T$15, "Not Found", -1)</f>
        <v>not completed</v>
      </c>
      <c r="CK849" s="21">
        <v>2.27</v>
      </c>
      <c r="CL849" s="21">
        <v>4.41</v>
      </c>
      <c r="CM849" s="21"/>
      <c r="CN849" s="21">
        <v>6.6</v>
      </c>
      <c r="CO849" s="21">
        <v>7.58</v>
      </c>
      <c r="CP849" s="109"/>
      <c r="CQ849" s="68"/>
      <c r="CR849" s="20" t="str" cm="1">
        <f t="array" ref="CR849">IF(OR(ISBLANK(E849),ISBLANK(CQ849)),"Incomplete",_xlfn.XLOOKUP(CQ849,_xlfn.XLOOKUP(E849,'Normative data'!$Y$3:$Y$6,'Normative data'!$Z$3:$AG$6,,-1),'Normative data'!$Z$2:$AG$2,"Not Found",-1))</f>
        <v>Incomplete</v>
      </c>
      <c r="CS849" s="68"/>
      <c r="CT849" s="66"/>
      <c r="CU849" s="20" t="str" cm="1">
        <f t="array" ref="CU849">_xlfn.XLOOKUP(CS849&amp;CT849,(VLOOKUP!$A$3:$A$250)&amp;(VLOOKUP!$B$3:$B$250),VLOOKUP!$C$3:$C$250,"Incomplete",-1)</f>
        <v>Incomplete</v>
      </c>
      <c r="CV849" s="20" t="str" cm="1">
        <f t="array" ref="CV849">_xlfn.XLOOKUP(CU849, _xlfn.XLOOKUP(E849, 'Normative data'!$Y$11:$Y$14, 'Normative data'!$Z$11:$AG$14, ,-1), 'Normative data'!$Z$10:$AG$10, "Not Found", -1)</f>
        <v>Excellent</v>
      </c>
      <c r="CW849" s="20" t="str" cm="1">
        <f t="array" ref="CW849">IF(OR(ISBLANK(CS849),ISBLANK(CT849)),"Incomplete",_xlfn.XLOOKUP(CS849&amp;CT849,VLOOKUP!$A$4:$A$250&amp;VLOOKUP!$B$4:$B$250,VLOOKUP!$D$4:$D$250,"0"))</f>
        <v>Incomplete</v>
      </c>
    </row>
    <row r="850" spans="1:101">
      <c r="A850" s="93" t="s">
        <v>1237</v>
      </c>
      <c r="B850" s="93" t="s">
        <v>1238</v>
      </c>
      <c r="C850" s="64" t="s">
        <v>86</v>
      </c>
      <c r="D850" s="96">
        <v>40301</v>
      </c>
      <c r="E850" s="64"/>
      <c r="F850" s="64">
        <v>9</v>
      </c>
      <c r="G850" s="64">
        <v>2025</v>
      </c>
      <c r="H850" s="66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  <c r="AD850" s="66"/>
      <c r="AE850" s="66"/>
      <c r="AF850" s="66"/>
      <c r="AG850" s="66"/>
      <c r="AH850" s="66"/>
      <c r="AI850" s="66"/>
      <c r="AJ850" s="66"/>
      <c r="AK850" s="66"/>
      <c r="AL850" s="66"/>
      <c r="AM850" s="66"/>
      <c r="AN850" s="66"/>
      <c r="AO850" s="66"/>
      <c r="AP850" s="66"/>
      <c r="AQ850" s="66"/>
      <c r="AR850" s="66"/>
      <c r="AS850" s="66"/>
      <c r="AT850" s="66"/>
      <c r="AU850" s="66"/>
      <c r="AV850" s="66"/>
      <c r="AW850" s="66"/>
      <c r="AX850" s="66"/>
      <c r="AY850" s="41" t="str">
        <f t="shared" si="266"/>
        <v>Incomplete</v>
      </c>
      <c r="AZ850" s="66"/>
      <c r="BA850" s="20" t="str">
        <f t="shared" si="267"/>
        <v>Incomplete</v>
      </c>
      <c r="BB850" s="66"/>
      <c r="BC850" s="20" t="str">
        <f t="shared" si="268"/>
        <v>Incomplete</v>
      </c>
      <c r="BD850" s="66"/>
      <c r="BE850" s="20" t="str">
        <f t="shared" si="269"/>
        <v>Incomplete</v>
      </c>
      <c r="BF850" s="66"/>
      <c r="BG850" s="66"/>
      <c r="BH850" s="66"/>
      <c r="BI850" s="20" t="str">
        <f>IF(OR(ISBLANK(BG850), ISBLANK(BH850)),"Incomplete",(SUM(BH850-BG850)))</f>
        <v>Incomplete</v>
      </c>
      <c r="BJ850" s="66"/>
      <c r="BK850" s="66"/>
      <c r="BL850" s="66"/>
      <c r="BM850" s="66"/>
      <c r="BN850" s="66"/>
      <c r="BO850" s="66"/>
      <c r="BP850" s="66"/>
      <c r="BQ850" s="66"/>
      <c r="BR850" s="66"/>
      <c r="BS850" s="66"/>
      <c r="BT850" s="66"/>
      <c r="BU850" s="66"/>
      <c r="BV850" s="66"/>
      <c r="BW850" s="91" t="str">
        <f t="shared" si="264"/>
        <v>Incomplete</v>
      </c>
      <c r="BX850" s="91" t="str">
        <f>_xlfn.XLOOKUP(BW850,'Normative data'!$V$3:$V$6,'Normative data'!$W$3:$W$6,"Not Found",-1)</f>
        <v>Very low risk</v>
      </c>
      <c r="BY850" s="91" t="str">
        <f t="shared" si="265"/>
        <v>Incomplete</v>
      </c>
      <c r="BZ850" s="91" t="str">
        <f>_xlfn.XLOOKUP(BY850,'Normative data'!$V$3:$V$6,'Normative data'!$W$3:$W$6,"Not Found",-1)</f>
        <v>Very low risk</v>
      </c>
      <c r="CA850" s="66"/>
      <c r="CB850" s="66"/>
      <c r="CC850" s="20"/>
      <c r="CD850" s="66"/>
      <c r="CE850" s="66">
        <v>11</v>
      </c>
      <c r="CF850" s="66"/>
      <c r="CG850" s="66"/>
      <c r="CH850" s="20" t="str">
        <f>_xlfn.XLOOKUP(CG850, 'Normative data'!$S$9:$S$15,'Normative data'!$T$9:$T$15, "Not Found", -1)</f>
        <v>not completed</v>
      </c>
      <c r="CI850" s="66"/>
      <c r="CJ850" s="20" t="str">
        <f>_xlfn.XLOOKUP(CI850, 'Normative data'!$S$9:$S$15, 'Normative data'!$T$9:$T$15, "Not Found", -1)</f>
        <v>not completed</v>
      </c>
      <c r="CK850" s="105">
        <v>2.17</v>
      </c>
      <c r="CL850" s="105">
        <v>4.6100000000000003</v>
      </c>
      <c r="CM850" s="105"/>
      <c r="CN850" s="105">
        <v>6.61</v>
      </c>
      <c r="CO850" s="105">
        <v>7.56</v>
      </c>
      <c r="CP850" s="109"/>
      <c r="CQ850" s="68"/>
      <c r="CR850" s="20" t="str" cm="1">
        <f t="array" ref="CR850">IF(OR(ISBLANK(E850),ISBLANK(CQ850)),"Incomplete",_xlfn.XLOOKUP(CQ850,_xlfn.XLOOKUP(E850,'Normative data'!$Y$3:$Y$6,'Normative data'!$Z$3:$AG$6,,-1),'Normative data'!$Z$2:$AG$2,"Not Found",-1))</f>
        <v>Incomplete</v>
      </c>
      <c r="CS850" s="68"/>
      <c r="CT850" s="66"/>
      <c r="CU850" s="20" t="str" cm="1">
        <f t="array" ref="CU850">_xlfn.XLOOKUP(CS850&amp;CT850,(VLOOKUP!$A$3:$A$250)&amp;(VLOOKUP!$B$3:$B$250),VLOOKUP!$C$3:$C$250,"Incomplete",-1)</f>
        <v>Incomplete</v>
      </c>
      <c r="CV850" s="20" t="str" cm="1">
        <f t="array" ref="CV850">_xlfn.XLOOKUP(CU850, _xlfn.XLOOKUP(E850, 'Normative data'!$Y$11:$Y$14, 'Normative data'!$Z$11:$AG$14, ,-1), 'Normative data'!$Z$10:$AG$10, "Not Found", -1)</f>
        <v>Excellent</v>
      </c>
      <c r="CW850" s="20" t="str" cm="1">
        <f t="array" ref="CW850">IF(OR(ISBLANK(CS850),ISBLANK(CT850)),"Incomplete",_xlfn.XLOOKUP(CS850&amp;CT850,VLOOKUP!$A$4:$A$250&amp;VLOOKUP!$B$4:$B$250,VLOOKUP!$D$4:$D$250,"0"))</f>
        <v>Incomplete</v>
      </c>
    </row>
    <row r="851" spans="1:101">
      <c r="A851" s="64" t="s">
        <v>1237</v>
      </c>
      <c r="B851" s="64" t="s">
        <v>1238</v>
      </c>
      <c r="C851" s="64" t="s">
        <v>86</v>
      </c>
      <c r="D851" s="65"/>
      <c r="E851" s="64"/>
      <c r="F851" s="64">
        <v>9</v>
      </c>
      <c r="G851" s="64">
        <v>2025</v>
      </c>
      <c r="H851" s="66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  <c r="AD851" s="66"/>
      <c r="AE851" s="66"/>
      <c r="AF851" s="66"/>
      <c r="AG851" s="66"/>
      <c r="AH851" s="66"/>
      <c r="AI851" s="66"/>
      <c r="AJ851" s="66"/>
      <c r="AK851" s="66"/>
      <c r="AL851" s="66"/>
      <c r="AM851" s="66"/>
      <c r="AN851" s="66"/>
      <c r="AO851" s="66"/>
      <c r="AP851" s="66"/>
      <c r="AQ851" s="20"/>
      <c r="AR851" s="20"/>
      <c r="AS851" s="20"/>
      <c r="AT851" s="20"/>
      <c r="AU851" s="20"/>
      <c r="AV851" s="20"/>
      <c r="AW851" s="20"/>
      <c r="AX851" s="20"/>
      <c r="AY851" s="41" t="str">
        <f t="shared" si="266"/>
        <v>Incomplete</v>
      </c>
      <c r="AZ851" s="66"/>
      <c r="BA851" s="20" t="str">
        <f t="shared" si="267"/>
        <v>Incomplete</v>
      </c>
      <c r="BB851" s="66"/>
      <c r="BC851" s="20" t="str">
        <f t="shared" si="268"/>
        <v>Incomplete</v>
      </c>
      <c r="BD851" s="66"/>
      <c r="BE851" s="20" t="str">
        <f t="shared" si="269"/>
        <v>Incomplete</v>
      </c>
      <c r="BF851" s="66"/>
      <c r="BG851" s="66"/>
      <c r="BH851" s="66"/>
      <c r="BI851" s="20" t="str">
        <f>IF(OR(ISBLANK(BG851), ISBLANK(BH851)),"Incomplete",(SUM(BH851-BG851)))</f>
        <v>Incomplete</v>
      </c>
      <c r="BJ851" s="66"/>
      <c r="BK851" s="66"/>
      <c r="BL851" s="66"/>
      <c r="BM851" s="66"/>
      <c r="BN851" s="66"/>
      <c r="BO851" s="66"/>
      <c r="BP851" s="66"/>
      <c r="BQ851" s="66"/>
      <c r="BR851" s="66"/>
      <c r="BS851" s="66"/>
      <c r="BT851" s="66"/>
      <c r="BU851" s="66"/>
      <c r="BV851" s="66"/>
      <c r="BW851" s="91" t="str">
        <f t="shared" si="264"/>
        <v>Incomplete</v>
      </c>
      <c r="BX851" s="91" t="str">
        <f>_xlfn.XLOOKUP(BW851,'Normative data'!$V$3:$V$6,'Normative data'!$W$3:$W$6,"Not Found",-1)</f>
        <v>Very low risk</v>
      </c>
      <c r="BY851" s="91" t="str">
        <f t="shared" si="265"/>
        <v>Incomplete</v>
      </c>
      <c r="BZ851" s="91" t="str">
        <f>_xlfn.XLOOKUP(BY851,'Normative data'!$V$3:$V$6,'Normative data'!$W$3:$W$6,"Not Found",-1)</f>
        <v>Very low risk</v>
      </c>
      <c r="CA851" s="66"/>
      <c r="CB851" s="66"/>
      <c r="CC851" s="20"/>
      <c r="CD851" s="66"/>
      <c r="CE851" s="66"/>
      <c r="CF851" s="66"/>
      <c r="CG851" s="20"/>
      <c r="CH851" s="20" t="str">
        <f>_xlfn.XLOOKUP(CG851, 'Normative data'!$S$9:$S$15,'Normative data'!$T$9:$T$15, "Not Found", -1)</f>
        <v>not completed</v>
      </c>
      <c r="CI851" s="20"/>
      <c r="CJ851" s="20" t="str">
        <f>_xlfn.XLOOKUP(CI851, 'Normative data'!$S$9:$S$15, 'Normative data'!$T$9:$T$15, "Not Found", -1)</f>
        <v>not completed</v>
      </c>
      <c r="CK851" s="20" t="s">
        <v>596</v>
      </c>
      <c r="CL851" s="20" t="s">
        <v>597</v>
      </c>
      <c r="CN851" s="20" t="s">
        <v>412</v>
      </c>
      <c r="CO851" s="20" t="s">
        <v>413</v>
      </c>
      <c r="CP851" s="68"/>
      <c r="CQ851" s="68"/>
      <c r="CR851" s="20" t="str" cm="1">
        <f t="array" ref="CR851">IF(OR(ISBLANK(E851),ISBLANK(CQ851)),"Incomplete",_xlfn.XLOOKUP(CQ851,_xlfn.XLOOKUP(E851,'Normative data'!$Y$3:$Y$6,'Normative data'!$Z$3:$AG$6,,-1),'Normative data'!$Z$2:$AG$2,"Not Found",-1))</f>
        <v>Incomplete</v>
      </c>
      <c r="CS851" s="68"/>
      <c r="CT851" s="66"/>
      <c r="CU851" s="20" t="str" cm="1">
        <f t="array" ref="CU851">_xlfn.XLOOKUP(CS851&amp;CT851,(VLOOKUP!$A$3:$A$250)&amp;(VLOOKUP!$B$3:$B$250),VLOOKUP!$C$3:$C$250,"Incomplete",-1)</f>
        <v>Incomplete</v>
      </c>
      <c r="CV851" s="20" t="str" cm="1">
        <f t="array" ref="CV851">_xlfn.XLOOKUP(CU851, _xlfn.XLOOKUP(E851, 'Normative data'!$Y$11:$Y$14, 'Normative data'!$Z$11:$AG$14, ,-1), 'Normative data'!$Z$10:$AG$10, "Not Found", -1)</f>
        <v>Excellent</v>
      </c>
      <c r="CW851" s="20" t="str" cm="1">
        <f t="array" ref="CW851">IF(OR(ISBLANK(CS851),ISBLANK(CT851)),"Incomplete",_xlfn.XLOOKUP(CS851&amp;CT851,VLOOKUP!$A$4:$A$250&amp;VLOOKUP!$B$4:$B$250,VLOOKUP!$D$4:$D$250,"0"))</f>
        <v>Incomplete</v>
      </c>
    </row>
    <row r="852" spans="1:101">
      <c r="A852" s="94" t="s">
        <v>684</v>
      </c>
      <c r="B852" s="94" t="s">
        <v>685</v>
      </c>
      <c r="C852" s="64" t="s">
        <v>86</v>
      </c>
      <c r="D852" s="97">
        <v>40343</v>
      </c>
      <c r="E852" s="64"/>
      <c r="F852" s="64">
        <v>9</v>
      </c>
      <c r="G852" s="64">
        <v>2025</v>
      </c>
      <c r="H852" s="66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  <c r="AD852" s="66"/>
      <c r="AE852" s="66"/>
      <c r="AF852" s="66"/>
      <c r="AG852" s="66"/>
      <c r="AH852" s="66"/>
      <c r="AI852" s="66"/>
      <c r="AJ852" s="66"/>
      <c r="AK852" s="66"/>
      <c r="AL852" s="66"/>
      <c r="AM852" s="66"/>
      <c r="AN852" s="66"/>
      <c r="AO852" s="66"/>
      <c r="AP852" s="66"/>
      <c r="AQ852" s="20"/>
      <c r="AR852" s="20"/>
      <c r="AS852" s="20"/>
      <c r="AT852" s="20"/>
      <c r="AU852" s="20"/>
      <c r="AV852" s="20"/>
      <c r="AW852" s="20"/>
      <c r="AX852" s="20"/>
      <c r="AY852" s="41" t="str">
        <f t="shared" si="266"/>
        <v>Incomplete</v>
      </c>
      <c r="AZ852" s="66"/>
      <c r="BA852" s="20" t="str">
        <f t="shared" si="267"/>
        <v>Incomplete</v>
      </c>
      <c r="BB852" s="66"/>
      <c r="BC852" s="20" t="str">
        <f t="shared" si="268"/>
        <v>Incomplete</v>
      </c>
      <c r="BD852" s="66"/>
      <c r="BE852" s="20" t="str">
        <f t="shared" si="269"/>
        <v>Incomplete</v>
      </c>
      <c r="BF852" s="66"/>
      <c r="BG852" s="66">
        <v>16</v>
      </c>
      <c r="BH852" s="66">
        <v>42</v>
      </c>
      <c r="BI852" s="20" t="e">
        <f>IF(OR(ISBLANK(#REF!), ISBLANK(#REF!)),"Incomplete",(SUM(#REF!-#REF!)))</f>
        <v>#REF!</v>
      </c>
      <c r="BJ852" s="66"/>
      <c r="BK852" s="66"/>
      <c r="BL852" s="66"/>
      <c r="BM852" s="66"/>
      <c r="BN852" s="66"/>
      <c r="BO852" s="66"/>
      <c r="BP852" s="66"/>
      <c r="BQ852" s="66"/>
      <c r="BR852" s="66"/>
      <c r="BS852" s="66"/>
      <c r="BT852" s="66"/>
      <c r="BU852" s="66"/>
      <c r="BV852" s="66"/>
      <c r="BW852" s="91" t="str">
        <f t="shared" si="264"/>
        <v>Incomplete</v>
      </c>
      <c r="BX852" s="91" t="str">
        <f>_xlfn.XLOOKUP(BW852,'Normative data'!$V$3:$V$6,'Normative data'!$W$3:$W$6,"Not Found",-1)</f>
        <v>Very low risk</v>
      </c>
      <c r="BY852" s="91" t="str">
        <f t="shared" si="265"/>
        <v>Incomplete</v>
      </c>
      <c r="BZ852" s="91" t="str">
        <f>_xlfn.XLOOKUP(BY852,'Normative data'!$V$3:$V$6,'Normative data'!$W$3:$W$6,"Not Found",-1)</f>
        <v>Very low risk</v>
      </c>
      <c r="CA852" s="66"/>
      <c r="CB852" s="66"/>
      <c r="CC852" s="66"/>
      <c r="CD852" s="66"/>
      <c r="CE852" s="66">
        <v>4</v>
      </c>
      <c r="CF852" s="66"/>
      <c r="CG852" s="66"/>
      <c r="CH852" s="20" t="str">
        <f>_xlfn.XLOOKUP(CG852, 'Normative data'!$S$9:$S$15,'Normative data'!$T$9:$T$15, "Not Found", -1)</f>
        <v>not completed</v>
      </c>
      <c r="CI852" s="66"/>
      <c r="CJ852" s="20" t="str">
        <f>_xlfn.XLOOKUP(CI852, 'Normative data'!$S$9:$S$15, 'Normative data'!$T$9:$T$15, "Not Found", -1)</f>
        <v>not completed</v>
      </c>
      <c r="CK852" s="106">
        <v>2.41</v>
      </c>
      <c r="CL852" s="106">
        <v>4.1500000000000004</v>
      </c>
      <c r="CM852" s="106"/>
      <c r="CN852" s="106">
        <v>7.95</v>
      </c>
      <c r="CO852" s="106">
        <v>7.29</v>
      </c>
      <c r="CP852" s="110"/>
      <c r="CQ852" s="68"/>
      <c r="CR852" s="20" t="str" cm="1">
        <f t="array" ref="CR852">IF(OR(ISBLANK(E852),ISBLANK(CQ852)),"Incomplete",_xlfn.XLOOKUP(CQ852,_xlfn.XLOOKUP(E852,'Normative data'!$Y$3:$Y$6,'Normative data'!$Z$3:$AG$6,,-1),'Normative data'!$Z$2:$AG$2,"Not Found",-1))</f>
        <v>Incomplete</v>
      </c>
      <c r="CS852" s="68"/>
      <c r="CT852" s="66"/>
      <c r="CU852" s="20" t="str" cm="1">
        <f t="array" ref="CU852">_xlfn.XLOOKUP(CS852&amp;CT852,(VLOOKUP!$A$3:$A$250)&amp;(VLOOKUP!$B$3:$B$250),VLOOKUP!$C$3:$C$250,"Incomplete",-1)</f>
        <v>Incomplete</v>
      </c>
      <c r="CV852" s="20" t="str" cm="1">
        <f t="array" ref="CV852">_xlfn.XLOOKUP(CU852, _xlfn.XLOOKUP(E852, 'Normative data'!$Y$11:$Y$14, 'Normative data'!$Z$11:$AG$14, ,-1), 'Normative data'!$Z$10:$AG$10, "Not Found", -1)</f>
        <v>Excellent</v>
      </c>
      <c r="CW852" s="20" t="str" cm="1">
        <f t="array" ref="CW852">IF(OR(ISBLANK(CS852),ISBLANK(CT852)),"Incomplete",_xlfn.XLOOKUP(CS852&amp;CT852,VLOOKUP!$A$4:$A$250&amp;VLOOKUP!$B$4:$B$250,VLOOKUP!$D$4:$D$250,"0"))</f>
        <v>Incomplete</v>
      </c>
    </row>
    <row r="853" spans="1:101">
      <c r="A853" s="64" t="s">
        <v>684</v>
      </c>
      <c r="B853" s="64" t="s">
        <v>685</v>
      </c>
      <c r="C853" s="64" t="s">
        <v>86</v>
      </c>
      <c r="D853" s="97">
        <v>40343</v>
      </c>
      <c r="E853" s="64"/>
      <c r="F853" s="64">
        <v>9</v>
      </c>
      <c r="G853" s="64">
        <v>2025</v>
      </c>
      <c r="H853" s="66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  <c r="AD853" s="66"/>
      <c r="AE853" s="66"/>
      <c r="AF853" s="66"/>
      <c r="AG853" s="66"/>
      <c r="AH853" s="66"/>
      <c r="AI853" s="66"/>
      <c r="AJ853" s="66"/>
      <c r="AK853" s="66"/>
      <c r="AL853" s="66"/>
      <c r="AM853" s="66"/>
      <c r="AN853" s="66"/>
      <c r="AO853" s="66"/>
      <c r="AP853" s="66"/>
      <c r="AQ853" s="20"/>
      <c r="AR853" s="20"/>
      <c r="AS853" s="20"/>
      <c r="AT853" s="20"/>
      <c r="AU853" s="20"/>
      <c r="AV853" s="20"/>
      <c r="AW853" s="20"/>
      <c r="AX853" s="20"/>
      <c r="AY853" s="41" t="str">
        <f t="shared" si="266"/>
        <v>Incomplete</v>
      </c>
      <c r="AZ853" s="66"/>
      <c r="BA853" s="20" t="str">
        <f t="shared" si="267"/>
        <v>Incomplete</v>
      </c>
      <c r="BB853" s="66"/>
      <c r="BC853" s="20" t="str">
        <f t="shared" si="268"/>
        <v>Incomplete</v>
      </c>
      <c r="BD853" s="66"/>
      <c r="BE853" s="20" t="str">
        <f t="shared" si="269"/>
        <v>Incomplete</v>
      </c>
      <c r="BF853" s="66"/>
      <c r="BG853" s="66"/>
      <c r="BH853" s="66"/>
      <c r="BI853" s="20" t="str">
        <f t="shared" ref="BI853:BI865" si="270">IF(OR(ISBLANK(BG853), ISBLANK(BH853)),"Incomplete",(SUM(BH853-BG853)))</f>
        <v>Incomplete</v>
      </c>
      <c r="BJ853" s="66"/>
      <c r="BK853" s="66"/>
      <c r="BL853" s="66"/>
      <c r="BM853" s="66"/>
      <c r="BN853" s="66"/>
      <c r="BO853" s="66"/>
      <c r="BP853" s="66"/>
      <c r="BQ853" s="66"/>
      <c r="BR853" s="66"/>
      <c r="BS853" s="66"/>
      <c r="BT853" s="66"/>
      <c r="BU853" s="66"/>
      <c r="BV853" s="66"/>
      <c r="BW853" s="91" t="str">
        <f t="shared" si="264"/>
        <v>Incomplete</v>
      </c>
      <c r="BX853" s="91" t="str">
        <f>_xlfn.XLOOKUP(BW853,'Normative data'!$V$3:$V$6,'Normative data'!$W$3:$W$6,"Not Found",-1)</f>
        <v>Very low risk</v>
      </c>
      <c r="BY853" s="91" t="str">
        <f t="shared" si="265"/>
        <v>Incomplete</v>
      </c>
      <c r="BZ853" s="91" t="str">
        <f>_xlfn.XLOOKUP(BY853,'Normative data'!$V$3:$V$6,'Normative data'!$W$3:$W$6,"Not Found",-1)</f>
        <v>Very low risk</v>
      </c>
      <c r="CA853" s="66"/>
      <c r="CB853" s="66"/>
      <c r="CC853" s="20"/>
      <c r="CD853" s="66"/>
      <c r="CE853" s="66"/>
      <c r="CF853" s="66"/>
      <c r="CG853" s="66"/>
      <c r="CH853" s="20" t="str">
        <f>_xlfn.XLOOKUP(CG853, 'Normative data'!$S$9:$S$15,'Normative data'!$T$9:$T$15, "Not Found", -1)</f>
        <v>not completed</v>
      </c>
      <c r="CI853" s="66"/>
      <c r="CJ853" s="20" t="str">
        <f>_xlfn.XLOOKUP(CI853, 'Normative data'!$S$9:$S$15, 'Normative data'!$T$9:$T$15, "Not Found", -1)</f>
        <v>not completed</v>
      </c>
      <c r="CK853" s="66" t="s">
        <v>623</v>
      </c>
      <c r="CL853" s="66" t="s">
        <v>1428</v>
      </c>
      <c r="CM853" s="66"/>
      <c r="CN853" s="66" t="s">
        <v>1534</v>
      </c>
      <c r="CO853" s="66" t="s">
        <v>1535</v>
      </c>
      <c r="CP853" s="68"/>
      <c r="CQ853" s="68"/>
      <c r="CR853" s="20" t="str" cm="1">
        <f t="array" ref="CR853">IF(OR(ISBLANK(E853),ISBLANK(CQ853)),"Incomplete",_xlfn.XLOOKUP(CQ853,_xlfn.XLOOKUP(E853,'Normative data'!$Y$3:$Y$6,'Normative data'!$Z$3:$AG$6,,-1),'Normative data'!$Z$2:$AG$2,"Not Found",-1))</f>
        <v>Incomplete</v>
      </c>
      <c r="CS853" s="68"/>
      <c r="CT853" s="66"/>
      <c r="CU853" s="20" t="str" cm="1">
        <f t="array" ref="CU853">_xlfn.XLOOKUP(CS853&amp;CT853,(VLOOKUP!$A$3:$A$250)&amp;(VLOOKUP!$B$3:$B$250),VLOOKUP!$C$3:$C$250,"Incomplete",-1)</f>
        <v>Incomplete</v>
      </c>
      <c r="CV853" s="20" t="str" cm="1">
        <f t="array" ref="CV853">_xlfn.XLOOKUP(CU853, _xlfn.XLOOKUP(E853, 'Normative data'!$Y$11:$Y$14, 'Normative data'!$Z$11:$AG$14, ,-1), 'Normative data'!$Z$10:$AG$10, "Not Found", -1)</f>
        <v>Excellent</v>
      </c>
      <c r="CW853" s="20" t="str" cm="1">
        <f t="array" ref="CW853">IF(OR(ISBLANK(CS853),ISBLANK(CT853)),"Incomplete",_xlfn.XLOOKUP(CS853&amp;CT853,VLOOKUP!$A$4:$A$250&amp;VLOOKUP!$B$4:$B$250,VLOOKUP!$D$4:$D$250,"0"))</f>
        <v>Incomplete</v>
      </c>
    </row>
    <row r="854" spans="1:101">
      <c r="A854" s="94" t="s">
        <v>390</v>
      </c>
      <c r="B854" s="94" t="s">
        <v>593</v>
      </c>
      <c r="C854" s="64" t="s">
        <v>86</v>
      </c>
      <c r="D854" s="97"/>
      <c r="E854" s="64"/>
      <c r="F854" s="64">
        <v>10</v>
      </c>
      <c r="G854" s="64">
        <v>2025</v>
      </c>
      <c r="H854" s="66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  <c r="AD854" s="66"/>
      <c r="AE854" s="66"/>
      <c r="AF854" s="66"/>
      <c r="AG854" s="66"/>
      <c r="AH854" s="66"/>
      <c r="AI854" s="66"/>
      <c r="AJ854" s="66"/>
      <c r="AK854" s="66"/>
      <c r="AL854" s="66"/>
      <c r="AM854" s="66"/>
      <c r="AN854" s="66"/>
      <c r="AO854" s="66"/>
      <c r="AP854" s="66"/>
      <c r="AQ854" s="20"/>
      <c r="AR854" s="20"/>
      <c r="AS854" s="20"/>
      <c r="AT854" s="20"/>
      <c r="AU854" s="20"/>
      <c r="AV854" s="20"/>
      <c r="AW854" s="20"/>
      <c r="AX854" s="20"/>
      <c r="AY854" s="41" t="str">
        <f t="shared" si="266"/>
        <v>Incomplete</v>
      </c>
      <c r="AZ854" s="66"/>
      <c r="BA854" s="20" t="str">
        <f t="shared" si="267"/>
        <v>Incomplete</v>
      </c>
      <c r="BB854" s="66"/>
      <c r="BC854" s="20" t="str">
        <f t="shared" si="268"/>
        <v>Incomplete</v>
      </c>
      <c r="BD854" s="66"/>
      <c r="BE854" s="20" t="str">
        <f t="shared" si="269"/>
        <v>Incomplete</v>
      </c>
      <c r="BF854" s="66"/>
      <c r="BG854" s="66">
        <v>18.5</v>
      </c>
      <c r="BH854" s="66">
        <v>40.200000000000003</v>
      </c>
      <c r="BI854" s="20">
        <f t="shared" si="270"/>
        <v>21.700000000000003</v>
      </c>
      <c r="BJ854" s="66"/>
      <c r="BK854" s="66">
        <v>5</v>
      </c>
      <c r="BL854" s="66"/>
      <c r="BM854" s="66">
        <v>3</v>
      </c>
      <c r="BN854" s="66"/>
      <c r="BO854" s="66"/>
      <c r="BP854" s="66"/>
      <c r="BQ854" s="66"/>
      <c r="BR854" s="66"/>
      <c r="BS854" s="66"/>
      <c r="BT854" s="66"/>
      <c r="BU854" s="66"/>
      <c r="BV854" s="66"/>
      <c r="BW854" s="91" t="str">
        <f t="shared" si="264"/>
        <v>Incomplete</v>
      </c>
      <c r="BX854" s="91" t="str">
        <f>_xlfn.XLOOKUP(BW854,'Normative data'!$V$3:$V$6,'Normative data'!$W$3:$W$6,"Not Found",-1)</f>
        <v>Very low risk</v>
      </c>
      <c r="BY854" s="91" t="str">
        <f t="shared" si="265"/>
        <v>Incomplete</v>
      </c>
      <c r="BZ854" s="91" t="str">
        <f>_xlfn.XLOOKUP(BY854,'Normative data'!$V$3:$V$6,'Normative data'!$W$3:$W$6,"Not Found",-1)</f>
        <v>Very low risk</v>
      </c>
      <c r="CA854" s="66"/>
      <c r="CB854" s="66"/>
      <c r="CC854" s="20"/>
      <c r="CD854" s="66"/>
      <c r="CE854" s="66">
        <v>10</v>
      </c>
      <c r="CF854" s="66"/>
      <c r="CG854" s="20"/>
      <c r="CH854" s="20" t="str">
        <f>_xlfn.XLOOKUP(CG854, 'Normative data'!$S$9:$S$15,'Normative data'!$T$9:$T$15, "Not Found", -1)</f>
        <v>not completed</v>
      </c>
      <c r="CI854" s="20"/>
      <c r="CJ854" s="20" t="str">
        <f>_xlfn.XLOOKUP(CI854, 'Normative data'!$S$9:$S$15, 'Normative data'!$T$9:$T$15, "Not Found", -1)</f>
        <v>not completed</v>
      </c>
      <c r="CK854" s="106">
        <v>2.2799999999999998</v>
      </c>
      <c r="CL854" s="106">
        <v>4.3899999999999997</v>
      </c>
      <c r="CM854" s="105"/>
      <c r="CN854" s="106">
        <v>7.16</v>
      </c>
      <c r="CO854" s="106">
        <v>6.98</v>
      </c>
      <c r="CP854" s="110"/>
      <c r="CQ854" s="68"/>
      <c r="CR854" s="20" t="str" cm="1">
        <f t="array" ref="CR854">IF(OR(ISBLANK(E854),ISBLANK(CQ854)),"Incomplete",_xlfn.XLOOKUP(CQ854,_xlfn.XLOOKUP(E854,'Normative data'!$Y$3:$Y$6,'Normative data'!$Z$3:$AG$6,,-1),'Normative data'!$Z$2:$AG$2,"Not Found",-1))</f>
        <v>Incomplete</v>
      </c>
      <c r="CS854" s="68"/>
      <c r="CT854" s="66"/>
      <c r="CU854" s="20" t="str" cm="1">
        <f t="array" ref="CU854">_xlfn.XLOOKUP(CS854&amp;CT854,(VLOOKUP!$A$3:$A$250)&amp;(VLOOKUP!$B$3:$B$250),VLOOKUP!$C$3:$C$250,"Incomplete",-1)</f>
        <v>Incomplete</v>
      </c>
      <c r="CV854" s="20" t="str" cm="1">
        <f t="array" ref="CV854">_xlfn.XLOOKUP(CU854, _xlfn.XLOOKUP(E854, 'Normative data'!$Y$11:$Y$14, 'Normative data'!$Z$11:$AG$14, ,-1), 'Normative data'!$Z$10:$AG$10, "Not Found", -1)</f>
        <v>Excellent</v>
      </c>
      <c r="CW854" s="20" t="str" cm="1">
        <f t="array" ref="CW854">IF(OR(ISBLANK(CS854),ISBLANK(CT854)),"Incomplete",_xlfn.XLOOKUP(CS854&amp;CT854,VLOOKUP!$A$4:$A$250&amp;VLOOKUP!$B$4:$B$250,VLOOKUP!$D$4:$D$250,"0"))</f>
        <v>Incomplete</v>
      </c>
    </row>
    <row r="855" spans="1:101">
      <c r="A855" s="64" t="s">
        <v>394</v>
      </c>
      <c r="B855" s="64" t="s">
        <v>593</v>
      </c>
      <c r="C855" s="64" t="s">
        <v>86</v>
      </c>
      <c r="D855" s="65"/>
      <c r="E855" s="64"/>
      <c r="F855" s="64">
        <v>10</v>
      </c>
      <c r="G855" s="64">
        <v>2025</v>
      </c>
      <c r="H855" s="66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  <c r="AD855" s="66"/>
      <c r="AE855" s="66"/>
      <c r="AF855" s="66"/>
      <c r="AG855" s="66"/>
      <c r="AH855" s="66"/>
      <c r="AI855" s="66"/>
      <c r="AJ855" s="66"/>
      <c r="AK855" s="66"/>
      <c r="AL855" s="66"/>
      <c r="AM855" s="66"/>
      <c r="AN855" s="66"/>
      <c r="AO855" s="66"/>
      <c r="AP855" s="66"/>
      <c r="AQ855" s="66"/>
      <c r="AR855" s="66"/>
      <c r="AS855" s="66"/>
      <c r="AT855" s="66"/>
      <c r="AU855" s="66"/>
      <c r="AV855" s="66"/>
      <c r="AW855" s="66"/>
      <c r="AX855" s="66"/>
      <c r="AY855" s="41" t="str">
        <f t="shared" si="266"/>
        <v>Incomplete</v>
      </c>
      <c r="AZ855" s="66"/>
      <c r="BA855" s="20" t="str">
        <f t="shared" si="267"/>
        <v>Incomplete</v>
      </c>
      <c r="BB855" s="66"/>
      <c r="BC855" s="20" t="str">
        <f t="shared" si="268"/>
        <v>Incomplete</v>
      </c>
      <c r="BD855" s="66"/>
      <c r="BE855" s="20" t="str">
        <f t="shared" si="269"/>
        <v>Incomplete</v>
      </c>
      <c r="BF855" s="66"/>
      <c r="BG855" s="66"/>
      <c r="BH855" s="66"/>
      <c r="BI855" s="20" t="str">
        <f t="shared" si="270"/>
        <v>Incomplete</v>
      </c>
      <c r="BJ855" s="66"/>
      <c r="BK855" s="66"/>
      <c r="BL855" s="66"/>
      <c r="BM855" s="66"/>
      <c r="BN855" s="66"/>
      <c r="BO855" s="66"/>
      <c r="BP855" s="66"/>
      <c r="BQ855" s="66"/>
      <c r="BR855" s="66"/>
      <c r="BS855" s="66"/>
      <c r="BT855" s="66"/>
      <c r="BU855" s="66"/>
      <c r="BV855" s="66"/>
      <c r="BW855" s="91" t="str">
        <f t="shared" si="264"/>
        <v>Incomplete</v>
      </c>
      <c r="BX855" s="91" t="str">
        <f>_xlfn.XLOOKUP(BW855,'Normative data'!$V$3:$V$6,'Normative data'!$W$3:$W$6,"Not Found",-1)</f>
        <v>Very low risk</v>
      </c>
      <c r="BY855" s="91" t="str">
        <f t="shared" si="265"/>
        <v>Incomplete</v>
      </c>
      <c r="BZ855" s="91" t="str">
        <f>_xlfn.XLOOKUP(BY855,'Normative data'!$V$3:$V$6,'Normative data'!$W$3:$W$6,"Not Found",-1)</f>
        <v>Very low risk</v>
      </c>
      <c r="CA855" s="66"/>
      <c r="CB855" s="66"/>
      <c r="CC855" s="20"/>
      <c r="CD855" s="66"/>
      <c r="CE855" s="66"/>
      <c r="CF855" s="66"/>
      <c r="CG855" s="66"/>
      <c r="CH855" s="20" t="str">
        <f>_xlfn.XLOOKUP(CG855, 'Normative data'!$S$9:$S$15,'Normative data'!$T$9:$T$15, "Not Found", -1)</f>
        <v>not completed</v>
      </c>
      <c r="CI855" s="66"/>
      <c r="CJ855" s="20" t="str">
        <f>_xlfn.XLOOKUP(CI855, 'Normative data'!$S$9:$S$15, 'Normative data'!$T$9:$T$15, "Not Found", -1)</f>
        <v>not completed</v>
      </c>
      <c r="CK855" s="20" t="s">
        <v>1536</v>
      </c>
      <c r="CL855" s="20" t="s">
        <v>1537</v>
      </c>
      <c r="CN855" s="20" t="s">
        <v>1538</v>
      </c>
      <c r="CO855" s="20" t="s">
        <v>1539</v>
      </c>
      <c r="CP855" s="68"/>
      <c r="CQ855" s="68"/>
      <c r="CR855" s="20" t="str" cm="1">
        <f t="array" ref="CR855">IF(OR(ISBLANK(E855),ISBLANK(CQ855)),"Incomplete",_xlfn.XLOOKUP(CQ855,_xlfn.XLOOKUP(E855,'Normative data'!$Y$3:$Y$6,'Normative data'!$Z$3:$AG$6,,-1),'Normative data'!$Z$2:$AG$2,"Not Found",-1))</f>
        <v>Incomplete</v>
      </c>
      <c r="CS855" s="68"/>
      <c r="CT855" s="66"/>
      <c r="CU855" s="20" t="str" cm="1">
        <f t="array" ref="CU855">_xlfn.XLOOKUP(CS855&amp;CT855,(VLOOKUP!$A$3:$A$250)&amp;(VLOOKUP!$B$3:$B$250),VLOOKUP!$C$3:$C$250,"Incomplete",-1)</f>
        <v>Incomplete</v>
      </c>
      <c r="CV855" s="20" t="str" cm="1">
        <f t="array" ref="CV855">_xlfn.XLOOKUP(CU855, _xlfn.XLOOKUP(E855, 'Normative data'!$Y$11:$Y$14, 'Normative data'!$Z$11:$AG$14, ,-1), 'Normative data'!$Z$10:$AG$10, "Not Found", -1)</f>
        <v>Excellent</v>
      </c>
      <c r="CW855" s="20" t="str" cm="1">
        <f t="array" ref="CW855">IF(OR(ISBLANK(CS855),ISBLANK(CT855)),"Incomplete",_xlfn.XLOOKUP(CS855&amp;CT855,VLOOKUP!$A$4:$A$250&amp;VLOOKUP!$B$4:$B$250,VLOOKUP!$D$4:$D$250,"0"))</f>
        <v>Incomplete</v>
      </c>
    </row>
    <row r="856" spans="1:101">
      <c r="A856" s="94" t="s">
        <v>1540</v>
      </c>
      <c r="B856" s="94" t="s">
        <v>522</v>
      </c>
      <c r="C856" s="64" t="s">
        <v>86</v>
      </c>
      <c r="D856" s="97"/>
      <c r="E856" s="64"/>
      <c r="F856" s="64">
        <v>10</v>
      </c>
      <c r="G856" s="64">
        <v>2025</v>
      </c>
      <c r="H856" s="66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  <c r="AD856" s="66"/>
      <c r="AE856" s="66"/>
      <c r="AF856" s="66"/>
      <c r="AG856" s="66"/>
      <c r="AH856" s="66"/>
      <c r="AI856" s="66"/>
      <c r="AJ856" s="66"/>
      <c r="AK856" s="66"/>
      <c r="AL856" s="66"/>
      <c r="AM856" s="66"/>
      <c r="AN856" s="66"/>
      <c r="AO856" s="66"/>
      <c r="AP856" s="66"/>
      <c r="AQ856" s="20"/>
      <c r="AR856" s="20"/>
      <c r="AS856" s="20"/>
      <c r="AT856" s="20"/>
      <c r="AU856" s="20"/>
      <c r="AV856" s="20"/>
      <c r="AW856" s="20"/>
      <c r="AX856" s="20"/>
      <c r="AY856" s="41" t="str">
        <f t="shared" si="266"/>
        <v>Incomplete</v>
      </c>
      <c r="AZ856" s="66"/>
      <c r="BA856" s="20" t="str">
        <f t="shared" si="267"/>
        <v>Incomplete</v>
      </c>
      <c r="BB856" s="66"/>
      <c r="BC856" s="20" t="str">
        <f t="shared" si="268"/>
        <v>Incomplete</v>
      </c>
      <c r="BD856" s="66"/>
      <c r="BE856" s="20" t="str">
        <f t="shared" si="269"/>
        <v>Incomplete</v>
      </c>
      <c r="BF856" s="66"/>
      <c r="BG856" s="66">
        <v>14</v>
      </c>
      <c r="BH856" s="66">
        <v>32</v>
      </c>
      <c r="BI856" s="20">
        <f t="shared" si="270"/>
        <v>18</v>
      </c>
      <c r="BJ856" s="66"/>
      <c r="BK856" s="66"/>
      <c r="BL856" s="66"/>
      <c r="BM856" s="66"/>
      <c r="BN856" s="66"/>
      <c r="BO856" s="66"/>
      <c r="BP856" s="66"/>
      <c r="BQ856" s="66"/>
      <c r="BR856" s="66"/>
      <c r="BS856" s="66"/>
      <c r="BT856" s="66"/>
      <c r="BU856" s="66"/>
      <c r="BV856" s="66"/>
      <c r="BW856" s="91" t="str">
        <f t="shared" si="264"/>
        <v>Incomplete</v>
      </c>
      <c r="BX856" s="91" t="str">
        <f>_xlfn.XLOOKUP(BW856,'Normative data'!$V$3:$V$6,'Normative data'!$W$3:$W$6,"Not Found",-1)</f>
        <v>Very low risk</v>
      </c>
      <c r="BY856" s="91" t="str">
        <f t="shared" si="265"/>
        <v>Incomplete</v>
      </c>
      <c r="BZ856" s="91" t="str">
        <f>_xlfn.XLOOKUP(BY856,'Normative data'!$V$3:$V$6,'Normative data'!$W$3:$W$6,"Not Found",-1)</f>
        <v>Very low risk</v>
      </c>
      <c r="CA856" s="66"/>
      <c r="CB856" s="66"/>
      <c r="CC856" s="20"/>
      <c r="CD856" s="66"/>
      <c r="CE856" s="66">
        <v>4</v>
      </c>
      <c r="CF856" s="66"/>
      <c r="CG856" s="20"/>
      <c r="CH856" s="20" t="str">
        <f>_xlfn.XLOOKUP(CG856, 'Normative data'!$S$9:$S$15,'Normative data'!$T$9:$T$15, "Not Found", -1)</f>
        <v>not completed</v>
      </c>
      <c r="CI856" s="20"/>
      <c r="CJ856" s="20" t="str">
        <f>_xlfn.XLOOKUP(CI856, 'Normative data'!$S$9:$S$15, 'Normative data'!$T$9:$T$15, "Not Found", -1)</f>
        <v>not completed</v>
      </c>
      <c r="CK856" s="20" t="s">
        <v>477</v>
      </c>
      <c r="CL856" s="20" t="s">
        <v>697</v>
      </c>
      <c r="CM856" s="21"/>
      <c r="CN856" s="20" t="s">
        <v>370</v>
      </c>
      <c r="CO856" s="20" t="s">
        <v>369</v>
      </c>
      <c r="CP856" s="110"/>
      <c r="CQ856" s="68"/>
      <c r="CR856" s="20" t="str" cm="1">
        <f t="array" ref="CR856">IF(OR(ISBLANK(E856),ISBLANK(CQ856)),"Incomplete",_xlfn.XLOOKUP(CQ856,_xlfn.XLOOKUP(E856,'Normative data'!$Y$3:$Y$6,'Normative data'!$Z$3:$AG$6,,-1),'Normative data'!$Z$2:$AG$2,"Not Found",-1))</f>
        <v>Incomplete</v>
      </c>
      <c r="CS856" s="68"/>
      <c r="CT856" s="66"/>
      <c r="CU856" s="20" t="str" cm="1">
        <f t="array" ref="CU856">_xlfn.XLOOKUP(CS856&amp;CT856,(VLOOKUP!$A$3:$A$250)&amp;(VLOOKUP!$B$3:$B$250),VLOOKUP!$C$3:$C$250,"Incomplete",-1)</f>
        <v>Incomplete</v>
      </c>
      <c r="CV856" s="20" t="str" cm="1">
        <f t="array" ref="CV856">_xlfn.XLOOKUP(CU856, _xlfn.XLOOKUP(E856, 'Normative data'!$Y$11:$Y$14, 'Normative data'!$Z$11:$AG$14, ,-1), 'Normative data'!$Z$10:$AG$10, "Not Found", -1)</f>
        <v>Excellent</v>
      </c>
      <c r="CW856" s="20" t="str" cm="1">
        <f t="array" ref="CW856">IF(OR(ISBLANK(CS856),ISBLANK(CT856)),"Incomplete",_xlfn.XLOOKUP(CS856&amp;CT856,VLOOKUP!$A$4:$A$250&amp;VLOOKUP!$B$4:$B$250,VLOOKUP!$D$4:$D$250,"0"))</f>
        <v>Incomplete</v>
      </c>
    </row>
    <row r="857" spans="1:101">
      <c r="A857" s="64" t="s">
        <v>1541</v>
      </c>
      <c r="B857" s="64" t="s">
        <v>1448</v>
      </c>
      <c r="C857" s="64" t="s">
        <v>86</v>
      </c>
      <c r="D857" s="65">
        <v>41172</v>
      </c>
      <c r="E857" s="64">
        <v>13.7</v>
      </c>
      <c r="F857" s="66" t="s">
        <v>157</v>
      </c>
      <c r="G857" s="64">
        <v>2026</v>
      </c>
      <c r="H857" s="66"/>
      <c r="I857" s="66">
        <v>2</v>
      </c>
      <c r="J857" s="66" t="s">
        <v>88</v>
      </c>
      <c r="K857" s="66" t="s">
        <v>236</v>
      </c>
      <c r="L857" s="66"/>
      <c r="M857" s="64"/>
      <c r="N857" s="64"/>
      <c r="O857" s="64"/>
      <c r="P857" s="64"/>
      <c r="Q857" s="64"/>
      <c r="R857" s="64"/>
      <c r="S857" s="66">
        <v>87.5</v>
      </c>
      <c r="T857" s="66">
        <v>169.6</v>
      </c>
      <c r="U857" s="64">
        <v>62.1</v>
      </c>
      <c r="V857" s="64">
        <v>34</v>
      </c>
      <c r="W857" s="64">
        <v>15.6</v>
      </c>
      <c r="X857" s="64">
        <v>46.5</v>
      </c>
      <c r="Y857" s="64">
        <v>25.5</v>
      </c>
      <c r="Z857" s="64">
        <v>21.5</v>
      </c>
      <c r="AA857" s="64">
        <v>25.1</v>
      </c>
      <c r="AB857" s="64">
        <v>7.12</v>
      </c>
      <c r="AC857" s="64">
        <v>99.2</v>
      </c>
      <c r="AD857" s="64">
        <v>7.17</v>
      </c>
      <c r="AE857" s="64">
        <v>99.9</v>
      </c>
      <c r="AF857" s="64">
        <v>2.4</v>
      </c>
      <c r="AG857" s="64">
        <v>90.4</v>
      </c>
      <c r="AH857" s="64">
        <v>2.4</v>
      </c>
      <c r="AI857" s="64">
        <v>90.5</v>
      </c>
      <c r="AJ857" s="64">
        <v>326</v>
      </c>
      <c r="AK857" s="64">
        <v>319.7</v>
      </c>
      <c r="AL857" s="64">
        <v>289.3</v>
      </c>
      <c r="AM857" s="64">
        <v>284.39999999999998</v>
      </c>
      <c r="AN857" s="64">
        <v>109</v>
      </c>
      <c r="AO857" s="64">
        <v>0.87</v>
      </c>
      <c r="AP857" s="64">
        <v>6.5</v>
      </c>
      <c r="AQ857" s="17">
        <v>20.399999999999999</v>
      </c>
      <c r="AR857" s="17">
        <v>0.40799999999999997</v>
      </c>
      <c r="AS857" s="17">
        <v>23.7</v>
      </c>
      <c r="AT857" s="17">
        <v>0.44</v>
      </c>
      <c r="AU857" s="17">
        <v>12.9</v>
      </c>
      <c r="AV857" s="17">
        <v>0.32500000000000001</v>
      </c>
      <c r="AW857" s="17">
        <v>12</v>
      </c>
      <c r="AX857" s="17">
        <v>0.313</v>
      </c>
      <c r="AY857" s="41">
        <f t="shared" si="266"/>
        <v>1996.4099999999999</v>
      </c>
      <c r="AZ857" s="64"/>
      <c r="BA857" s="20">
        <f t="shared" si="267"/>
        <v>2196.7200000000003</v>
      </c>
      <c r="BB857" s="64"/>
      <c r="BC857" s="20">
        <f t="shared" si="268"/>
        <v>1541.1600000000003</v>
      </c>
      <c r="BD857" s="64"/>
      <c r="BE857" s="20">
        <f t="shared" si="269"/>
        <v>1486.5300000000002</v>
      </c>
      <c r="BF857" s="64"/>
      <c r="BG857" s="64"/>
      <c r="BH857" s="64">
        <v>29.5</v>
      </c>
      <c r="BI857" s="20" t="str">
        <f t="shared" si="270"/>
        <v>Incomplete</v>
      </c>
      <c r="BJ857" s="66"/>
      <c r="BK857" s="64">
        <v>4.5</v>
      </c>
      <c r="BL857" s="66"/>
      <c r="BM857" s="64">
        <v>3.5</v>
      </c>
      <c r="BN857" s="66"/>
      <c r="BO857" s="64">
        <v>48</v>
      </c>
      <c r="BP857" s="64">
        <v>48.5</v>
      </c>
      <c r="BQ857" s="64">
        <v>85</v>
      </c>
      <c r="BR857" s="64">
        <v>70</v>
      </c>
      <c r="BS857" s="64">
        <v>53</v>
      </c>
      <c r="BT857" s="64">
        <v>80</v>
      </c>
      <c r="BU857" s="64">
        <v>67</v>
      </c>
      <c r="BV857" s="64">
        <v>66</v>
      </c>
      <c r="BW857" s="91">
        <f t="shared" si="264"/>
        <v>84.449857896873738</v>
      </c>
      <c r="BX857" s="91" t="str">
        <f>_xlfn.XLOOKUP(BW857,'Normative data'!$V$3:$V$6,'Normative data'!$W$3:$W$6,"Not Found",-1)</f>
        <v>High risk</v>
      </c>
      <c r="BY857" s="91">
        <f t="shared" si="265"/>
        <v>86.479902557856278</v>
      </c>
      <c r="BZ857" s="91" t="str">
        <f>_xlfn.XLOOKUP(BY857,'Normative data'!$V$3:$V$6,'Normative data'!$W$3:$W$6,"Not Found",-1)</f>
        <v>High risk</v>
      </c>
      <c r="CB857" s="66"/>
      <c r="CD857" s="66"/>
      <c r="CE857" s="64"/>
      <c r="CF857" s="66"/>
      <c r="CG857" s="66"/>
      <c r="CH857" s="20" t="str">
        <f>_xlfn.XLOOKUP(CG857, 'Normative data'!$S$9:$S$15,'Normative data'!$T$9:$T$15, "Not Found", -1)</f>
        <v>not completed</v>
      </c>
      <c r="CI857" s="66"/>
      <c r="CJ857" s="20" t="str">
        <f>_xlfn.XLOOKUP(CI857, 'Normative data'!$S$9:$S$15, 'Normative data'!$T$9:$T$15, "Not Found", -1)</f>
        <v>not completed</v>
      </c>
      <c r="CK857" s="64">
        <v>1.99</v>
      </c>
      <c r="CL857" s="64">
        <v>5.03</v>
      </c>
      <c r="CM857" s="66"/>
      <c r="CN857" s="64">
        <v>6.13</v>
      </c>
      <c r="CO857" s="64">
        <v>8.16</v>
      </c>
      <c r="CP857" s="68"/>
      <c r="CQ857" s="67">
        <v>8.1</v>
      </c>
      <c r="CR857" s="20" t="str" cm="1">
        <f t="array" ref="CR857">IF(OR(ISBLANK(E857),ISBLANK(CQ857)),"Incomplete",_xlfn.XLOOKUP(CQ857,_xlfn.XLOOKUP(E857,'Normative data'!$Y$3:$Y$6,'Normative data'!$Z$3:$AG$6,,-1),'Normative data'!$Z$2:$AG$2,"Not Found",-1))</f>
        <v>Very good</v>
      </c>
      <c r="CS857" s="68">
        <v>8</v>
      </c>
      <c r="CT857" s="66">
        <v>1</v>
      </c>
      <c r="CU857" s="20" cm="1">
        <f t="array" ref="CU857">_xlfn.XLOOKUP(CS857&amp;CT857,(VLOOKUP!$A$3:$A$250)&amp;(VLOOKUP!$B$3:$B$250),VLOOKUP!$C$3:$C$250,"Incomplete",-1)</f>
        <v>1240</v>
      </c>
      <c r="CV857" s="20" t="str" cm="1">
        <f t="array" ref="CV857">_xlfn.XLOOKUP(CU857, _xlfn.XLOOKUP(E857, 'Normative data'!$Y$11:$Y$14, 'Normative data'!$Z$11:$AG$14, ,-1), 'Normative data'!$Z$10:$AG$10, "Not Found", -1)</f>
        <v xml:space="preserve">Very good </v>
      </c>
      <c r="CW857" s="20" cm="1">
        <f t="array" ref="CW857">IF(OR(ISBLANK(CS857),ISBLANK(CT857)),"Incomplete",_xlfn.XLOOKUP(CS857&amp;CT857,VLOOKUP!$A$4:$A$250&amp;VLOOKUP!$B$4:$B$250,VLOOKUP!$D$4:$D$250,"0"))</f>
        <v>40</v>
      </c>
    </row>
    <row r="858" spans="1:101">
      <c r="A858" s="64" t="s">
        <v>1542</v>
      </c>
      <c r="B858" s="64" t="s">
        <v>1448</v>
      </c>
      <c r="C858" s="64" t="s">
        <v>86</v>
      </c>
      <c r="D858" s="65">
        <v>41214</v>
      </c>
      <c r="E858" s="64">
        <v>14.3</v>
      </c>
      <c r="F858" s="66" t="s">
        <v>157</v>
      </c>
      <c r="G858" s="64">
        <v>2026</v>
      </c>
      <c r="H858" s="66"/>
      <c r="I858" s="66">
        <v>2</v>
      </c>
      <c r="J858" s="66" t="s">
        <v>88</v>
      </c>
      <c r="K858" s="66" t="s">
        <v>108</v>
      </c>
      <c r="L858" s="66"/>
      <c r="M858" s="64"/>
      <c r="N858" s="64"/>
      <c r="O858" s="64"/>
      <c r="P858" s="64"/>
      <c r="Q858" s="64"/>
      <c r="R858" s="64"/>
      <c r="S858" s="66">
        <v>86.1</v>
      </c>
      <c r="T858" s="66">
        <v>169.8</v>
      </c>
      <c r="U858" s="64">
        <v>51.1</v>
      </c>
      <c r="V858" s="64">
        <v>30.2</v>
      </c>
      <c r="W858" s="64">
        <v>10</v>
      </c>
      <c r="X858" s="64">
        <v>41.1</v>
      </c>
      <c r="Y858" s="64">
        <v>22.1</v>
      </c>
      <c r="Z858" s="64">
        <v>17.7</v>
      </c>
      <c r="AA858" s="64">
        <v>19.5</v>
      </c>
      <c r="AB858" s="64">
        <v>6.77</v>
      </c>
      <c r="AC858" s="64">
        <v>114.6</v>
      </c>
      <c r="AD858" s="64">
        <v>6.73</v>
      </c>
      <c r="AE858" s="64">
        <v>114</v>
      </c>
      <c r="AF858" s="64">
        <v>1.8</v>
      </c>
      <c r="AG858" s="64">
        <v>66.599999999999994</v>
      </c>
      <c r="AH858" s="64">
        <v>1.8</v>
      </c>
      <c r="AI858" s="64">
        <v>66.3</v>
      </c>
      <c r="AJ858" s="64">
        <v>299.2</v>
      </c>
      <c r="AK858" s="64">
        <v>301.5</v>
      </c>
      <c r="AL858" s="64">
        <v>274.7</v>
      </c>
      <c r="AM858" s="64">
        <v>278</v>
      </c>
      <c r="AN858" s="64">
        <v>95</v>
      </c>
      <c r="AO858" s="64">
        <v>0.8</v>
      </c>
      <c r="AP858" s="64">
        <v>5.9</v>
      </c>
      <c r="AQ858" s="66"/>
      <c r="AR858" s="66"/>
      <c r="AS858" s="66"/>
      <c r="AT858" s="66"/>
      <c r="AU858" s="66"/>
      <c r="AV858" s="66"/>
      <c r="AW858" s="66"/>
      <c r="AX858" s="66"/>
      <c r="AY858" s="41" t="str">
        <f t="shared" si="266"/>
        <v>Incomplete</v>
      </c>
      <c r="AZ858" s="64"/>
      <c r="BA858" s="20" t="str">
        <f t="shared" si="267"/>
        <v>Incomplete</v>
      </c>
      <c r="BB858" s="64"/>
      <c r="BC858" s="20" t="str">
        <f t="shared" si="268"/>
        <v>Incomplete</v>
      </c>
      <c r="BD858" s="64"/>
      <c r="BE858" s="20" t="str">
        <f t="shared" si="269"/>
        <v>Incomplete</v>
      </c>
      <c r="BF858" s="64"/>
      <c r="BG858" s="64"/>
      <c r="BH858" s="64">
        <v>47.4</v>
      </c>
      <c r="BI858" s="20" t="str">
        <f t="shared" si="270"/>
        <v>Incomplete</v>
      </c>
      <c r="BJ858" s="66"/>
      <c r="BK858" s="64">
        <v>3</v>
      </c>
      <c r="BL858" s="66"/>
      <c r="BM858" s="64">
        <v>5</v>
      </c>
      <c r="BN858" s="66"/>
      <c r="BO858" s="64"/>
      <c r="BP858" s="64"/>
      <c r="BQ858" s="64">
        <v>86</v>
      </c>
      <c r="BR858" s="64">
        <v>91</v>
      </c>
      <c r="BS858" s="64">
        <v>89</v>
      </c>
      <c r="BT858" s="64">
        <v>94</v>
      </c>
      <c r="BU858" s="64">
        <v>97</v>
      </c>
      <c r="BV858" s="64">
        <v>103</v>
      </c>
      <c r="BW858" s="91">
        <f t="shared" si="264"/>
        <v>105.93389088012741</v>
      </c>
      <c r="BX858" s="91" t="str">
        <f>_xlfn.XLOOKUP(BW858,'Normative data'!$V$3:$V$6,'Normative data'!$W$3:$W$6,"Not Found",-1)</f>
        <v>Low risk</v>
      </c>
      <c r="BY858" s="91">
        <f t="shared" si="265"/>
        <v>117.0848267622461</v>
      </c>
      <c r="BZ858" s="91" t="str">
        <f>_xlfn.XLOOKUP(BY858,'Normative data'!$V$3:$V$6,'Normative data'!$W$3:$W$6,"Not Found",-1)</f>
        <v>Low risk</v>
      </c>
      <c r="CA858" s="64"/>
      <c r="CB858" s="66"/>
      <c r="CD858" s="66"/>
      <c r="CE858" s="64"/>
      <c r="CF858" s="66"/>
      <c r="CG858" s="66"/>
      <c r="CH858" s="20" t="str">
        <f>_xlfn.XLOOKUP(CG858, 'Normative data'!$S$9:$S$15,'Normative data'!$T$9:$T$15, "Not Found", -1)</f>
        <v>not completed</v>
      </c>
      <c r="CI858" s="66"/>
      <c r="CJ858" s="20" t="str">
        <f>_xlfn.XLOOKUP(CI858, 'Normative data'!$S$9:$S$15, 'Normative data'!$T$9:$T$15, "Not Found", -1)</f>
        <v>not completed</v>
      </c>
      <c r="CK858" s="64">
        <v>2.3199999999999998</v>
      </c>
      <c r="CL858" s="64">
        <v>4.3099999999999996</v>
      </c>
      <c r="CM858" s="66"/>
      <c r="CN858" s="64">
        <v>7.31</v>
      </c>
      <c r="CO858" s="64">
        <v>6.84</v>
      </c>
      <c r="CP858" s="68"/>
      <c r="CQ858" s="67">
        <v>7.5</v>
      </c>
      <c r="CR858" s="20" t="str" cm="1">
        <f t="array" ref="CR858">IF(OR(ISBLANK(E858),ISBLANK(CQ858)),"Incomplete",_xlfn.XLOOKUP(CQ858,_xlfn.XLOOKUP(E858,'Normative data'!$Y$3:$Y$6,'Normative data'!$Z$3:$AG$6,,-1),'Normative data'!$Z$2:$AG$2,"Not Found",-1))</f>
        <v>Average</v>
      </c>
      <c r="CS858" s="68">
        <v>7</v>
      </c>
      <c r="CT858" s="66">
        <v>5</v>
      </c>
      <c r="CU858" s="20" cm="1">
        <f t="array" ref="CU858">_xlfn.XLOOKUP(CS858&amp;CT858,(VLOOKUP!$A$3:$A$250)&amp;(VLOOKUP!$B$3:$B$250),VLOOKUP!$C$3:$C$250,"Incomplete",-1)</f>
        <v>1120</v>
      </c>
      <c r="CV858" s="20" t="str" cm="1">
        <f t="array" ref="CV858">_xlfn.XLOOKUP(CU858, _xlfn.XLOOKUP(E858, 'Normative data'!$Y$11:$Y$14, 'Normative data'!$Z$11:$AG$14, ,-1), 'Normative data'!$Z$10:$AG$10, "Not Found", -1)</f>
        <v>Average</v>
      </c>
      <c r="CW858" s="20" cm="1">
        <f t="array" ref="CW858">IF(OR(ISBLANK(CS858),ISBLANK(CT858)),"Incomplete",_xlfn.XLOOKUP(CS858&amp;CT858,VLOOKUP!$A$4:$A$250&amp;VLOOKUP!$B$4:$B$250,VLOOKUP!$D$4:$D$250,"0"))</f>
        <v>38</v>
      </c>
    </row>
    <row r="859" spans="1:101">
      <c r="A859" s="64" t="s">
        <v>1449</v>
      </c>
      <c r="B859" s="64" t="s">
        <v>1448</v>
      </c>
      <c r="C859" s="64" t="s">
        <v>86</v>
      </c>
      <c r="D859" s="65">
        <v>40638</v>
      </c>
      <c r="E859" s="64">
        <v>14.9</v>
      </c>
      <c r="F859" s="66" t="s">
        <v>92</v>
      </c>
      <c r="G859" s="64">
        <v>2026</v>
      </c>
      <c r="H859" s="66"/>
      <c r="I859" s="66">
        <v>2</v>
      </c>
      <c r="J859" s="66" t="s">
        <v>88</v>
      </c>
      <c r="K859" s="66" t="s">
        <v>765</v>
      </c>
      <c r="L859" s="66"/>
      <c r="M859" s="64"/>
      <c r="N859" s="64"/>
      <c r="O859" s="64"/>
      <c r="P859" s="64"/>
      <c r="Q859" s="64"/>
      <c r="R859" s="64"/>
      <c r="S859" s="66">
        <v>82.9</v>
      </c>
      <c r="T859" s="66">
        <v>165.9</v>
      </c>
      <c r="U859" s="64">
        <v>54.6</v>
      </c>
      <c r="V859" s="64">
        <v>31.8</v>
      </c>
      <c r="W859" s="64">
        <v>11.2</v>
      </c>
      <c r="X859" s="64">
        <v>43.4</v>
      </c>
      <c r="Y859" s="64">
        <v>23.5</v>
      </c>
      <c r="Z859" s="64">
        <v>19.8</v>
      </c>
      <c r="AA859" s="64">
        <v>20.6</v>
      </c>
      <c r="AB859" s="64">
        <v>6.35</v>
      </c>
      <c r="AC859" s="64">
        <v>100.6</v>
      </c>
      <c r="AD859" s="64">
        <v>6.37</v>
      </c>
      <c r="AE859" s="64">
        <v>100.9</v>
      </c>
      <c r="AF859" s="64">
        <v>1.8</v>
      </c>
      <c r="AG859" s="64">
        <v>69.2</v>
      </c>
      <c r="AH859" s="64">
        <v>1.8</v>
      </c>
      <c r="AI859" s="64">
        <v>69.2</v>
      </c>
      <c r="AJ859" s="64">
        <v>305.8</v>
      </c>
      <c r="AK859" s="64">
        <v>303.3</v>
      </c>
      <c r="AL859" s="64">
        <v>278.3</v>
      </c>
      <c r="AM859" s="64">
        <v>276.60000000000002</v>
      </c>
      <c r="AN859" s="64">
        <v>101</v>
      </c>
      <c r="AO859" s="64">
        <v>0.85</v>
      </c>
      <c r="AP859" s="64">
        <v>6.1</v>
      </c>
      <c r="AQ859" s="17">
        <v>24.7</v>
      </c>
      <c r="AR859" s="17">
        <v>0.44900000000000001</v>
      </c>
      <c r="AS859" s="17">
        <v>28.4</v>
      </c>
      <c r="AT859" s="17">
        <v>0.48099999999999998</v>
      </c>
      <c r="AU859" s="17">
        <v>11.8</v>
      </c>
      <c r="AV859" s="17">
        <v>0.31</v>
      </c>
      <c r="AW859" s="17">
        <v>16.8</v>
      </c>
      <c r="AX859" s="17">
        <v>0.37</v>
      </c>
      <c r="AY859" s="41">
        <f t="shared" si="266"/>
        <v>1917.67</v>
      </c>
      <c r="AZ859" s="64"/>
      <c r="BA859" s="20">
        <f t="shared" si="267"/>
        <v>2142.2600000000002</v>
      </c>
      <c r="BB859" s="64"/>
      <c r="BC859" s="20">
        <f t="shared" si="268"/>
        <v>1134.6400000000003</v>
      </c>
      <c r="BD859" s="64"/>
      <c r="BE859" s="20">
        <f t="shared" si="269"/>
        <v>1438.1400000000003</v>
      </c>
      <c r="BF859" s="64"/>
      <c r="BG859" s="64">
        <v>8.6</v>
      </c>
      <c r="BH859" s="64">
        <v>31.1</v>
      </c>
      <c r="BI859" s="20">
        <f t="shared" si="270"/>
        <v>22.5</v>
      </c>
      <c r="BJ859" s="66"/>
      <c r="BK859" s="64">
        <v>10.5</v>
      </c>
      <c r="BL859" s="66"/>
      <c r="BM859" s="64">
        <v>11</v>
      </c>
      <c r="BN859" s="66"/>
      <c r="BO859" s="64">
        <v>42</v>
      </c>
      <c r="BP859" s="64">
        <v>44.5</v>
      </c>
      <c r="BQ859" s="64">
        <v>81</v>
      </c>
      <c r="BR859" s="64">
        <v>81</v>
      </c>
      <c r="BS859" s="64">
        <v>75</v>
      </c>
      <c r="BT859" s="64">
        <v>79</v>
      </c>
      <c r="BU859" s="64">
        <v>73</v>
      </c>
      <c r="BV859" s="64">
        <v>60</v>
      </c>
      <c r="BW859" s="91">
        <f t="shared" si="264"/>
        <v>95.180722891566262</v>
      </c>
      <c r="BX859" s="91" t="str">
        <f>_xlfn.XLOOKUP(BW859,'Normative data'!$V$3:$V$6,'Normative data'!$W$3:$W$6,"Not Found",-1)</f>
        <v>High risk</v>
      </c>
      <c r="BY859" s="91">
        <f t="shared" si="265"/>
        <v>85.140562248995991</v>
      </c>
      <c r="BZ859" s="91" t="str">
        <f>_xlfn.XLOOKUP(BY859,'Normative data'!$V$3:$V$6,'Normative data'!$W$3:$W$6,"Not Found",-1)</f>
        <v>High risk</v>
      </c>
      <c r="CA859" s="64">
        <v>25</v>
      </c>
      <c r="CB859" s="66"/>
      <c r="CC859" s="66"/>
      <c r="CD859" s="66"/>
      <c r="CE859" s="64">
        <v>14</v>
      </c>
      <c r="CF859" s="66"/>
      <c r="CG859" s="64">
        <v>19.190000000000001</v>
      </c>
      <c r="CH859" s="20" t="str">
        <f>_xlfn.XLOOKUP(CG859, 'Normative data'!$S$9:$S$15,'Normative data'!$T$9:$T$15, "Not Found", -1)</f>
        <v>Average</v>
      </c>
      <c r="CI859" s="64">
        <v>19.03</v>
      </c>
      <c r="CJ859" s="20" t="str">
        <f>_xlfn.XLOOKUP(CI859, 'Normative data'!$S$9:$S$15, 'Normative data'!$T$9:$T$15, "Not Found", -1)</f>
        <v>Average</v>
      </c>
      <c r="CK859" s="64">
        <v>2.35</v>
      </c>
      <c r="CL859" s="64">
        <v>4.26</v>
      </c>
      <c r="CM859" s="66"/>
      <c r="CN859" s="64">
        <v>7.28</v>
      </c>
      <c r="CO859" s="64">
        <v>6.87</v>
      </c>
      <c r="CP859" s="68"/>
      <c r="CQ859" s="67">
        <v>7.6</v>
      </c>
      <c r="CR859" s="20" t="str" cm="1">
        <f t="array" ref="CR859">IF(OR(ISBLANK(E859),ISBLANK(CQ859)),"Incomplete",_xlfn.XLOOKUP(CQ859,_xlfn.XLOOKUP(E859,'Normative data'!$Y$3:$Y$6,'Normative data'!$Z$3:$AG$6,,-1),'Normative data'!$Z$2:$AG$2,"Not Found",-1))</f>
        <v>Good</v>
      </c>
      <c r="CS859" s="68">
        <v>7</v>
      </c>
      <c r="CT859" s="66">
        <v>6</v>
      </c>
      <c r="CU859" s="20" cm="1">
        <f t="array" ref="CU859">_xlfn.XLOOKUP(CS859&amp;CT859,(VLOOKUP!$A$3:$A$250)&amp;(VLOOKUP!$B$3:$B$250),VLOOKUP!$C$3:$C$250,"Incomplete",-1)</f>
        <v>1140</v>
      </c>
      <c r="CV859" s="20" t="str" cm="1">
        <f t="array" ref="CV859">_xlfn.XLOOKUP(CU859, _xlfn.XLOOKUP(E859, 'Normative data'!$Y$11:$Y$14, 'Normative data'!$Z$11:$AG$14, ,-1), 'Normative data'!$Z$10:$AG$10, "Not Found", -1)</f>
        <v>Average</v>
      </c>
      <c r="CW859" s="20" cm="1">
        <f t="array" ref="CW859">IF(OR(ISBLANK(CS859),ISBLANK(CT859)),"Incomplete",_xlfn.XLOOKUP(CS859&amp;CT859,VLOOKUP!$A$4:$A$250&amp;VLOOKUP!$B$4:$B$250,VLOOKUP!$D$4:$D$250,"0"))</f>
        <v>38</v>
      </c>
    </row>
    <row r="860" spans="1:101">
      <c r="A860" s="64" t="s">
        <v>109</v>
      </c>
      <c r="B860" s="64" t="s">
        <v>1448</v>
      </c>
      <c r="C860" s="64" t="s">
        <v>86</v>
      </c>
      <c r="D860" s="65">
        <v>40797</v>
      </c>
      <c r="E860" s="64">
        <v>14.5</v>
      </c>
      <c r="F860" s="66" t="s">
        <v>217</v>
      </c>
      <c r="G860" s="64">
        <v>2026</v>
      </c>
      <c r="H860" s="66"/>
      <c r="I860" s="66">
        <v>2</v>
      </c>
      <c r="J860" s="66" t="s">
        <v>88</v>
      </c>
      <c r="K860" s="66" t="s">
        <v>89</v>
      </c>
      <c r="L860" s="66"/>
      <c r="M860" s="64"/>
      <c r="N860" s="64"/>
      <c r="O860" s="64"/>
      <c r="P860" s="64"/>
      <c r="Q860" s="64"/>
      <c r="R860" s="64"/>
      <c r="S860" s="66">
        <v>91.6</v>
      </c>
      <c r="T860" s="66">
        <v>176.4</v>
      </c>
      <c r="U860" s="64">
        <v>65.099999999999994</v>
      </c>
      <c r="V860" s="64">
        <v>36.9</v>
      </c>
      <c r="W860" s="64">
        <v>14.6</v>
      </c>
      <c r="X860" s="64">
        <v>50.5</v>
      </c>
      <c r="Y860" s="64">
        <v>28</v>
      </c>
      <c r="Z860" s="64">
        <v>21</v>
      </c>
      <c r="AA860" s="64">
        <v>22.5</v>
      </c>
      <c r="AB860" s="64">
        <v>8.44</v>
      </c>
      <c r="AC860" s="64">
        <v>112.2</v>
      </c>
      <c r="AD860" s="64">
        <v>8.2200000000000006</v>
      </c>
      <c r="AE860" s="64">
        <v>109.2</v>
      </c>
      <c r="AF860" s="64">
        <v>2.2999999999999998</v>
      </c>
      <c r="AG860" s="64">
        <v>82.2</v>
      </c>
      <c r="AH860" s="64">
        <v>2.2999999999999998</v>
      </c>
      <c r="AI860" s="64">
        <v>81.2</v>
      </c>
      <c r="AJ860" s="64">
        <v>284.8</v>
      </c>
      <c r="AK860" s="64">
        <v>302</v>
      </c>
      <c r="AL860" s="64">
        <v>251.4</v>
      </c>
      <c r="AM860" s="64">
        <v>266.60000000000002</v>
      </c>
      <c r="AN860" s="64">
        <v>111</v>
      </c>
      <c r="AO860" s="64">
        <v>0.85</v>
      </c>
      <c r="AP860" s="64">
        <v>7</v>
      </c>
      <c r="AQ860" s="17">
        <v>20</v>
      </c>
      <c r="AR860" s="17">
        <v>0.40400000000000003</v>
      </c>
      <c r="AS860" s="17">
        <v>21.8</v>
      </c>
      <c r="AT860" s="17">
        <v>0.42199999999999999</v>
      </c>
      <c r="AU860" s="17">
        <v>11.3</v>
      </c>
      <c r="AV860" s="17">
        <v>0.30299999999999999</v>
      </c>
      <c r="AW860" s="17">
        <v>9.6</v>
      </c>
      <c r="AX860" s="17">
        <v>0.28000000000000003</v>
      </c>
      <c r="AY860" s="41">
        <f t="shared" si="266"/>
        <v>2108.0299999999997</v>
      </c>
      <c r="AZ860" s="64"/>
      <c r="BA860" s="20">
        <f t="shared" si="267"/>
        <v>2217.29</v>
      </c>
      <c r="BB860" s="64"/>
      <c r="BC860" s="20">
        <f t="shared" si="268"/>
        <v>1579.9399999999996</v>
      </c>
      <c r="BD860" s="64"/>
      <c r="BE860" s="20">
        <f t="shared" si="269"/>
        <v>1476.75</v>
      </c>
      <c r="BF860" s="64"/>
      <c r="BG860" s="64">
        <v>3</v>
      </c>
      <c r="BH860" s="64">
        <v>42</v>
      </c>
      <c r="BI860" s="20">
        <f t="shared" si="270"/>
        <v>39</v>
      </c>
      <c r="BJ860" s="66"/>
      <c r="BK860" s="64">
        <v>8</v>
      </c>
      <c r="BL860" s="66"/>
      <c r="BM860" s="64">
        <v>11</v>
      </c>
      <c r="BN860" s="66"/>
      <c r="BO860" s="64">
        <v>48</v>
      </c>
      <c r="BP860" s="64">
        <v>47</v>
      </c>
      <c r="BQ860" s="64">
        <v>87</v>
      </c>
      <c r="BR860" s="64">
        <v>92</v>
      </c>
      <c r="BS860" s="64">
        <v>85</v>
      </c>
      <c r="BT860" s="64">
        <v>92</v>
      </c>
      <c r="BU860" s="64">
        <v>82</v>
      </c>
      <c r="BV860" s="64">
        <v>80</v>
      </c>
      <c r="BW860" s="91">
        <f t="shared" si="264"/>
        <v>103.77358490566036</v>
      </c>
      <c r="BX860" s="91" t="str">
        <f>_xlfn.XLOOKUP(BW860,'Normative data'!$V$3:$V$6,'Normative data'!$W$3:$W$6,"Not Found",-1)</f>
        <v>Low risk</v>
      </c>
      <c r="BY860" s="91">
        <f t="shared" si="265"/>
        <v>99.842767295597469</v>
      </c>
      <c r="BZ860" s="91" t="str">
        <f>_xlfn.XLOOKUP(BY860,'Normative data'!$V$3:$V$6,'Normative data'!$W$3:$W$6,"Not Found",-1)</f>
        <v>Low risk</v>
      </c>
      <c r="CA860" s="64">
        <v>34</v>
      </c>
      <c r="CB860" s="66"/>
      <c r="CC860" s="66"/>
      <c r="CD860" s="66"/>
      <c r="CE860" s="64">
        <v>15</v>
      </c>
      <c r="CF860" s="66"/>
      <c r="CG860" s="64">
        <v>20.59</v>
      </c>
      <c r="CH860" s="20" t="str">
        <f>_xlfn.XLOOKUP(CG860, 'Normative data'!$S$9:$S$15,'Normative data'!$T$9:$T$15, "Not Found", -1)</f>
        <v>Average</v>
      </c>
      <c r="CI860" s="64">
        <v>19.7</v>
      </c>
      <c r="CJ860" s="20" t="str">
        <f>_xlfn.XLOOKUP(CI860, 'Normative data'!$S$9:$S$15, 'Normative data'!$T$9:$T$15, "Not Found", -1)</f>
        <v>Average</v>
      </c>
      <c r="CK860" s="17">
        <v>2.83</v>
      </c>
      <c r="CL860" s="17">
        <v>3.53</v>
      </c>
      <c r="CN860" s="17">
        <v>7.41</v>
      </c>
      <c r="CO860" s="17">
        <v>6.75</v>
      </c>
      <c r="CP860" s="68"/>
      <c r="CQ860" s="67"/>
      <c r="CR860" s="20" t="str" cm="1">
        <f t="array" ref="CR860">IF(OR(ISBLANK(E860),ISBLANK(CQ860)),"Incomplete",_xlfn.XLOOKUP(CQ860,_xlfn.XLOOKUP(E860,'Normative data'!$Y$3:$Y$6,'Normative data'!$Z$3:$AG$6,,-1),'Normative data'!$Z$2:$AG$2,"Not Found",-1))</f>
        <v>Incomplete</v>
      </c>
      <c r="CS860" s="68"/>
      <c r="CT860" s="66"/>
      <c r="CU860" s="20" t="str" cm="1">
        <f t="array" ref="CU860">_xlfn.XLOOKUP(CS860&amp;CT860,(VLOOKUP!$A$3:$A$250)&amp;(VLOOKUP!$B$3:$B$250),VLOOKUP!$C$3:$C$250,"Incomplete",-1)</f>
        <v>Incomplete</v>
      </c>
      <c r="CV860" s="20" t="str" cm="1">
        <f t="array" ref="CV860">_xlfn.XLOOKUP(CU860, _xlfn.XLOOKUP(E860, 'Normative data'!$Y$11:$Y$14, 'Normative data'!$Z$11:$AG$14, ,-1), 'Normative data'!$Z$10:$AG$10, "Not Found", -1)</f>
        <v>Excellent</v>
      </c>
      <c r="CW860" s="20" t="str" cm="1">
        <f t="array" ref="CW860">IF(OR(ISBLANK(CS860),ISBLANK(CT860)),"Incomplete",_xlfn.XLOOKUP(CS860&amp;CT860,VLOOKUP!$A$4:$A$250&amp;VLOOKUP!$B$4:$B$250,VLOOKUP!$D$4:$D$250,"0"))</f>
        <v>Incomplete</v>
      </c>
    </row>
    <row r="861" spans="1:101">
      <c r="A861" s="64" t="s">
        <v>1543</v>
      </c>
      <c r="B861" s="64" t="s">
        <v>1544</v>
      </c>
      <c r="C861" s="64" t="s">
        <v>86</v>
      </c>
      <c r="D861" s="65">
        <v>40118</v>
      </c>
      <c r="E861" s="64"/>
      <c r="F861" s="66" t="s">
        <v>181</v>
      </c>
      <c r="G861" s="64">
        <v>2026</v>
      </c>
      <c r="H861" s="66"/>
      <c r="I861" s="66">
        <v>2</v>
      </c>
      <c r="J861" s="66" t="s">
        <v>1062</v>
      </c>
      <c r="K861" s="66" t="s">
        <v>101</v>
      </c>
      <c r="L861" s="66"/>
      <c r="M861" s="64"/>
      <c r="N861" s="64"/>
      <c r="O861" s="64"/>
      <c r="P861" s="64"/>
      <c r="Q861" s="64"/>
      <c r="R861" s="64"/>
      <c r="S861" s="66">
        <v>84.4</v>
      </c>
      <c r="T861" s="66">
        <v>163.30000000000001</v>
      </c>
      <c r="U861" s="64">
        <v>51.3</v>
      </c>
      <c r="V861" s="64">
        <v>28.7</v>
      </c>
      <c r="W861" s="64">
        <v>10.8</v>
      </c>
      <c r="X861" s="64">
        <v>39.200000000000003</v>
      </c>
      <c r="Y861" s="64">
        <v>21.2</v>
      </c>
      <c r="Z861" s="64">
        <v>18.7</v>
      </c>
      <c r="AA861" s="64">
        <v>21.7</v>
      </c>
      <c r="AB861" s="64">
        <v>5.77</v>
      </c>
      <c r="AC861" s="64">
        <v>99.8</v>
      </c>
      <c r="AD861" s="64">
        <v>5.81</v>
      </c>
      <c r="AE861" s="64">
        <v>100.4</v>
      </c>
      <c r="AF861" s="64">
        <v>1.7</v>
      </c>
      <c r="AG861" s="64">
        <v>70.599999999999994</v>
      </c>
      <c r="AH861" s="64">
        <v>1.7</v>
      </c>
      <c r="AI861" s="64">
        <v>70.900000000000006</v>
      </c>
      <c r="AJ861" s="64">
        <v>371.1</v>
      </c>
      <c r="AK861" s="64">
        <v>366.7</v>
      </c>
      <c r="AL861" s="64">
        <v>333.2</v>
      </c>
      <c r="AM861" s="64">
        <v>329</v>
      </c>
      <c r="AN861" s="64">
        <v>97</v>
      </c>
      <c r="AO861" s="64">
        <v>0.86</v>
      </c>
      <c r="AP861" s="64">
        <v>5.7</v>
      </c>
      <c r="AQ861" s="64">
        <v>22.6</v>
      </c>
      <c r="AR861" s="64">
        <v>0.42899999999999999</v>
      </c>
      <c r="AS861" s="64">
        <v>26.5</v>
      </c>
      <c r="AT861" s="64">
        <v>0.46500000000000002</v>
      </c>
      <c r="AU861" s="64">
        <v>14.2</v>
      </c>
      <c r="AV861" s="64">
        <v>0.34</v>
      </c>
      <c r="AW861" s="64">
        <v>13.7</v>
      </c>
      <c r="AX861" s="64">
        <v>0.33400000000000002</v>
      </c>
      <c r="AY861" s="41">
        <f t="shared" si="266"/>
        <v>1640.71</v>
      </c>
      <c r="AZ861" s="64"/>
      <c r="BA861" s="20">
        <f t="shared" si="267"/>
        <v>1877.44</v>
      </c>
      <c r="BB861" s="64"/>
      <c r="BC861" s="20">
        <f t="shared" si="268"/>
        <v>1130.83</v>
      </c>
      <c r="BD861" s="64"/>
      <c r="BE861" s="20">
        <f t="shared" si="269"/>
        <v>1100.48</v>
      </c>
      <c r="BF861" s="64"/>
      <c r="BG861" s="64">
        <v>11.3</v>
      </c>
      <c r="BH861" s="64">
        <v>49.9</v>
      </c>
      <c r="BI861" s="20">
        <f t="shared" si="270"/>
        <v>38.599999999999994</v>
      </c>
      <c r="BJ861" s="66"/>
      <c r="BK861" s="64">
        <v>9.3000000000000007</v>
      </c>
      <c r="BL861" s="66"/>
      <c r="BM861" s="64">
        <v>13</v>
      </c>
      <c r="BN861" s="66"/>
      <c r="BO861" s="64">
        <v>46</v>
      </c>
      <c r="BP861" s="64">
        <v>42</v>
      </c>
      <c r="BQ861" s="64">
        <v>79</v>
      </c>
      <c r="BR861" s="64">
        <v>70</v>
      </c>
      <c r="BS861" s="64">
        <v>76</v>
      </c>
      <c r="BT861" s="64">
        <v>78</v>
      </c>
      <c r="BU861" s="64">
        <v>74</v>
      </c>
      <c r="BV861" s="64">
        <v>72</v>
      </c>
      <c r="BW861" s="91">
        <f t="shared" si="264"/>
        <v>95.057034220532316</v>
      </c>
      <c r="BX861" s="91" t="str">
        <f>_xlfn.XLOOKUP(BW861,'Normative data'!$V$3:$V$6,'Normative data'!$W$3:$W$6,"Not Found",-1)</f>
        <v>High risk</v>
      </c>
      <c r="BY861" s="91">
        <f t="shared" si="265"/>
        <v>94.634558512885505</v>
      </c>
      <c r="BZ861" s="91" t="str">
        <f>_xlfn.XLOOKUP(BY861,'Normative data'!$V$3:$V$6,'Normative data'!$W$3:$W$6,"Not Found",-1)</f>
        <v>High risk</v>
      </c>
      <c r="CA861" s="64">
        <v>30</v>
      </c>
      <c r="CB861" s="66"/>
      <c r="CC861" s="66"/>
      <c r="CD861" s="66"/>
      <c r="CE861" s="64">
        <v>5</v>
      </c>
      <c r="CF861" s="66"/>
      <c r="CG861" s="64">
        <v>16.52</v>
      </c>
      <c r="CH861" s="20" t="str">
        <f>_xlfn.XLOOKUP(CG861, 'Normative data'!$S$9:$S$15,'Normative data'!$T$9:$T$15, "Not Found", -1)</f>
        <v>Excellent</v>
      </c>
      <c r="CI861" s="64">
        <v>16.13</v>
      </c>
      <c r="CJ861" s="20" t="str">
        <f>_xlfn.XLOOKUP(CI861, 'Normative data'!$S$9:$S$15, 'Normative data'!$T$9:$T$15, "Not Found", -1)</f>
        <v>Excellent</v>
      </c>
      <c r="CK861" s="17">
        <v>2.19</v>
      </c>
      <c r="CL861" s="17">
        <v>4.57</v>
      </c>
      <c r="CN861" s="17">
        <v>6.6</v>
      </c>
      <c r="CO861" s="17">
        <v>7.58</v>
      </c>
      <c r="CP861" s="68"/>
      <c r="CQ861" s="67"/>
      <c r="CR861" s="20" t="str" cm="1">
        <f t="array" ref="CR861">IF(OR(ISBLANK(E861),ISBLANK(CQ861)),"Incomplete",_xlfn.XLOOKUP(CQ861,_xlfn.XLOOKUP(E861,'Normative data'!$Y$3:$Y$6,'Normative data'!$Z$3:$AG$6,,-1),'Normative data'!$Z$2:$AG$2,"Not Found",-1))</f>
        <v>Incomplete</v>
      </c>
      <c r="CS861" s="68"/>
      <c r="CT861" s="66"/>
      <c r="CU861" s="20" t="str" cm="1">
        <f t="array" ref="CU861">_xlfn.XLOOKUP(CS861&amp;CT861,(VLOOKUP!$A$3:$A$250)&amp;(VLOOKUP!$B$3:$B$250),VLOOKUP!$C$3:$C$250,"Incomplete",-1)</f>
        <v>Incomplete</v>
      </c>
      <c r="CV861" s="20" t="str" cm="1">
        <f t="array" ref="CV861">_xlfn.XLOOKUP(CU861, _xlfn.XLOOKUP(E861, 'Normative data'!$Y$11:$Y$14, 'Normative data'!$Z$11:$AG$14, ,-1), 'Normative data'!$Z$10:$AG$10, "Not Found", -1)</f>
        <v>Excellent</v>
      </c>
      <c r="CW861" s="20" t="str" cm="1">
        <f t="array" ref="CW861">IF(OR(ISBLANK(CS861),ISBLANK(CT861)),"Incomplete",_xlfn.XLOOKUP(CS861&amp;CT861,VLOOKUP!$A$4:$A$250&amp;VLOOKUP!$B$4:$B$250,VLOOKUP!$D$4:$D$250,"0"))</f>
        <v>Incomplete</v>
      </c>
    </row>
    <row r="862" spans="1:101">
      <c r="A862" s="64" t="s">
        <v>1279</v>
      </c>
      <c r="B862" s="64" t="s">
        <v>1278</v>
      </c>
      <c r="C862" s="64" t="s">
        <v>86</v>
      </c>
      <c r="D862" s="65"/>
      <c r="E862" s="64"/>
      <c r="F862" s="66" t="s">
        <v>181</v>
      </c>
      <c r="G862" s="64">
        <v>2026</v>
      </c>
      <c r="H862" s="66"/>
      <c r="I862" s="66">
        <v>2</v>
      </c>
      <c r="J862" s="66" t="s">
        <v>88</v>
      </c>
      <c r="K862" s="66" t="s">
        <v>111</v>
      </c>
      <c r="L862" s="66"/>
      <c r="M862" s="64"/>
      <c r="N862" s="64"/>
      <c r="O862" s="64"/>
      <c r="P862" s="64"/>
      <c r="Q862" s="64"/>
      <c r="R862" s="64"/>
      <c r="S862" s="66"/>
      <c r="T862" s="66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  <c r="AG862" s="64"/>
      <c r="AH862" s="64"/>
      <c r="AI862" s="64"/>
      <c r="AJ862" s="64"/>
      <c r="AK862" s="64"/>
      <c r="AL862" s="64"/>
      <c r="AM862" s="64"/>
      <c r="AN862" s="64"/>
      <c r="AO862" s="64"/>
      <c r="AP862" s="64"/>
      <c r="AQ862" s="20"/>
      <c r="AR862" s="20"/>
      <c r="AS862" s="20"/>
      <c r="AT862" s="20"/>
      <c r="AU862" s="20"/>
      <c r="AV862" s="20"/>
      <c r="AW862" s="20"/>
      <c r="AX862" s="20"/>
      <c r="AY862" s="41" t="str">
        <f t="shared" si="266"/>
        <v>Incomplete</v>
      </c>
      <c r="AZ862" s="64"/>
      <c r="BA862" s="20" t="str">
        <f t="shared" si="267"/>
        <v>Incomplete</v>
      </c>
      <c r="BB862" s="64"/>
      <c r="BC862" s="20" t="str">
        <f t="shared" si="268"/>
        <v>Incomplete</v>
      </c>
      <c r="BD862" s="64"/>
      <c r="BE862" s="20" t="str">
        <f t="shared" si="269"/>
        <v>Incomplete</v>
      </c>
      <c r="BF862" s="64"/>
      <c r="BG862" s="64"/>
      <c r="BH862" s="66"/>
      <c r="BI862" s="20" t="str">
        <f t="shared" si="270"/>
        <v>Incomplete</v>
      </c>
      <c r="BJ862" s="66"/>
      <c r="BK862" s="64"/>
      <c r="BL862" s="66"/>
      <c r="BM862" s="20"/>
      <c r="BN862" s="66"/>
      <c r="BO862" s="64"/>
      <c r="BP862" s="64"/>
      <c r="BQ862" s="64"/>
      <c r="BR862" s="64"/>
      <c r="BS862" s="64"/>
      <c r="BT862" s="64"/>
      <c r="BU862" s="64"/>
      <c r="BV862" s="64"/>
      <c r="BW862" s="91" t="str">
        <f t="shared" si="264"/>
        <v>Incomplete</v>
      </c>
      <c r="BX862" s="91" t="str">
        <f>_xlfn.XLOOKUP(BW862,'Normative data'!$V$3:$V$6,'Normative data'!$W$3:$W$6,"Not Found",-1)</f>
        <v>Very low risk</v>
      </c>
      <c r="BY862" s="91" t="str">
        <f t="shared" si="265"/>
        <v>Incomplete</v>
      </c>
      <c r="BZ862" s="91" t="str">
        <f>_xlfn.XLOOKUP(BY862,'Normative data'!$V$3:$V$6,'Normative data'!$W$3:$W$6,"Not Found",-1)</f>
        <v>Very low risk</v>
      </c>
      <c r="CA862" s="64">
        <v>20</v>
      </c>
      <c r="CB862" s="66"/>
      <c r="CC862" s="66"/>
      <c r="CD862" s="66"/>
      <c r="CE862" s="64">
        <v>5</v>
      </c>
      <c r="CF862" s="66"/>
      <c r="CG862" s="20"/>
      <c r="CH862" s="20" t="str">
        <f>_xlfn.XLOOKUP(CG862, 'Normative data'!$S$9:$S$15,'Normative data'!$T$9:$T$15, "Not Found", -1)</f>
        <v>not completed</v>
      </c>
      <c r="CI862" s="20"/>
      <c r="CJ862" s="20" t="str">
        <f>_xlfn.XLOOKUP(CI862, 'Normative data'!$S$9:$S$15, 'Normative data'!$T$9:$T$15, "Not Found", -1)</f>
        <v>not completed</v>
      </c>
      <c r="CK862" s="17">
        <v>2.15</v>
      </c>
      <c r="CL862" s="17">
        <v>4.6500000000000004</v>
      </c>
      <c r="CN862" s="17">
        <v>6.45</v>
      </c>
      <c r="CO862" s="17">
        <v>7.75</v>
      </c>
      <c r="CP862" s="68"/>
      <c r="CQ862" s="67"/>
      <c r="CR862" s="20" t="str" cm="1">
        <f t="array" ref="CR862">IF(OR(ISBLANK(E862),ISBLANK(CQ862)),"Incomplete",_xlfn.XLOOKUP(CQ862,_xlfn.XLOOKUP(E862,'Normative data'!$Y$3:$Y$6,'Normative data'!$Z$3:$AG$6,,-1),'Normative data'!$Z$2:$AG$2,"Not Found",-1))</f>
        <v>Incomplete</v>
      </c>
      <c r="CS862" s="68"/>
      <c r="CT862" s="66"/>
      <c r="CU862" s="20" t="str" cm="1">
        <f t="array" ref="CU862">_xlfn.XLOOKUP(CS862&amp;CT862,(VLOOKUP!$A$3:$A$250)&amp;(VLOOKUP!$B$3:$B$250),VLOOKUP!$C$3:$C$250,"Incomplete",-1)</f>
        <v>Incomplete</v>
      </c>
      <c r="CV862" s="20" t="str" cm="1">
        <f t="array" ref="CV862">_xlfn.XLOOKUP(CU862, _xlfn.XLOOKUP(E862, 'Normative data'!$Y$11:$Y$14, 'Normative data'!$Z$11:$AG$14, ,-1), 'Normative data'!$Z$10:$AG$10, "Not Found", -1)</f>
        <v>Excellent</v>
      </c>
      <c r="CW862" s="20" t="str" cm="1">
        <f t="array" ref="CW862">IF(OR(ISBLANK(CS862),ISBLANK(CT862)),"Incomplete",_xlfn.XLOOKUP(CS862&amp;CT862,VLOOKUP!$A$4:$A$250&amp;VLOOKUP!$B$4:$B$250,VLOOKUP!$D$4:$D$250,"0"))</f>
        <v>Incomplete</v>
      </c>
    </row>
    <row r="863" spans="1:101">
      <c r="A863" s="94" t="s">
        <v>1545</v>
      </c>
      <c r="B863" s="94" t="s">
        <v>1546</v>
      </c>
      <c r="C863" s="64" t="s">
        <v>86</v>
      </c>
      <c r="D863" s="97">
        <v>39547</v>
      </c>
      <c r="E863" s="64"/>
      <c r="F863" s="64">
        <v>11</v>
      </c>
      <c r="G863" s="64">
        <v>2025</v>
      </c>
      <c r="H863" s="66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  <c r="AD863" s="66"/>
      <c r="AE863" s="66"/>
      <c r="AF863" s="66"/>
      <c r="AG863" s="66"/>
      <c r="AH863" s="66"/>
      <c r="AI863" s="66"/>
      <c r="AJ863" s="66"/>
      <c r="AK863" s="66"/>
      <c r="AL863" s="66"/>
      <c r="AM863" s="66"/>
      <c r="AN863" s="66"/>
      <c r="AO863" s="66"/>
      <c r="AP863" s="66"/>
      <c r="AQ863" s="66"/>
      <c r="AR863" s="66"/>
      <c r="AS863" s="66"/>
      <c r="AT863" s="66"/>
      <c r="AU863" s="66"/>
      <c r="AV863" s="66"/>
      <c r="AW863" s="66"/>
      <c r="AX863" s="66"/>
      <c r="AY863" s="41" t="str">
        <f t="shared" si="266"/>
        <v>Incomplete</v>
      </c>
      <c r="AZ863" s="66"/>
      <c r="BA863" s="20" t="str">
        <f t="shared" si="267"/>
        <v>Incomplete</v>
      </c>
      <c r="BB863" s="66"/>
      <c r="BC863" s="20" t="str">
        <f t="shared" si="268"/>
        <v>Incomplete</v>
      </c>
      <c r="BD863" s="66"/>
      <c r="BE863" s="20" t="str">
        <f t="shared" si="269"/>
        <v>Incomplete</v>
      </c>
      <c r="BF863" s="66"/>
      <c r="BG863" s="66">
        <v>17.5</v>
      </c>
      <c r="BH863" s="66">
        <v>50</v>
      </c>
      <c r="BI863" s="20">
        <f t="shared" si="270"/>
        <v>32.5</v>
      </c>
      <c r="BJ863" s="66"/>
      <c r="BK863" s="66">
        <v>9</v>
      </c>
      <c r="BL863" s="66"/>
      <c r="BM863" s="66">
        <v>10</v>
      </c>
      <c r="BN863" s="66"/>
      <c r="BO863" s="66"/>
      <c r="BP863" s="66"/>
      <c r="BQ863" s="66"/>
      <c r="BR863" s="66"/>
      <c r="BS863" s="66"/>
      <c r="BT863" s="66"/>
      <c r="BU863" s="66"/>
      <c r="BV863" s="66"/>
      <c r="BW863" s="91" t="str">
        <f t="shared" si="264"/>
        <v>Incomplete</v>
      </c>
      <c r="BX863" s="91" t="str">
        <f>_xlfn.XLOOKUP(BW863,'Normative data'!$V$3:$V$6,'Normative data'!$W$3:$W$6,"Not Found",-1)</f>
        <v>Very low risk</v>
      </c>
      <c r="BY863" s="91" t="str">
        <f t="shared" si="265"/>
        <v>Incomplete</v>
      </c>
      <c r="BZ863" s="91" t="str">
        <f>_xlfn.XLOOKUP(BY863,'Normative data'!$V$3:$V$6,'Normative data'!$W$3:$W$6,"Not Found",-1)</f>
        <v>Very low risk</v>
      </c>
      <c r="CA863" s="66"/>
      <c r="CB863" s="66"/>
      <c r="CC863" s="20"/>
      <c r="CD863" s="66"/>
      <c r="CE863" s="66"/>
      <c r="CF863" s="66"/>
      <c r="CG863" s="66"/>
      <c r="CH863" s="20" t="str">
        <f>_xlfn.XLOOKUP(CG863, 'Normative data'!$S$9:$S$15,'Normative data'!$T$9:$T$15, "Not Found", -1)</f>
        <v>not completed</v>
      </c>
      <c r="CI863" s="66"/>
      <c r="CJ863" s="20" t="str">
        <f>_xlfn.XLOOKUP(CI863, 'Normative data'!$S$9:$S$15, 'Normative data'!$T$9:$T$15, "Not Found", -1)</f>
        <v>not completed</v>
      </c>
      <c r="CK863" s="105"/>
      <c r="CL863" s="105"/>
      <c r="CM863" s="105"/>
      <c r="CN863" s="105"/>
      <c r="CO863" s="105"/>
      <c r="CP863" s="110"/>
      <c r="CQ863" s="68"/>
      <c r="CR863" s="20" t="str" cm="1">
        <f t="array" ref="CR863">IF(OR(ISBLANK(E863),ISBLANK(CQ863)),"Incomplete",_xlfn.XLOOKUP(CQ863,_xlfn.XLOOKUP(E863,'Normative data'!$Y$3:$Y$6,'Normative data'!$Z$3:$AG$6,,-1),'Normative data'!$Z$2:$AG$2,"Not Found",-1))</f>
        <v>Incomplete</v>
      </c>
      <c r="CS863" s="68"/>
      <c r="CT863" s="66"/>
      <c r="CU863" s="20" t="str" cm="1">
        <f t="array" ref="CU863">_xlfn.XLOOKUP(CS863&amp;CT863,(VLOOKUP!$A$3:$A$250)&amp;(VLOOKUP!$B$3:$B$250),VLOOKUP!$C$3:$C$250,"Incomplete",-1)</f>
        <v>Incomplete</v>
      </c>
      <c r="CV863" s="20" t="str" cm="1">
        <f t="array" ref="CV863">_xlfn.XLOOKUP(CU863, _xlfn.XLOOKUP(E863, 'Normative data'!$Y$11:$Y$14, 'Normative data'!$Z$11:$AG$14, ,-1), 'Normative data'!$Z$10:$AG$10, "Not Found", -1)</f>
        <v>Excellent</v>
      </c>
      <c r="CW863" s="20" t="str" cm="1">
        <f t="array" ref="CW863">IF(OR(ISBLANK(CS863),ISBLANK(CT863)),"Incomplete",_xlfn.XLOOKUP(CS863&amp;CT863,VLOOKUP!$A$4:$A$250&amp;VLOOKUP!$B$4:$B$250,VLOOKUP!$D$4:$D$250,"0"))</f>
        <v>Incomplete</v>
      </c>
    </row>
    <row r="864" spans="1:101">
      <c r="A864" s="94" t="s">
        <v>1545</v>
      </c>
      <c r="B864" s="94" t="s">
        <v>1546</v>
      </c>
      <c r="C864" s="64" t="s">
        <v>86</v>
      </c>
      <c r="D864" s="97">
        <v>39547</v>
      </c>
      <c r="E864" s="64"/>
      <c r="F864" s="64">
        <v>11</v>
      </c>
      <c r="G864" s="64">
        <v>2025</v>
      </c>
      <c r="H864" s="66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  <c r="AD864" s="66"/>
      <c r="AE864" s="66"/>
      <c r="AF864" s="66"/>
      <c r="AG864" s="66"/>
      <c r="AH864" s="66"/>
      <c r="AI864" s="66"/>
      <c r="AJ864" s="66"/>
      <c r="AK864" s="66"/>
      <c r="AL864" s="66"/>
      <c r="AM864" s="66"/>
      <c r="AN864" s="66"/>
      <c r="AO864" s="66"/>
      <c r="AP864" s="66"/>
      <c r="AQ864" s="20"/>
      <c r="AR864" s="20"/>
      <c r="AS864" s="20"/>
      <c r="AT864" s="20"/>
      <c r="AU864" s="20"/>
      <c r="AV864" s="20"/>
      <c r="AW864" s="20"/>
      <c r="AX864" s="20"/>
      <c r="AY864" s="41" t="str">
        <f t="shared" si="266"/>
        <v>Incomplete</v>
      </c>
      <c r="AZ864" s="66"/>
      <c r="BA864" s="20" t="str">
        <f t="shared" si="267"/>
        <v>Incomplete</v>
      </c>
      <c r="BB864" s="66"/>
      <c r="BC864" s="20" t="str">
        <f t="shared" si="268"/>
        <v>Incomplete</v>
      </c>
      <c r="BD864" s="66"/>
      <c r="BE864" s="20" t="str">
        <f t="shared" si="269"/>
        <v>Incomplete</v>
      </c>
      <c r="BF864" s="66"/>
      <c r="BG864" s="66">
        <v>17.5</v>
      </c>
      <c r="BH864" s="66">
        <v>50</v>
      </c>
      <c r="BI864" s="20">
        <f t="shared" si="270"/>
        <v>32.5</v>
      </c>
      <c r="BJ864" s="66"/>
      <c r="BK864" s="66">
        <v>9</v>
      </c>
      <c r="BL864" s="66"/>
      <c r="BM864" s="66">
        <v>10</v>
      </c>
      <c r="BN864" s="66"/>
      <c r="BO864" s="66"/>
      <c r="BP864" s="66"/>
      <c r="BQ864" s="66"/>
      <c r="BR864" s="66"/>
      <c r="BS864" s="66"/>
      <c r="BT864" s="66"/>
      <c r="BU864" s="66"/>
      <c r="BV864" s="66"/>
      <c r="BW864" s="91" t="str">
        <f t="shared" si="264"/>
        <v>Incomplete</v>
      </c>
      <c r="BX864" s="91" t="str">
        <f>_xlfn.XLOOKUP(BW864,'Normative data'!$V$3:$V$6,'Normative data'!$W$3:$W$6,"Not Found",-1)</f>
        <v>Very low risk</v>
      </c>
      <c r="BY864" s="91" t="str">
        <f t="shared" si="265"/>
        <v>Incomplete</v>
      </c>
      <c r="BZ864" s="91" t="str">
        <f>_xlfn.XLOOKUP(BY864,'Normative data'!$V$3:$V$6,'Normative data'!$W$3:$W$6,"Not Found",-1)</f>
        <v>Very low risk</v>
      </c>
      <c r="CA864" s="66"/>
      <c r="CB864" s="66"/>
      <c r="CC864" s="66"/>
      <c r="CD864" s="66"/>
      <c r="CE864" s="66"/>
      <c r="CF864" s="66"/>
      <c r="CG864" s="20"/>
      <c r="CH864" s="20" t="str">
        <f>_xlfn.XLOOKUP(CG864, 'Normative data'!$S$9:$S$15,'Normative data'!$T$9:$T$15, "Not Found", -1)</f>
        <v>not completed</v>
      </c>
      <c r="CI864" s="20"/>
      <c r="CJ864" s="20" t="str">
        <f>_xlfn.XLOOKUP(CI864, 'Normative data'!$S$9:$S$15, 'Normative data'!$T$9:$T$15, "Not Found", -1)</f>
        <v>not completed</v>
      </c>
      <c r="CK864" s="24">
        <v>2.17</v>
      </c>
      <c r="CL864" s="24">
        <v>4.6100000000000003</v>
      </c>
      <c r="CM864" s="21"/>
      <c r="CN864" s="24">
        <v>7.06</v>
      </c>
      <c r="CO864" s="24">
        <v>7.08</v>
      </c>
      <c r="CP864" s="110"/>
      <c r="CQ864" s="68"/>
      <c r="CR864" s="20" t="str" cm="1">
        <f t="array" ref="CR864">IF(OR(ISBLANK(E864),ISBLANK(CQ864)),"Incomplete",_xlfn.XLOOKUP(CQ864,_xlfn.XLOOKUP(E864,'Normative data'!$Y$3:$Y$6,'Normative data'!$Z$3:$AG$6,,-1),'Normative data'!$Z$2:$AG$2,"Not Found",-1))</f>
        <v>Incomplete</v>
      </c>
      <c r="CS864" s="68"/>
      <c r="CT864" s="66"/>
      <c r="CU864" s="20" t="str" cm="1">
        <f t="array" ref="CU864">_xlfn.XLOOKUP(CS864&amp;CT864,(VLOOKUP!$A$3:$A$250)&amp;(VLOOKUP!$B$3:$B$250),VLOOKUP!$C$3:$C$250,"Incomplete",-1)</f>
        <v>Incomplete</v>
      </c>
      <c r="CV864" s="20" t="str" cm="1">
        <f t="array" ref="CV864">_xlfn.XLOOKUP(CU864, _xlfn.XLOOKUP(E864, 'Normative data'!$Y$11:$Y$14, 'Normative data'!$Z$11:$AG$14, ,-1), 'Normative data'!$Z$10:$AG$10, "Not Found", -1)</f>
        <v>Excellent</v>
      </c>
      <c r="CW864" s="20" t="str" cm="1">
        <f t="array" ref="CW864">IF(OR(ISBLANK(CS864),ISBLANK(CT864)),"Incomplete",_xlfn.XLOOKUP(CS864&amp;CT864,VLOOKUP!$A$4:$A$250&amp;VLOOKUP!$B$4:$B$250,VLOOKUP!$D$4:$D$250,"0"))</f>
        <v>Incomplete</v>
      </c>
    </row>
    <row r="865" spans="1:101">
      <c r="A865" s="64" t="s">
        <v>1545</v>
      </c>
      <c r="B865" s="64" t="s">
        <v>1546</v>
      </c>
      <c r="C865" s="64" t="s">
        <v>86</v>
      </c>
      <c r="D865" s="97">
        <v>39547</v>
      </c>
      <c r="E865" s="64"/>
      <c r="F865" s="64">
        <v>11</v>
      </c>
      <c r="G865" s="64">
        <v>2025</v>
      </c>
      <c r="H865" s="66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  <c r="AD865" s="66"/>
      <c r="AE865" s="66"/>
      <c r="AF865" s="66"/>
      <c r="AG865" s="66"/>
      <c r="AH865" s="66"/>
      <c r="AI865" s="66"/>
      <c r="AJ865" s="66"/>
      <c r="AK865" s="66"/>
      <c r="AL865" s="66"/>
      <c r="AM865" s="66"/>
      <c r="AN865" s="66"/>
      <c r="AO865" s="66"/>
      <c r="AP865" s="66"/>
      <c r="AQ865" s="20"/>
      <c r="AR865" s="20"/>
      <c r="AS865" s="20"/>
      <c r="AT865" s="20"/>
      <c r="AU865" s="20"/>
      <c r="AV865" s="20"/>
      <c r="AW865" s="20"/>
      <c r="AX865" s="20"/>
      <c r="AY865" s="41" t="str">
        <f t="shared" si="266"/>
        <v>Incomplete</v>
      </c>
      <c r="AZ865" s="66"/>
      <c r="BA865" s="20" t="str">
        <f t="shared" si="267"/>
        <v>Incomplete</v>
      </c>
      <c r="BB865" s="66"/>
      <c r="BC865" s="20" t="str">
        <f t="shared" si="268"/>
        <v>Incomplete</v>
      </c>
      <c r="BD865" s="66"/>
      <c r="BE865" s="20" t="str">
        <f t="shared" si="269"/>
        <v>Incomplete</v>
      </c>
      <c r="BF865" s="66"/>
      <c r="BG865" s="66"/>
      <c r="BH865" s="66"/>
      <c r="BI865" s="20" t="str">
        <f t="shared" si="270"/>
        <v>Incomplete</v>
      </c>
      <c r="BJ865" s="66"/>
      <c r="BK865" s="66"/>
      <c r="BL865" s="66"/>
      <c r="BM865" s="20"/>
      <c r="BN865" s="66"/>
      <c r="BO865" s="66"/>
      <c r="BP865" s="66"/>
      <c r="BQ865" s="66"/>
      <c r="BR865" s="66"/>
      <c r="BS865" s="66"/>
      <c r="BT865" s="66"/>
      <c r="BU865" s="66"/>
      <c r="BV865" s="66"/>
      <c r="BW865" s="91" t="str">
        <f t="shared" si="264"/>
        <v>Incomplete</v>
      </c>
      <c r="BX865" s="91" t="str">
        <f>_xlfn.XLOOKUP(BW865,'Normative data'!$V$3:$V$6,'Normative data'!$W$3:$W$6,"Not Found",-1)</f>
        <v>Very low risk</v>
      </c>
      <c r="BY865" s="91" t="str">
        <f t="shared" si="265"/>
        <v>Incomplete</v>
      </c>
      <c r="BZ865" s="91" t="str">
        <f>_xlfn.XLOOKUP(BY865,'Normative data'!$V$3:$V$6,'Normative data'!$W$3:$W$6,"Not Found",-1)</f>
        <v>Very low risk</v>
      </c>
      <c r="CA865" s="66"/>
      <c r="CB865" s="66"/>
      <c r="CC865" s="66"/>
      <c r="CD865" s="66"/>
      <c r="CE865" s="66"/>
      <c r="CF865" s="66"/>
      <c r="CG865" s="20"/>
      <c r="CH865" s="20" t="str">
        <f>_xlfn.XLOOKUP(CG865, 'Normative data'!$S$9:$S$15,'Normative data'!$T$9:$T$15, "Not Found", -1)</f>
        <v>not completed</v>
      </c>
      <c r="CI865" s="20"/>
      <c r="CJ865" s="20" t="str">
        <f>_xlfn.XLOOKUP(CI865, 'Normative data'!$S$9:$S$15, 'Normative data'!$T$9:$T$15, "Not Found", -1)</f>
        <v>not completed</v>
      </c>
      <c r="CK865" s="20" t="s">
        <v>335</v>
      </c>
      <c r="CL865" s="20" t="s">
        <v>596</v>
      </c>
      <c r="CN865" s="20" t="s">
        <v>1547</v>
      </c>
      <c r="CO865" s="20" t="s">
        <v>1548</v>
      </c>
      <c r="CP865" s="68"/>
      <c r="CQ865" s="68"/>
      <c r="CR865" s="20" t="str" cm="1">
        <f t="array" ref="CR865">IF(OR(ISBLANK(E865),ISBLANK(CQ865)),"Incomplete",_xlfn.XLOOKUP(CQ865,_xlfn.XLOOKUP(E865,'Normative data'!$Y$3:$Y$6,'Normative data'!$Z$3:$AG$6,,-1),'Normative data'!$Z$2:$AG$2,"Not Found",-1))</f>
        <v>Incomplete</v>
      </c>
      <c r="CS865" s="68"/>
      <c r="CT865" s="66"/>
      <c r="CU865" s="20" t="str" cm="1">
        <f t="array" ref="CU865">_xlfn.XLOOKUP(CS865&amp;CT865,(VLOOKUP!$A$3:$A$250)&amp;(VLOOKUP!$B$3:$B$250),VLOOKUP!$C$3:$C$250,"Incomplete",-1)</f>
        <v>Incomplete</v>
      </c>
      <c r="CV865" s="20" t="str" cm="1">
        <f t="array" ref="CV865">_xlfn.XLOOKUP(CU865, _xlfn.XLOOKUP(E865, 'Normative data'!$Y$11:$Y$14, 'Normative data'!$Z$11:$AG$14, ,-1), 'Normative data'!$Z$10:$AG$10, "Not Found", -1)</f>
        <v>Excellent</v>
      </c>
      <c r="CW865" s="20" t="str" cm="1">
        <f t="array" ref="CW865">IF(OR(ISBLANK(CS865),ISBLANK(CT865)),"Incomplete",_xlfn.XLOOKUP(CS865&amp;CT865,VLOOKUP!$A$4:$A$250&amp;VLOOKUP!$B$4:$B$250,VLOOKUP!$D$4:$D$250,"0"))</f>
        <v>Incomplete</v>
      </c>
    </row>
    <row r="866" spans="1:101">
      <c r="A866" s="93" t="s">
        <v>674</v>
      </c>
      <c r="B866" s="93" t="s">
        <v>1546</v>
      </c>
      <c r="C866" s="64" t="s">
        <v>86</v>
      </c>
      <c r="D866" s="96">
        <v>40068</v>
      </c>
      <c r="E866" s="64"/>
      <c r="F866" s="64">
        <v>10</v>
      </c>
      <c r="G866" s="64">
        <v>2025</v>
      </c>
      <c r="H866" s="66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  <c r="AD866" s="66"/>
      <c r="AE866" s="66"/>
      <c r="AF866" s="66"/>
      <c r="AG866" s="66"/>
      <c r="AH866" s="66"/>
      <c r="AI866" s="66"/>
      <c r="AJ866" s="66"/>
      <c r="AK866" s="66"/>
      <c r="AL866" s="66"/>
      <c r="AM866" s="66"/>
      <c r="AN866" s="66"/>
      <c r="AO866" s="66"/>
      <c r="AP866" s="66"/>
      <c r="AQ866" s="20"/>
      <c r="AR866" s="20"/>
      <c r="AS866" s="20"/>
      <c r="AT866" s="20"/>
      <c r="AU866" s="20"/>
      <c r="AV866" s="20"/>
      <c r="AW866" s="20"/>
      <c r="AX866" s="20"/>
      <c r="AY866" s="41" t="str">
        <f t="shared" si="266"/>
        <v>Incomplete</v>
      </c>
      <c r="AZ866" s="66"/>
      <c r="BA866" s="20" t="str">
        <f t="shared" si="267"/>
        <v>Incomplete</v>
      </c>
      <c r="BB866" s="66"/>
      <c r="BC866" s="20" t="str">
        <f t="shared" si="268"/>
        <v>Incomplete</v>
      </c>
      <c r="BD866" s="66"/>
      <c r="BE866" s="20" t="str">
        <f t="shared" si="269"/>
        <v>Incomplete</v>
      </c>
      <c r="BF866" s="66"/>
      <c r="BG866" s="66">
        <v>7</v>
      </c>
      <c r="BH866" s="66">
        <v>17</v>
      </c>
      <c r="BI866" s="20" t="e">
        <f>IF(OR(ISBLANK(#REF!), ISBLANK(#REF!)),"Incomplete",(SUM(#REF!-#REF!)))</f>
        <v>#REF!</v>
      </c>
      <c r="BJ866" s="66"/>
      <c r="BK866" s="66"/>
      <c r="BL866" s="66"/>
      <c r="BM866" s="66"/>
      <c r="BN866" s="66"/>
      <c r="BO866" s="66"/>
      <c r="BP866" s="66"/>
      <c r="BQ866" s="66"/>
      <c r="BR866" s="66"/>
      <c r="BS866" s="66"/>
      <c r="BT866" s="66"/>
      <c r="BU866" s="66"/>
      <c r="BV866" s="66"/>
      <c r="BW866" s="91" t="str">
        <f t="shared" si="264"/>
        <v>Incomplete</v>
      </c>
      <c r="BX866" s="91" t="str">
        <f>_xlfn.XLOOKUP(BW866,'Normative data'!$V$3:$V$6,'Normative data'!$W$3:$W$6,"Not Found",-1)</f>
        <v>Very low risk</v>
      </c>
      <c r="BY866" s="91" t="str">
        <f t="shared" si="265"/>
        <v>Incomplete</v>
      </c>
      <c r="BZ866" s="91" t="str">
        <f>_xlfn.XLOOKUP(BY866,'Normative data'!$V$3:$V$6,'Normative data'!$W$3:$W$6,"Not Found",-1)</f>
        <v>Very low risk</v>
      </c>
      <c r="CA866" s="66"/>
      <c r="CB866" s="66"/>
      <c r="CC866" s="20"/>
      <c r="CD866" s="66"/>
      <c r="CE866" s="66"/>
      <c r="CF866" s="66"/>
      <c r="CG866" s="66"/>
      <c r="CH866" s="20" t="str">
        <f>_xlfn.XLOOKUP(CG866, 'Normative data'!$S$9:$S$15,'Normative data'!$T$9:$T$15, "Not Found", -1)</f>
        <v>not completed</v>
      </c>
      <c r="CI866" s="66"/>
      <c r="CJ866" s="20" t="str">
        <f>_xlfn.XLOOKUP(CI866, 'Normative data'!$S$9:$S$15, 'Normative data'!$T$9:$T$15, "Not Found", -1)</f>
        <v>not completed</v>
      </c>
      <c r="CK866" s="105">
        <v>2.52</v>
      </c>
      <c r="CL866" s="105">
        <v>3.97</v>
      </c>
      <c r="CM866" s="105"/>
      <c r="CN866" s="105">
        <v>7.77</v>
      </c>
      <c r="CO866" s="105">
        <v>6.44</v>
      </c>
      <c r="CP866" s="109"/>
      <c r="CQ866" s="68"/>
      <c r="CR866" s="20" t="str" cm="1">
        <f t="array" ref="CR866">IF(OR(ISBLANK(E866),ISBLANK(CQ866)),"Incomplete",_xlfn.XLOOKUP(CQ866,_xlfn.XLOOKUP(E866,'Normative data'!$Y$3:$Y$6,'Normative data'!$Z$3:$AG$6,,-1),'Normative data'!$Z$2:$AG$2,"Not Found",-1))</f>
        <v>Incomplete</v>
      </c>
      <c r="CS866" s="68"/>
      <c r="CT866" s="66"/>
      <c r="CU866" s="20" t="str" cm="1">
        <f t="array" ref="CU866">_xlfn.XLOOKUP(CS866&amp;CT866,(VLOOKUP!$A$3:$A$250)&amp;(VLOOKUP!$B$3:$B$250),VLOOKUP!$C$3:$C$250,"Incomplete",-1)</f>
        <v>Incomplete</v>
      </c>
      <c r="CV866" s="20" t="str" cm="1">
        <f t="array" ref="CV866">_xlfn.XLOOKUP(CU866, _xlfn.XLOOKUP(E866, 'Normative data'!$Y$11:$Y$14, 'Normative data'!$Z$11:$AG$14, ,-1), 'Normative data'!$Z$10:$AG$10, "Not Found", -1)</f>
        <v>Excellent</v>
      </c>
      <c r="CW866" s="20" t="str" cm="1">
        <f t="array" ref="CW866">IF(OR(ISBLANK(CS866),ISBLANK(CT866)),"Incomplete",_xlfn.XLOOKUP(CS866&amp;CT866,VLOOKUP!$A$4:$A$250&amp;VLOOKUP!$B$4:$B$250,VLOOKUP!$D$4:$D$250,"0"))</f>
        <v>Incomplete</v>
      </c>
    </row>
    <row r="867" spans="1:101">
      <c r="A867" s="64" t="s">
        <v>927</v>
      </c>
      <c r="B867" s="64" t="s">
        <v>926</v>
      </c>
      <c r="C867" s="64" t="s">
        <v>86</v>
      </c>
      <c r="D867" s="65"/>
      <c r="E867" s="64"/>
      <c r="F867" s="66" t="s">
        <v>104</v>
      </c>
      <c r="G867" s="64">
        <v>2026</v>
      </c>
      <c r="H867" s="66"/>
      <c r="I867" s="66">
        <v>2</v>
      </c>
      <c r="J867" s="66" t="s">
        <v>100</v>
      </c>
      <c r="K867" s="66" t="s">
        <v>173</v>
      </c>
      <c r="L867" s="66"/>
      <c r="M867" s="64"/>
      <c r="N867" s="64"/>
      <c r="O867" s="64"/>
      <c r="P867" s="64"/>
      <c r="Q867" s="64"/>
      <c r="R867" s="64"/>
      <c r="S867" s="66"/>
      <c r="T867" s="66">
        <v>161.30000000000001</v>
      </c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  <c r="AG867" s="64"/>
      <c r="AH867" s="64"/>
      <c r="AI867" s="64"/>
      <c r="AJ867" s="64"/>
      <c r="AK867" s="64"/>
      <c r="AL867" s="64"/>
      <c r="AM867" s="64"/>
      <c r="AN867" s="64"/>
      <c r="AO867" s="64"/>
      <c r="AP867" s="64"/>
      <c r="AQ867" s="66"/>
      <c r="AR867" s="66"/>
      <c r="AS867" s="66"/>
      <c r="AT867" s="66"/>
      <c r="AU867" s="66"/>
      <c r="AV867" s="66"/>
      <c r="AW867" s="66"/>
      <c r="AX867" s="66"/>
      <c r="AY867" s="41" t="str">
        <f t="shared" si="266"/>
        <v>Incomplete</v>
      </c>
      <c r="AZ867" s="64"/>
      <c r="BA867" s="20" t="str">
        <f t="shared" si="267"/>
        <v>Incomplete</v>
      </c>
      <c r="BB867" s="64"/>
      <c r="BC867" s="20" t="str">
        <f t="shared" si="268"/>
        <v>Incomplete</v>
      </c>
      <c r="BD867" s="64"/>
      <c r="BE867" s="20" t="str">
        <f t="shared" si="269"/>
        <v>Incomplete</v>
      </c>
      <c r="BF867" s="64"/>
      <c r="BG867" s="64"/>
      <c r="BH867" s="66"/>
      <c r="BI867" s="20" t="str">
        <f t="shared" ref="BI867:BI875" si="271">IF(OR(ISBLANK(BG867), ISBLANK(BH867)),"Incomplete",(SUM(BH867-BG867)))</f>
        <v>Incomplete</v>
      </c>
      <c r="BJ867" s="66"/>
      <c r="BK867" s="64"/>
      <c r="BL867" s="66"/>
      <c r="BM867" s="66"/>
      <c r="BN867" s="66"/>
      <c r="BO867" s="64"/>
      <c r="BP867" s="64"/>
      <c r="BQ867" s="64"/>
      <c r="BR867" s="64"/>
      <c r="BS867" s="64"/>
      <c r="BT867" s="64"/>
      <c r="BU867" s="64"/>
      <c r="BV867" s="64"/>
      <c r="BW867" s="91">
        <f t="shared" si="264"/>
        <v>0</v>
      </c>
      <c r="BX867" s="91" t="str">
        <f>_xlfn.XLOOKUP(BW867,'Normative data'!$V$3:$V$6,'Normative data'!$W$3:$W$6,"Not Found",-1)</f>
        <v>Not completed</v>
      </c>
      <c r="BY867" s="91">
        <f t="shared" si="265"/>
        <v>0</v>
      </c>
      <c r="BZ867" s="91" t="str">
        <f>_xlfn.XLOOKUP(BY867,'Normative data'!$V$3:$V$6,'Normative data'!$W$3:$W$6,"Not Found",-1)</f>
        <v>Not completed</v>
      </c>
      <c r="CA867" s="64"/>
      <c r="CB867" s="66"/>
      <c r="CD867" s="66"/>
      <c r="CE867" s="64"/>
      <c r="CF867" s="66"/>
      <c r="CG867" s="66"/>
      <c r="CH867" s="20" t="str">
        <f>_xlfn.XLOOKUP(CG867, 'Normative data'!$S$9:$S$15,'Normative data'!$T$9:$T$15, "Not Found", -1)</f>
        <v>not completed</v>
      </c>
      <c r="CI867" s="66"/>
      <c r="CJ867" s="20" t="str">
        <f>_xlfn.XLOOKUP(CI867, 'Normative data'!$S$9:$S$15, 'Normative data'!$T$9:$T$15, "Not Found", -1)</f>
        <v>not completed</v>
      </c>
      <c r="CK867" s="21"/>
      <c r="CL867" s="21"/>
      <c r="CM867" s="21"/>
      <c r="CN867" s="21"/>
      <c r="CO867" s="21"/>
      <c r="CP867" s="68"/>
      <c r="CQ867" s="67"/>
      <c r="CR867" s="20" t="str" cm="1">
        <f t="array" ref="CR867">IF(OR(ISBLANK(E867),ISBLANK(CQ867)),"Incomplete",_xlfn.XLOOKUP(CQ867,_xlfn.XLOOKUP(E867,'Normative data'!$Y$3:$Y$6,'Normative data'!$Z$3:$AG$6,,-1),'Normative data'!$Z$2:$AG$2,"Not Found",-1))</f>
        <v>Incomplete</v>
      </c>
      <c r="CS867" s="68"/>
      <c r="CT867" s="66"/>
      <c r="CU867" s="20" t="str" cm="1">
        <f t="array" ref="CU867">_xlfn.XLOOKUP(CS867&amp;CT867,(VLOOKUP!$A$3:$A$250)&amp;(VLOOKUP!$B$3:$B$250),VLOOKUP!$C$3:$C$250,"Incomplete",-1)</f>
        <v>Incomplete</v>
      </c>
      <c r="CV867" s="20" t="str" cm="1">
        <f t="array" ref="CV867">_xlfn.XLOOKUP(CU867, _xlfn.XLOOKUP(E867, 'Normative data'!$Y$11:$Y$14, 'Normative data'!$Z$11:$AG$14, ,-1), 'Normative data'!$Z$10:$AG$10, "Not Found", -1)</f>
        <v>Excellent</v>
      </c>
      <c r="CW867" s="20" t="str" cm="1">
        <f t="array" ref="CW867">IF(OR(ISBLANK(CS867),ISBLANK(CT867)),"Incomplete",_xlfn.XLOOKUP(CS867&amp;CT867,VLOOKUP!$A$4:$A$250&amp;VLOOKUP!$B$4:$B$250,VLOOKUP!$D$4:$D$250,"0"))</f>
        <v>Incomplete</v>
      </c>
    </row>
    <row r="868" spans="1:101">
      <c r="A868" s="64" t="s">
        <v>172</v>
      </c>
      <c r="B868" s="64" t="s">
        <v>171</v>
      </c>
      <c r="C868" s="64" t="s">
        <v>86</v>
      </c>
      <c r="D868" s="65"/>
      <c r="E868" s="64"/>
      <c r="F868" s="64">
        <v>8</v>
      </c>
      <c r="G868" s="64">
        <v>2025</v>
      </c>
      <c r="H868" s="66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  <c r="AD868" s="66"/>
      <c r="AE868" s="66"/>
      <c r="AF868" s="66"/>
      <c r="AG868" s="66"/>
      <c r="AH868" s="66"/>
      <c r="AI868" s="66"/>
      <c r="AJ868" s="66"/>
      <c r="AK868" s="66"/>
      <c r="AL868" s="66"/>
      <c r="AM868" s="66"/>
      <c r="AN868" s="66"/>
      <c r="AO868" s="66"/>
      <c r="AP868" s="66"/>
      <c r="AQ868" s="20"/>
      <c r="AR868" s="20"/>
      <c r="AS868" s="20"/>
      <c r="AT868" s="20"/>
      <c r="AU868" s="20"/>
      <c r="AV868" s="20"/>
      <c r="AW868" s="20"/>
      <c r="AX868" s="20"/>
      <c r="AY868" s="41" t="str">
        <f t="shared" si="266"/>
        <v>Incomplete</v>
      </c>
      <c r="AZ868" s="66"/>
      <c r="BA868" s="20" t="str">
        <f t="shared" si="267"/>
        <v>Incomplete</v>
      </c>
      <c r="BB868" s="66"/>
      <c r="BC868" s="20" t="str">
        <f t="shared" si="268"/>
        <v>Incomplete</v>
      </c>
      <c r="BD868" s="66"/>
      <c r="BE868" s="20" t="str">
        <f t="shared" si="269"/>
        <v>Incomplete</v>
      </c>
      <c r="BF868" s="66"/>
      <c r="BG868" s="66"/>
      <c r="BH868" s="66"/>
      <c r="BI868" s="20" t="str">
        <f t="shared" si="271"/>
        <v>Incomplete</v>
      </c>
      <c r="BJ868" s="66"/>
      <c r="BK868" s="66"/>
      <c r="BL868" s="66"/>
      <c r="BM868" s="66"/>
      <c r="BN868" s="66"/>
      <c r="BO868" s="66"/>
      <c r="BP868" s="66"/>
      <c r="BQ868" s="66"/>
      <c r="BR868" s="66"/>
      <c r="BS868" s="66"/>
      <c r="BT868" s="66"/>
      <c r="BU868" s="66"/>
      <c r="BV868" s="66"/>
      <c r="BW868" s="91" t="str">
        <f t="shared" si="264"/>
        <v>Incomplete</v>
      </c>
      <c r="BX868" s="91" t="str">
        <f>_xlfn.XLOOKUP(BW868,'Normative data'!$V$3:$V$6,'Normative data'!$W$3:$W$6,"Not Found",-1)</f>
        <v>Very low risk</v>
      </c>
      <c r="BY868" s="91" t="str">
        <f t="shared" si="265"/>
        <v>Incomplete</v>
      </c>
      <c r="BZ868" s="91" t="str">
        <f>_xlfn.XLOOKUP(BY868,'Normative data'!$V$3:$V$6,'Normative data'!$W$3:$W$6,"Not Found",-1)</f>
        <v>Very low risk</v>
      </c>
      <c r="CA868" s="66"/>
      <c r="CB868" s="66"/>
      <c r="CC868" s="66"/>
      <c r="CD868" s="66"/>
      <c r="CE868" s="66"/>
      <c r="CF868" s="66"/>
      <c r="CG868" s="20"/>
      <c r="CH868" s="20" t="str">
        <f>_xlfn.XLOOKUP(CG868, 'Normative data'!$S$9:$S$15,'Normative data'!$T$9:$T$15, "Not Found", -1)</f>
        <v>not completed</v>
      </c>
      <c r="CI868" s="20"/>
      <c r="CJ868" s="20" t="str">
        <f>_xlfn.XLOOKUP(CI868, 'Normative data'!$S$9:$S$15, 'Normative data'!$T$9:$T$15, "Not Found", -1)</f>
        <v>not completed</v>
      </c>
      <c r="CK868" s="66" t="s">
        <v>1549</v>
      </c>
      <c r="CL868" s="66" t="s">
        <v>1550</v>
      </c>
      <c r="CM868" s="66"/>
      <c r="CN868" s="66" t="s">
        <v>1551</v>
      </c>
      <c r="CO868" s="66" t="s">
        <v>1552</v>
      </c>
      <c r="CP868" s="68"/>
      <c r="CQ868" s="68"/>
      <c r="CR868" s="20" t="str" cm="1">
        <f t="array" ref="CR868">IF(OR(ISBLANK(E868),ISBLANK(CQ868)),"Incomplete",_xlfn.XLOOKUP(CQ868,_xlfn.XLOOKUP(E868,'Normative data'!$Y$3:$Y$6,'Normative data'!$Z$3:$AG$6,,-1),'Normative data'!$Z$2:$AG$2,"Not Found",-1))</f>
        <v>Incomplete</v>
      </c>
      <c r="CS868" s="68"/>
      <c r="CT868" s="66"/>
      <c r="CU868" s="20" t="str" cm="1">
        <f t="array" ref="CU868">_xlfn.XLOOKUP(CS868&amp;CT868,(VLOOKUP!$A$3:$A$250)&amp;(VLOOKUP!$B$3:$B$250),VLOOKUP!$C$3:$C$250,"Incomplete",-1)</f>
        <v>Incomplete</v>
      </c>
      <c r="CV868" s="20" t="str" cm="1">
        <f t="array" ref="CV868">_xlfn.XLOOKUP(CU868, _xlfn.XLOOKUP(E868, 'Normative data'!$Y$11:$Y$14, 'Normative data'!$Z$11:$AG$14, ,-1), 'Normative data'!$Z$10:$AG$10, "Not Found", -1)</f>
        <v>Excellent</v>
      </c>
      <c r="CW868" s="20" t="str" cm="1">
        <f t="array" ref="CW868">IF(OR(ISBLANK(CS868),ISBLANK(CT868)),"Incomplete",_xlfn.XLOOKUP(CS868&amp;CT868,VLOOKUP!$A$4:$A$250&amp;VLOOKUP!$B$4:$B$250,VLOOKUP!$D$4:$D$250,"0"))</f>
        <v>Incomplete</v>
      </c>
    </row>
    <row r="869" spans="1:101">
      <c r="A869" s="64" t="s">
        <v>645</v>
      </c>
      <c r="B869" s="64" t="s">
        <v>1553</v>
      </c>
      <c r="C869" s="64" t="s">
        <v>86</v>
      </c>
      <c r="D869" s="65"/>
      <c r="E869" s="64"/>
      <c r="F869" s="64">
        <v>10</v>
      </c>
      <c r="G869" s="64">
        <v>2025</v>
      </c>
      <c r="H869" s="66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  <c r="AD869" s="66"/>
      <c r="AE869" s="66"/>
      <c r="AF869" s="66"/>
      <c r="AG869" s="66"/>
      <c r="AH869" s="66"/>
      <c r="AI869" s="66"/>
      <c r="AJ869" s="66"/>
      <c r="AK869" s="66"/>
      <c r="AL869" s="66"/>
      <c r="AM869" s="66"/>
      <c r="AN869" s="66"/>
      <c r="AO869" s="66"/>
      <c r="AP869" s="66"/>
      <c r="AQ869" s="66"/>
      <c r="AR869" s="66"/>
      <c r="AS869" s="66"/>
      <c r="AT869" s="66"/>
      <c r="AU869" s="66"/>
      <c r="AV869" s="66"/>
      <c r="AW869" s="66"/>
      <c r="AX869" s="66"/>
      <c r="AY869" s="41" t="str">
        <f t="shared" si="266"/>
        <v>Incomplete</v>
      </c>
      <c r="AZ869" s="66"/>
      <c r="BA869" s="20" t="str">
        <f t="shared" si="267"/>
        <v>Incomplete</v>
      </c>
      <c r="BB869" s="66"/>
      <c r="BC869" s="20" t="str">
        <f t="shared" si="268"/>
        <v>Incomplete</v>
      </c>
      <c r="BD869" s="66"/>
      <c r="BE869" s="20" t="str">
        <f t="shared" si="269"/>
        <v>Incomplete</v>
      </c>
      <c r="BF869" s="66"/>
      <c r="BG869" s="66"/>
      <c r="BH869" s="66"/>
      <c r="BI869" s="20" t="str">
        <f t="shared" si="271"/>
        <v>Incomplete</v>
      </c>
      <c r="BJ869" s="66"/>
      <c r="BK869" s="66">
        <v>1</v>
      </c>
      <c r="BL869" s="66"/>
      <c r="BM869" s="66">
        <v>2</v>
      </c>
      <c r="BN869" s="66"/>
      <c r="BO869" s="66"/>
      <c r="BP869" s="66"/>
      <c r="BQ869" s="66"/>
      <c r="BR869" s="66"/>
      <c r="BS869" s="66"/>
      <c r="BT869" s="66"/>
      <c r="BU869" s="66"/>
      <c r="BV869" s="66"/>
      <c r="BW869" s="91" t="str">
        <f t="shared" si="264"/>
        <v>Incomplete</v>
      </c>
      <c r="BX869" s="91" t="str">
        <f>_xlfn.XLOOKUP(BW869,'Normative data'!$V$3:$V$6,'Normative data'!$W$3:$W$6,"Not Found",-1)</f>
        <v>Very low risk</v>
      </c>
      <c r="BY869" s="91" t="str">
        <f t="shared" si="265"/>
        <v>Incomplete</v>
      </c>
      <c r="BZ869" s="91" t="str">
        <f>_xlfn.XLOOKUP(BY869,'Normative data'!$V$3:$V$6,'Normative data'!$W$3:$W$6,"Not Found",-1)</f>
        <v>Very low risk</v>
      </c>
      <c r="CA869" s="66"/>
      <c r="CB869" s="66"/>
      <c r="CC869" s="20"/>
      <c r="CD869" s="66"/>
      <c r="CE869" s="66"/>
      <c r="CF869" s="66"/>
      <c r="CG869" s="66"/>
      <c r="CH869" s="20" t="str">
        <f>_xlfn.XLOOKUP(CG869, 'Normative data'!$S$9:$S$15,'Normative data'!$T$9:$T$15, "Not Found", -1)</f>
        <v>not completed</v>
      </c>
      <c r="CI869" s="66"/>
      <c r="CJ869" s="20" t="str">
        <f>_xlfn.XLOOKUP(CI869, 'Normative data'!$S$9:$S$15, 'Normative data'!$T$9:$T$15, "Not Found", -1)</f>
        <v>not completed</v>
      </c>
      <c r="CK869" s="66" t="s">
        <v>428</v>
      </c>
      <c r="CL869" s="66" t="s">
        <v>905</v>
      </c>
      <c r="CM869" s="66"/>
      <c r="CN869" s="66" t="s">
        <v>338</v>
      </c>
      <c r="CO869" s="66" t="s">
        <v>337</v>
      </c>
      <c r="CP869" s="68"/>
      <c r="CQ869" s="68"/>
      <c r="CR869" s="20" t="str" cm="1">
        <f t="array" ref="CR869">IF(OR(ISBLANK(E869),ISBLANK(CQ869)),"Incomplete",_xlfn.XLOOKUP(CQ869,_xlfn.XLOOKUP(E869,'Normative data'!$Y$3:$Y$6,'Normative data'!$Z$3:$AG$6,,-1),'Normative data'!$Z$2:$AG$2,"Not Found",-1))</f>
        <v>Incomplete</v>
      </c>
      <c r="CS869" s="68"/>
      <c r="CT869" s="66"/>
      <c r="CU869" s="20" t="str" cm="1">
        <f t="array" ref="CU869">_xlfn.XLOOKUP(CS869&amp;CT869,(VLOOKUP!$A$3:$A$250)&amp;(VLOOKUP!$B$3:$B$250),VLOOKUP!$C$3:$C$250,"Incomplete",-1)</f>
        <v>Incomplete</v>
      </c>
      <c r="CV869" s="20" t="str" cm="1">
        <f t="array" ref="CV869">_xlfn.XLOOKUP(CU869, _xlfn.XLOOKUP(E869, 'Normative data'!$Y$11:$Y$14, 'Normative data'!$Z$11:$AG$14, ,-1), 'Normative data'!$Z$10:$AG$10, "Not Found", -1)</f>
        <v>Excellent</v>
      </c>
      <c r="CW869" s="20" t="str" cm="1">
        <f t="array" ref="CW869">IF(OR(ISBLANK(CS869),ISBLANK(CT869)),"Incomplete",_xlfn.XLOOKUP(CS869&amp;CT869,VLOOKUP!$A$4:$A$250&amp;VLOOKUP!$B$4:$B$250,VLOOKUP!$D$4:$D$250,"0"))</f>
        <v>Incomplete</v>
      </c>
    </row>
    <row r="870" spans="1:101">
      <c r="A870" s="64" t="s">
        <v>601</v>
      </c>
      <c r="B870" s="64" t="s">
        <v>600</v>
      </c>
      <c r="C870" s="64" t="s">
        <v>86</v>
      </c>
      <c r="D870" s="65"/>
      <c r="E870" s="64"/>
      <c r="F870" s="66">
        <v>12</v>
      </c>
      <c r="G870" s="64">
        <v>2026</v>
      </c>
      <c r="H870" s="66"/>
      <c r="I870" s="66">
        <v>2</v>
      </c>
      <c r="J870" s="66" t="s">
        <v>122</v>
      </c>
      <c r="K870" s="66" t="s">
        <v>95</v>
      </c>
      <c r="L870" s="66"/>
      <c r="M870" s="64"/>
      <c r="N870" s="64"/>
      <c r="O870" s="64"/>
      <c r="P870" s="64"/>
      <c r="Q870" s="64"/>
      <c r="R870" s="64"/>
      <c r="S870" s="66"/>
      <c r="T870" s="66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  <c r="AG870" s="64"/>
      <c r="AH870" s="64"/>
      <c r="AI870" s="64"/>
      <c r="AJ870" s="64"/>
      <c r="AK870" s="64"/>
      <c r="AL870" s="64"/>
      <c r="AM870" s="64"/>
      <c r="AN870" s="64"/>
      <c r="AO870" s="64"/>
      <c r="AP870" s="64"/>
      <c r="AQ870" s="20"/>
      <c r="AR870" s="20"/>
      <c r="AS870" s="20"/>
      <c r="AT870" s="20"/>
      <c r="AU870" s="20"/>
      <c r="AV870" s="20"/>
      <c r="AW870" s="20"/>
      <c r="AX870" s="20"/>
      <c r="AY870" s="41" t="str">
        <f t="shared" si="266"/>
        <v>Incomplete</v>
      </c>
      <c r="AZ870" s="64"/>
      <c r="BA870" s="20" t="str">
        <f t="shared" si="267"/>
        <v>Incomplete</v>
      </c>
      <c r="BB870" s="64"/>
      <c r="BC870" s="20" t="str">
        <f t="shared" si="268"/>
        <v>Incomplete</v>
      </c>
      <c r="BD870" s="64"/>
      <c r="BE870" s="20" t="str">
        <f t="shared" si="269"/>
        <v>Incomplete</v>
      </c>
      <c r="BF870" s="64"/>
      <c r="BG870" s="64"/>
      <c r="BH870" s="66"/>
      <c r="BI870" s="20" t="str">
        <f t="shared" si="271"/>
        <v>Incomplete</v>
      </c>
      <c r="BJ870" s="66"/>
      <c r="BK870" s="64"/>
      <c r="BL870" s="66"/>
      <c r="BM870" s="66"/>
      <c r="BN870" s="66"/>
      <c r="BO870" s="64"/>
      <c r="BP870" s="64"/>
      <c r="BQ870" s="64"/>
      <c r="BR870" s="64"/>
      <c r="BS870" s="64"/>
      <c r="BT870" s="64"/>
      <c r="BU870" s="64"/>
      <c r="BV870" s="64"/>
      <c r="BW870" s="91" t="str">
        <f t="shared" si="264"/>
        <v>Incomplete</v>
      </c>
      <c r="BX870" s="91" t="str">
        <f>_xlfn.XLOOKUP(BW870,'Normative data'!$V$3:$V$6,'Normative data'!$W$3:$W$6,"Not Found",-1)</f>
        <v>Very low risk</v>
      </c>
      <c r="BY870" s="91" t="str">
        <f t="shared" si="265"/>
        <v>Incomplete</v>
      </c>
      <c r="BZ870" s="91" t="str">
        <f>_xlfn.XLOOKUP(BY870,'Normative data'!$V$3:$V$6,'Normative data'!$W$3:$W$6,"Not Found",-1)</f>
        <v>Very low risk</v>
      </c>
      <c r="CA870" s="66"/>
      <c r="CB870" s="66"/>
      <c r="CC870" s="20"/>
      <c r="CD870" s="66"/>
      <c r="CE870" s="66"/>
      <c r="CF870" s="66"/>
      <c r="CG870" s="20"/>
      <c r="CH870" s="20" t="str">
        <f>_xlfn.XLOOKUP(CG870, 'Normative data'!$S$9:$S$15,'Normative data'!$T$9:$T$15, "Not Found", -1)</f>
        <v>not completed</v>
      </c>
      <c r="CI870" s="20"/>
      <c r="CJ870" s="20" t="str">
        <f>_xlfn.XLOOKUP(CI870, 'Normative data'!$S$9:$S$15, 'Normative data'!$T$9:$T$15, "Not Found", -1)</f>
        <v>not completed</v>
      </c>
      <c r="CK870" s="105"/>
      <c r="CL870" s="105"/>
      <c r="CM870" s="105"/>
      <c r="CN870" s="105"/>
      <c r="CO870" s="105"/>
      <c r="CP870" s="68"/>
      <c r="CQ870" s="67"/>
      <c r="CR870" s="20" t="str" cm="1">
        <f t="array" ref="CR870">IF(OR(ISBLANK(E870),ISBLANK(CQ870)),"Incomplete",_xlfn.XLOOKUP(CQ870,_xlfn.XLOOKUP(E870,'Normative data'!$Y$3:$Y$6,'Normative data'!$Z$3:$AG$6,,-1),'Normative data'!$Z$2:$AG$2,"Not Found",-1))</f>
        <v>Incomplete</v>
      </c>
      <c r="CS870" s="68"/>
      <c r="CT870" s="66"/>
      <c r="CU870" s="20" t="str" cm="1">
        <f t="array" ref="CU870">_xlfn.XLOOKUP(CS870&amp;CT870,(VLOOKUP!$A$3:$A$250)&amp;(VLOOKUP!$B$3:$B$250),VLOOKUP!$C$3:$C$250,"Incomplete",-1)</f>
        <v>Incomplete</v>
      </c>
      <c r="CV870" s="20" t="str" cm="1">
        <f t="array" ref="CV870">_xlfn.XLOOKUP(CU870, _xlfn.XLOOKUP(E870, 'Normative data'!$Y$11:$Y$14, 'Normative data'!$Z$11:$AG$14, ,-1), 'Normative data'!$Z$10:$AG$10, "Not Found", -1)</f>
        <v>Excellent</v>
      </c>
      <c r="CW870" s="20" t="str" cm="1">
        <f t="array" ref="CW870">IF(OR(ISBLANK(CS870),ISBLANK(CT870)),"Incomplete",_xlfn.XLOOKUP(CS870&amp;CT870,VLOOKUP!$A$4:$A$250&amp;VLOOKUP!$B$4:$B$250,VLOOKUP!$D$4:$D$250,"0"))</f>
        <v>Incomplete</v>
      </c>
    </row>
    <row r="871" spans="1:101">
      <c r="A871" s="64" t="s">
        <v>1240</v>
      </c>
      <c r="B871" s="64" t="s">
        <v>600</v>
      </c>
      <c r="C871" s="64" t="s">
        <v>86</v>
      </c>
      <c r="D871" s="65"/>
      <c r="E871" s="64"/>
      <c r="F871" s="66">
        <v>12</v>
      </c>
      <c r="G871" s="64">
        <v>2026</v>
      </c>
      <c r="H871" s="66"/>
      <c r="I871" s="66">
        <v>2</v>
      </c>
      <c r="J871" s="66" t="s">
        <v>122</v>
      </c>
      <c r="K871" s="66" t="s">
        <v>95</v>
      </c>
      <c r="L871" s="66"/>
      <c r="M871" s="64"/>
      <c r="N871" s="64"/>
      <c r="O871" s="64"/>
      <c r="P871" s="64"/>
      <c r="Q871" s="64"/>
      <c r="R871" s="64"/>
      <c r="S871" s="66"/>
      <c r="T871" s="66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  <c r="AG871" s="64"/>
      <c r="AH871" s="64"/>
      <c r="AI871" s="64"/>
      <c r="AJ871" s="64"/>
      <c r="AK871" s="64"/>
      <c r="AL871" s="64"/>
      <c r="AM871" s="64"/>
      <c r="AN871" s="64"/>
      <c r="AO871" s="64"/>
      <c r="AP871" s="64"/>
      <c r="AQ871" s="20"/>
      <c r="AR871" s="20"/>
      <c r="AS871" s="20"/>
      <c r="AT871" s="20"/>
      <c r="AU871" s="20"/>
      <c r="AV871" s="20"/>
      <c r="AW871" s="20"/>
      <c r="AX871" s="20"/>
      <c r="AY871" s="41" t="str">
        <f t="shared" si="266"/>
        <v>Incomplete</v>
      </c>
      <c r="AZ871" s="64"/>
      <c r="BA871" s="20" t="str">
        <f t="shared" si="267"/>
        <v>Incomplete</v>
      </c>
      <c r="BB871" s="64"/>
      <c r="BC871" s="20" t="str">
        <f t="shared" si="268"/>
        <v>Incomplete</v>
      </c>
      <c r="BD871" s="64"/>
      <c r="BE871" s="20" t="str">
        <f t="shared" si="269"/>
        <v>Incomplete</v>
      </c>
      <c r="BF871" s="64"/>
      <c r="BG871" s="64"/>
      <c r="BH871" s="66"/>
      <c r="BI871" s="20" t="str">
        <f t="shared" si="271"/>
        <v>Incomplete</v>
      </c>
      <c r="BJ871" s="66"/>
      <c r="BK871" s="64"/>
      <c r="BL871" s="66"/>
      <c r="BM871" s="66"/>
      <c r="BN871" s="66"/>
      <c r="BO871" s="64"/>
      <c r="BP871" s="64"/>
      <c r="BQ871" s="64"/>
      <c r="BR871" s="64"/>
      <c r="BS871" s="64"/>
      <c r="BT871" s="64"/>
      <c r="BU871" s="64"/>
      <c r="BV871" s="64"/>
      <c r="BW871" s="91" t="str">
        <f t="shared" si="264"/>
        <v>Incomplete</v>
      </c>
      <c r="BX871" s="91" t="str">
        <f>_xlfn.XLOOKUP(BW871,'Normative data'!$V$3:$V$6,'Normative data'!$W$3:$W$6,"Not Found",-1)</f>
        <v>Very low risk</v>
      </c>
      <c r="BY871" s="91" t="str">
        <f t="shared" si="265"/>
        <v>Incomplete</v>
      </c>
      <c r="BZ871" s="91" t="str">
        <f>_xlfn.XLOOKUP(BY871,'Normative data'!$V$3:$V$6,'Normative data'!$W$3:$W$6,"Not Found",-1)</f>
        <v>Very low risk</v>
      </c>
      <c r="CA871" s="64"/>
      <c r="CB871" s="66"/>
      <c r="CC871" s="64"/>
      <c r="CD871" s="66"/>
      <c r="CE871" s="64"/>
      <c r="CF871" s="66"/>
      <c r="CG871" s="20"/>
      <c r="CH871" s="20" t="str">
        <f>_xlfn.XLOOKUP(CG871, 'Normative data'!$S$9:$S$15,'Normative data'!$T$9:$T$15, "Not Found", -1)</f>
        <v>not completed</v>
      </c>
      <c r="CI871" s="20"/>
      <c r="CJ871" s="20" t="str">
        <f>_xlfn.XLOOKUP(CI871, 'Normative data'!$S$9:$S$15, 'Normative data'!$T$9:$T$15, "Not Found", -1)</f>
        <v>not completed</v>
      </c>
      <c r="CK871" s="105"/>
      <c r="CL871" s="105"/>
      <c r="CM871" s="105"/>
      <c r="CN871" s="105"/>
      <c r="CO871" s="105"/>
      <c r="CP871" s="68"/>
      <c r="CQ871" s="67"/>
      <c r="CR871" s="20" t="str" cm="1">
        <f t="array" ref="CR871">IF(OR(ISBLANK(E871),ISBLANK(CQ871)),"Incomplete",_xlfn.XLOOKUP(CQ871,_xlfn.XLOOKUP(E871,'Normative data'!$Y$3:$Y$6,'Normative data'!$Z$3:$AG$6,,-1),'Normative data'!$Z$2:$AG$2,"Not Found",-1))</f>
        <v>Incomplete</v>
      </c>
      <c r="CS871" s="68"/>
      <c r="CT871" s="66"/>
      <c r="CU871" s="20" t="str" cm="1">
        <f t="array" ref="CU871">_xlfn.XLOOKUP(CS871&amp;CT871,(VLOOKUP!$A$3:$A$250)&amp;(VLOOKUP!$B$3:$B$250),VLOOKUP!$C$3:$C$250,"Incomplete",-1)</f>
        <v>Incomplete</v>
      </c>
      <c r="CV871" s="20" t="str" cm="1">
        <f t="array" ref="CV871">_xlfn.XLOOKUP(CU871, _xlfn.XLOOKUP(E871, 'Normative data'!$Y$11:$Y$14, 'Normative data'!$Z$11:$AG$14, ,-1), 'Normative data'!$Z$10:$AG$10, "Not Found", -1)</f>
        <v>Excellent</v>
      </c>
      <c r="CW871" s="20" t="str" cm="1">
        <f t="array" ref="CW871">IF(OR(ISBLANK(CS871),ISBLANK(CT871)),"Incomplete",_xlfn.XLOOKUP(CS871&amp;CT871,VLOOKUP!$A$4:$A$250&amp;VLOOKUP!$B$4:$B$250,VLOOKUP!$D$4:$D$250,"0"))</f>
        <v>Incomplete</v>
      </c>
    </row>
    <row r="872" spans="1:101">
      <c r="A872" s="64" t="s">
        <v>1554</v>
      </c>
      <c r="B872" s="64" t="s">
        <v>600</v>
      </c>
      <c r="C872" s="64" t="s">
        <v>86</v>
      </c>
      <c r="D872" s="65">
        <v>40916</v>
      </c>
      <c r="E872" s="64">
        <v>13.8</v>
      </c>
      <c r="F872" s="66" t="s">
        <v>107</v>
      </c>
      <c r="G872" s="64">
        <v>2026</v>
      </c>
      <c r="H872" s="66"/>
      <c r="I872" s="66">
        <v>2</v>
      </c>
      <c r="J872" s="66" t="s">
        <v>122</v>
      </c>
      <c r="K872" s="66" t="s">
        <v>158</v>
      </c>
      <c r="L872" s="66"/>
      <c r="M872" s="64"/>
      <c r="N872" s="64"/>
      <c r="O872" s="64"/>
      <c r="P872" s="64"/>
      <c r="Q872" s="64"/>
      <c r="R872" s="64"/>
      <c r="S872" s="66">
        <v>84.3</v>
      </c>
      <c r="T872" s="66">
        <v>167.7</v>
      </c>
      <c r="U872" s="64">
        <v>64.3</v>
      </c>
      <c r="V872" s="64">
        <v>34.299999999999997</v>
      </c>
      <c r="W872" s="64">
        <v>17.399999999999999</v>
      </c>
      <c r="X872" s="64">
        <v>46.9</v>
      </c>
      <c r="Y872" s="64">
        <v>25.9</v>
      </c>
      <c r="Z872" s="64">
        <v>22.9</v>
      </c>
      <c r="AA872" s="64">
        <v>27.1</v>
      </c>
      <c r="AB872" s="64">
        <v>7.61</v>
      </c>
      <c r="AC872" s="64">
        <v>106.8</v>
      </c>
      <c r="AD872" s="64">
        <v>7.54</v>
      </c>
      <c r="AE872" s="64">
        <v>105.8</v>
      </c>
      <c r="AF872" s="64">
        <v>2.8</v>
      </c>
      <c r="AG872" s="64">
        <v>109.2</v>
      </c>
      <c r="AH872" s="64">
        <v>2.8</v>
      </c>
      <c r="AI872" s="64">
        <v>108.4</v>
      </c>
      <c r="AJ872" s="64">
        <v>263.89999999999998</v>
      </c>
      <c r="AK872" s="64">
        <v>266.8</v>
      </c>
      <c r="AL872" s="64">
        <v>233.7</v>
      </c>
      <c r="AM872" s="64">
        <v>237</v>
      </c>
      <c r="AN872" s="64">
        <v>114</v>
      </c>
      <c r="AO872" s="64">
        <v>0.84</v>
      </c>
      <c r="AP872" s="64">
        <v>7</v>
      </c>
      <c r="AQ872" s="17">
        <v>21.2</v>
      </c>
      <c r="AR872" s="17">
        <v>0.41599999999999998</v>
      </c>
      <c r="AS872" s="17">
        <v>24.9</v>
      </c>
      <c r="AT872" s="17">
        <v>0.45100000000000001</v>
      </c>
      <c r="AU872" s="17">
        <v>13.1</v>
      </c>
      <c r="AV872" s="17">
        <v>0.32700000000000001</v>
      </c>
      <c r="AW872" s="17">
        <v>14.3</v>
      </c>
      <c r="AX872" s="17">
        <v>0.34200000000000003</v>
      </c>
      <c r="AY872" s="41">
        <f t="shared" si="266"/>
        <v>2144.6299999999992</v>
      </c>
      <c r="AZ872" s="64"/>
      <c r="BA872" s="20">
        <f t="shared" si="267"/>
        <v>2369.2199999999993</v>
      </c>
      <c r="BB872" s="64"/>
      <c r="BC872" s="20">
        <f t="shared" si="268"/>
        <v>1652.9599999999996</v>
      </c>
      <c r="BD872" s="64"/>
      <c r="BE872" s="20">
        <f t="shared" si="269"/>
        <v>1725.7999999999997</v>
      </c>
      <c r="BF872" s="64"/>
      <c r="BG872" s="64">
        <v>14</v>
      </c>
      <c r="BH872" s="17">
        <v>29.5</v>
      </c>
      <c r="BI872" s="20">
        <f t="shared" si="271"/>
        <v>15.5</v>
      </c>
      <c r="BJ872" s="66"/>
      <c r="BK872" s="64">
        <v>3.5</v>
      </c>
      <c r="BL872" s="66"/>
      <c r="BM872" s="64">
        <v>2.1</v>
      </c>
      <c r="BN872" s="66"/>
      <c r="BO872" s="64">
        <v>52</v>
      </c>
      <c r="BP872" s="64">
        <v>52</v>
      </c>
      <c r="BQ872" s="64">
        <v>84</v>
      </c>
      <c r="BR872" s="64">
        <v>106</v>
      </c>
      <c r="BS872" s="64">
        <v>89</v>
      </c>
      <c r="BT872" s="64">
        <v>92</v>
      </c>
      <c r="BU872" s="64">
        <v>98</v>
      </c>
      <c r="BV872" s="64">
        <v>101</v>
      </c>
      <c r="BW872" s="91">
        <f t="shared" si="264"/>
        <v>111.51079136690647</v>
      </c>
      <c r="BX872" s="91" t="str">
        <f>_xlfn.XLOOKUP(BW872,'Normative data'!$V$3:$V$6,'Normative data'!$W$3:$W$6,"Not Found",-1)</f>
        <v>Low risk</v>
      </c>
      <c r="BY872" s="91">
        <f t="shared" si="265"/>
        <v>116.30695443645085</v>
      </c>
      <c r="BZ872" s="91" t="str">
        <f>_xlfn.XLOOKUP(BY872,'Normative data'!$V$3:$V$6,'Normative data'!$W$3:$W$6,"Not Found",-1)</f>
        <v>Low risk</v>
      </c>
      <c r="CA872" s="64">
        <v>37</v>
      </c>
      <c r="CB872" s="66"/>
      <c r="CC872" s="20"/>
      <c r="CD872" s="66"/>
      <c r="CE872" s="64">
        <v>10</v>
      </c>
      <c r="CF872" s="66"/>
      <c r="CG872" s="64">
        <v>21.9</v>
      </c>
      <c r="CH872" s="20" t="str">
        <f>_xlfn.XLOOKUP(CG872, 'Normative data'!$S$9:$S$15,'Normative data'!$T$9:$T$15, "Not Found", -1)</f>
        <v>Below Average</v>
      </c>
      <c r="CI872" s="64">
        <v>21.2</v>
      </c>
      <c r="CJ872" s="20" t="str">
        <f>_xlfn.XLOOKUP(CI872, 'Normative data'!$S$9:$S$15, 'Normative data'!$T$9:$T$15, "Not Found", -1)</f>
        <v>Average</v>
      </c>
      <c r="CK872" s="64">
        <v>2.1800000000000002</v>
      </c>
      <c r="CL872" s="64">
        <v>3.14</v>
      </c>
      <c r="CM872" s="66"/>
      <c r="CN872" s="64">
        <v>8.34</v>
      </c>
      <c r="CO872" s="64">
        <v>6</v>
      </c>
      <c r="CP872" s="68"/>
      <c r="CQ872" s="67">
        <v>7.1</v>
      </c>
      <c r="CR872" s="20" t="str" cm="1">
        <f t="array" ref="CR872">IF(OR(ISBLANK(E872),ISBLANK(CQ872)),"Incomplete",_xlfn.XLOOKUP(CQ872,_xlfn.XLOOKUP(E872,'Normative data'!$Y$3:$Y$6,'Normative data'!$Z$3:$AG$6,,-1),'Normative data'!$Z$2:$AG$2,"Not Found",-1))</f>
        <v>Good</v>
      </c>
      <c r="CS872" s="68">
        <v>7</v>
      </c>
      <c r="CT872" s="66">
        <v>1</v>
      </c>
      <c r="CU872" s="20" cm="1">
        <f t="array" ref="CU872">_xlfn.XLOOKUP(CS872&amp;CT872,(VLOOKUP!$A$3:$A$250)&amp;(VLOOKUP!$B$3:$B$250),VLOOKUP!$C$3:$C$250,"Incomplete",-1)</f>
        <v>1040</v>
      </c>
      <c r="CV872" s="20" t="str" cm="1">
        <f t="array" ref="CV872">_xlfn.XLOOKUP(CU872, _xlfn.XLOOKUP(E872, 'Normative data'!$Y$11:$Y$14, 'Normative data'!$Z$11:$AG$14, ,-1), 'Normative data'!$Z$10:$AG$10, "Not Found", -1)</f>
        <v xml:space="preserve">Good </v>
      </c>
      <c r="CW872" s="20" cm="1">
        <f t="array" ref="CW872">IF(OR(ISBLANK(CS872),ISBLANK(CT872)),"Incomplete",_xlfn.XLOOKUP(CS872&amp;CT872,VLOOKUP!$A$4:$A$250&amp;VLOOKUP!$B$4:$B$250,VLOOKUP!$D$4:$D$250,"0"))</f>
        <v>37</v>
      </c>
    </row>
    <row r="873" spans="1:101">
      <c r="A873" s="64" t="s">
        <v>1555</v>
      </c>
      <c r="B873" s="64" t="s">
        <v>600</v>
      </c>
      <c r="C873" s="64" t="s">
        <v>86</v>
      </c>
      <c r="D873" s="65">
        <v>40826</v>
      </c>
      <c r="E873" s="64">
        <v>14.5</v>
      </c>
      <c r="F873" s="66" t="s">
        <v>154</v>
      </c>
      <c r="G873" s="64">
        <v>2026</v>
      </c>
      <c r="H873" s="66"/>
      <c r="I873" s="66">
        <v>2</v>
      </c>
      <c r="J873" s="66" t="s">
        <v>100</v>
      </c>
      <c r="K873" s="66" t="s">
        <v>556</v>
      </c>
      <c r="L873" s="66"/>
      <c r="M873" s="64"/>
      <c r="N873" s="64"/>
      <c r="O873" s="64"/>
      <c r="P873" s="64"/>
      <c r="Q873" s="64"/>
      <c r="R873" s="64"/>
      <c r="S873" s="66">
        <v>82.6</v>
      </c>
      <c r="T873" s="66">
        <v>160.30000000000001</v>
      </c>
      <c r="U873" s="64">
        <v>52.8</v>
      </c>
      <c r="V873" s="64">
        <v>30.9</v>
      </c>
      <c r="W873" s="64">
        <v>10.6</v>
      </c>
      <c r="X873" s="64">
        <v>42.2</v>
      </c>
      <c r="Y873" s="64">
        <v>23.1</v>
      </c>
      <c r="Z873" s="64">
        <v>20.5</v>
      </c>
      <c r="AA873" s="64">
        <v>20.100000000000001</v>
      </c>
      <c r="AB873" s="64">
        <v>6.23</v>
      </c>
      <c r="AC873" s="64">
        <v>104.3</v>
      </c>
      <c r="AD873" s="64">
        <v>6.17</v>
      </c>
      <c r="AE873" s="64">
        <v>103.3</v>
      </c>
      <c r="AF873" s="64">
        <v>1.8</v>
      </c>
      <c r="AG873" s="64">
        <v>80</v>
      </c>
      <c r="AH873" s="64">
        <v>1.7</v>
      </c>
      <c r="AI873" s="64">
        <v>79.400000000000006</v>
      </c>
      <c r="AJ873" s="64">
        <v>297.5</v>
      </c>
      <c r="AK873" s="64">
        <v>301.89999999999998</v>
      </c>
      <c r="AL873" s="64">
        <v>262</v>
      </c>
      <c r="AM873" s="64">
        <v>267.2</v>
      </c>
      <c r="AN873" s="64">
        <v>103</v>
      </c>
      <c r="AO873" s="64">
        <v>0.82</v>
      </c>
      <c r="AP873" s="64">
        <v>6.4</v>
      </c>
      <c r="AQ873" s="17">
        <v>31.9</v>
      </c>
      <c r="AR873" s="17">
        <v>0.51</v>
      </c>
      <c r="AS873" s="17">
        <v>34</v>
      </c>
      <c r="AT873" s="17">
        <v>0.52700000000000002</v>
      </c>
      <c r="AU873" s="17">
        <v>20.100000000000001</v>
      </c>
      <c r="AV873" s="17">
        <v>0.40500000000000003</v>
      </c>
      <c r="AW873" s="17">
        <v>18.3</v>
      </c>
      <c r="AX873" s="17">
        <v>0.38600000000000001</v>
      </c>
      <c r="AY873" s="41">
        <f t="shared" si="266"/>
        <v>2273.17</v>
      </c>
      <c r="AZ873" s="64"/>
      <c r="BA873" s="20">
        <f t="shared" si="267"/>
        <v>2400.6399999999994</v>
      </c>
      <c r="BB873" s="64"/>
      <c r="BC873" s="20">
        <f t="shared" si="268"/>
        <v>1556.9099999999999</v>
      </c>
      <c r="BD873" s="64"/>
      <c r="BE873" s="20">
        <f t="shared" si="269"/>
        <v>1447.6499999999996</v>
      </c>
      <c r="BF873" s="64"/>
      <c r="BG873" s="64"/>
      <c r="BH873" s="64">
        <v>51</v>
      </c>
      <c r="BI873" s="20" t="str">
        <f t="shared" si="271"/>
        <v>Incomplete</v>
      </c>
      <c r="BJ873" s="66"/>
      <c r="BK873" s="64"/>
      <c r="BL873" s="66"/>
      <c r="BM873" s="64"/>
      <c r="BN873" s="66"/>
      <c r="BO873" s="64">
        <v>45.7</v>
      </c>
      <c r="BP873" s="64">
        <v>45.7</v>
      </c>
      <c r="BQ873" s="64">
        <v>82</v>
      </c>
      <c r="BR873" s="64">
        <v>94</v>
      </c>
      <c r="BS873" s="64">
        <v>84</v>
      </c>
      <c r="BT873" s="64">
        <v>74</v>
      </c>
      <c r="BU873" s="64">
        <v>80</v>
      </c>
      <c r="BV873" s="64">
        <v>86</v>
      </c>
      <c r="BW873" s="91">
        <f t="shared" si="264"/>
        <v>111.54011154011152</v>
      </c>
      <c r="BX873" s="91" t="str">
        <f>_xlfn.XLOOKUP(BW873,'Normative data'!$V$3:$V$6,'Normative data'!$W$3:$W$6,"Not Found",-1)</f>
        <v>Low risk</v>
      </c>
      <c r="BY873" s="91">
        <f t="shared" si="265"/>
        <v>102.96010296010294</v>
      </c>
      <c r="BZ873" s="91" t="str">
        <f>_xlfn.XLOOKUP(BY873,'Normative data'!$V$3:$V$6,'Normative data'!$W$3:$W$6,"Not Found",-1)</f>
        <v>Low risk</v>
      </c>
      <c r="CA873" s="64">
        <v>29</v>
      </c>
      <c r="CB873" s="66"/>
      <c r="CC873" s="20"/>
      <c r="CD873" s="66"/>
      <c r="CE873" s="64">
        <v>25</v>
      </c>
      <c r="CF873" s="66"/>
      <c r="CG873" s="17">
        <v>17.96</v>
      </c>
      <c r="CH873" s="20" t="str">
        <f>_xlfn.XLOOKUP(CG873, 'Normative data'!$S$9:$S$15,'Normative data'!$T$9:$T$15, "Not Found", -1)</f>
        <v>Above Average</v>
      </c>
      <c r="CI873" s="17">
        <v>18.09</v>
      </c>
      <c r="CJ873" s="20" t="str">
        <f>_xlfn.XLOOKUP(CI873, 'Normative data'!$S$9:$S$15, 'Normative data'!$T$9:$T$15, "Not Found", -1)</f>
        <v>Average</v>
      </c>
      <c r="CK873" s="17">
        <v>2.11</v>
      </c>
      <c r="CL873" s="17">
        <v>4.74</v>
      </c>
      <c r="CN873" s="17">
        <v>6.36</v>
      </c>
      <c r="CO873" s="17">
        <v>7.86</v>
      </c>
      <c r="CP873" s="68"/>
      <c r="CQ873" s="67">
        <v>5.7</v>
      </c>
      <c r="CR873" s="20" t="str" cm="1">
        <f t="array" ref="CR873">IF(OR(ISBLANK(E873),ISBLANK(CQ873)),"Incomplete",_xlfn.XLOOKUP(CQ873,_xlfn.XLOOKUP(E873,'Normative data'!$Y$3:$Y$6,'Normative data'!$Z$3:$AG$6,,-1),'Normative data'!$Z$2:$AG$2,"Not Found",-1))</f>
        <v>Fair</v>
      </c>
      <c r="CS873" s="68">
        <v>5</v>
      </c>
      <c r="CT873" s="66">
        <v>7</v>
      </c>
      <c r="CU873" s="20" cm="1">
        <f t="array" ref="CU873">_xlfn.XLOOKUP(CS873&amp;CT873,(VLOOKUP!$A$3:$A$250)&amp;(VLOOKUP!$B$3:$B$250),VLOOKUP!$C$3:$C$250,"Incomplete",-1)</f>
        <v>780</v>
      </c>
      <c r="CV873" s="20" t="str" cm="1">
        <f t="array" ref="CV873">_xlfn.XLOOKUP(CU873, _xlfn.XLOOKUP(E873, 'Normative data'!$Y$11:$Y$14, 'Normative data'!$Z$11:$AG$14, ,-1), 'Normative data'!$Z$10:$AG$10, "Not Found", -1)</f>
        <v xml:space="preserve">Fair </v>
      </c>
      <c r="CW873" s="20" cm="1">
        <f t="array" ref="CW873">IF(OR(ISBLANK(CS873),ISBLANK(CT873)),"Incomplete",_xlfn.XLOOKUP(CS873&amp;CT873,VLOOKUP!$A$4:$A$250&amp;VLOOKUP!$B$4:$B$250,VLOOKUP!$D$4:$D$250,"0"))</f>
        <v>32</v>
      </c>
    </row>
    <row r="874" spans="1:101">
      <c r="A874" s="64" t="s">
        <v>877</v>
      </c>
      <c r="B874" s="64" t="s">
        <v>1018</v>
      </c>
      <c r="C874" s="64" t="s">
        <v>86</v>
      </c>
      <c r="D874" s="65">
        <v>39973</v>
      </c>
      <c r="E874" s="64"/>
      <c r="F874" s="64">
        <v>10</v>
      </c>
      <c r="G874" s="64">
        <v>2025</v>
      </c>
      <c r="H874" s="66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  <c r="AD874" s="66"/>
      <c r="AE874" s="66"/>
      <c r="AF874" s="66"/>
      <c r="AG874" s="66"/>
      <c r="AH874" s="66"/>
      <c r="AI874" s="66"/>
      <c r="AJ874" s="66"/>
      <c r="AK874" s="66"/>
      <c r="AL874" s="66"/>
      <c r="AM874" s="66"/>
      <c r="AN874" s="66"/>
      <c r="AO874" s="66"/>
      <c r="AP874" s="66"/>
      <c r="AQ874" s="20"/>
      <c r="AR874" s="20"/>
      <c r="AS874" s="20"/>
      <c r="AT874" s="20"/>
      <c r="AU874" s="20"/>
      <c r="AV874" s="20"/>
      <c r="AW874" s="20"/>
      <c r="AX874" s="20"/>
      <c r="AY874" s="41" t="str">
        <f t="shared" si="266"/>
        <v>Incomplete</v>
      </c>
      <c r="AZ874" s="66"/>
      <c r="BA874" s="20" t="str">
        <f t="shared" si="267"/>
        <v>Incomplete</v>
      </c>
      <c r="BB874" s="66"/>
      <c r="BC874" s="20" t="str">
        <f t="shared" si="268"/>
        <v>Incomplete</v>
      </c>
      <c r="BD874" s="66"/>
      <c r="BE874" s="20" t="str">
        <f t="shared" si="269"/>
        <v>Incomplete</v>
      </c>
      <c r="BF874" s="66"/>
      <c r="BG874" s="66"/>
      <c r="BH874" s="66"/>
      <c r="BI874" s="20" t="str">
        <f t="shared" si="271"/>
        <v>Incomplete</v>
      </c>
      <c r="BJ874" s="66"/>
      <c r="BK874" s="66"/>
      <c r="BL874" s="66"/>
      <c r="BM874" s="66"/>
      <c r="BN874" s="66"/>
      <c r="BO874" s="66"/>
      <c r="BP874" s="66"/>
      <c r="BQ874" s="66"/>
      <c r="BR874" s="66"/>
      <c r="BS874" s="66"/>
      <c r="BT874" s="66"/>
      <c r="BU874" s="66"/>
      <c r="BV874" s="66"/>
      <c r="BW874" s="91" t="str">
        <f t="shared" si="264"/>
        <v>Incomplete</v>
      </c>
      <c r="BX874" s="91" t="str">
        <f>_xlfn.XLOOKUP(BW874,'Normative data'!$V$3:$V$6,'Normative data'!$W$3:$W$6,"Not Found",-1)</f>
        <v>Very low risk</v>
      </c>
      <c r="BY874" s="91" t="str">
        <f t="shared" si="265"/>
        <v>Incomplete</v>
      </c>
      <c r="BZ874" s="91" t="str">
        <f>_xlfn.XLOOKUP(BY874,'Normative data'!$V$3:$V$6,'Normative data'!$W$3:$W$6,"Not Found",-1)</f>
        <v>Very low risk</v>
      </c>
      <c r="CA874" s="66"/>
      <c r="CB874" s="66"/>
      <c r="CC874" s="66"/>
      <c r="CD874" s="66"/>
      <c r="CE874" s="66"/>
      <c r="CF874" s="66"/>
      <c r="CG874" s="20"/>
      <c r="CH874" s="20" t="str">
        <f>_xlfn.XLOOKUP(CG874, 'Normative data'!$S$9:$S$15,'Normative data'!$T$9:$T$15, "Not Found", -1)</f>
        <v>not completed</v>
      </c>
      <c r="CI874" s="20"/>
      <c r="CJ874" s="20" t="str">
        <f>_xlfn.XLOOKUP(CI874, 'Normative data'!$S$9:$S$15, 'Normative data'!$T$9:$T$15, "Not Found", -1)</f>
        <v>not completed</v>
      </c>
      <c r="CK874" s="105">
        <v>2.46</v>
      </c>
      <c r="CL874" s="105">
        <v>4.07</v>
      </c>
      <c r="CM874" s="105"/>
      <c r="CN874" s="105">
        <v>7.08</v>
      </c>
      <c r="CO874" s="105">
        <v>6.41</v>
      </c>
      <c r="CP874" s="109"/>
      <c r="CQ874" s="68"/>
      <c r="CR874" s="20" t="str" cm="1">
        <f t="array" ref="CR874">IF(OR(ISBLANK(E874),ISBLANK(CQ874)),"Incomplete",_xlfn.XLOOKUP(CQ874,_xlfn.XLOOKUP(E874,'Normative data'!$Y$3:$Y$6,'Normative data'!$Z$3:$AG$6,,-1),'Normative data'!$Z$2:$AG$2,"Not Found",-1))</f>
        <v>Incomplete</v>
      </c>
      <c r="CS874" s="68"/>
      <c r="CT874" s="66"/>
      <c r="CU874" s="20" t="str" cm="1">
        <f t="array" ref="CU874">_xlfn.XLOOKUP(CS874&amp;CT874,(VLOOKUP!$A$3:$A$250)&amp;(VLOOKUP!$B$3:$B$250),VLOOKUP!$C$3:$C$250,"Incomplete",-1)</f>
        <v>Incomplete</v>
      </c>
      <c r="CV874" s="20" t="str" cm="1">
        <f t="array" ref="CV874">_xlfn.XLOOKUP(CU874, _xlfn.XLOOKUP(E874, 'Normative data'!$Y$11:$Y$14, 'Normative data'!$Z$11:$AG$14, ,-1), 'Normative data'!$Z$10:$AG$10, "Not Found", -1)</f>
        <v>Excellent</v>
      </c>
      <c r="CW874" s="20" t="str" cm="1">
        <f t="array" ref="CW874">IF(OR(ISBLANK(CS874),ISBLANK(CT874)),"Incomplete",_xlfn.XLOOKUP(CS874&amp;CT874,VLOOKUP!$A$4:$A$250&amp;VLOOKUP!$B$4:$B$250,VLOOKUP!$D$4:$D$250,"0"))</f>
        <v>Incomplete</v>
      </c>
    </row>
    <row r="875" spans="1:101">
      <c r="A875" s="64" t="s">
        <v>877</v>
      </c>
      <c r="B875" s="64" t="s">
        <v>1018</v>
      </c>
      <c r="C875" s="64" t="s">
        <v>86</v>
      </c>
      <c r="D875" s="65">
        <v>39973</v>
      </c>
      <c r="E875" s="64"/>
      <c r="F875" s="64">
        <v>10</v>
      </c>
      <c r="G875" s="64">
        <v>2025</v>
      </c>
      <c r="H875" s="66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  <c r="AD875" s="66"/>
      <c r="AE875" s="66"/>
      <c r="AF875" s="66"/>
      <c r="AG875" s="66"/>
      <c r="AH875" s="66"/>
      <c r="AI875" s="66"/>
      <c r="AJ875" s="66"/>
      <c r="AK875" s="66"/>
      <c r="AL875" s="66"/>
      <c r="AM875" s="66"/>
      <c r="AN875" s="66"/>
      <c r="AO875" s="66"/>
      <c r="AP875" s="66"/>
      <c r="AQ875" s="20"/>
      <c r="AR875" s="20"/>
      <c r="AS875" s="20"/>
      <c r="AT875" s="20"/>
      <c r="AU875" s="20"/>
      <c r="AV875" s="20"/>
      <c r="AW875" s="20"/>
      <c r="AX875" s="20"/>
      <c r="AY875" s="41" t="str">
        <f t="shared" si="266"/>
        <v>Incomplete</v>
      </c>
      <c r="AZ875" s="66"/>
      <c r="BA875" s="20" t="str">
        <f t="shared" si="267"/>
        <v>Incomplete</v>
      </c>
      <c r="BB875" s="66"/>
      <c r="BC875" s="20" t="str">
        <f t="shared" si="268"/>
        <v>Incomplete</v>
      </c>
      <c r="BD875" s="66"/>
      <c r="BE875" s="20" t="str">
        <f t="shared" si="269"/>
        <v>Incomplete</v>
      </c>
      <c r="BF875" s="66"/>
      <c r="BG875" s="66"/>
      <c r="BH875" s="20"/>
      <c r="BI875" s="20" t="str">
        <f t="shared" si="271"/>
        <v>Incomplete</v>
      </c>
      <c r="BJ875" s="66"/>
      <c r="BK875" s="66"/>
      <c r="BL875" s="66"/>
      <c r="BM875" s="20"/>
      <c r="BN875" s="66"/>
      <c r="BO875" s="66"/>
      <c r="BP875" s="66"/>
      <c r="BQ875" s="66"/>
      <c r="BR875" s="66"/>
      <c r="BS875" s="66"/>
      <c r="BT875" s="66"/>
      <c r="BU875" s="66"/>
      <c r="BV875" s="66"/>
      <c r="BW875" s="91" t="str">
        <f t="shared" si="264"/>
        <v>Incomplete</v>
      </c>
      <c r="BX875" s="91" t="str">
        <f>_xlfn.XLOOKUP(BW875,'Normative data'!$V$3:$V$6,'Normative data'!$W$3:$W$6,"Not Found",-1)</f>
        <v>Very low risk</v>
      </c>
      <c r="BY875" s="91" t="str">
        <f t="shared" si="265"/>
        <v>Incomplete</v>
      </c>
      <c r="BZ875" s="91" t="str">
        <f>_xlfn.XLOOKUP(BY875,'Normative data'!$V$3:$V$6,'Normative data'!$W$3:$W$6,"Not Found",-1)</f>
        <v>Very low risk</v>
      </c>
      <c r="CA875" s="66"/>
      <c r="CB875" s="66"/>
      <c r="CC875" s="66"/>
      <c r="CD875" s="66"/>
      <c r="CE875" s="66"/>
      <c r="CF875" s="66"/>
      <c r="CG875" s="20"/>
      <c r="CH875" s="20" t="str">
        <f>_xlfn.XLOOKUP(CG875, 'Normative data'!$S$9:$S$15,'Normative data'!$T$9:$T$15, "Not Found", -1)</f>
        <v>not completed</v>
      </c>
      <c r="CI875" s="20"/>
      <c r="CJ875" s="20" t="str">
        <f>_xlfn.XLOOKUP(CI875, 'Normative data'!$S$9:$S$15, 'Normative data'!$T$9:$T$15, "Not Found", -1)</f>
        <v>not completed</v>
      </c>
      <c r="CK875" s="105">
        <v>2.46</v>
      </c>
      <c r="CL875" s="105">
        <v>4.07</v>
      </c>
      <c r="CM875" s="105"/>
      <c r="CN875" s="105">
        <v>7.08</v>
      </c>
      <c r="CO875" s="105">
        <v>6.41</v>
      </c>
      <c r="CP875" s="109"/>
      <c r="CQ875" s="68"/>
      <c r="CR875" s="20" t="str" cm="1">
        <f t="array" ref="CR875">IF(OR(ISBLANK(E875),ISBLANK(CQ875)),"Incomplete",_xlfn.XLOOKUP(CQ875,_xlfn.XLOOKUP(E875,'Normative data'!$Y$3:$Y$6,'Normative data'!$Z$3:$AG$6,,-1),'Normative data'!$Z$2:$AG$2,"Not Found",-1))</f>
        <v>Incomplete</v>
      </c>
      <c r="CS875" s="68"/>
      <c r="CT875" s="66"/>
      <c r="CU875" s="20" t="str" cm="1">
        <f t="array" ref="CU875">_xlfn.XLOOKUP(CS875&amp;CT875,(VLOOKUP!$A$3:$A$250)&amp;(VLOOKUP!$B$3:$B$250),VLOOKUP!$C$3:$C$250,"Incomplete",-1)</f>
        <v>Incomplete</v>
      </c>
      <c r="CV875" s="20" t="str" cm="1">
        <f t="array" ref="CV875">_xlfn.XLOOKUP(CU875, _xlfn.XLOOKUP(E875, 'Normative data'!$Y$11:$Y$14, 'Normative data'!$Z$11:$AG$14, ,-1), 'Normative data'!$Z$10:$AG$10, "Not Found", -1)</f>
        <v>Excellent</v>
      </c>
      <c r="CW875" s="20" t="str" cm="1">
        <f t="array" ref="CW875">IF(OR(ISBLANK(CS875),ISBLANK(CT875)),"Incomplete",_xlfn.XLOOKUP(CS875&amp;CT875,VLOOKUP!$A$4:$A$250&amp;VLOOKUP!$B$4:$B$250,VLOOKUP!$D$4:$D$250,"0"))</f>
        <v>Incomplete</v>
      </c>
    </row>
    <row r="876" spans="1:101">
      <c r="A876" s="93" t="s">
        <v>1426</v>
      </c>
      <c r="B876" s="93" t="s">
        <v>1425</v>
      </c>
      <c r="C876" s="64" t="s">
        <v>86</v>
      </c>
      <c r="D876" s="96">
        <v>39665</v>
      </c>
      <c r="E876" s="64"/>
      <c r="F876" s="64">
        <v>11</v>
      </c>
      <c r="G876" s="64">
        <v>2025</v>
      </c>
      <c r="H876" s="66"/>
      <c r="I876" s="64"/>
      <c r="J876" s="64" t="s">
        <v>122</v>
      </c>
      <c r="K876" s="64"/>
      <c r="L876" s="64"/>
      <c r="M876" s="64"/>
      <c r="N876" s="64"/>
      <c r="O876" s="64"/>
      <c r="P876" s="64"/>
      <c r="Q876" s="64"/>
      <c r="R876" s="64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  <c r="AD876" s="66"/>
      <c r="AE876" s="66"/>
      <c r="AF876" s="66"/>
      <c r="AG876" s="66"/>
      <c r="AH876" s="66"/>
      <c r="AI876" s="66"/>
      <c r="AJ876" s="66"/>
      <c r="AK876" s="66"/>
      <c r="AL876" s="66"/>
      <c r="AM876" s="66"/>
      <c r="AN876" s="66"/>
      <c r="AO876" s="66"/>
      <c r="AP876" s="66"/>
      <c r="AQ876" s="20"/>
      <c r="AR876" s="20"/>
      <c r="AS876" s="20"/>
      <c r="AT876" s="20"/>
      <c r="AU876" s="20"/>
      <c r="AV876" s="20"/>
      <c r="AW876" s="20"/>
      <c r="AX876" s="20"/>
      <c r="AY876" s="41" t="str">
        <f t="shared" si="266"/>
        <v>Incomplete</v>
      </c>
      <c r="AZ876" s="66"/>
      <c r="BA876" s="20" t="str">
        <f t="shared" si="267"/>
        <v>Incomplete</v>
      </c>
      <c r="BB876" s="66"/>
      <c r="BC876" s="20" t="str">
        <f t="shared" si="268"/>
        <v>Incomplete</v>
      </c>
      <c r="BD876" s="66"/>
      <c r="BE876" s="20" t="str">
        <f t="shared" si="269"/>
        <v>Incomplete</v>
      </c>
      <c r="BF876" s="66"/>
      <c r="BG876" s="66">
        <v>17</v>
      </c>
      <c r="BH876" s="66">
        <v>52</v>
      </c>
      <c r="BI876" s="20" t="e">
        <f>IF(OR(ISBLANK(#REF!), ISBLANK(#REF!)),"Incomplete",(SUM(#REF!-#REF!)))</f>
        <v>#REF!</v>
      </c>
      <c r="BJ876" s="66"/>
      <c r="BK876" s="66"/>
      <c r="BL876" s="66"/>
      <c r="BM876" s="20"/>
      <c r="BN876" s="66"/>
      <c r="BO876" s="66"/>
      <c r="BP876" s="66"/>
      <c r="BQ876" s="66"/>
      <c r="BR876" s="66"/>
      <c r="BS876" s="66"/>
      <c r="BT876" s="66"/>
      <c r="BU876" s="66"/>
      <c r="BV876" s="66"/>
      <c r="BW876" s="91" t="str">
        <f t="shared" si="264"/>
        <v>Incomplete</v>
      </c>
      <c r="BX876" s="91" t="str">
        <f>_xlfn.XLOOKUP(BW876,'Normative data'!$V$3:$V$6,'Normative data'!$W$3:$W$6,"Not Found",-1)</f>
        <v>Very low risk</v>
      </c>
      <c r="BY876" s="91" t="str">
        <f t="shared" si="265"/>
        <v>Incomplete</v>
      </c>
      <c r="BZ876" s="91" t="str">
        <f>_xlfn.XLOOKUP(BY876,'Normative data'!$V$3:$V$6,'Normative data'!$W$3:$W$6,"Not Found",-1)</f>
        <v>Very low risk</v>
      </c>
      <c r="CA876" s="66"/>
      <c r="CB876" s="66"/>
      <c r="CC876" s="66"/>
      <c r="CD876" s="66"/>
      <c r="CE876" s="66">
        <v>15</v>
      </c>
      <c r="CF876" s="66"/>
      <c r="CG876" s="20">
        <v>18.7</v>
      </c>
      <c r="CH876" s="20" t="str">
        <f>_xlfn.XLOOKUP(CG876, 'Normative data'!$S$9:$S$15,'Normative data'!$T$9:$T$15, "Not Found", -1)</f>
        <v>Average</v>
      </c>
      <c r="CI876" s="20">
        <v>18.09</v>
      </c>
      <c r="CJ876" s="20" t="str">
        <f>_xlfn.XLOOKUP(CI876, 'Normative data'!$S$9:$S$15, 'Normative data'!$T$9:$T$15, "Not Found", -1)</f>
        <v>Average</v>
      </c>
      <c r="CK876" s="21">
        <v>2.1800000000000002</v>
      </c>
      <c r="CL876" s="21">
        <v>4.59</v>
      </c>
      <c r="CM876" s="21"/>
      <c r="CN876" s="21">
        <v>6.8</v>
      </c>
      <c r="CO876" s="21">
        <v>7.35</v>
      </c>
      <c r="CP876" s="68"/>
      <c r="CQ876" s="68"/>
      <c r="CR876" s="20" t="str" cm="1">
        <f t="array" ref="CR876">IF(OR(ISBLANK(E876),ISBLANK(CQ876)),"Incomplete",_xlfn.XLOOKUP(CQ876,_xlfn.XLOOKUP(E876,'Normative data'!$Y$3:$Y$6,'Normative data'!$Z$3:$AG$6,,-1),'Normative data'!$Z$2:$AG$2,"Not Found",-1))</f>
        <v>Incomplete</v>
      </c>
      <c r="CS876" s="68"/>
      <c r="CT876" s="66"/>
      <c r="CU876" s="20" t="str" cm="1">
        <f t="array" ref="CU876">_xlfn.XLOOKUP(CS876&amp;CT876,(VLOOKUP!$A$3:$A$250)&amp;(VLOOKUP!$B$3:$B$250),VLOOKUP!$C$3:$C$250,"Incomplete",-1)</f>
        <v>Incomplete</v>
      </c>
      <c r="CV876" s="20" t="str" cm="1">
        <f t="array" ref="CV876">_xlfn.XLOOKUP(CU876, _xlfn.XLOOKUP(E876, 'Normative data'!$Y$11:$Y$14, 'Normative data'!$Z$11:$AG$14, ,-1), 'Normative data'!$Z$10:$AG$10, "Not Found", -1)</f>
        <v>Excellent</v>
      </c>
      <c r="CW876" s="20" t="str" cm="1">
        <f t="array" ref="CW876">IF(OR(ISBLANK(CS876),ISBLANK(CT876)),"Incomplete",_xlfn.XLOOKUP(CS876&amp;CT876,VLOOKUP!$A$4:$A$250&amp;VLOOKUP!$B$4:$B$250,VLOOKUP!$D$4:$D$250,"0"))</f>
        <v>Incomplete</v>
      </c>
    </row>
    <row r="877" spans="1:101">
      <c r="A877" s="94" t="s">
        <v>745</v>
      </c>
      <c r="B877" s="94" t="s">
        <v>950</v>
      </c>
      <c r="C877" s="64" t="s">
        <v>86</v>
      </c>
      <c r="D877" s="65">
        <v>40712</v>
      </c>
      <c r="E877" s="64"/>
      <c r="F877" s="64">
        <v>8</v>
      </c>
      <c r="G877" s="64">
        <v>2025</v>
      </c>
      <c r="H877" s="66"/>
      <c r="I877" s="64"/>
      <c r="J877" s="64" t="s">
        <v>122</v>
      </c>
      <c r="K877" s="64"/>
      <c r="L877" s="64"/>
      <c r="M877" s="64"/>
      <c r="N877" s="64"/>
      <c r="O877" s="64"/>
      <c r="P877" s="64"/>
      <c r="Q877" s="64"/>
      <c r="R877" s="64"/>
      <c r="S877" s="66"/>
      <c r="T877" s="66">
        <v>156</v>
      </c>
      <c r="U877" s="66">
        <v>43.5</v>
      </c>
      <c r="V877" s="66"/>
      <c r="W877" s="66">
        <v>8.8000000000000007</v>
      </c>
      <c r="X877" s="66">
        <f>SUM(T877-W877)</f>
        <v>147.19999999999999</v>
      </c>
      <c r="Y877" s="66">
        <v>18.3</v>
      </c>
      <c r="Z877" s="66">
        <v>17.899999999999999</v>
      </c>
      <c r="AA877" s="66">
        <v>20.3</v>
      </c>
      <c r="AB877" s="66"/>
      <c r="AC877" s="66"/>
      <c r="AD877" s="66"/>
      <c r="AE877" s="66"/>
      <c r="AF877" s="66"/>
      <c r="AG877" s="66"/>
      <c r="AH877" s="66"/>
      <c r="AI877" s="66"/>
      <c r="AJ877" s="66"/>
      <c r="AK877" s="66"/>
      <c r="AL877" s="66"/>
      <c r="AM877" s="66"/>
      <c r="AN877" s="66"/>
      <c r="AO877" s="66"/>
      <c r="AP877" s="66"/>
      <c r="AQ877" s="66">
        <v>15</v>
      </c>
      <c r="AR877" s="66">
        <v>0.35</v>
      </c>
      <c r="AS877" s="66">
        <v>19.2</v>
      </c>
      <c r="AT877" s="66">
        <v>0.39600000000000002</v>
      </c>
      <c r="AU877" s="66">
        <v>14</v>
      </c>
      <c r="AV877" s="66">
        <v>0.33800000000000002</v>
      </c>
      <c r="AW877" s="66">
        <v>13.2</v>
      </c>
      <c r="AX877" s="66" t="s">
        <v>1556</v>
      </c>
      <c r="AY877" s="41" t="e">
        <f>IF(OR(ISBLANK(U877), ISBLANK(#REF!)), "Incomplete", (60.7*#REF!)+(45.3*U877)-2055)</f>
        <v>#REF!</v>
      </c>
      <c r="AZ877" s="66"/>
      <c r="BA877" s="20" t="e">
        <f>IF(OR(ISBLANK(U877), ISBLANK(#REF!)), "Incomplete", (60.7*#REF!)+(45.3*U877)-2055)</f>
        <v>#REF!</v>
      </c>
      <c r="BB877" s="66"/>
      <c r="BC877" s="20" t="e">
        <f>IF(OR(ISBLANK(U877), ISBLANK(#REF!)), "Incomplete", (60.7*#REF!)+(45.3*U877)-2055)</f>
        <v>#REF!</v>
      </c>
      <c r="BD877" s="66"/>
      <c r="BE877" s="20" t="e">
        <f>IF(OR(ISBLANK(U877), ISBLANK(#REF!)), "Incomplete", (60.7*#REF!)+(45.3*U877)-2055)</f>
        <v>#REF!</v>
      </c>
      <c r="BF877" s="66"/>
      <c r="BG877" s="66">
        <v>7</v>
      </c>
      <c r="BH877" s="66">
        <v>19.5</v>
      </c>
      <c r="BI877" s="20" t="e">
        <f>IF(OR(ISBLANK(#REF!), ISBLANK(#REF!)),"Incomplete",(SUM(#REF!-#REF!)))</f>
        <v>#REF!</v>
      </c>
      <c r="BJ877" s="66"/>
      <c r="BK877" s="66">
        <v>6</v>
      </c>
      <c r="BL877" s="66"/>
      <c r="BM877" s="66">
        <v>6</v>
      </c>
      <c r="BN877" s="66"/>
      <c r="BO877" s="66"/>
      <c r="BP877" s="66"/>
      <c r="BQ877" s="66"/>
      <c r="BR877" s="66"/>
      <c r="BS877" s="66"/>
      <c r="BT877" s="66"/>
      <c r="BU877" s="66"/>
      <c r="BV877" s="66"/>
      <c r="BW877" s="91">
        <f t="shared" si="264"/>
        <v>0</v>
      </c>
      <c r="BX877" s="91" t="str">
        <f>_xlfn.XLOOKUP(BW877,'Normative data'!$V$3:$V$6,'Normative data'!$W$3:$W$6,"Not Found",-1)</f>
        <v>Not completed</v>
      </c>
      <c r="BY877" s="91">
        <f t="shared" si="265"/>
        <v>0</v>
      </c>
      <c r="BZ877" s="91" t="str">
        <f>_xlfn.XLOOKUP(BY877,'Normative data'!$V$3:$V$6,'Normative data'!$W$3:$W$6,"Not Found",-1)</f>
        <v>Not completed</v>
      </c>
      <c r="CA877" s="66"/>
      <c r="CB877" s="66"/>
      <c r="CC877" s="20"/>
      <c r="CD877" s="66"/>
      <c r="CE877" s="66">
        <v>1</v>
      </c>
      <c r="CF877" s="66"/>
      <c r="CG877" s="66">
        <v>19.88</v>
      </c>
      <c r="CH877" s="20" t="e">
        <f>_xlfn.XLOOKUP(#REF!, 'Normative data'!$S$9:$S$15,'Normative data'!$T$9:$T$15, "Not Found", -1)</f>
        <v>#REF!</v>
      </c>
      <c r="CI877" s="66">
        <v>19.149999999999999</v>
      </c>
      <c r="CJ877" s="20" t="e">
        <f>_xlfn.XLOOKUP(#REF!, 'Normative data'!$S$9:$S$15, 'Normative data'!$T$9:$T$15, "Not Found", -1)</f>
        <v>#REF!</v>
      </c>
      <c r="CK877" s="24">
        <v>2.2799999999999998</v>
      </c>
      <c r="CL877" s="24">
        <v>4.3899999999999997</v>
      </c>
      <c r="CM877" s="21"/>
      <c r="CN877" s="24">
        <v>7.54</v>
      </c>
      <c r="CO877" s="24">
        <v>6.63</v>
      </c>
      <c r="CP877" s="110"/>
      <c r="CQ877" s="68"/>
      <c r="CR877" s="20" t="str" cm="1">
        <f t="array" ref="CR877">IF(OR(ISBLANK(E877),ISBLANK(CQ877)),"Incomplete",_xlfn.XLOOKUP(CQ877,_xlfn.XLOOKUP(E877,'Normative data'!$Y$3:$Y$6,'Normative data'!$Z$3:$AG$6,,-1),'Normative data'!$Z$2:$AG$2,"Not Found",-1))</f>
        <v>Incomplete</v>
      </c>
      <c r="CS877" s="68"/>
      <c r="CT877" s="66"/>
      <c r="CU877" s="20" t="str" cm="1">
        <f t="array" ref="CU877">_xlfn.XLOOKUP(CS877&amp;CT877,(VLOOKUP!$A$3:$A$250)&amp;(VLOOKUP!$B$3:$B$250),VLOOKUP!$C$3:$C$250,"Incomplete",-1)</f>
        <v>Incomplete</v>
      </c>
      <c r="CV877" s="20" t="str" cm="1">
        <f t="array" ref="CV877">_xlfn.XLOOKUP(CU877, _xlfn.XLOOKUP(E877, 'Normative data'!$Y$11:$Y$14, 'Normative data'!$Z$11:$AG$14, ,-1), 'Normative data'!$Z$10:$AG$10, "Not Found", -1)</f>
        <v>Excellent</v>
      </c>
      <c r="CW877" s="20" t="str" cm="1">
        <f t="array" ref="CW877">IF(OR(ISBLANK(CS877),ISBLANK(CT877)),"Incomplete",_xlfn.XLOOKUP(CS877&amp;CT877,VLOOKUP!$A$4:$A$250&amp;VLOOKUP!$B$4:$B$250,VLOOKUP!$D$4:$D$250,"0"))</f>
        <v>Incomplete</v>
      </c>
    </row>
    <row r="878" spans="1:101">
      <c r="A878" s="94" t="s">
        <v>745</v>
      </c>
      <c r="B878" s="94" t="s">
        <v>950</v>
      </c>
      <c r="C878" s="64" t="s">
        <v>86</v>
      </c>
      <c r="D878" s="65">
        <v>40712</v>
      </c>
      <c r="E878" s="64"/>
      <c r="F878" s="64">
        <v>8</v>
      </c>
      <c r="G878" s="64">
        <v>2025</v>
      </c>
      <c r="H878" s="66"/>
      <c r="I878" s="64"/>
      <c r="J878" s="64" t="s">
        <v>122</v>
      </c>
      <c r="K878" s="64"/>
      <c r="L878" s="64"/>
      <c r="M878" s="64"/>
      <c r="N878" s="64"/>
      <c r="O878" s="64"/>
      <c r="P878" s="64"/>
      <c r="Q878" s="64"/>
      <c r="R878" s="64"/>
      <c r="S878" s="66"/>
      <c r="T878" s="66">
        <v>157</v>
      </c>
      <c r="U878" s="66" t="s">
        <v>1557</v>
      </c>
      <c r="V878" s="66"/>
      <c r="W878" s="66"/>
      <c r="X878" s="66"/>
      <c r="Y878" s="66"/>
      <c r="Z878" s="66"/>
      <c r="AA878" s="66"/>
      <c r="AB878" s="66"/>
      <c r="AC878" s="66"/>
      <c r="AD878" s="66"/>
      <c r="AE878" s="66"/>
      <c r="AF878" s="66"/>
      <c r="AG878" s="66"/>
      <c r="AH878" s="66"/>
      <c r="AI878" s="66"/>
      <c r="AJ878" s="66"/>
      <c r="AK878" s="66"/>
      <c r="AL878" s="66"/>
      <c r="AM878" s="66"/>
      <c r="AN878" s="66"/>
      <c r="AO878" s="66"/>
      <c r="AP878" s="66"/>
      <c r="AQ878" s="66"/>
      <c r="AR878" s="66"/>
      <c r="AS878" s="66"/>
      <c r="AT878" s="66"/>
      <c r="AU878" s="66"/>
      <c r="AV878" s="66"/>
      <c r="AW878" s="66"/>
      <c r="AX878" s="66"/>
      <c r="AY878" s="41" t="str">
        <f>IF(OR(ISBLANK(#REF!), ISBLANK(AQ878)), "Incomplete", (60.7*AQ878)+(45.3*#REF!)-2055)</f>
        <v>Incomplete</v>
      </c>
      <c r="AZ878" s="66"/>
      <c r="BA878" s="20" t="str">
        <f>IF(OR(ISBLANK(#REF!), ISBLANK(AS878)), "Incomplete", (60.7*AS878)+(45.3*#REF!)-2055)</f>
        <v>Incomplete</v>
      </c>
      <c r="BB878" s="66"/>
      <c r="BC878" s="20" t="str">
        <f>IF(OR(ISBLANK(#REF!), ISBLANK(AU878)), "Incomplete", (60.7*AU878)+(45.3*#REF!)-2055)</f>
        <v>Incomplete</v>
      </c>
      <c r="BD878" s="66"/>
      <c r="BE878" s="20" t="str">
        <f>IF(OR(ISBLANK(#REF!), ISBLANK(AW878)), "Incomplete", (60.7*AW878)+(45.3*#REF!)-2055)</f>
        <v>Incomplete</v>
      </c>
      <c r="BF878" s="66"/>
      <c r="BG878" s="66"/>
      <c r="BH878" s="66"/>
      <c r="BI878" s="20" t="str">
        <f>IF(OR(ISBLANK(BG878), ISBLANK(BH878)),"Incomplete",(SUM(BH878-BG878)))</f>
        <v>Incomplete</v>
      </c>
      <c r="BJ878" s="66"/>
      <c r="BK878" s="66"/>
      <c r="BL878" s="66"/>
      <c r="BM878" s="66"/>
      <c r="BN878" s="66"/>
      <c r="BO878" s="66"/>
      <c r="BP878" s="66"/>
      <c r="BQ878" s="66"/>
      <c r="BR878" s="66"/>
      <c r="BS878" s="66"/>
      <c r="BT878" s="66"/>
      <c r="BU878" s="66"/>
      <c r="BV878" s="66"/>
      <c r="BW878" s="91" t="str">
        <f>IFERROR(SUM(BQ878+BR878+BS878)/(3*(#REF!-S878))*100, "Incomplete")</f>
        <v>Incomplete</v>
      </c>
      <c r="BX878" s="91" t="str">
        <f>_xlfn.XLOOKUP(BW878,'Normative data'!$V$3:$V$6,'Normative data'!$W$3:$W$6,"Not Found",-1)</f>
        <v>Very low risk</v>
      </c>
      <c r="BY878" s="91" t="str">
        <f>IFERROR(SUM(BT878+BU878+BV878)/(3*(#REF!-S878))*100, "Incomplete")</f>
        <v>Incomplete</v>
      </c>
      <c r="BZ878" s="91" t="str">
        <f>_xlfn.XLOOKUP(BY878,'Normative data'!$V$3:$V$6,'Normative data'!$W$3:$W$6,"Not Found",-1)</f>
        <v>Very low risk</v>
      </c>
      <c r="CA878" s="66"/>
      <c r="CB878" s="66"/>
      <c r="CC878" s="20"/>
      <c r="CD878" s="66"/>
      <c r="CE878" s="66"/>
      <c r="CF878" s="66"/>
      <c r="CG878" s="20">
        <v>20.27</v>
      </c>
      <c r="CH878" s="20" t="e">
        <f>_xlfn.XLOOKUP(#REF!, 'Normative data'!$S$9:$S$15,'Normative data'!$T$9:$T$15, "Not Found", -1)</f>
        <v>#REF!</v>
      </c>
      <c r="CI878" s="20">
        <v>18.27</v>
      </c>
      <c r="CJ878" s="20" t="e">
        <f>_xlfn.XLOOKUP(#REF!, 'Normative data'!$S$9:$S$15, 'Normative data'!$T$9:$T$15, "Not Found", -1)</f>
        <v>#REF!</v>
      </c>
      <c r="CK878" s="21"/>
      <c r="CL878" s="21"/>
      <c r="CM878" s="21"/>
      <c r="CN878" s="21"/>
      <c r="CO878" s="21"/>
      <c r="CP878" s="110"/>
      <c r="CQ878" s="68"/>
      <c r="CR878" s="20" t="str" cm="1">
        <f t="array" ref="CR878">IF(OR(ISBLANK(E878),ISBLANK(CQ878)),"Incomplete",_xlfn.XLOOKUP(CQ878,_xlfn.XLOOKUP(E878,'Normative data'!$Y$3:$Y$6,'Normative data'!$Z$3:$AG$6,,-1),'Normative data'!$Z$2:$AG$2,"Not Found",-1))</f>
        <v>Incomplete</v>
      </c>
      <c r="CS878" s="68"/>
      <c r="CT878" s="66"/>
      <c r="CU878" s="20" t="str" cm="1">
        <f t="array" ref="CU878">_xlfn.XLOOKUP(CS878&amp;CT878,(VLOOKUP!$A$3:$A$250)&amp;(VLOOKUP!$B$3:$B$250),VLOOKUP!$C$3:$C$250,"Incomplete",-1)</f>
        <v>Incomplete</v>
      </c>
      <c r="CV878" s="20" t="str" cm="1">
        <f t="array" ref="CV878">_xlfn.XLOOKUP(CU878, _xlfn.XLOOKUP(E878, 'Normative data'!$Y$11:$Y$14, 'Normative data'!$Z$11:$AG$14, ,-1), 'Normative data'!$Z$10:$AG$10, "Not Found", -1)</f>
        <v>Excellent</v>
      </c>
      <c r="CW878" s="20" t="str" cm="1">
        <f t="array" ref="CW878">IF(OR(ISBLANK(CS878),ISBLANK(CT878)),"Incomplete",_xlfn.XLOOKUP(CS878&amp;CT878,VLOOKUP!$A$4:$A$250&amp;VLOOKUP!$B$4:$B$250,VLOOKUP!$D$4:$D$250,"0"))</f>
        <v>Incomplete</v>
      </c>
    </row>
    <row r="879" spans="1:101">
      <c r="A879" s="64" t="s">
        <v>1067</v>
      </c>
      <c r="B879" s="64" t="s">
        <v>1066</v>
      </c>
      <c r="C879" s="64" t="s">
        <v>86</v>
      </c>
      <c r="D879" s="65">
        <v>40114</v>
      </c>
      <c r="E879" s="64"/>
      <c r="F879" s="64">
        <v>10</v>
      </c>
      <c r="G879" s="64">
        <v>2025</v>
      </c>
      <c r="H879" s="66"/>
      <c r="I879" s="64"/>
      <c r="J879" s="64" t="s">
        <v>122</v>
      </c>
      <c r="K879" s="64"/>
      <c r="L879" s="64"/>
      <c r="M879" s="64"/>
      <c r="N879" s="64"/>
      <c r="O879" s="64"/>
      <c r="P879" s="64"/>
      <c r="Q879" s="64"/>
      <c r="R879" s="64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  <c r="AD879" s="66"/>
      <c r="AE879" s="66"/>
      <c r="AF879" s="66"/>
      <c r="AG879" s="66"/>
      <c r="AH879" s="66"/>
      <c r="AI879" s="66"/>
      <c r="AJ879" s="66"/>
      <c r="AK879" s="66"/>
      <c r="AL879" s="66"/>
      <c r="AM879" s="66"/>
      <c r="AN879" s="66"/>
      <c r="AO879" s="66"/>
      <c r="AP879" s="66"/>
      <c r="AQ879" s="20"/>
      <c r="AR879" s="20"/>
      <c r="AS879" s="20"/>
      <c r="AT879" s="20"/>
      <c r="AU879" s="20"/>
      <c r="AV879" s="20"/>
      <c r="AW879" s="20"/>
      <c r="AX879" s="20"/>
      <c r="AY879" s="41" t="str">
        <f>IF(OR(ISBLANK(U879), ISBLANK(AQ879)), "Incomplete", (60.7*AQ879)+(45.3*U879)-2055)</f>
        <v>Incomplete</v>
      </c>
      <c r="AZ879" s="66"/>
      <c r="BA879" s="20" t="str">
        <f>IF(OR(ISBLANK(U879), ISBLANK(AS879)), "Incomplete", (60.7*AS879)+(45.3*U879)-2055)</f>
        <v>Incomplete</v>
      </c>
      <c r="BB879" s="66"/>
      <c r="BC879" s="20" t="str">
        <f>IF(OR(ISBLANK(U879), ISBLANK(AU879)), "Incomplete", (60.7*AU879)+(45.3*U879)-2055)</f>
        <v>Incomplete</v>
      </c>
      <c r="BD879" s="66"/>
      <c r="BE879" s="20" t="str">
        <f>IF(OR(ISBLANK(U879), ISBLANK(AW879)), "Incomplete", (60.7*AW879)+(45.3*U879)-2055)</f>
        <v>Incomplete</v>
      </c>
      <c r="BF879" s="66"/>
      <c r="BG879" s="66">
        <v>17.5</v>
      </c>
      <c r="BH879" s="66">
        <v>37.299999999999997</v>
      </c>
      <c r="BI879" s="20" t="e">
        <f>IF(OR(ISBLANK(#REF!), ISBLANK(#REF!)),"Incomplete",(SUM(#REF!-#REF!)))</f>
        <v>#REF!</v>
      </c>
      <c r="BJ879" s="66"/>
      <c r="BK879" s="66">
        <v>7</v>
      </c>
      <c r="BL879" s="66"/>
      <c r="BM879" s="66">
        <v>6</v>
      </c>
      <c r="BN879" s="66"/>
      <c r="BO879" s="66"/>
      <c r="BP879" s="66"/>
      <c r="BQ879" s="66"/>
      <c r="BR879" s="66"/>
      <c r="BS879" s="66"/>
      <c r="BT879" s="66"/>
      <c r="BU879" s="66"/>
      <c r="BV879" s="66"/>
      <c r="BW879" s="91" t="str">
        <f t="shared" ref="BW879:BW890" si="272">IFERROR(SUM(BQ879+BR879+BS879)/(3*(T879-S879))*100, "Incomplete")</f>
        <v>Incomplete</v>
      </c>
      <c r="BX879" s="91" t="str">
        <f>_xlfn.XLOOKUP(BW879,'Normative data'!$V$3:$V$6,'Normative data'!$W$3:$W$6,"Not Found",-1)</f>
        <v>Very low risk</v>
      </c>
      <c r="BY879" s="91" t="str">
        <f t="shared" ref="BY879:BY890" si="273">IFERROR(SUM(BT879+BU879+BV879)/(3*(T879-S879))*100, "Incomplete")</f>
        <v>Incomplete</v>
      </c>
      <c r="BZ879" s="91" t="str">
        <f>_xlfn.XLOOKUP(BY879,'Normative data'!$V$3:$V$6,'Normative data'!$W$3:$W$6,"Not Found",-1)</f>
        <v>Very low risk</v>
      </c>
      <c r="CA879" s="66"/>
      <c r="CB879" s="66"/>
      <c r="CC879" s="20"/>
      <c r="CD879" s="66"/>
      <c r="CE879" s="66">
        <v>12</v>
      </c>
      <c r="CF879" s="66"/>
      <c r="CG879" s="66"/>
      <c r="CH879" s="20" t="str">
        <f>_xlfn.XLOOKUP(CG879, 'Normative data'!$S$9:$S$15,'Normative data'!$T$9:$T$15, "Not Found", -1)</f>
        <v>not completed</v>
      </c>
      <c r="CI879" s="66"/>
      <c r="CJ879" s="20" t="str">
        <f>_xlfn.XLOOKUP(CI879, 'Normative data'!$S$9:$S$15, 'Normative data'!$T$9:$T$15, "Not Found", -1)</f>
        <v>not completed</v>
      </c>
      <c r="CK879" s="21">
        <v>2.17</v>
      </c>
      <c r="CL879" s="21">
        <v>4.6100000000000003</v>
      </c>
      <c r="CM879" s="21"/>
      <c r="CN879" s="21">
        <v>6.72</v>
      </c>
      <c r="CO879" s="21">
        <v>7.41</v>
      </c>
      <c r="CP879" s="109"/>
      <c r="CQ879" s="68"/>
      <c r="CR879" s="20" t="str" cm="1">
        <f t="array" ref="CR879">IF(OR(ISBLANK(E879),ISBLANK(CQ879)),"Incomplete",_xlfn.XLOOKUP(CQ879,_xlfn.XLOOKUP(E879,'Normative data'!$Y$3:$Y$6,'Normative data'!$Z$3:$AG$6,,-1),'Normative data'!$Z$2:$AG$2,"Not Found",-1))</f>
        <v>Incomplete</v>
      </c>
      <c r="CS879" s="68"/>
      <c r="CT879" s="66"/>
      <c r="CU879" s="20" t="str" cm="1">
        <f t="array" ref="CU879">_xlfn.XLOOKUP(CS879&amp;CT879,(VLOOKUP!$A$3:$A$250)&amp;(VLOOKUP!$B$3:$B$250),VLOOKUP!$C$3:$C$250,"Incomplete",-1)</f>
        <v>Incomplete</v>
      </c>
      <c r="CV879" s="20" t="str" cm="1">
        <f t="array" ref="CV879">_xlfn.XLOOKUP(CU879, _xlfn.XLOOKUP(E879, 'Normative data'!$Y$11:$Y$14, 'Normative data'!$Z$11:$AG$14, ,-1), 'Normative data'!$Z$10:$AG$10, "Not Found", -1)</f>
        <v>Excellent</v>
      </c>
      <c r="CW879" s="20" t="str" cm="1">
        <f t="array" ref="CW879">IF(OR(ISBLANK(CS879),ISBLANK(CT879)),"Incomplete",_xlfn.XLOOKUP(CS879&amp;CT879,VLOOKUP!$A$4:$A$250&amp;VLOOKUP!$B$4:$B$250,VLOOKUP!$D$4:$D$250,"0"))</f>
        <v>Incomplete</v>
      </c>
    </row>
    <row r="880" spans="1:101">
      <c r="A880" s="64" t="s">
        <v>1067</v>
      </c>
      <c r="B880" s="64" t="s">
        <v>1066</v>
      </c>
      <c r="C880" s="64" t="s">
        <v>86</v>
      </c>
      <c r="D880" s="65">
        <v>40114</v>
      </c>
      <c r="E880" s="64"/>
      <c r="F880" s="64"/>
      <c r="G880" s="64">
        <v>2025</v>
      </c>
      <c r="H880" s="66"/>
      <c r="I880" s="64"/>
      <c r="J880" s="64" t="s">
        <v>122</v>
      </c>
      <c r="K880" s="64"/>
      <c r="L880" s="64"/>
      <c r="M880" s="64"/>
      <c r="N880" s="64"/>
      <c r="O880" s="64"/>
      <c r="P880" s="64"/>
      <c r="Q880" s="64"/>
      <c r="R880" s="64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  <c r="AD880" s="66"/>
      <c r="AE880" s="66"/>
      <c r="AF880" s="66"/>
      <c r="AG880" s="66"/>
      <c r="AH880" s="66"/>
      <c r="AI880" s="66"/>
      <c r="AJ880" s="66"/>
      <c r="AK880" s="66"/>
      <c r="AL880" s="66"/>
      <c r="AM880" s="66"/>
      <c r="AN880" s="66"/>
      <c r="AO880" s="66"/>
      <c r="AP880" s="66"/>
      <c r="AQ880" s="66"/>
      <c r="AR880" s="66"/>
      <c r="AS880" s="66"/>
      <c r="AT880" s="66"/>
      <c r="AU880" s="66"/>
      <c r="AV880" s="66"/>
      <c r="AW880" s="66"/>
      <c r="AX880" s="66"/>
      <c r="AY880" s="41" t="str">
        <f>IF(OR(ISBLANK(U880), ISBLANK(AQ880)), "Incomplete", (60.7*AQ880)+(45.3*U880)-2055)</f>
        <v>Incomplete</v>
      </c>
      <c r="AZ880" s="66"/>
      <c r="BA880" s="20" t="str">
        <f>IF(OR(ISBLANK(U880), ISBLANK(AS880)), "Incomplete", (60.7*AS880)+(45.3*U880)-2055)</f>
        <v>Incomplete</v>
      </c>
      <c r="BB880" s="66"/>
      <c r="BC880" s="20" t="str">
        <f>IF(OR(ISBLANK(U880), ISBLANK(AU880)), "Incomplete", (60.7*AU880)+(45.3*U880)-2055)</f>
        <v>Incomplete</v>
      </c>
      <c r="BD880" s="66"/>
      <c r="BE880" s="20" t="str">
        <f>IF(OR(ISBLANK(U880), ISBLANK(AW880)), "Incomplete", (60.7*AW880)+(45.3*U880)-2055)</f>
        <v>Incomplete</v>
      </c>
      <c r="BF880" s="66"/>
      <c r="BG880" s="66"/>
      <c r="BH880" s="66"/>
      <c r="BI880" s="20" t="str">
        <f>IF(OR(ISBLANK(BG880), ISBLANK(BH880)),"Incomplete",(SUM(BH880-BG880)))</f>
        <v>Incomplete</v>
      </c>
      <c r="BJ880" s="66"/>
      <c r="BK880" s="66"/>
      <c r="BL880" s="66"/>
      <c r="BM880" s="66"/>
      <c r="BN880" s="66"/>
      <c r="BO880" s="66"/>
      <c r="BP880" s="66"/>
      <c r="BQ880" s="66"/>
      <c r="BR880" s="66"/>
      <c r="BS880" s="66"/>
      <c r="BT880" s="66"/>
      <c r="BU880" s="66"/>
      <c r="BV880" s="66"/>
      <c r="BW880" s="91" t="str">
        <f t="shared" si="272"/>
        <v>Incomplete</v>
      </c>
      <c r="BX880" s="91" t="str">
        <f>_xlfn.XLOOKUP(BW880,'Normative data'!$V$3:$V$6,'Normative data'!$W$3:$W$6,"Not Found",-1)</f>
        <v>Very low risk</v>
      </c>
      <c r="BY880" s="91" t="str">
        <f t="shared" si="273"/>
        <v>Incomplete</v>
      </c>
      <c r="BZ880" s="91" t="str">
        <f>_xlfn.XLOOKUP(BY880,'Normative data'!$V$3:$V$6,'Normative data'!$W$3:$W$6,"Not Found",-1)</f>
        <v>Very low risk</v>
      </c>
      <c r="CA880" s="66"/>
      <c r="CB880" s="66"/>
      <c r="CC880" s="20"/>
      <c r="CD880" s="66"/>
      <c r="CE880" s="66"/>
      <c r="CF880" s="66"/>
      <c r="CG880" s="66">
        <v>17.809999999999999</v>
      </c>
      <c r="CH880" s="20" t="str">
        <f>_xlfn.XLOOKUP(CG880, 'Normative data'!$S$9:$S$15,'Normative data'!$T$9:$T$15, "Not Found", -1)</f>
        <v>Above Average</v>
      </c>
      <c r="CI880" s="66">
        <v>17.71</v>
      </c>
      <c r="CJ880" s="20" t="str">
        <f>_xlfn.XLOOKUP(CI880, 'Normative data'!$S$9:$S$15, 'Normative data'!$T$9:$T$15, "Not Found", -1)</f>
        <v>Above Average</v>
      </c>
      <c r="CK880" s="21">
        <v>2.17</v>
      </c>
      <c r="CL880" s="21">
        <v>4.6100000000000003</v>
      </c>
      <c r="CM880" s="21"/>
      <c r="CN880" s="21">
        <v>6.72</v>
      </c>
      <c r="CO880" s="21">
        <v>7.41</v>
      </c>
      <c r="CP880" s="68"/>
      <c r="CQ880" s="68"/>
      <c r="CR880" s="20" t="str" cm="1">
        <f t="array" ref="CR880">IF(OR(ISBLANK(E880),ISBLANK(CQ880)),"Incomplete",_xlfn.XLOOKUP(CQ880,_xlfn.XLOOKUP(E880,'Normative data'!$Y$3:$Y$6,'Normative data'!$Z$3:$AG$6,,-1),'Normative data'!$Z$2:$AG$2,"Not Found",-1))</f>
        <v>Incomplete</v>
      </c>
      <c r="CS880" s="68"/>
      <c r="CT880" s="66"/>
      <c r="CU880" s="20" t="str" cm="1">
        <f t="array" ref="CU880">_xlfn.XLOOKUP(CS880&amp;CT880,(VLOOKUP!$A$3:$A$250)&amp;(VLOOKUP!$B$3:$B$250),VLOOKUP!$C$3:$C$250,"Incomplete",-1)</f>
        <v>Incomplete</v>
      </c>
      <c r="CV880" s="20" t="str" cm="1">
        <f t="array" ref="CV880">_xlfn.XLOOKUP(CU880, _xlfn.XLOOKUP(E880, 'Normative data'!$Y$11:$Y$14, 'Normative data'!$Z$11:$AG$14, ,-1), 'Normative data'!$Z$10:$AG$10, "Not Found", -1)</f>
        <v>Excellent</v>
      </c>
      <c r="CW880" s="20" t="str" cm="1">
        <f t="array" ref="CW880">IF(OR(ISBLANK(CS880),ISBLANK(CT880)),"Incomplete",_xlfn.XLOOKUP(CS880&amp;CT880,VLOOKUP!$A$4:$A$250&amp;VLOOKUP!$B$4:$B$250,VLOOKUP!$D$4:$D$250,"0"))</f>
        <v>Incomplete</v>
      </c>
    </row>
    <row r="881" spans="1:101">
      <c r="A881" s="64" t="s">
        <v>1067</v>
      </c>
      <c r="B881" s="64" t="s">
        <v>1066</v>
      </c>
      <c r="C881" s="64" t="s">
        <v>86</v>
      </c>
      <c r="D881" s="65">
        <v>40114</v>
      </c>
      <c r="E881" s="64"/>
      <c r="F881" s="64"/>
      <c r="G881" s="64">
        <v>2025</v>
      </c>
      <c r="H881" s="66"/>
      <c r="I881" s="64"/>
      <c r="J881" s="64" t="s">
        <v>122</v>
      </c>
      <c r="K881" s="64"/>
      <c r="L881" s="64"/>
      <c r="M881" s="64"/>
      <c r="N881" s="64"/>
      <c r="O881" s="64"/>
      <c r="P881" s="64"/>
      <c r="Q881" s="64"/>
      <c r="R881" s="64"/>
      <c r="S881" s="66"/>
      <c r="T881" s="66" t="s">
        <v>1558</v>
      </c>
      <c r="U881" s="66" t="s">
        <v>1559</v>
      </c>
      <c r="V881" s="66"/>
      <c r="W881" s="66"/>
      <c r="X881" s="66"/>
      <c r="Y881" s="66"/>
      <c r="Z881" s="66"/>
      <c r="AA881" s="66"/>
      <c r="AB881" s="66"/>
      <c r="AC881" s="66"/>
      <c r="AD881" s="66"/>
      <c r="AE881" s="66"/>
      <c r="AF881" s="66"/>
      <c r="AG881" s="66"/>
      <c r="AH881" s="66"/>
      <c r="AI881" s="66"/>
      <c r="AJ881" s="66"/>
      <c r="AK881" s="66"/>
      <c r="AL881" s="66"/>
      <c r="AM881" s="66"/>
      <c r="AN881" s="66"/>
      <c r="AO881" s="66"/>
      <c r="AP881" s="66"/>
      <c r="AQ881" s="66">
        <v>20.2</v>
      </c>
      <c r="AR881" s="66">
        <v>0.40600000000000003</v>
      </c>
      <c r="AS881" s="66">
        <v>29.4</v>
      </c>
      <c r="AT881" s="66">
        <v>0.49</v>
      </c>
      <c r="AU881" s="66">
        <v>17.100000000000001</v>
      </c>
      <c r="AV881" s="66">
        <v>0.374</v>
      </c>
      <c r="AW881" s="66">
        <v>17</v>
      </c>
      <c r="AX881" s="66">
        <v>0.372</v>
      </c>
      <c r="AY881" s="41" t="e">
        <f>IF(OR(ISBLANK(U881), ISBLANK(#REF!)), "Incomplete", (60.7*#REF!)+(45.3*U881)-2055)</f>
        <v>#REF!</v>
      </c>
      <c r="AZ881" s="66"/>
      <c r="BA881" s="20" t="e">
        <f>IF(OR(ISBLANK(U881), ISBLANK(#REF!)), "Incomplete", (60.7*#REF!)+(45.3*U881)-2055)</f>
        <v>#REF!</v>
      </c>
      <c r="BB881" s="66"/>
      <c r="BC881" s="20" t="e">
        <f>IF(OR(ISBLANK(U881), ISBLANK(#REF!)), "Incomplete", (60.7*#REF!)+(45.3*U881)-2055)</f>
        <v>#REF!</v>
      </c>
      <c r="BD881" s="66"/>
      <c r="BE881" s="20" t="e">
        <f>IF(OR(ISBLANK(U881), ISBLANK(#REF!)), "Incomplete", (60.7*#REF!)+(45.3*U881)-2055)</f>
        <v>#REF!</v>
      </c>
      <c r="BF881" s="66"/>
      <c r="BG881" s="66"/>
      <c r="BH881" s="66"/>
      <c r="BI881" s="20" t="str">
        <f>IF(OR(ISBLANK(BG881), ISBLANK(BH881)),"Incomplete",(SUM(BH881-BG881)))</f>
        <v>Incomplete</v>
      </c>
      <c r="BJ881" s="66"/>
      <c r="BK881" s="66"/>
      <c r="BL881" s="66"/>
      <c r="BM881" s="66"/>
      <c r="BN881" s="66"/>
      <c r="BO881" s="66"/>
      <c r="BP881" s="66"/>
      <c r="BQ881" s="66"/>
      <c r="BR881" s="66"/>
      <c r="BS881" s="66"/>
      <c r="BT881" s="66"/>
      <c r="BU881" s="66"/>
      <c r="BV881" s="66"/>
      <c r="BW881" s="91" t="str">
        <f t="shared" si="272"/>
        <v>Incomplete</v>
      </c>
      <c r="BX881" s="91" t="str">
        <f>_xlfn.XLOOKUP(BW881,'Normative data'!$V$3:$V$6,'Normative data'!$W$3:$W$6,"Not Found",-1)</f>
        <v>Very low risk</v>
      </c>
      <c r="BY881" s="91" t="str">
        <f t="shared" si="273"/>
        <v>Incomplete</v>
      </c>
      <c r="BZ881" s="91" t="str">
        <f>_xlfn.XLOOKUP(BY881,'Normative data'!$V$3:$V$6,'Normative data'!$W$3:$W$6,"Not Found",-1)</f>
        <v>Very low risk</v>
      </c>
      <c r="CA881" s="66"/>
      <c r="CB881" s="66"/>
      <c r="CC881" s="20"/>
      <c r="CD881" s="66"/>
      <c r="CE881" s="66"/>
      <c r="CF881" s="66"/>
      <c r="CG881" s="66">
        <v>18.059999999999999</v>
      </c>
      <c r="CH881" s="20" t="e">
        <f>_xlfn.XLOOKUP(#REF!, 'Normative data'!$S$9:$S$15,'Normative data'!$T$9:$T$15, "Not Found", -1)</f>
        <v>#REF!</v>
      </c>
      <c r="CI881" s="66">
        <v>17.170000000000002</v>
      </c>
      <c r="CJ881" s="20" t="e">
        <f>_xlfn.XLOOKUP(#REF!, 'Normative data'!$S$9:$S$15, 'Normative data'!$T$9:$T$15, "Not Found", -1)</f>
        <v>#REF!</v>
      </c>
      <c r="CK881" s="66" t="s">
        <v>127</v>
      </c>
      <c r="CL881" s="66" t="s">
        <v>128</v>
      </c>
      <c r="CM881" s="105"/>
      <c r="CN881" s="66" t="s">
        <v>682</v>
      </c>
      <c r="CO881" s="66" t="s">
        <v>940</v>
      </c>
      <c r="CP881" s="68"/>
      <c r="CQ881" s="68"/>
      <c r="CR881" s="20" t="str" cm="1">
        <f t="array" ref="CR881">IF(OR(ISBLANK(E881),ISBLANK(CQ881)),"Incomplete",_xlfn.XLOOKUP(CQ881,_xlfn.XLOOKUP(E881,'Normative data'!$Y$3:$Y$6,'Normative data'!$Z$3:$AG$6,,-1),'Normative data'!$Z$2:$AG$2,"Not Found",-1))</f>
        <v>Incomplete</v>
      </c>
      <c r="CS881" s="68"/>
      <c r="CT881" s="66"/>
      <c r="CU881" s="20" t="str" cm="1">
        <f t="array" ref="CU881">_xlfn.XLOOKUP(CS881&amp;CT881,(VLOOKUP!$A$3:$A$250)&amp;(VLOOKUP!$B$3:$B$250),VLOOKUP!$C$3:$C$250,"Incomplete",-1)</f>
        <v>Incomplete</v>
      </c>
      <c r="CV881" s="20" t="str" cm="1">
        <f t="array" ref="CV881">_xlfn.XLOOKUP(CU881, _xlfn.XLOOKUP(E881, 'Normative data'!$Y$11:$Y$14, 'Normative data'!$Z$11:$AG$14, ,-1), 'Normative data'!$Z$10:$AG$10, "Not Found", -1)</f>
        <v>Excellent</v>
      </c>
      <c r="CW881" s="20" t="str" cm="1">
        <f t="array" ref="CW881">IF(OR(ISBLANK(CS881),ISBLANK(CT881)),"Incomplete",_xlfn.XLOOKUP(CS881&amp;CT881,VLOOKUP!$A$4:$A$250&amp;VLOOKUP!$B$4:$B$250,VLOOKUP!$D$4:$D$250,"0"))</f>
        <v>Incomplete</v>
      </c>
    </row>
    <row r="882" spans="1:101">
      <c r="A882" s="64" t="s">
        <v>1560</v>
      </c>
      <c r="B882" s="64" t="s">
        <v>1066</v>
      </c>
      <c r="C882" s="64" t="s">
        <v>86</v>
      </c>
      <c r="D882" s="65">
        <v>40114</v>
      </c>
      <c r="E882" s="64"/>
      <c r="F882" s="64"/>
      <c r="G882" s="64">
        <v>2026</v>
      </c>
      <c r="H882" s="66" t="s">
        <v>114</v>
      </c>
      <c r="I882" s="64">
        <v>1</v>
      </c>
      <c r="J882" s="64"/>
      <c r="K882" s="64"/>
      <c r="L882" s="64"/>
      <c r="M882" s="64"/>
      <c r="N882" s="64"/>
      <c r="O882" s="64"/>
      <c r="P882" s="64"/>
      <c r="Q882" s="64"/>
      <c r="R882" s="64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  <c r="AD882" s="66"/>
      <c r="AE882" s="66"/>
      <c r="AF882" s="66"/>
      <c r="AG882" s="66"/>
      <c r="AH882" s="66"/>
      <c r="AI882" s="66"/>
      <c r="AJ882" s="66"/>
      <c r="AK882" s="66"/>
      <c r="AL882" s="66"/>
      <c r="AM882" s="66"/>
      <c r="AN882" s="66"/>
      <c r="AO882" s="66"/>
      <c r="AP882" s="66"/>
      <c r="AQ882" s="30" t="s">
        <v>1315</v>
      </c>
      <c r="AR882" s="30" t="s">
        <v>1561</v>
      </c>
      <c r="AS882" s="30" t="s">
        <v>1230</v>
      </c>
      <c r="AT882" s="30" t="s">
        <v>1562</v>
      </c>
      <c r="AU882" s="30" t="s">
        <v>1367</v>
      </c>
      <c r="AV882" s="30" t="s">
        <v>1368</v>
      </c>
      <c r="AW882" s="30" t="s">
        <v>1563</v>
      </c>
      <c r="AX882" s="30" t="s">
        <v>1564</v>
      </c>
      <c r="AY882" s="41" t="str">
        <f t="shared" ref="AY882:AY890" si="274">IF(OR(ISBLANK(U882), ISBLANK(AQ882)), "Incomplete", (60.7*AQ882)+(45.3*U882)-2055)</f>
        <v>Incomplete</v>
      </c>
      <c r="AZ882" s="66"/>
      <c r="BA882" s="20" t="str">
        <f t="shared" ref="BA882:BA890" si="275">IF(OR(ISBLANK(U882), ISBLANK(AS882)), "Incomplete", (60.7*AS882)+(45.3*U882)-2055)</f>
        <v>Incomplete</v>
      </c>
      <c r="BB882" s="66"/>
      <c r="BC882" s="20" t="str">
        <f t="shared" ref="BC882:BC890" si="276">IF(OR(ISBLANK(U882), ISBLANK(AU882)), "Incomplete", (60.7*AU882)+(45.3*U882)-2055)</f>
        <v>Incomplete</v>
      </c>
      <c r="BD882" s="66"/>
      <c r="BE882" s="20" t="str">
        <f t="shared" ref="BE882:BE890" si="277">IF(OR(ISBLANK(U882), ISBLANK(AW882)), "Incomplete", (60.7*AW882)+(45.3*U882)-2055)</f>
        <v>Incomplete</v>
      </c>
      <c r="BF882" s="66"/>
      <c r="BG882" s="104">
        <v>18</v>
      </c>
      <c r="BH882" s="104">
        <v>33</v>
      </c>
      <c r="BI882" s="20">
        <f>IF(OR(ISBLANK(BG882), ISBLANK(BH882)),"Incomplete",(SUM(BH882-BG882)))</f>
        <v>15</v>
      </c>
      <c r="BJ882" s="66"/>
      <c r="BK882" s="66"/>
      <c r="BL882" s="66"/>
      <c r="BM882" s="20"/>
      <c r="BN882" s="66"/>
      <c r="BO882" s="66"/>
      <c r="BP882" s="66"/>
      <c r="BQ882" s="66"/>
      <c r="BR882" s="66"/>
      <c r="BS882" s="66"/>
      <c r="BT882" s="66"/>
      <c r="BU882" s="66"/>
      <c r="BV882" s="66"/>
      <c r="BW882" s="91" t="str">
        <f t="shared" si="272"/>
        <v>Incomplete</v>
      </c>
      <c r="BX882" s="91" t="str">
        <f>_xlfn.XLOOKUP(BW882,'Normative data'!$V$3:$V$6,'Normative data'!$W$3:$W$6,"Not Found",-1)</f>
        <v>Very low risk</v>
      </c>
      <c r="BY882" s="91" t="str">
        <f t="shared" si="273"/>
        <v>Incomplete</v>
      </c>
      <c r="BZ882" s="91" t="str">
        <f>_xlfn.XLOOKUP(BY882,'Normative data'!$V$3:$V$6,'Normative data'!$W$3:$W$6,"Not Found",-1)</f>
        <v>Very low risk</v>
      </c>
      <c r="CA882" s="66"/>
      <c r="CB882" s="66"/>
      <c r="CC882" s="104">
        <v>53</v>
      </c>
      <c r="CD882" s="104"/>
      <c r="CE882" s="104">
        <v>25</v>
      </c>
      <c r="CF882" s="104"/>
      <c r="CG882" s="104" t="s">
        <v>635</v>
      </c>
      <c r="CH882" s="20" t="str">
        <f>_xlfn.XLOOKUP(CG882, 'Normative data'!$S$9:$S$15,'Normative data'!$T$9:$T$15, "Not Found", -1)</f>
        <v>Poor</v>
      </c>
      <c r="CI882" s="104" t="s">
        <v>1565</v>
      </c>
      <c r="CJ882" s="20" t="str">
        <f>_xlfn.XLOOKUP(CI882, 'Normative data'!$S$9:$S$15, 'Normative data'!$T$9:$T$15, "Not Found", -1)</f>
        <v>Poor</v>
      </c>
      <c r="CK882" s="30" t="s">
        <v>204</v>
      </c>
      <c r="CL882" s="30" t="s">
        <v>802</v>
      </c>
      <c r="CM882" s="30"/>
      <c r="CN882" s="30" t="s">
        <v>1256</v>
      </c>
      <c r="CO882" s="30" t="s">
        <v>1255</v>
      </c>
      <c r="CP882" s="112"/>
      <c r="CQ882" s="112" t="s">
        <v>1049</v>
      </c>
      <c r="CR882" s="20" t="str" cm="1">
        <f t="array" ref="CR882">IF(OR(ISBLANK(E882),ISBLANK(CQ882)),"Incomplete",_xlfn.XLOOKUP(CQ882,_xlfn.XLOOKUP(E882,'Normative data'!$Y$3:$Y$6,'Normative data'!$Z$3:$AG$6,,-1),'Normative data'!$Z$2:$AG$2,"Not Found",-1))</f>
        <v>Incomplete</v>
      </c>
      <c r="CS882" s="68">
        <v>12</v>
      </c>
      <c r="CT882" s="66">
        <v>2</v>
      </c>
      <c r="CU882" s="20" cm="1">
        <f t="array" ref="CU882">_xlfn.XLOOKUP(CS882&amp;CT882,(VLOOKUP!$A$3:$A$250)&amp;(VLOOKUP!$B$3:$B$250),VLOOKUP!$C$3:$C$250,"Incomplete",-1)</f>
        <v>2160</v>
      </c>
      <c r="CV882" s="20" t="str" cm="1">
        <f t="array" ref="CV882">_xlfn.XLOOKUP(CU882, _xlfn.XLOOKUP(E882, 'Normative data'!$Y$11:$Y$14, 'Normative data'!$Z$11:$AG$14, ,-1), 'Normative data'!$Z$10:$AG$10, "Not Found", -1)</f>
        <v xml:space="preserve">Good </v>
      </c>
      <c r="CW882" s="20" cm="1">
        <f t="array" ref="CW882">IF(OR(ISBLANK(CS882),ISBLANK(CT882)),"Incomplete",_xlfn.XLOOKUP(CS882&amp;CT882,VLOOKUP!$A$4:$A$250&amp;VLOOKUP!$B$4:$B$250,VLOOKUP!$D$4:$D$250,"0"))</f>
        <v>54</v>
      </c>
    </row>
    <row r="883" spans="1:101">
      <c r="A883" s="93" t="s">
        <v>1087</v>
      </c>
      <c r="B883" s="93" t="s">
        <v>875</v>
      </c>
      <c r="C883" s="64" t="s">
        <v>86</v>
      </c>
      <c r="D883" s="96">
        <v>39721</v>
      </c>
      <c r="E883" s="64"/>
      <c r="F883" s="64">
        <v>11</v>
      </c>
      <c r="G883" s="64">
        <v>2025</v>
      </c>
      <c r="H883" s="66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  <c r="AD883" s="66"/>
      <c r="AE883" s="66"/>
      <c r="AF883" s="66"/>
      <c r="AG883" s="66"/>
      <c r="AH883" s="66"/>
      <c r="AI883" s="66"/>
      <c r="AJ883" s="66"/>
      <c r="AK883" s="66"/>
      <c r="AL883" s="66"/>
      <c r="AM883" s="66"/>
      <c r="AN883" s="66"/>
      <c r="AO883" s="66"/>
      <c r="AP883" s="66"/>
      <c r="AQ883" s="20"/>
      <c r="AR883" s="20"/>
      <c r="AS883" s="20"/>
      <c r="AT883" s="20"/>
      <c r="AU883" s="20"/>
      <c r="AV883" s="20"/>
      <c r="AW883" s="20"/>
      <c r="AX883" s="20"/>
      <c r="AY883" s="41" t="str">
        <f t="shared" si="274"/>
        <v>Incomplete</v>
      </c>
      <c r="AZ883" s="66"/>
      <c r="BA883" s="20" t="str">
        <f t="shared" si="275"/>
        <v>Incomplete</v>
      </c>
      <c r="BB883" s="66"/>
      <c r="BC883" s="20" t="str">
        <f t="shared" si="276"/>
        <v>Incomplete</v>
      </c>
      <c r="BD883" s="66"/>
      <c r="BE883" s="20" t="str">
        <f t="shared" si="277"/>
        <v>Incomplete</v>
      </c>
      <c r="BF883" s="66"/>
      <c r="BG883" s="66">
        <v>13</v>
      </c>
      <c r="BH883" s="66">
        <v>28</v>
      </c>
      <c r="BI883" s="20" t="e">
        <f>IF(OR(ISBLANK(#REF!), ISBLANK(#REF!)),"Incomplete",(SUM(#REF!-#REF!)))</f>
        <v>#REF!</v>
      </c>
      <c r="BJ883" s="66"/>
      <c r="BK883" s="66"/>
      <c r="BL883" s="66"/>
      <c r="BM883" s="66"/>
      <c r="BN883" s="66"/>
      <c r="BO883" s="66"/>
      <c r="BP883" s="66"/>
      <c r="BQ883" s="66"/>
      <c r="BR883" s="66"/>
      <c r="BS883" s="66"/>
      <c r="BT883" s="66"/>
      <c r="BU883" s="66"/>
      <c r="BV883" s="66"/>
      <c r="BW883" s="91" t="str">
        <f t="shared" si="272"/>
        <v>Incomplete</v>
      </c>
      <c r="BX883" s="91" t="str">
        <f>_xlfn.XLOOKUP(BW883,'Normative data'!$V$3:$V$6,'Normative data'!$W$3:$W$6,"Not Found",-1)</f>
        <v>Very low risk</v>
      </c>
      <c r="BY883" s="91" t="str">
        <f t="shared" si="273"/>
        <v>Incomplete</v>
      </c>
      <c r="BZ883" s="91" t="str">
        <f>_xlfn.XLOOKUP(BY883,'Normative data'!$V$3:$V$6,'Normative data'!$W$3:$W$6,"Not Found",-1)</f>
        <v>Very low risk</v>
      </c>
      <c r="CA883" s="66"/>
      <c r="CB883" s="66"/>
      <c r="CC883" s="20"/>
      <c r="CD883" s="66"/>
      <c r="CE883" s="66">
        <v>17</v>
      </c>
      <c r="CF883" s="66"/>
      <c r="CG883" s="66"/>
      <c r="CH883" s="20" t="str">
        <f>_xlfn.XLOOKUP(CG883, 'Normative data'!$S$9:$S$15,'Normative data'!$T$9:$T$15, "Not Found", -1)</f>
        <v>not completed</v>
      </c>
      <c r="CI883" s="66"/>
      <c r="CJ883" s="20" t="str">
        <f>_xlfn.XLOOKUP(CI883, 'Normative data'!$S$9:$S$15, 'Normative data'!$T$9:$T$15, "Not Found", -1)</f>
        <v>not completed</v>
      </c>
      <c r="CK883" s="105">
        <v>2.17</v>
      </c>
      <c r="CL883" s="105">
        <v>4.6100000000000003</v>
      </c>
      <c r="CM883" s="105"/>
      <c r="CN883" s="105">
        <v>6.88</v>
      </c>
      <c r="CO883" s="105">
        <v>7.27</v>
      </c>
      <c r="CP883" s="109"/>
      <c r="CQ883" s="68"/>
      <c r="CR883" s="20" t="str" cm="1">
        <f t="array" ref="CR883">IF(OR(ISBLANK(E883),ISBLANK(CQ883)),"Incomplete",_xlfn.XLOOKUP(CQ883,_xlfn.XLOOKUP(E883,'Normative data'!$Y$3:$Y$6,'Normative data'!$Z$3:$AG$6,,-1),'Normative data'!$Z$2:$AG$2,"Not Found",-1))</f>
        <v>Incomplete</v>
      </c>
      <c r="CS883" s="68"/>
      <c r="CT883" s="66"/>
      <c r="CU883" s="20" t="str" cm="1">
        <f t="array" ref="CU883">_xlfn.XLOOKUP(CS883&amp;CT883,(VLOOKUP!$A$3:$A$250)&amp;(VLOOKUP!$B$3:$B$250),VLOOKUP!$C$3:$C$250,"Incomplete",-1)</f>
        <v>Incomplete</v>
      </c>
      <c r="CV883" s="20" t="str" cm="1">
        <f t="array" ref="CV883">_xlfn.XLOOKUP(CU883, _xlfn.XLOOKUP(E883, 'Normative data'!$Y$11:$Y$14, 'Normative data'!$Z$11:$AG$14, ,-1), 'Normative data'!$Z$10:$AG$10, "Not Found", -1)</f>
        <v>Excellent</v>
      </c>
      <c r="CW883" s="20" t="str" cm="1">
        <f t="array" ref="CW883">IF(OR(ISBLANK(CS883),ISBLANK(CT883)),"Incomplete",_xlfn.XLOOKUP(CS883&amp;CT883,VLOOKUP!$A$4:$A$250&amp;VLOOKUP!$B$4:$B$250,VLOOKUP!$D$4:$D$250,"0"))</f>
        <v>Incomplete</v>
      </c>
    </row>
    <row r="884" spans="1:101">
      <c r="A884" s="64" t="s">
        <v>1544</v>
      </c>
      <c r="B884" s="64" t="s">
        <v>1543</v>
      </c>
      <c r="C884" s="64" t="s">
        <v>86</v>
      </c>
      <c r="D884" s="65"/>
      <c r="E884" s="64"/>
      <c r="F884" s="64"/>
      <c r="G884" s="64">
        <v>2025</v>
      </c>
      <c r="H884" s="66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  <c r="AD884" s="66"/>
      <c r="AE884" s="66"/>
      <c r="AF884" s="66"/>
      <c r="AG884" s="66"/>
      <c r="AH884" s="66"/>
      <c r="AI884" s="66"/>
      <c r="AJ884" s="66"/>
      <c r="AK884" s="66"/>
      <c r="AL884" s="66"/>
      <c r="AM884" s="66"/>
      <c r="AN884" s="66"/>
      <c r="AO884" s="66"/>
      <c r="AP884" s="66"/>
      <c r="AQ884" s="66">
        <v>21.4</v>
      </c>
      <c r="AR884" s="66">
        <v>0.41599999999999998</v>
      </c>
      <c r="AS884" s="66">
        <v>22.4</v>
      </c>
      <c r="AT884" s="66">
        <v>0.42699999999999999</v>
      </c>
      <c r="AU884" s="66">
        <v>11.9</v>
      </c>
      <c r="AV884" s="66">
        <v>0.312</v>
      </c>
      <c r="AW884" s="66">
        <v>11.5</v>
      </c>
      <c r="AX884" s="66">
        <v>0.30599999999999999</v>
      </c>
      <c r="AY884" s="41" t="str">
        <f t="shared" si="274"/>
        <v>Incomplete</v>
      </c>
      <c r="AZ884" s="66"/>
      <c r="BA884" s="20" t="str">
        <f t="shared" si="275"/>
        <v>Incomplete</v>
      </c>
      <c r="BB884" s="66"/>
      <c r="BC884" s="20" t="str">
        <f t="shared" si="276"/>
        <v>Incomplete</v>
      </c>
      <c r="BD884" s="66"/>
      <c r="BE884" s="20" t="str">
        <f t="shared" si="277"/>
        <v>Incomplete</v>
      </c>
      <c r="BF884" s="66"/>
      <c r="BG884" s="66">
        <v>14.5</v>
      </c>
      <c r="BH884" s="66">
        <v>46.5</v>
      </c>
      <c r="BI884" s="20" t="e">
        <f>IF(OR(ISBLANK(#REF!), ISBLANK(#REF!)),"Incomplete",(SUM(#REF!-#REF!)))</f>
        <v>#REF!</v>
      </c>
      <c r="BJ884" s="66"/>
      <c r="BK884" s="66"/>
      <c r="BL884" s="66"/>
      <c r="BM884" s="66"/>
      <c r="BN884" s="66"/>
      <c r="BO884" s="66"/>
      <c r="BP884" s="66"/>
      <c r="BQ884" s="66"/>
      <c r="BR884" s="66"/>
      <c r="BS884" s="66"/>
      <c r="BT884" s="66"/>
      <c r="BU884" s="66"/>
      <c r="BV884" s="66"/>
      <c r="BW884" s="91" t="str">
        <f t="shared" si="272"/>
        <v>Incomplete</v>
      </c>
      <c r="BX884" s="91" t="str">
        <f>_xlfn.XLOOKUP(BW884,'Normative data'!$V$3:$V$6,'Normative data'!$W$3:$W$6,"Not Found",-1)</f>
        <v>Very low risk</v>
      </c>
      <c r="BY884" s="91" t="str">
        <f t="shared" si="273"/>
        <v>Incomplete</v>
      </c>
      <c r="BZ884" s="91" t="str">
        <f>_xlfn.XLOOKUP(BY884,'Normative data'!$V$3:$V$6,'Normative data'!$W$3:$W$6,"Not Found",-1)</f>
        <v>Very low risk</v>
      </c>
      <c r="CA884" s="20"/>
      <c r="CB884" s="66"/>
      <c r="CC884" s="20"/>
      <c r="CD884" s="66"/>
      <c r="CE884" s="66">
        <v>2</v>
      </c>
      <c r="CF884" s="66"/>
      <c r="CG884" s="66"/>
      <c r="CH884" s="20" t="str">
        <f>_xlfn.XLOOKUP(CG884, 'Normative data'!$S$9:$S$15,'Normative data'!$T$9:$T$15, "Not Found", -1)</f>
        <v>not completed</v>
      </c>
      <c r="CI884" s="66"/>
      <c r="CJ884" s="20" t="str">
        <f>_xlfn.XLOOKUP(CI884, 'Normative data'!$S$9:$S$15, 'Normative data'!$T$9:$T$15, "Not Found", -1)</f>
        <v>not completed</v>
      </c>
      <c r="CK884" s="66" t="s">
        <v>127</v>
      </c>
      <c r="CL884" s="66" t="s">
        <v>128</v>
      </c>
      <c r="CM884" s="105"/>
      <c r="CN884" s="66" t="s">
        <v>379</v>
      </c>
      <c r="CO884" s="66" t="s">
        <v>380</v>
      </c>
      <c r="CP884" s="68"/>
      <c r="CQ884" s="68"/>
      <c r="CR884" s="20" t="str" cm="1">
        <f t="array" ref="CR884">IF(OR(ISBLANK(E884),ISBLANK(CQ884)),"Incomplete",_xlfn.XLOOKUP(CQ884,_xlfn.XLOOKUP(E884,'Normative data'!$Y$3:$Y$6,'Normative data'!$Z$3:$AG$6,,-1),'Normative data'!$Z$2:$AG$2,"Not Found",-1))</f>
        <v>Incomplete</v>
      </c>
      <c r="CS884" s="68"/>
      <c r="CT884" s="66"/>
      <c r="CU884" s="20" t="str" cm="1">
        <f t="array" ref="CU884">_xlfn.XLOOKUP(CS884&amp;CT884,(VLOOKUP!$A$3:$A$250)&amp;(VLOOKUP!$B$3:$B$250),VLOOKUP!$C$3:$C$250,"Incomplete",-1)</f>
        <v>Incomplete</v>
      </c>
      <c r="CV884" s="20" t="str" cm="1">
        <f t="array" ref="CV884">_xlfn.XLOOKUP(CU884, _xlfn.XLOOKUP(E884, 'Normative data'!$Y$11:$Y$14, 'Normative data'!$Z$11:$AG$14, ,-1), 'Normative data'!$Z$10:$AG$10, "Not Found", -1)</f>
        <v>Excellent</v>
      </c>
      <c r="CW884" s="20" t="str" cm="1">
        <f t="array" ref="CW884">IF(OR(ISBLANK(CS884),ISBLANK(CT884)),"Incomplete",_xlfn.XLOOKUP(CS884&amp;CT884,VLOOKUP!$A$4:$A$250&amp;VLOOKUP!$B$4:$B$250,VLOOKUP!$D$4:$D$250,"0"))</f>
        <v>Incomplete</v>
      </c>
    </row>
    <row r="885" spans="1:101">
      <c r="A885" s="64" t="s">
        <v>1566</v>
      </c>
      <c r="B885" s="64" t="s">
        <v>1567</v>
      </c>
      <c r="C885" s="64" t="s">
        <v>86</v>
      </c>
      <c r="D885" s="120"/>
      <c r="E885" s="64"/>
      <c r="F885" s="64"/>
      <c r="G885" s="64">
        <v>2026</v>
      </c>
      <c r="H885" s="66" t="s">
        <v>114</v>
      </c>
      <c r="I885" s="64">
        <v>1</v>
      </c>
      <c r="J885" s="64"/>
      <c r="K885" s="64"/>
      <c r="L885" s="64"/>
      <c r="M885" s="64"/>
      <c r="N885" s="64"/>
      <c r="O885" s="64"/>
      <c r="P885" s="64"/>
      <c r="Q885" s="64"/>
      <c r="R885" s="64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  <c r="AD885" s="66"/>
      <c r="AE885" s="66"/>
      <c r="AF885" s="66"/>
      <c r="AG885" s="66"/>
      <c r="AH885" s="66"/>
      <c r="AI885" s="66"/>
      <c r="AJ885" s="66"/>
      <c r="AK885" s="66"/>
      <c r="AL885" s="66"/>
      <c r="AM885" s="66"/>
      <c r="AN885" s="66"/>
      <c r="AO885" s="66"/>
      <c r="AP885" s="66"/>
      <c r="AQ885" s="66">
        <v>22.7</v>
      </c>
      <c r="AR885" s="66">
        <v>0.43</v>
      </c>
      <c r="AS885" s="66">
        <v>20.8</v>
      </c>
      <c r="AT885" s="66">
        <v>0.41199999999999998</v>
      </c>
      <c r="AU885" s="66">
        <v>14.7</v>
      </c>
      <c r="AV885" s="66">
        <v>0.34599999999999997</v>
      </c>
      <c r="AW885" s="66">
        <v>15.7</v>
      </c>
      <c r="AX885" s="66">
        <v>0.35799999999999998</v>
      </c>
      <c r="AY885" s="41" t="str">
        <f t="shared" si="274"/>
        <v>Incomplete</v>
      </c>
      <c r="AZ885" s="66"/>
      <c r="BA885" s="20" t="str">
        <f t="shared" si="275"/>
        <v>Incomplete</v>
      </c>
      <c r="BB885" s="66"/>
      <c r="BC885" s="20" t="str">
        <f t="shared" si="276"/>
        <v>Incomplete</v>
      </c>
      <c r="BD885" s="66"/>
      <c r="BE885" s="20" t="str">
        <f t="shared" si="277"/>
        <v>Incomplete</v>
      </c>
      <c r="BF885" s="66"/>
      <c r="BG885" s="66">
        <v>13</v>
      </c>
      <c r="BH885" s="66">
        <v>50</v>
      </c>
      <c r="BI885" s="20">
        <f>IF(OR(ISBLANK(BG885), ISBLANK(BH885)),"Incomplete",(SUM(BH885-BG885)))</f>
        <v>37</v>
      </c>
      <c r="BJ885" s="66"/>
      <c r="BK885" s="66"/>
      <c r="BL885" s="66"/>
      <c r="BM885" s="66"/>
      <c r="BN885" s="66"/>
      <c r="BO885" s="66"/>
      <c r="BP885" s="66"/>
      <c r="BQ885" s="66"/>
      <c r="BR885" s="66"/>
      <c r="BS885" s="66"/>
      <c r="BT885" s="66"/>
      <c r="BU885" s="66"/>
      <c r="BV885" s="66"/>
      <c r="BW885" s="91" t="str">
        <f t="shared" si="272"/>
        <v>Incomplete</v>
      </c>
      <c r="BX885" s="91" t="str">
        <f>_xlfn.XLOOKUP(BW885,'Normative data'!$V$3:$V$6,'Normative data'!$W$3:$W$6,"Not Found",-1)</f>
        <v>Very low risk</v>
      </c>
      <c r="BY885" s="91" t="str">
        <f t="shared" si="273"/>
        <v>Incomplete</v>
      </c>
      <c r="BZ885" s="91" t="str">
        <f>_xlfn.XLOOKUP(BY885,'Normative data'!$V$3:$V$6,'Normative data'!$W$3:$W$6,"Not Found",-1)</f>
        <v>Very low risk</v>
      </c>
      <c r="CA885" s="66"/>
      <c r="CB885" s="66"/>
      <c r="CC885" s="20">
        <v>39</v>
      </c>
      <c r="CD885" s="66"/>
      <c r="CE885" s="66">
        <v>2</v>
      </c>
      <c r="CF885" s="66"/>
      <c r="CG885" s="66"/>
      <c r="CH885" s="20" t="str">
        <f>_xlfn.XLOOKUP(CG885, 'Normative data'!$S$9:$S$15,'Normative data'!$T$9:$T$15, "Not Found", -1)</f>
        <v>not completed</v>
      </c>
      <c r="CI885" s="66"/>
      <c r="CJ885" s="20" t="str">
        <f>_xlfn.XLOOKUP(CI885, 'Normative data'!$S$9:$S$15, 'Normative data'!$T$9:$T$15, "Not Found", -1)</f>
        <v>not completed</v>
      </c>
      <c r="CK885" s="66">
        <v>2.1</v>
      </c>
      <c r="CL885" s="66">
        <v>4.76</v>
      </c>
      <c r="CM885" s="66"/>
      <c r="CN885" s="66">
        <v>6.84</v>
      </c>
      <c r="CO885" s="66">
        <v>7.31</v>
      </c>
      <c r="CP885" s="68"/>
      <c r="CQ885" s="68">
        <v>4.4000000000000004</v>
      </c>
      <c r="CR885" s="20" t="str" cm="1">
        <f t="array" ref="CR885">IF(OR(ISBLANK(E885),ISBLANK(CQ885)),"Incomplete",_xlfn.XLOOKUP(CQ885,_xlfn.XLOOKUP(E885,'Normative data'!$Y$3:$Y$6,'Normative data'!$Z$3:$AG$6,,-1),'Normative data'!$Z$2:$AG$2,"Not Found",-1))</f>
        <v>Incomplete</v>
      </c>
      <c r="CS885" s="68">
        <v>4</v>
      </c>
      <c r="CT885" s="66">
        <v>4</v>
      </c>
      <c r="CU885" s="20" cm="1">
        <f t="array" ref="CU885">_xlfn.XLOOKUP(CS885&amp;CT885,(VLOOKUP!$A$3:$A$250)&amp;(VLOOKUP!$B$3:$B$250),VLOOKUP!$C$3:$C$250,"Incomplete",-1)</f>
        <v>540</v>
      </c>
      <c r="CV885" s="20" t="str" cm="1">
        <f t="array" ref="CV885">_xlfn.XLOOKUP(CU885, _xlfn.XLOOKUP(E885, 'Normative data'!$Y$11:$Y$14, 'Normative data'!$Z$11:$AG$14, ,-1), 'Normative data'!$Z$10:$AG$10, "Not Found", -1)</f>
        <v xml:space="preserve">Very poor </v>
      </c>
      <c r="CW885" s="20" cm="1">
        <f t="array" ref="CW885">IF(OR(ISBLANK(CS885),ISBLANK(CT885)),"Incomplete",_xlfn.XLOOKUP(CS885&amp;CT885,VLOOKUP!$A$4:$A$250&amp;VLOOKUP!$B$4:$B$250,VLOOKUP!$D$4:$D$250,"0"))</f>
        <v>28</v>
      </c>
    </row>
    <row r="886" spans="1:101">
      <c r="A886" s="64" t="s">
        <v>1566</v>
      </c>
      <c r="B886" s="64" t="s">
        <v>1543</v>
      </c>
      <c r="C886" s="64" t="s">
        <v>86</v>
      </c>
      <c r="D886" s="120"/>
      <c r="E886" s="64"/>
      <c r="F886" s="64"/>
      <c r="G886" s="64">
        <v>2026</v>
      </c>
      <c r="H886" s="66" t="s">
        <v>114</v>
      </c>
      <c r="I886" s="64">
        <v>1</v>
      </c>
      <c r="J886" s="64"/>
      <c r="K886" s="64"/>
      <c r="L886" s="64"/>
      <c r="M886" s="64"/>
      <c r="N886" s="64"/>
      <c r="O886" s="64"/>
      <c r="P886" s="64"/>
      <c r="Q886" s="64"/>
      <c r="R886" s="64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  <c r="AD886" s="66"/>
      <c r="AE886" s="66"/>
      <c r="AF886" s="66"/>
      <c r="AG886" s="66"/>
      <c r="AH886" s="66"/>
      <c r="AI886" s="66"/>
      <c r="AJ886" s="66"/>
      <c r="AK886" s="66"/>
      <c r="AL886" s="66"/>
      <c r="AM886" s="66"/>
      <c r="AN886" s="66"/>
      <c r="AO886" s="66"/>
      <c r="AP886" s="66"/>
      <c r="AQ886" s="20"/>
      <c r="AR886" s="20"/>
      <c r="AS886" s="20"/>
      <c r="AT886" s="20"/>
      <c r="AU886" s="20"/>
      <c r="AV886" s="20"/>
      <c r="AW886" s="20"/>
      <c r="AX886" s="20"/>
      <c r="AY886" s="41" t="str">
        <f t="shared" si="274"/>
        <v>Incomplete</v>
      </c>
      <c r="AZ886" s="66"/>
      <c r="BA886" s="20" t="str">
        <f t="shared" si="275"/>
        <v>Incomplete</v>
      </c>
      <c r="BB886" s="66"/>
      <c r="BC886" s="20" t="str">
        <f t="shared" si="276"/>
        <v>Incomplete</v>
      </c>
      <c r="BD886" s="66"/>
      <c r="BE886" s="20" t="str">
        <f t="shared" si="277"/>
        <v>Incomplete</v>
      </c>
      <c r="BF886" s="66"/>
      <c r="BG886" s="66"/>
      <c r="BH886" s="66"/>
      <c r="BI886" s="20" t="str">
        <f>IF(OR(ISBLANK(BG886), ISBLANK(BH886)),"Incomplete",(SUM(BH886-BG886)))</f>
        <v>Incomplete</v>
      </c>
      <c r="BJ886" s="66"/>
      <c r="BK886" s="66"/>
      <c r="BL886" s="66"/>
      <c r="BM886" s="66"/>
      <c r="BN886" s="66"/>
      <c r="BO886" s="66"/>
      <c r="BP886" s="66"/>
      <c r="BQ886" s="66"/>
      <c r="BR886" s="66"/>
      <c r="BS886" s="66"/>
      <c r="BT886" s="66"/>
      <c r="BU886" s="66"/>
      <c r="BV886" s="66"/>
      <c r="BW886" s="91" t="str">
        <f t="shared" si="272"/>
        <v>Incomplete</v>
      </c>
      <c r="BX886" s="91" t="str">
        <f>_xlfn.XLOOKUP(BW886,'Normative data'!$V$3:$V$6,'Normative data'!$W$3:$W$6,"Not Found",-1)</f>
        <v>Very low risk</v>
      </c>
      <c r="BY886" s="91" t="str">
        <f t="shared" si="273"/>
        <v>Incomplete</v>
      </c>
      <c r="BZ886" s="91" t="str">
        <f>_xlfn.XLOOKUP(BY886,'Normative data'!$V$3:$V$6,'Normative data'!$W$3:$W$6,"Not Found",-1)</f>
        <v>Very low risk</v>
      </c>
      <c r="CA886" s="20"/>
      <c r="CB886" s="66"/>
      <c r="CC886" s="20">
        <v>34</v>
      </c>
      <c r="CD886" s="66"/>
      <c r="CE886" s="66">
        <v>5</v>
      </c>
      <c r="CF886" s="66"/>
      <c r="CG886" s="66"/>
      <c r="CH886" s="20" t="str">
        <f>_xlfn.XLOOKUP(CG886, 'Normative data'!$S$9:$S$15,'Normative data'!$T$9:$T$15, "Not Found", -1)</f>
        <v>not completed</v>
      </c>
      <c r="CI886" s="66"/>
      <c r="CJ886" s="20" t="str">
        <f>_xlfn.XLOOKUP(CI886, 'Normative data'!$S$9:$S$15, 'Normative data'!$T$9:$T$15, "Not Found", -1)</f>
        <v>not completed</v>
      </c>
      <c r="CK886" s="66" t="s">
        <v>596</v>
      </c>
      <c r="CL886" s="66" t="s">
        <v>597</v>
      </c>
      <c r="CM886" s="66"/>
      <c r="CN886" s="66" t="s">
        <v>305</v>
      </c>
      <c r="CO886" s="66" t="s">
        <v>306</v>
      </c>
      <c r="CP886" s="68"/>
      <c r="CQ886" s="68"/>
      <c r="CR886" s="20" t="str" cm="1">
        <f t="array" ref="CR886">IF(OR(ISBLANK(E886),ISBLANK(CQ886)),"Incomplete",_xlfn.XLOOKUP(CQ886,_xlfn.XLOOKUP(E886,'Normative data'!$Y$3:$Y$6,'Normative data'!$Z$3:$AG$6,,-1),'Normative data'!$Z$2:$AG$2,"Not Found",-1))</f>
        <v>Incomplete</v>
      </c>
      <c r="CS886" s="68"/>
      <c r="CT886" s="66"/>
      <c r="CU886" s="20" t="str" cm="1">
        <f t="array" ref="CU886">_xlfn.XLOOKUP(CS886&amp;CT886,(VLOOKUP!$A$3:$A$250)&amp;(VLOOKUP!$B$3:$B$250),VLOOKUP!$C$3:$C$250,"Incomplete",-1)</f>
        <v>Incomplete</v>
      </c>
      <c r="CV886" s="20" t="str" cm="1">
        <f t="array" ref="CV886">_xlfn.XLOOKUP(CU886, _xlfn.XLOOKUP(E886, 'Normative data'!$Y$11:$Y$14, 'Normative data'!$Z$11:$AG$14, ,-1), 'Normative data'!$Z$10:$AG$10, "Not Found", -1)</f>
        <v>Excellent</v>
      </c>
      <c r="CW886" s="20" t="str" cm="1">
        <f t="array" ref="CW886">IF(OR(ISBLANK(CS886),ISBLANK(CT886)),"Incomplete",_xlfn.XLOOKUP(CS886&amp;CT886,VLOOKUP!$A$4:$A$250&amp;VLOOKUP!$B$4:$B$250,VLOOKUP!$D$4:$D$250,"0"))</f>
        <v>Incomplete</v>
      </c>
    </row>
    <row r="887" spans="1:101">
      <c r="A887" s="64" t="s">
        <v>1566</v>
      </c>
      <c r="B887" s="64" t="s">
        <v>1568</v>
      </c>
      <c r="C887" s="64" t="s">
        <v>86</v>
      </c>
      <c r="D887" s="65"/>
      <c r="E887" s="64"/>
      <c r="F887" s="64"/>
      <c r="G887" s="64">
        <v>2025</v>
      </c>
      <c r="H887" s="66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  <c r="AE887" s="66"/>
      <c r="AF887" s="66"/>
      <c r="AG887" s="66"/>
      <c r="AH887" s="66"/>
      <c r="AI887" s="66"/>
      <c r="AJ887" s="66"/>
      <c r="AK887" s="66"/>
      <c r="AL887" s="66"/>
      <c r="AM887" s="66"/>
      <c r="AN887" s="66"/>
      <c r="AO887" s="66"/>
      <c r="AP887" s="66"/>
      <c r="AQ887" s="20"/>
      <c r="AR887" s="20"/>
      <c r="AS887" s="20"/>
      <c r="AT887" s="20"/>
      <c r="AU887" s="20"/>
      <c r="AV887" s="20"/>
      <c r="AW887" s="20"/>
      <c r="AX887" s="20"/>
      <c r="AY887" s="41" t="str">
        <f t="shared" si="274"/>
        <v>Incomplete</v>
      </c>
      <c r="AZ887" s="66"/>
      <c r="BA887" s="20" t="str">
        <f t="shared" si="275"/>
        <v>Incomplete</v>
      </c>
      <c r="BB887" s="66"/>
      <c r="BC887" s="20" t="str">
        <f t="shared" si="276"/>
        <v>Incomplete</v>
      </c>
      <c r="BD887" s="66"/>
      <c r="BE887" s="20" t="str">
        <f t="shared" si="277"/>
        <v>Incomplete</v>
      </c>
      <c r="BF887" s="66"/>
      <c r="BG887" s="66"/>
      <c r="BH887" s="66"/>
      <c r="BI887" s="20" t="str">
        <f>IF(OR(ISBLANK(BG887), ISBLANK(BH887)),"Incomplete",(SUM(BH887-BG887)))</f>
        <v>Incomplete</v>
      </c>
      <c r="BJ887" s="66"/>
      <c r="BK887" s="66"/>
      <c r="BL887" s="66"/>
      <c r="BM887" s="66"/>
      <c r="BN887" s="66"/>
      <c r="BO887" s="66"/>
      <c r="BP887" s="66"/>
      <c r="BQ887" s="66"/>
      <c r="BR887" s="66"/>
      <c r="BS887" s="66"/>
      <c r="BT887" s="66"/>
      <c r="BU887" s="66"/>
      <c r="BV887" s="66"/>
      <c r="BW887" s="91" t="str">
        <f t="shared" si="272"/>
        <v>Incomplete</v>
      </c>
      <c r="BX887" s="91" t="str">
        <f>_xlfn.XLOOKUP(BW887,'Normative data'!$V$3:$V$6,'Normative data'!$W$3:$W$6,"Not Found",-1)</f>
        <v>Very low risk</v>
      </c>
      <c r="BY887" s="91" t="str">
        <f t="shared" si="273"/>
        <v>Incomplete</v>
      </c>
      <c r="BZ887" s="91" t="str">
        <f>_xlfn.XLOOKUP(BY887,'Normative data'!$V$3:$V$6,'Normative data'!$W$3:$W$6,"Not Found",-1)</f>
        <v>Very low risk</v>
      </c>
      <c r="CA887" s="20"/>
      <c r="CB887" s="66"/>
      <c r="CC887" s="20"/>
      <c r="CD887" s="66"/>
      <c r="CE887" s="66"/>
      <c r="CF887" s="66"/>
      <c r="CG887" s="66"/>
      <c r="CH887" s="20" t="str">
        <f>_xlfn.XLOOKUP(CG887, 'Normative data'!$S$9:$S$15,'Normative data'!$T$9:$T$15, "Not Found", -1)</f>
        <v>not completed</v>
      </c>
      <c r="CI887" s="66"/>
      <c r="CJ887" s="20" t="str">
        <f>_xlfn.XLOOKUP(CI887, 'Normative data'!$S$9:$S$15, 'Normative data'!$T$9:$T$15, "Not Found", -1)</f>
        <v>not completed</v>
      </c>
      <c r="CK887" s="66" t="s">
        <v>596</v>
      </c>
      <c r="CL887" s="66" t="s">
        <v>597</v>
      </c>
      <c r="CM887" s="66"/>
      <c r="CN887" s="66" t="s">
        <v>305</v>
      </c>
      <c r="CO887" s="66" t="s">
        <v>306</v>
      </c>
      <c r="CP887" s="68"/>
      <c r="CQ887" s="68"/>
      <c r="CR887" s="20" t="str" cm="1">
        <f t="array" ref="CR887">IF(OR(ISBLANK(E887),ISBLANK(CQ887)),"Incomplete",_xlfn.XLOOKUP(CQ887,_xlfn.XLOOKUP(E887,'Normative data'!$Y$3:$Y$6,'Normative data'!$Z$3:$AG$6,,-1),'Normative data'!$Z$2:$AG$2,"Not Found",-1))</f>
        <v>Incomplete</v>
      </c>
      <c r="CS887" s="68"/>
      <c r="CT887" s="66"/>
      <c r="CU887" s="20" t="str" cm="1">
        <f t="array" ref="CU887">_xlfn.XLOOKUP(CS887&amp;CT887,(VLOOKUP!$A$3:$A$250)&amp;(VLOOKUP!$B$3:$B$250),VLOOKUP!$C$3:$C$250,"Incomplete",-1)</f>
        <v>Incomplete</v>
      </c>
      <c r="CV887" s="20" t="str" cm="1">
        <f t="array" ref="CV887">_xlfn.XLOOKUP(CU887, _xlfn.XLOOKUP(E887, 'Normative data'!$Y$11:$Y$14, 'Normative data'!$Z$11:$AG$14, ,-1), 'Normative data'!$Z$10:$AG$10, "Not Found", -1)</f>
        <v>Excellent</v>
      </c>
      <c r="CW887" s="20" t="str" cm="1">
        <f t="array" ref="CW887">IF(OR(ISBLANK(CS887),ISBLANK(CT887)),"Incomplete",_xlfn.XLOOKUP(CS887&amp;CT887,VLOOKUP!$A$4:$A$250&amp;VLOOKUP!$B$4:$B$250,VLOOKUP!$D$4:$D$250,"0"))</f>
        <v>Incomplete</v>
      </c>
    </row>
    <row r="888" spans="1:101">
      <c r="A888" s="94" t="s">
        <v>586</v>
      </c>
      <c r="B888" s="94" t="s">
        <v>585</v>
      </c>
      <c r="C888" s="64" t="s">
        <v>86</v>
      </c>
      <c r="D888" s="97">
        <v>40764</v>
      </c>
      <c r="E888" s="64"/>
      <c r="F888" s="64">
        <v>8</v>
      </c>
      <c r="G888" s="64">
        <v>2025</v>
      </c>
      <c r="H888" s="66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  <c r="AD888" s="66"/>
      <c r="AE888" s="66"/>
      <c r="AF888" s="66"/>
      <c r="AG888" s="66"/>
      <c r="AH888" s="66"/>
      <c r="AI888" s="66"/>
      <c r="AJ888" s="66"/>
      <c r="AK888" s="66"/>
      <c r="AL888" s="66"/>
      <c r="AM888" s="66"/>
      <c r="AN888" s="66"/>
      <c r="AO888" s="66"/>
      <c r="AP888" s="66"/>
      <c r="AQ888" s="66"/>
      <c r="AR888" s="66"/>
      <c r="AS888" s="66"/>
      <c r="AT888" s="66"/>
      <c r="AU888" s="66"/>
      <c r="AV888" s="66"/>
      <c r="AW888" s="66"/>
      <c r="AX888" s="66"/>
      <c r="AY888" s="41" t="str">
        <f t="shared" si="274"/>
        <v>Incomplete</v>
      </c>
      <c r="AZ888" s="66"/>
      <c r="BA888" s="20" t="str">
        <f t="shared" si="275"/>
        <v>Incomplete</v>
      </c>
      <c r="BB888" s="66"/>
      <c r="BC888" s="20" t="str">
        <f t="shared" si="276"/>
        <v>Incomplete</v>
      </c>
      <c r="BD888" s="66"/>
      <c r="BE888" s="20" t="str">
        <f t="shared" si="277"/>
        <v>Incomplete</v>
      </c>
      <c r="BF888" s="66"/>
      <c r="BG888" s="66">
        <v>11</v>
      </c>
      <c r="BH888" s="66">
        <v>49.4</v>
      </c>
      <c r="BI888" s="20" t="e">
        <f>IF(OR(ISBLANK(#REF!), ISBLANK(#REF!)),"Incomplete",(SUM(#REF!-#REF!)))</f>
        <v>#REF!</v>
      </c>
      <c r="BJ888" s="66"/>
      <c r="BK888" s="66"/>
      <c r="BL888" s="66"/>
      <c r="BM888" s="66"/>
      <c r="BN888" s="66"/>
      <c r="BO888" s="66"/>
      <c r="BP888" s="66"/>
      <c r="BQ888" s="66"/>
      <c r="BR888" s="66"/>
      <c r="BS888" s="66"/>
      <c r="BT888" s="66"/>
      <c r="BU888" s="66"/>
      <c r="BV888" s="66"/>
      <c r="BW888" s="91" t="str">
        <f t="shared" si="272"/>
        <v>Incomplete</v>
      </c>
      <c r="BX888" s="91" t="str">
        <f>_xlfn.XLOOKUP(BW888,'Normative data'!$V$3:$V$6,'Normative data'!$W$3:$W$6,"Not Found",-1)</f>
        <v>Very low risk</v>
      </c>
      <c r="BY888" s="91" t="str">
        <f t="shared" si="273"/>
        <v>Incomplete</v>
      </c>
      <c r="BZ888" s="91" t="str">
        <f>_xlfn.XLOOKUP(BY888,'Normative data'!$V$3:$V$6,'Normative data'!$W$3:$W$6,"Not Found",-1)</f>
        <v>Very low risk</v>
      </c>
      <c r="CA888" s="66"/>
      <c r="CB888" s="66"/>
      <c r="CC888" s="20"/>
      <c r="CD888" s="66"/>
      <c r="CE888" s="66">
        <v>3</v>
      </c>
      <c r="CF888" s="66"/>
      <c r="CG888" s="66"/>
      <c r="CH888" s="20" t="str">
        <f>_xlfn.XLOOKUP(CG888, 'Normative data'!$S$9:$S$15,'Normative data'!$T$9:$T$15, "Not Found", -1)</f>
        <v>not completed</v>
      </c>
      <c r="CI888" s="66"/>
      <c r="CJ888" s="20" t="str">
        <f>_xlfn.XLOOKUP(CI888, 'Normative data'!$S$9:$S$15, 'Normative data'!$T$9:$T$15, "Not Found", -1)</f>
        <v>not completed</v>
      </c>
      <c r="CK888" s="24">
        <v>2.16</v>
      </c>
      <c r="CL888" s="24">
        <v>4.63</v>
      </c>
      <c r="CM888" s="24"/>
      <c r="CN888" s="24">
        <v>7.23</v>
      </c>
      <c r="CO888" s="24">
        <v>6.92</v>
      </c>
      <c r="CP888" s="110"/>
      <c r="CQ888" s="68"/>
      <c r="CR888" s="20" t="str" cm="1">
        <f t="array" ref="CR888">IF(OR(ISBLANK(E888),ISBLANK(CQ888)),"Incomplete",_xlfn.XLOOKUP(CQ888,_xlfn.XLOOKUP(E888,'Normative data'!$Y$3:$Y$6,'Normative data'!$Z$3:$AG$6,,-1),'Normative data'!$Z$2:$AG$2,"Not Found",-1))</f>
        <v>Incomplete</v>
      </c>
      <c r="CS888" s="68"/>
      <c r="CT888" s="66"/>
      <c r="CU888" s="20" t="str" cm="1">
        <f t="array" ref="CU888">_xlfn.XLOOKUP(CS888&amp;CT888,(VLOOKUP!$A$3:$A$250)&amp;(VLOOKUP!$B$3:$B$250),VLOOKUP!$C$3:$C$250,"Incomplete",-1)</f>
        <v>Incomplete</v>
      </c>
      <c r="CV888" s="20" t="str" cm="1">
        <f t="array" ref="CV888">_xlfn.XLOOKUP(CU888, _xlfn.XLOOKUP(E888, 'Normative data'!$Y$11:$Y$14, 'Normative data'!$Z$11:$AG$14, ,-1), 'Normative data'!$Z$10:$AG$10, "Not Found", -1)</f>
        <v>Excellent</v>
      </c>
      <c r="CW888" s="20" t="str" cm="1">
        <f t="array" ref="CW888">IF(OR(ISBLANK(CS888),ISBLANK(CT888)),"Incomplete",_xlfn.XLOOKUP(CS888&amp;CT888,VLOOKUP!$A$4:$A$250&amp;VLOOKUP!$B$4:$B$250,VLOOKUP!$D$4:$D$250,"0"))</f>
        <v>Incomplete</v>
      </c>
    </row>
    <row r="889" spans="1:101">
      <c r="A889" s="94" t="s">
        <v>1569</v>
      </c>
      <c r="B889" s="94" t="s">
        <v>1570</v>
      </c>
      <c r="C889" s="64" t="s">
        <v>86</v>
      </c>
      <c r="D889" s="97">
        <v>39576</v>
      </c>
      <c r="E889" s="64"/>
      <c r="F889" s="64">
        <v>11</v>
      </c>
      <c r="G889" s="64">
        <v>2025</v>
      </c>
      <c r="H889" s="66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  <c r="AD889" s="66"/>
      <c r="AE889" s="66"/>
      <c r="AF889" s="66"/>
      <c r="AG889" s="66"/>
      <c r="AH889" s="66"/>
      <c r="AI889" s="66"/>
      <c r="AJ889" s="66"/>
      <c r="AK889" s="66"/>
      <c r="AL889" s="66"/>
      <c r="AM889" s="66"/>
      <c r="AN889" s="66"/>
      <c r="AO889" s="66"/>
      <c r="AP889" s="66"/>
      <c r="AQ889" s="20"/>
      <c r="AR889" s="20"/>
      <c r="AS889" s="20"/>
      <c r="AT889" s="20"/>
      <c r="AU889" s="20"/>
      <c r="AV889" s="20"/>
      <c r="AW889" s="20"/>
      <c r="AX889" s="20"/>
      <c r="AY889" s="41" t="str">
        <f t="shared" si="274"/>
        <v>Incomplete</v>
      </c>
      <c r="AZ889" s="66"/>
      <c r="BA889" s="20" t="str">
        <f t="shared" si="275"/>
        <v>Incomplete</v>
      </c>
      <c r="BB889" s="66"/>
      <c r="BC889" s="20" t="str">
        <f t="shared" si="276"/>
        <v>Incomplete</v>
      </c>
      <c r="BD889" s="66"/>
      <c r="BE889" s="20" t="str">
        <f t="shared" si="277"/>
        <v>Incomplete</v>
      </c>
      <c r="BF889" s="66"/>
      <c r="BG889" s="66">
        <v>14.8</v>
      </c>
      <c r="BH889" s="20">
        <v>33</v>
      </c>
      <c r="BI889" s="20" t="e">
        <f>IF(OR(ISBLANK(#REF!), ISBLANK(#REF!)),"Incomplete",(SUM(#REF!-#REF!)))</f>
        <v>#REF!</v>
      </c>
      <c r="BJ889" s="66"/>
      <c r="BK889" s="66">
        <v>6</v>
      </c>
      <c r="BL889" s="66"/>
      <c r="BM889" s="66">
        <v>7</v>
      </c>
      <c r="BN889" s="66"/>
      <c r="BO889" s="66"/>
      <c r="BP889" s="66"/>
      <c r="BQ889" s="66"/>
      <c r="BR889" s="66"/>
      <c r="BS889" s="66"/>
      <c r="BT889" s="66"/>
      <c r="BU889" s="66"/>
      <c r="BV889" s="66"/>
      <c r="BW889" s="91" t="str">
        <f t="shared" si="272"/>
        <v>Incomplete</v>
      </c>
      <c r="BX889" s="91" t="str">
        <f>_xlfn.XLOOKUP(BW889,'Normative data'!$V$3:$V$6,'Normative data'!$W$3:$W$6,"Not Found",-1)</f>
        <v>Very low risk</v>
      </c>
      <c r="BY889" s="91" t="str">
        <f t="shared" si="273"/>
        <v>Incomplete</v>
      </c>
      <c r="BZ889" s="91" t="str">
        <f>_xlfn.XLOOKUP(BY889,'Normative data'!$V$3:$V$6,'Normative data'!$W$3:$W$6,"Not Found",-1)</f>
        <v>Very low risk</v>
      </c>
      <c r="CA889" s="20"/>
      <c r="CB889" s="66"/>
      <c r="CC889" s="20"/>
      <c r="CD889" s="66"/>
      <c r="CE889" s="66"/>
      <c r="CF889" s="66"/>
      <c r="CG889" s="20"/>
      <c r="CH889" s="20" t="str">
        <f>_xlfn.XLOOKUP(CG889, 'Normative data'!$S$9:$S$15,'Normative data'!$T$9:$T$15, "Not Found", -1)</f>
        <v>not completed</v>
      </c>
      <c r="CI889" s="20"/>
      <c r="CJ889" s="20" t="str">
        <f>_xlfn.XLOOKUP(CI889, 'Normative data'!$S$9:$S$15, 'Normative data'!$T$9:$T$15, "Not Found", -1)</f>
        <v>not completed</v>
      </c>
      <c r="CK889" s="106">
        <v>2.3199999999999998</v>
      </c>
      <c r="CL889" s="106">
        <v>4.3099999999999996</v>
      </c>
      <c r="CM889" s="106"/>
      <c r="CN889" s="106">
        <v>7.19</v>
      </c>
      <c r="CO889" s="106">
        <v>6.95</v>
      </c>
      <c r="CP889" s="110"/>
      <c r="CQ889" s="68"/>
      <c r="CR889" s="20" t="str" cm="1">
        <f t="array" ref="CR889">IF(OR(ISBLANK(E889),ISBLANK(CQ889)),"Incomplete",_xlfn.XLOOKUP(CQ889,_xlfn.XLOOKUP(E889,'Normative data'!$Y$3:$Y$6,'Normative data'!$Z$3:$AG$6,,-1),'Normative data'!$Z$2:$AG$2,"Not Found",-1))</f>
        <v>Incomplete</v>
      </c>
      <c r="CS889" s="68"/>
      <c r="CT889" s="66"/>
      <c r="CU889" s="20" t="str" cm="1">
        <f t="array" ref="CU889">_xlfn.XLOOKUP(CS889&amp;CT889,(VLOOKUP!$A$3:$A$250)&amp;(VLOOKUP!$B$3:$B$250),VLOOKUP!$C$3:$C$250,"Incomplete",-1)</f>
        <v>Incomplete</v>
      </c>
      <c r="CV889" s="20" t="str" cm="1">
        <f t="array" ref="CV889">_xlfn.XLOOKUP(CU889, _xlfn.XLOOKUP(E889, 'Normative data'!$Y$11:$Y$14, 'Normative data'!$Z$11:$AG$14, ,-1), 'Normative data'!$Z$10:$AG$10, "Not Found", -1)</f>
        <v>Excellent</v>
      </c>
      <c r="CW889" s="20" t="str" cm="1">
        <f t="array" ref="CW889">IF(OR(ISBLANK(CS889),ISBLANK(CT889)),"Incomplete",_xlfn.XLOOKUP(CS889&amp;CT889,VLOOKUP!$A$4:$A$250&amp;VLOOKUP!$B$4:$B$250,VLOOKUP!$D$4:$D$250,"0"))</f>
        <v>Incomplete</v>
      </c>
    </row>
    <row r="890" spans="1:101">
      <c r="A890" s="93" t="s">
        <v>1400</v>
      </c>
      <c r="B890" s="93" t="s">
        <v>1399</v>
      </c>
      <c r="C890" s="64" t="s">
        <v>86</v>
      </c>
      <c r="D890" s="96">
        <v>40649</v>
      </c>
      <c r="E890" s="64"/>
      <c r="F890" s="64">
        <v>8</v>
      </c>
      <c r="G890" s="64">
        <v>2025</v>
      </c>
      <c r="H890" s="66"/>
      <c r="I890" s="64"/>
      <c r="J890" s="64" t="s">
        <v>122</v>
      </c>
      <c r="K890" s="64"/>
      <c r="L890" s="64"/>
      <c r="M890" s="64"/>
      <c r="N890" s="64"/>
      <c r="O890" s="64"/>
      <c r="P890" s="64"/>
      <c r="Q890" s="64"/>
      <c r="R890" s="64"/>
      <c r="S890" s="66"/>
      <c r="T890" s="66">
        <v>154</v>
      </c>
      <c r="U890" s="66">
        <v>44.9</v>
      </c>
      <c r="V890" s="66"/>
      <c r="W890" s="66">
        <v>6.8</v>
      </c>
      <c r="X890" s="66">
        <f>SUM(T890-W890)</f>
        <v>147.19999999999999</v>
      </c>
      <c r="Y890" s="66">
        <v>20.6</v>
      </c>
      <c r="Z890" s="66">
        <v>18.899999999999999</v>
      </c>
      <c r="AA890" s="66">
        <v>15.2</v>
      </c>
      <c r="AB890" s="66"/>
      <c r="AC890" s="66"/>
      <c r="AD890" s="66"/>
      <c r="AE890" s="66"/>
      <c r="AF890" s="66"/>
      <c r="AG890" s="66"/>
      <c r="AH890" s="66"/>
      <c r="AI890" s="66"/>
      <c r="AJ890" s="66"/>
      <c r="AK890" s="66"/>
      <c r="AL890" s="66"/>
      <c r="AM890" s="66"/>
      <c r="AN890" s="66"/>
      <c r="AO890" s="66"/>
      <c r="AP890" s="66"/>
      <c r="AQ890" s="20"/>
      <c r="AR890" s="20"/>
      <c r="AS890" s="20"/>
      <c r="AT890" s="20"/>
      <c r="AU890" s="20"/>
      <c r="AV890" s="20"/>
      <c r="AW890" s="20"/>
      <c r="AX890" s="20"/>
      <c r="AY890" s="41" t="str">
        <f t="shared" si="274"/>
        <v>Incomplete</v>
      </c>
      <c r="AZ890" s="66"/>
      <c r="BA890" s="20" t="str">
        <f t="shared" si="275"/>
        <v>Incomplete</v>
      </c>
      <c r="BB890" s="66"/>
      <c r="BC890" s="20" t="str">
        <f t="shared" si="276"/>
        <v>Incomplete</v>
      </c>
      <c r="BD890" s="66"/>
      <c r="BE890" s="20" t="str">
        <f t="shared" si="277"/>
        <v>Incomplete</v>
      </c>
      <c r="BF890" s="66"/>
      <c r="BG890" s="66">
        <v>17</v>
      </c>
      <c r="BH890" s="66">
        <v>34</v>
      </c>
      <c r="BI890" s="20" t="e">
        <f>IF(OR(ISBLANK(#REF!), ISBLANK(#REF!)),"Incomplete",(SUM(#REF!-#REF!)))</f>
        <v>#REF!</v>
      </c>
      <c r="BJ890" s="66"/>
      <c r="BK890" s="66">
        <v>7</v>
      </c>
      <c r="BL890" s="66"/>
      <c r="BM890" s="66">
        <v>5</v>
      </c>
      <c r="BN890" s="66"/>
      <c r="BO890" s="66"/>
      <c r="BP890" s="66"/>
      <c r="BQ890" s="66"/>
      <c r="BR890" s="66"/>
      <c r="BS890" s="66"/>
      <c r="BT890" s="66"/>
      <c r="BU890" s="66"/>
      <c r="BV890" s="66"/>
      <c r="BW890" s="91">
        <f t="shared" si="272"/>
        <v>0</v>
      </c>
      <c r="BX890" s="91" t="str">
        <f>_xlfn.XLOOKUP(BW890,'Normative data'!$V$3:$V$6,'Normative data'!$W$3:$W$6,"Not Found",-1)</f>
        <v>Not completed</v>
      </c>
      <c r="BY890" s="91">
        <f t="shared" si="273"/>
        <v>0</v>
      </c>
      <c r="BZ890" s="91" t="str">
        <f>_xlfn.XLOOKUP(BY890,'Normative data'!$V$3:$V$6,'Normative data'!$W$3:$W$6,"Not Found",-1)</f>
        <v>Not completed</v>
      </c>
      <c r="CA890" s="66"/>
      <c r="CB890" s="66"/>
      <c r="CC890" s="20"/>
      <c r="CD890" s="66"/>
      <c r="CE890" s="66"/>
      <c r="CF890" s="66"/>
      <c r="CG890" s="66">
        <v>17.5</v>
      </c>
      <c r="CH890" s="20" t="e">
        <f>_xlfn.XLOOKUP(#REF!, 'Normative data'!$S$9:$S$15,'Normative data'!$T$9:$T$15, "Not Found", -1)</f>
        <v>#REF!</v>
      </c>
      <c r="CI890" s="66">
        <v>17.11</v>
      </c>
      <c r="CJ890" s="20" t="e">
        <f>_xlfn.XLOOKUP(#REF!, 'Normative data'!$S$9:$S$15, 'Normative data'!$T$9:$T$15, "Not Found", -1)</f>
        <v>#REF!</v>
      </c>
      <c r="CK890" s="105"/>
      <c r="CL890" s="105"/>
      <c r="CM890" s="105"/>
      <c r="CN890" s="105"/>
      <c r="CO890" s="105"/>
      <c r="CP890" s="109"/>
      <c r="CQ890" s="68"/>
      <c r="CR890" s="20" t="str" cm="1">
        <f t="array" ref="CR890">IF(OR(ISBLANK(E890),ISBLANK(CQ890)),"Incomplete",_xlfn.XLOOKUP(CQ890,_xlfn.XLOOKUP(E890,'Normative data'!$Y$3:$Y$6,'Normative data'!$Z$3:$AG$6,,-1),'Normative data'!$Z$2:$AG$2,"Not Found",-1))</f>
        <v>Incomplete</v>
      </c>
      <c r="CS890" s="68"/>
      <c r="CT890" s="66"/>
      <c r="CU890" s="20" t="str" cm="1">
        <f t="array" ref="CU890">_xlfn.XLOOKUP(CS890&amp;CT890,(VLOOKUP!$A$3:$A$250)&amp;(VLOOKUP!$B$3:$B$250),VLOOKUP!$C$3:$C$250,"Incomplete",-1)</f>
        <v>Incomplete</v>
      </c>
      <c r="CV890" s="20" t="str" cm="1">
        <f t="array" ref="CV890">_xlfn.XLOOKUP(CU890, _xlfn.XLOOKUP(E890, 'Normative data'!$Y$11:$Y$14, 'Normative data'!$Z$11:$AG$14, ,-1), 'Normative data'!$Z$10:$AG$10, "Not Found", -1)</f>
        <v>Excellent</v>
      </c>
      <c r="CW890" s="20" t="str" cm="1">
        <f t="array" ref="CW890">IF(OR(ISBLANK(CS890),ISBLANK(CT890)),"Incomplete",_xlfn.XLOOKUP(CS890&amp;CT890,VLOOKUP!$A$4:$A$250&amp;VLOOKUP!$B$4:$B$250,VLOOKUP!$D$4:$D$250,"0"))</f>
        <v>Incomplete</v>
      </c>
    </row>
    <row r="891" spans="1:101">
      <c r="A891" s="64" t="s">
        <v>1400</v>
      </c>
      <c r="B891" s="64" t="s">
        <v>1399</v>
      </c>
      <c r="C891" s="64" t="s">
        <v>86</v>
      </c>
      <c r="D891" s="96">
        <v>40649</v>
      </c>
      <c r="E891" s="64"/>
      <c r="F891" s="64"/>
      <c r="G891" s="64">
        <v>2025</v>
      </c>
      <c r="H891" s="66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6"/>
      <c r="T891" s="66" t="s">
        <v>1571</v>
      </c>
      <c r="U891" s="66" t="s">
        <v>1572</v>
      </c>
      <c r="V891" s="66"/>
      <c r="W891" s="66"/>
      <c r="X891" s="66"/>
      <c r="Y891" s="66"/>
      <c r="Z891" s="66"/>
      <c r="AA891" s="66"/>
      <c r="AB891" s="66"/>
      <c r="AC891" s="66"/>
      <c r="AD891" s="66"/>
      <c r="AE891" s="66"/>
      <c r="AF891" s="66"/>
      <c r="AG891" s="66"/>
      <c r="AH891" s="66"/>
      <c r="AI891" s="66"/>
      <c r="AJ891" s="66"/>
      <c r="AK891" s="66"/>
      <c r="AL891" s="66"/>
      <c r="AM891" s="66"/>
      <c r="AN891" s="66"/>
      <c r="AO891" s="66"/>
      <c r="AP891" s="66"/>
      <c r="AQ891" s="20"/>
      <c r="AR891" s="20"/>
      <c r="AS891" s="20"/>
      <c r="AT891" s="20"/>
      <c r="AU891" s="20"/>
      <c r="AV891" s="20"/>
      <c r="AW891" s="20"/>
      <c r="AX891" s="20"/>
      <c r="AY891" s="41" t="str">
        <f>IF(OR(ISBLANK(#REF!), ISBLANK(AQ891)), "Incomplete", (60.7*AQ891)+(45.3*#REF!)-2055)</f>
        <v>Incomplete</v>
      </c>
      <c r="AZ891" s="66"/>
      <c r="BA891" s="20" t="str">
        <f>IF(OR(ISBLANK(#REF!), ISBLANK(AS891)), "Incomplete", (60.7*AS891)+(45.3*#REF!)-2055)</f>
        <v>Incomplete</v>
      </c>
      <c r="BB891" s="66"/>
      <c r="BC891" s="20" t="str">
        <f>IF(OR(ISBLANK(#REF!), ISBLANK(AU891)), "Incomplete", (60.7*AU891)+(45.3*#REF!)-2055)</f>
        <v>Incomplete</v>
      </c>
      <c r="BD891" s="66"/>
      <c r="BE891" s="20" t="str">
        <f>IF(OR(ISBLANK(#REF!), ISBLANK(AW891)), "Incomplete", (60.7*AW891)+(45.3*#REF!)-2055)</f>
        <v>Incomplete</v>
      </c>
      <c r="BF891" s="66"/>
      <c r="BG891" s="66"/>
      <c r="BH891" s="66"/>
      <c r="BI891" s="20" t="str">
        <f>IF(OR(ISBLANK(BG891), ISBLANK(BH891)),"Incomplete",(SUM(BH891-BG891)))</f>
        <v>Incomplete</v>
      </c>
      <c r="BJ891" s="66"/>
      <c r="BK891" s="66"/>
      <c r="BL891" s="66"/>
      <c r="BM891" s="20"/>
      <c r="BN891" s="66"/>
      <c r="BO891" s="66"/>
      <c r="BP891" s="66"/>
      <c r="BQ891" s="66"/>
      <c r="BR891" s="66"/>
      <c r="BS891" s="66"/>
      <c r="BT891" s="66"/>
      <c r="BU891" s="66"/>
      <c r="BV891" s="66"/>
      <c r="BW891" s="91" t="str">
        <f>IFERROR(SUM(BQ891+BR891+BS891)/(3*(#REF!-S891))*100, "Incomplete")</f>
        <v>Incomplete</v>
      </c>
      <c r="BX891" s="91" t="str">
        <f>_xlfn.XLOOKUP(BW891,'Normative data'!$V$3:$V$6,'Normative data'!$W$3:$W$6,"Not Found",-1)</f>
        <v>Very low risk</v>
      </c>
      <c r="BY891" s="91" t="str">
        <f>IFERROR(SUM(BT891+BU891+BV891)/(3*(#REF!-S891))*100, "Incomplete")</f>
        <v>Incomplete</v>
      </c>
      <c r="BZ891" s="91" t="str">
        <f>_xlfn.XLOOKUP(BY891,'Normative data'!$V$3:$V$6,'Normative data'!$W$3:$W$6,"Not Found",-1)</f>
        <v>Very low risk</v>
      </c>
      <c r="CA891" s="66"/>
      <c r="CB891" s="66"/>
      <c r="CC891" s="20"/>
      <c r="CD891" s="66"/>
      <c r="CE891" s="66">
        <v>21</v>
      </c>
      <c r="CF891" s="66"/>
      <c r="CG891" s="66">
        <v>17.34</v>
      </c>
      <c r="CH891" s="20" t="str">
        <f>_xlfn.XLOOKUP(CG891, 'Normative data'!$S$9:$S$15,'Normative data'!$T$9:$T$15, "Not Found", -1)</f>
        <v>Above Average</v>
      </c>
      <c r="CI891" s="66">
        <v>16.850000000000001</v>
      </c>
      <c r="CJ891" s="20" t="str">
        <f>_xlfn.XLOOKUP(CI891, 'Normative data'!$S$9:$S$15, 'Normative data'!$T$9:$T$15, "Not Found", -1)</f>
        <v>Excellent</v>
      </c>
      <c r="CK891" s="105">
        <v>2.1800000000000002</v>
      </c>
      <c r="CL891" s="105">
        <v>4.59</v>
      </c>
      <c r="CM891" s="105"/>
      <c r="CN891" s="105">
        <v>6.27</v>
      </c>
      <c r="CO891" s="105">
        <v>7.97</v>
      </c>
      <c r="CP891" s="68"/>
      <c r="CQ891" s="68"/>
      <c r="CR891" s="20" t="str" cm="1">
        <f t="array" ref="CR891">IF(OR(ISBLANK(E891),ISBLANK(CQ891)),"Incomplete",_xlfn.XLOOKUP(CQ891,_xlfn.XLOOKUP(E891,'Normative data'!$Y$3:$Y$6,'Normative data'!$Z$3:$AG$6,,-1),'Normative data'!$Z$2:$AG$2,"Not Found",-1))</f>
        <v>Incomplete</v>
      </c>
      <c r="CS891" s="68"/>
      <c r="CT891" s="66"/>
      <c r="CU891" s="20" t="str" cm="1">
        <f t="array" ref="CU891">_xlfn.XLOOKUP(CS891&amp;CT891,(VLOOKUP!$A$3:$A$250)&amp;(VLOOKUP!$B$3:$B$250),VLOOKUP!$C$3:$C$250,"Incomplete",-1)</f>
        <v>Incomplete</v>
      </c>
      <c r="CV891" s="20" t="str" cm="1">
        <f t="array" ref="CV891">_xlfn.XLOOKUP(CU891, _xlfn.XLOOKUP(E891, 'Normative data'!$Y$11:$Y$14, 'Normative data'!$Z$11:$AG$14, ,-1), 'Normative data'!$Z$10:$AG$10, "Not Found", -1)</f>
        <v>Excellent</v>
      </c>
      <c r="CW891" s="20" t="str" cm="1">
        <f t="array" ref="CW891">IF(OR(ISBLANK(CS891),ISBLANK(CT891)),"Incomplete",_xlfn.XLOOKUP(CS891&amp;CT891,VLOOKUP!$A$4:$A$250&amp;VLOOKUP!$B$4:$B$250,VLOOKUP!$D$4:$D$250,"0"))</f>
        <v>Incomplete</v>
      </c>
    </row>
    <row r="892" spans="1:101">
      <c r="A892" s="64" t="s">
        <v>1573</v>
      </c>
      <c r="B892" s="64" t="s">
        <v>1574</v>
      </c>
      <c r="C892" s="64" t="s">
        <v>86</v>
      </c>
      <c r="D892" s="65">
        <v>40576</v>
      </c>
      <c r="E892" s="64"/>
      <c r="F892" s="66" t="s">
        <v>217</v>
      </c>
      <c r="G892" s="64">
        <v>2026</v>
      </c>
      <c r="H892" s="66"/>
      <c r="I892" s="66">
        <v>2</v>
      </c>
      <c r="J892" s="66" t="s">
        <v>122</v>
      </c>
      <c r="K892" s="66" t="s">
        <v>105</v>
      </c>
      <c r="L892" s="66"/>
      <c r="M892" s="64"/>
      <c r="N892" s="64"/>
      <c r="O892" s="64"/>
      <c r="P892" s="64"/>
      <c r="Q892" s="64"/>
      <c r="R892" s="64"/>
      <c r="S892" s="66"/>
      <c r="T892" s="66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  <c r="AH892" s="64"/>
      <c r="AI892" s="64"/>
      <c r="AJ892" s="64"/>
      <c r="AK892" s="64"/>
      <c r="AL892" s="64"/>
      <c r="AM892" s="64"/>
      <c r="AN892" s="64"/>
      <c r="AO892" s="64"/>
      <c r="AP892" s="64"/>
      <c r="AQ892" s="66"/>
      <c r="AR892" s="66"/>
      <c r="AS892" s="66"/>
      <c r="AT892" s="66"/>
      <c r="AU892" s="66"/>
      <c r="AV892" s="66"/>
      <c r="AW892" s="66"/>
      <c r="AX892" s="66"/>
      <c r="AY892" s="41" t="str">
        <f t="shared" ref="AY892:AY920" si="278">IF(OR(ISBLANK(U892), ISBLANK(AQ892)), "Incomplete", (60.7*AQ892)+(45.3*U892)-2055)</f>
        <v>Incomplete</v>
      </c>
      <c r="AZ892" s="64"/>
      <c r="BA892" s="20" t="str">
        <f t="shared" ref="BA892:BA920" si="279">IF(OR(ISBLANK(U892), ISBLANK(AS892)), "Incomplete", (60.7*AS892)+(45.3*U892)-2055)</f>
        <v>Incomplete</v>
      </c>
      <c r="BB892" s="64"/>
      <c r="BC892" s="20" t="str">
        <f t="shared" ref="BC892:BC920" si="280">IF(OR(ISBLANK(U892), ISBLANK(AU892)), "Incomplete", (60.7*AU892)+(45.3*U892)-2055)</f>
        <v>Incomplete</v>
      </c>
      <c r="BD892" s="64"/>
      <c r="BE892" s="20" t="str">
        <f t="shared" ref="BE892:BE920" si="281">IF(OR(ISBLANK(U892), ISBLANK(AW892)), "Incomplete", (60.7*AW892)+(45.3*U892)-2055)</f>
        <v>Incomplete</v>
      </c>
      <c r="BF892" s="64"/>
      <c r="BG892" s="64">
        <v>10.5</v>
      </c>
      <c r="BH892" s="64">
        <v>54.5</v>
      </c>
      <c r="BI892" s="20">
        <f>IF(OR(ISBLANK(BG892), ISBLANK(BH892)),"Incomplete",(SUM(BH892-BG892)))</f>
        <v>44</v>
      </c>
      <c r="BJ892" s="66"/>
      <c r="BK892" s="64">
        <v>7.5</v>
      </c>
      <c r="BL892" s="66"/>
      <c r="BM892" s="64">
        <v>10.5</v>
      </c>
      <c r="BN892" s="66"/>
      <c r="BO892" s="64">
        <v>50</v>
      </c>
      <c r="BP892" s="64">
        <v>56.5</v>
      </c>
      <c r="BQ892" s="64">
        <v>81</v>
      </c>
      <c r="BR892" s="64">
        <v>94</v>
      </c>
      <c r="BS892" s="64">
        <v>85</v>
      </c>
      <c r="BT892" s="64">
        <v>89</v>
      </c>
      <c r="BU892" s="64">
        <v>81</v>
      </c>
      <c r="BV892" s="64">
        <v>80</v>
      </c>
      <c r="BW892" s="91" t="str">
        <f t="shared" ref="BW892:BW920" si="282">IFERROR(SUM(BQ892+BR892+BS892)/(3*(T892-S892))*100, "Incomplete")</f>
        <v>Incomplete</v>
      </c>
      <c r="BX892" s="91" t="str">
        <f>_xlfn.XLOOKUP(BW892,'Normative data'!$V$3:$V$6,'Normative data'!$W$3:$W$6,"Not Found",-1)</f>
        <v>Very low risk</v>
      </c>
      <c r="BY892" s="91" t="str">
        <f t="shared" ref="BY892:BY920" si="283">IFERROR(SUM(BT892+BU892+BV892)/(3*(T892-S892))*100, "Incomplete")</f>
        <v>Incomplete</v>
      </c>
      <c r="BZ892" s="91" t="str">
        <f>_xlfn.XLOOKUP(BY892,'Normative data'!$V$3:$V$6,'Normative data'!$W$3:$W$6,"Not Found",-1)</f>
        <v>Very low risk</v>
      </c>
      <c r="CA892" s="64">
        <v>36</v>
      </c>
      <c r="CB892" s="66"/>
      <c r="CC892" s="20"/>
      <c r="CD892" s="66"/>
      <c r="CE892" s="64">
        <v>19</v>
      </c>
      <c r="CF892" s="66"/>
      <c r="CG892" s="66"/>
      <c r="CH892" s="20" t="str">
        <f>_xlfn.XLOOKUP(CG892, 'Normative data'!$S$9:$S$15,'Normative data'!$T$9:$T$15, "Not Found", -1)</f>
        <v>not completed</v>
      </c>
      <c r="CI892" s="66"/>
      <c r="CJ892" s="20" t="str">
        <f>_xlfn.XLOOKUP(CI892, 'Normative data'!$S$9:$S$15, 'Normative data'!$T$9:$T$15, "Not Found", -1)</f>
        <v>not completed</v>
      </c>
      <c r="CK892" s="64">
        <v>2.35</v>
      </c>
      <c r="CL892" s="64">
        <v>4.26</v>
      </c>
      <c r="CM892" s="66"/>
      <c r="CN892" s="64">
        <v>7.44</v>
      </c>
      <c r="CO892" s="64">
        <v>6.72</v>
      </c>
      <c r="CP892" s="68"/>
      <c r="CQ892" s="67"/>
      <c r="CR892" s="20" t="str" cm="1">
        <f t="array" ref="CR892">IF(OR(ISBLANK(E892),ISBLANK(CQ892)),"Incomplete",_xlfn.XLOOKUP(CQ892,_xlfn.XLOOKUP(E892,'Normative data'!$Y$3:$Y$6,'Normative data'!$Z$3:$AG$6,,-1),'Normative data'!$Z$2:$AG$2,"Not Found",-1))</f>
        <v>Incomplete</v>
      </c>
      <c r="CS892" s="68"/>
      <c r="CT892" s="66"/>
      <c r="CU892" s="20" t="str" cm="1">
        <f t="array" ref="CU892">_xlfn.XLOOKUP(CS892&amp;CT892,(VLOOKUP!$A$3:$A$250)&amp;(VLOOKUP!$B$3:$B$250),VLOOKUP!$C$3:$C$250,"Incomplete",-1)</f>
        <v>Incomplete</v>
      </c>
      <c r="CV892" s="20" t="str" cm="1">
        <f t="array" ref="CV892">_xlfn.XLOOKUP(CU892, _xlfn.XLOOKUP(E892, 'Normative data'!$Y$11:$Y$14, 'Normative data'!$Z$11:$AG$14, ,-1), 'Normative data'!$Z$10:$AG$10, "Not Found", -1)</f>
        <v>Excellent</v>
      </c>
      <c r="CW892" s="20" t="str" cm="1">
        <f t="array" ref="CW892">IF(OR(ISBLANK(CS892),ISBLANK(CT892)),"Incomplete",_xlfn.XLOOKUP(CS892&amp;CT892,VLOOKUP!$A$4:$A$250&amp;VLOOKUP!$B$4:$B$250,VLOOKUP!$D$4:$D$250,"0"))</f>
        <v>Incomplete</v>
      </c>
    </row>
    <row r="893" spans="1:101">
      <c r="A893" s="64" t="s">
        <v>1322</v>
      </c>
      <c r="B893" s="64" t="s">
        <v>1574</v>
      </c>
      <c r="C893" s="64" t="s">
        <v>86</v>
      </c>
      <c r="D893" s="65"/>
      <c r="E893" s="64"/>
      <c r="F893" s="66" t="s">
        <v>162</v>
      </c>
      <c r="G893" s="64">
        <v>2026</v>
      </c>
      <c r="H893" s="66"/>
      <c r="I893" s="66">
        <v>2</v>
      </c>
      <c r="J893" s="66" t="s">
        <v>100</v>
      </c>
      <c r="K893" s="66" t="s">
        <v>105</v>
      </c>
      <c r="L893" s="66"/>
      <c r="M893" s="64"/>
      <c r="N893" s="64"/>
      <c r="O893" s="64"/>
      <c r="P893" s="64"/>
      <c r="Q893" s="64"/>
      <c r="R893" s="64"/>
      <c r="S893" s="66">
        <v>88.6</v>
      </c>
      <c r="T893" s="66">
        <v>163.69999999999999</v>
      </c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  <c r="AH893" s="64"/>
      <c r="AI893" s="64"/>
      <c r="AJ893" s="64"/>
      <c r="AK893" s="64"/>
      <c r="AL893" s="64"/>
      <c r="AM893" s="64"/>
      <c r="AN893" s="64"/>
      <c r="AO893" s="64"/>
      <c r="AP893" s="64"/>
      <c r="AQ893" s="66"/>
      <c r="AR893" s="66"/>
      <c r="AS893" s="66"/>
      <c r="AT893" s="66"/>
      <c r="AU893" s="66"/>
      <c r="AV893" s="66"/>
      <c r="AW893" s="66"/>
      <c r="AX893" s="66"/>
      <c r="AY893" s="41" t="str">
        <f t="shared" si="278"/>
        <v>Incomplete</v>
      </c>
      <c r="AZ893" s="64"/>
      <c r="BA893" s="20" t="str">
        <f t="shared" si="279"/>
        <v>Incomplete</v>
      </c>
      <c r="BB893" s="64"/>
      <c r="BC893" s="20" t="str">
        <f t="shared" si="280"/>
        <v>Incomplete</v>
      </c>
      <c r="BD893" s="64"/>
      <c r="BE893" s="20" t="str">
        <f t="shared" si="281"/>
        <v>Incomplete</v>
      </c>
      <c r="BF893" s="64"/>
      <c r="BG893" s="64">
        <v>15.1</v>
      </c>
      <c r="BH893" s="64">
        <v>63.4</v>
      </c>
      <c r="BI893" s="20">
        <f>IF(OR(ISBLANK(BG893), ISBLANK(BH893)),"Incomplete",(SUM(BH893-BG893)))</f>
        <v>48.3</v>
      </c>
      <c r="BJ893" s="66"/>
      <c r="BK893" s="64"/>
      <c r="BL893" s="66"/>
      <c r="BM893" s="66"/>
      <c r="BN893" s="66"/>
      <c r="BO893" s="64"/>
      <c r="BP893" s="64"/>
      <c r="BQ893" s="64">
        <v>83</v>
      </c>
      <c r="BR893" s="64">
        <v>80</v>
      </c>
      <c r="BS893" s="64">
        <v>76</v>
      </c>
      <c r="BT893" s="64">
        <v>74</v>
      </c>
      <c r="BU893" s="64">
        <v>85</v>
      </c>
      <c r="BV893" s="64">
        <v>75</v>
      </c>
      <c r="BW893" s="91">
        <f t="shared" si="282"/>
        <v>106.08078118064803</v>
      </c>
      <c r="BX893" s="91" t="str">
        <f>_xlfn.XLOOKUP(BW893,'Normative data'!$V$3:$V$6,'Normative data'!$W$3:$W$6,"Not Found",-1)</f>
        <v>Low risk</v>
      </c>
      <c r="BY893" s="91">
        <f t="shared" si="283"/>
        <v>103.86151797603196</v>
      </c>
      <c r="BZ893" s="91" t="str">
        <f>_xlfn.XLOOKUP(BY893,'Normative data'!$V$3:$V$6,'Normative data'!$W$3:$W$6,"Not Found",-1)</f>
        <v>Low risk</v>
      </c>
      <c r="CA893" s="20"/>
      <c r="CB893" s="66"/>
      <c r="CC893" s="20"/>
      <c r="CD893" s="66"/>
      <c r="CE893" s="64">
        <v>13</v>
      </c>
      <c r="CF893" s="66"/>
      <c r="CG893" s="64">
        <v>17.91</v>
      </c>
      <c r="CH893" s="20" t="str">
        <f>_xlfn.XLOOKUP(CG893, 'Normative data'!$S$9:$S$15,'Normative data'!$T$9:$T$15, "Not Found", -1)</f>
        <v>Above Average</v>
      </c>
      <c r="CI893" s="64">
        <v>17.41</v>
      </c>
      <c r="CJ893" s="20" t="str">
        <f>_xlfn.XLOOKUP(CI893, 'Normative data'!$S$9:$S$15, 'Normative data'!$T$9:$T$15, "Not Found", -1)</f>
        <v>Above Average</v>
      </c>
      <c r="CK893" s="64">
        <v>2.37</v>
      </c>
      <c r="CL893" s="64">
        <v>4.22</v>
      </c>
      <c r="CM893" s="66"/>
      <c r="CN893" s="64">
        <v>7.31</v>
      </c>
      <c r="CO893" s="64">
        <v>6.84</v>
      </c>
      <c r="CP893" s="68"/>
      <c r="CQ893" s="67"/>
      <c r="CR893" s="20" t="str" cm="1">
        <f t="array" ref="CR893">IF(OR(ISBLANK(E893),ISBLANK(CQ893)),"Incomplete",_xlfn.XLOOKUP(CQ893,_xlfn.XLOOKUP(E893,'Normative data'!$Y$3:$Y$6,'Normative data'!$Z$3:$AG$6,,-1),'Normative data'!$Z$2:$AG$2,"Not Found",-1))</f>
        <v>Incomplete</v>
      </c>
      <c r="CS893" s="68"/>
      <c r="CT893" s="66"/>
      <c r="CU893" s="20" t="str" cm="1">
        <f t="array" ref="CU893">_xlfn.XLOOKUP(CS893&amp;CT893,(VLOOKUP!$A$3:$A$250)&amp;(VLOOKUP!$B$3:$B$250),VLOOKUP!$C$3:$C$250,"Incomplete",-1)</f>
        <v>Incomplete</v>
      </c>
      <c r="CV893" s="20" t="str" cm="1">
        <f t="array" ref="CV893">_xlfn.XLOOKUP(CU893, _xlfn.XLOOKUP(E893, 'Normative data'!$Y$11:$Y$14, 'Normative data'!$Z$11:$AG$14, ,-1), 'Normative data'!$Z$10:$AG$10, "Not Found", -1)</f>
        <v>Excellent</v>
      </c>
      <c r="CW893" s="20" t="str" cm="1">
        <f t="array" ref="CW893">IF(OR(ISBLANK(CS893),ISBLANK(CT893)),"Incomplete",_xlfn.XLOOKUP(CS893&amp;CT893,VLOOKUP!$A$4:$A$250&amp;VLOOKUP!$B$4:$B$250,VLOOKUP!$D$4:$D$250,"0"))</f>
        <v>Incomplete</v>
      </c>
    </row>
    <row r="894" spans="1:101">
      <c r="A894" s="94" t="s">
        <v>1575</v>
      </c>
      <c r="B894" s="94" t="s">
        <v>1576</v>
      </c>
      <c r="C894" s="64" t="s">
        <v>86</v>
      </c>
      <c r="D894" s="97">
        <v>39853</v>
      </c>
      <c r="E894" s="64"/>
      <c r="F894" s="64">
        <v>9</v>
      </c>
      <c r="G894" s="64">
        <v>2025</v>
      </c>
      <c r="H894" s="66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  <c r="AE894" s="66"/>
      <c r="AF894" s="66"/>
      <c r="AG894" s="66"/>
      <c r="AH894" s="66"/>
      <c r="AI894" s="66"/>
      <c r="AJ894" s="66"/>
      <c r="AK894" s="66"/>
      <c r="AL894" s="66"/>
      <c r="AM894" s="66"/>
      <c r="AN894" s="66"/>
      <c r="AO894" s="66"/>
      <c r="AP894" s="66"/>
      <c r="AQ894" s="66"/>
      <c r="AR894" s="66"/>
      <c r="AS894" s="66"/>
      <c r="AT894" s="66"/>
      <c r="AU894" s="66"/>
      <c r="AV894" s="66"/>
      <c r="AW894" s="66"/>
      <c r="AX894" s="66"/>
      <c r="AY894" s="41" t="str">
        <f t="shared" si="278"/>
        <v>Incomplete</v>
      </c>
      <c r="AZ894" s="66"/>
      <c r="BA894" s="20" t="str">
        <f t="shared" si="279"/>
        <v>Incomplete</v>
      </c>
      <c r="BB894" s="66"/>
      <c r="BC894" s="20" t="str">
        <f t="shared" si="280"/>
        <v>Incomplete</v>
      </c>
      <c r="BD894" s="66"/>
      <c r="BE894" s="20" t="str">
        <f t="shared" si="281"/>
        <v>Incomplete</v>
      </c>
      <c r="BF894" s="66"/>
      <c r="BG894" s="66">
        <v>14</v>
      </c>
      <c r="BH894" s="66">
        <v>17.7</v>
      </c>
      <c r="BI894" s="20" t="e">
        <f>IF(OR(ISBLANK(#REF!), ISBLANK(#REF!)),"Incomplete",(SUM(#REF!-#REF!)))</f>
        <v>#REF!</v>
      </c>
      <c r="BJ894" s="66"/>
      <c r="BK894" s="66"/>
      <c r="BL894" s="66"/>
      <c r="BM894" s="66"/>
      <c r="BN894" s="66"/>
      <c r="BO894" s="66"/>
      <c r="BP894" s="66"/>
      <c r="BQ894" s="66"/>
      <c r="BR894" s="66"/>
      <c r="BS894" s="66"/>
      <c r="BT894" s="66"/>
      <c r="BU894" s="66"/>
      <c r="BV894" s="66"/>
      <c r="BW894" s="91" t="str">
        <f t="shared" si="282"/>
        <v>Incomplete</v>
      </c>
      <c r="BX894" s="91" t="str">
        <f>_xlfn.XLOOKUP(BW894,'Normative data'!$V$3:$V$6,'Normative data'!$W$3:$W$6,"Not Found",-1)</f>
        <v>Very low risk</v>
      </c>
      <c r="BY894" s="91" t="str">
        <f t="shared" si="283"/>
        <v>Incomplete</v>
      </c>
      <c r="BZ894" s="91" t="str">
        <f>_xlfn.XLOOKUP(BY894,'Normative data'!$V$3:$V$6,'Normative data'!$W$3:$W$6,"Not Found",-1)</f>
        <v>Very low risk</v>
      </c>
      <c r="CA894" s="66"/>
      <c r="CB894" s="66"/>
      <c r="CC894" s="20"/>
      <c r="CD894" s="66"/>
      <c r="CE894" s="66"/>
      <c r="CF894" s="66"/>
      <c r="CG894" s="66"/>
      <c r="CH894" s="20" t="str">
        <f>_xlfn.XLOOKUP(CG894, 'Normative data'!$S$9:$S$15,'Normative data'!$T$9:$T$15, "Not Found", -1)</f>
        <v>not completed</v>
      </c>
      <c r="CI894" s="66"/>
      <c r="CJ894" s="20" t="str">
        <f>_xlfn.XLOOKUP(CI894, 'Normative data'!$S$9:$S$15, 'Normative data'!$T$9:$T$15, "Not Found", -1)</f>
        <v>not completed</v>
      </c>
      <c r="CK894" s="106">
        <v>2.48</v>
      </c>
      <c r="CL894" s="106">
        <v>4.03</v>
      </c>
      <c r="CM894" s="106"/>
      <c r="CN894" s="106">
        <v>7.63</v>
      </c>
      <c r="CO894" s="106">
        <v>6.55</v>
      </c>
      <c r="CP894" s="110"/>
      <c r="CQ894" s="68"/>
      <c r="CR894" s="20" t="str" cm="1">
        <f t="array" ref="CR894">IF(OR(ISBLANK(E894),ISBLANK(CQ894)),"Incomplete",_xlfn.XLOOKUP(CQ894,_xlfn.XLOOKUP(E894,'Normative data'!$Y$3:$Y$6,'Normative data'!$Z$3:$AG$6,,-1),'Normative data'!$Z$2:$AG$2,"Not Found",-1))</f>
        <v>Incomplete</v>
      </c>
      <c r="CS894" s="68"/>
      <c r="CT894" s="66"/>
      <c r="CU894" s="20" t="str" cm="1">
        <f t="array" ref="CU894">_xlfn.XLOOKUP(CS894&amp;CT894,(VLOOKUP!$A$3:$A$250)&amp;(VLOOKUP!$B$3:$B$250),VLOOKUP!$C$3:$C$250,"Incomplete",-1)</f>
        <v>Incomplete</v>
      </c>
      <c r="CV894" s="20" t="str" cm="1">
        <f t="array" ref="CV894">_xlfn.XLOOKUP(CU894, _xlfn.XLOOKUP(E894, 'Normative data'!$Y$11:$Y$14, 'Normative data'!$Z$11:$AG$14, ,-1), 'Normative data'!$Z$10:$AG$10, "Not Found", -1)</f>
        <v>Excellent</v>
      </c>
      <c r="CW894" s="20" t="str" cm="1">
        <f t="array" ref="CW894">IF(OR(ISBLANK(CS894),ISBLANK(CT894)),"Incomplete",_xlfn.XLOOKUP(CS894&amp;CT894,VLOOKUP!$A$4:$A$250&amp;VLOOKUP!$B$4:$B$250,VLOOKUP!$D$4:$D$250,"0"))</f>
        <v>Incomplete</v>
      </c>
    </row>
    <row r="895" spans="1:101">
      <c r="A895" s="64" t="s">
        <v>1575</v>
      </c>
      <c r="B895" s="64" t="s">
        <v>1576</v>
      </c>
      <c r="C895" s="64" t="s">
        <v>86</v>
      </c>
      <c r="D895" s="65"/>
      <c r="E895" s="64"/>
      <c r="F895" s="64">
        <v>9</v>
      </c>
      <c r="G895" s="64">
        <v>2025</v>
      </c>
      <c r="H895" s="66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  <c r="AD895" s="66"/>
      <c r="AE895" s="66"/>
      <c r="AF895" s="66"/>
      <c r="AG895" s="66"/>
      <c r="AH895" s="66"/>
      <c r="AI895" s="66"/>
      <c r="AJ895" s="66"/>
      <c r="AK895" s="66"/>
      <c r="AL895" s="66"/>
      <c r="AM895" s="66"/>
      <c r="AN895" s="66"/>
      <c r="AO895" s="66"/>
      <c r="AP895" s="66"/>
      <c r="AQ895" s="20"/>
      <c r="AR895" s="20"/>
      <c r="AS895" s="20"/>
      <c r="AT895" s="20"/>
      <c r="AU895" s="20"/>
      <c r="AV895" s="20"/>
      <c r="AW895" s="20"/>
      <c r="AX895" s="20"/>
      <c r="AY895" s="41" t="str">
        <f t="shared" si="278"/>
        <v>Incomplete</v>
      </c>
      <c r="AZ895" s="66"/>
      <c r="BA895" s="20" t="str">
        <f t="shared" si="279"/>
        <v>Incomplete</v>
      </c>
      <c r="BB895" s="66"/>
      <c r="BC895" s="20" t="str">
        <f t="shared" si="280"/>
        <v>Incomplete</v>
      </c>
      <c r="BD895" s="66"/>
      <c r="BE895" s="20" t="str">
        <f t="shared" si="281"/>
        <v>Incomplete</v>
      </c>
      <c r="BF895" s="66"/>
      <c r="BG895" s="66"/>
      <c r="BH895" s="66"/>
      <c r="BI895" s="20" t="str">
        <f>IF(OR(ISBLANK(BG895), ISBLANK(BH895)),"Incomplete",(SUM(BH895-BG895)))</f>
        <v>Incomplete</v>
      </c>
      <c r="BJ895" s="66"/>
      <c r="BK895" s="66"/>
      <c r="BL895" s="66"/>
      <c r="BM895" s="20"/>
      <c r="BN895" s="66"/>
      <c r="BO895" s="66"/>
      <c r="BP895" s="66"/>
      <c r="BQ895" s="66"/>
      <c r="BR895" s="66"/>
      <c r="BS895" s="66"/>
      <c r="BT895" s="66"/>
      <c r="BU895" s="66"/>
      <c r="BV895" s="66"/>
      <c r="BW895" s="91" t="str">
        <f t="shared" si="282"/>
        <v>Incomplete</v>
      </c>
      <c r="BX895" s="91" t="str">
        <f>_xlfn.XLOOKUP(BW895,'Normative data'!$V$3:$V$6,'Normative data'!$W$3:$W$6,"Not Found",-1)</f>
        <v>Very low risk</v>
      </c>
      <c r="BY895" s="91" t="str">
        <f t="shared" si="283"/>
        <v>Incomplete</v>
      </c>
      <c r="BZ895" s="91" t="str">
        <f>_xlfn.XLOOKUP(BY895,'Normative data'!$V$3:$V$6,'Normative data'!$W$3:$W$6,"Not Found",-1)</f>
        <v>Very low risk</v>
      </c>
      <c r="CA895" s="66"/>
      <c r="CB895" s="66"/>
      <c r="CC895" s="20"/>
      <c r="CD895" s="66"/>
      <c r="CE895" s="66"/>
      <c r="CF895" s="66"/>
      <c r="CG895" s="66"/>
      <c r="CH895" s="20" t="str">
        <f>_xlfn.XLOOKUP(CG895, 'Normative data'!$S$9:$S$15,'Normative data'!$T$9:$T$15, "Not Found", -1)</f>
        <v>not completed</v>
      </c>
      <c r="CI895" s="66"/>
      <c r="CJ895" s="20" t="str">
        <f>_xlfn.XLOOKUP(CI895, 'Normative data'!$S$9:$S$15, 'Normative data'!$T$9:$T$15, "Not Found", -1)</f>
        <v>not completed</v>
      </c>
      <c r="CK895" s="66" t="s">
        <v>1577</v>
      </c>
      <c r="CL895" s="66" t="s">
        <v>1578</v>
      </c>
      <c r="CM895" s="66"/>
      <c r="CN895" s="66" t="s">
        <v>1329</v>
      </c>
      <c r="CO895" s="66" t="s">
        <v>1328</v>
      </c>
      <c r="CP895" s="68"/>
      <c r="CQ895" s="68"/>
      <c r="CR895" s="20" t="str" cm="1">
        <f t="array" ref="CR895">IF(OR(ISBLANK(E895),ISBLANK(CQ895)),"Incomplete",_xlfn.XLOOKUP(CQ895,_xlfn.XLOOKUP(E895,'Normative data'!$Y$3:$Y$6,'Normative data'!$Z$3:$AG$6,,-1),'Normative data'!$Z$2:$AG$2,"Not Found",-1))</f>
        <v>Incomplete</v>
      </c>
      <c r="CS895" s="68"/>
      <c r="CT895" s="66"/>
      <c r="CU895" s="20" t="str" cm="1">
        <f t="array" ref="CU895">_xlfn.XLOOKUP(CS895&amp;CT895,(VLOOKUP!$A$3:$A$250)&amp;(VLOOKUP!$B$3:$B$250),VLOOKUP!$C$3:$C$250,"Incomplete",-1)</f>
        <v>Incomplete</v>
      </c>
      <c r="CV895" s="20" t="str" cm="1">
        <f t="array" ref="CV895">_xlfn.XLOOKUP(CU895, _xlfn.XLOOKUP(E895, 'Normative data'!$Y$11:$Y$14, 'Normative data'!$Z$11:$AG$14, ,-1), 'Normative data'!$Z$10:$AG$10, "Not Found", -1)</f>
        <v>Excellent</v>
      </c>
      <c r="CW895" s="20" t="str" cm="1">
        <f t="array" ref="CW895">IF(OR(ISBLANK(CS895),ISBLANK(CT895)),"Incomplete",_xlfn.XLOOKUP(CS895&amp;CT895,VLOOKUP!$A$4:$A$250&amp;VLOOKUP!$B$4:$B$250,VLOOKUP!$D$4:$D$250,"0"))</f>
        <v>Incomplete</v>
      </c>
    </row>
    <row r="896" spans="1:101">
      <c r="A896" s="64" t="s">
        <v>560</v>
      </c>
      <c r="B896" s="73" t="s">
        <v>559</v>
      </c>
      <c r="C896" s="64" t="s">
        <v>86</v>
      </c>
      <c r="D896" s="65">
        <v>39611</v>
      </c>
      <c r="E896" s="64"/>
      <c r="F896" s="64">
        <v>10</v>
      </c>
      <c r="G896" s="64">
        <v>2025</v>
      </c>
      <c r="H896" s="66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  <c r="AD896" s="66"/>
      <c r="AE896" s="66"/>
      <c r="AF896" s="66"/>
      <c r="AG896" s="66"/>
      <c r="AH896" s="66"/>
      <c r="AI896" s="66"/>
      <c r="AJ896" s="66"/>
      <c r="AK896" s="66"/>
      <c r="AL896" s="66"/>
      <c r="AM896" s="66"/>
      <c r="AN896" s="66"/>
      <c r="AO896" s="66"/>
      <c r="AP896" s="66"/>
      <c r="AQ896" s="20"/>
      <c r="AR896" s="20"/>
      <c r="AS896" s="20"/>
      <c r="AT896" s="20"/>
      <c r="AU896" s="20"/>
      <c r="AV896" s="20"/>
      <c r="AW896" s="20"/>
      <c r="AX896" s="20"/>
      <c r="AY896" s="41" t="str">
        <f t="shared" si="278"/>
        <v>Incomplete</v>
      </c>
      <c r="AZ896" s="66"/>
      <c r="BA896" s="20" t="str">
        <f t="shared" si="279"/>
        <v>Incomplete</v>
      </c>
      <c r="BB896" s="66"/>
      <c r="BC896" s="20" t="str">
        <f t="shared" si="280"/>
        <v>Incomplete</v>
      </c>
      <c r="BD896" s="66"/>
      <c r="BE896" s="20" t="str">
        <f t="shared" si="281"/>
        <v>Incomplete</v>
      </c>
      <c r="BF896" s="66"/>
      <c r="BG896" s="66"/>
      <c r="BH896" s="66"/>
      <c r="BI896" s="20" t="str">
        <f>IF(OR(ISBLANK(BG896), ISBLANK(BH896)),"Incomplete",(SUM(BH896-BG896)))</f>
        <v>Incomplete</v>
      </c>
      <c r="BJ896" s="66"/>
      <c r="BK896" s="66"/>
      <c r="BL896" s="66"/>
      <c r="BM896" s="66"/>
      <c r="BN896" s="66"/>
      <c r="BO896" s="66"/>
      <c r="BP896" s="66"/>
      <c r="BQ896" s="66"/>
      <c r="BR896" s="66"/>
      <c r="BS896" s="66"/>
      <c r="BT896" s="66"/>
      <c r="BU896" s="66"/>
      <c r="BV896" s="66"/>
      <c r="BW896" s="91" t="str">
        <f t="shared" si="282"/>
        <v>Incomplete</v>
      </c>
      <c r="BX896" s="91" t="str">
        <f>_xlfn.XLOOKUP(BW896,'Normative data'!$V$3:$V$6,'Normative data'!$W$3:$W$6,"Not Found",-1)</f>
        <v>Very low risk</v>
      </c>
      <c r="BY896" s="91" t="str">
        <f t="shared" si="283"/>
        <v>Incomplete</v>
      </c>
      <c r="BZ896" s="91" t="str">
        <f>_xlfn.XLOOKUP(BY896,'Normative data'!$V$3:$V$6,'Normative data'!$W$3:$W$6,"Not Found",-1)</f>
        <v>Very low risk</v>
      </c>
      <c r="CA896" s="66"/>
      <c r="CB896" s="66"/>
      <c r="CC896" s="66"/>
      <c r="CD896" s="66"/>
      <c r="CE896" s="66"/>
      <c r="CF896" s="66"/>
      <c r="CG896" s="20"/>
      <c r="CH896" s="20" t="str">
        <f>_xlfn.XLOOKUP(CG896, 'Normative data'!$S$9:$S$15,'Normative data'!$T$9:$T$15, "Not Found", -1)</f>
        <v>not completed</v>
      </c>
      <c r="CI896" s="20"/>
      <c r="CJ896" s="20" t="str">
        <f>_xlfn.XLOOKUP(CI896, 'Normative data'!$S$9:$S$15, 'Normative data'!$T$9:$T$15, "Not Found", -1)</f>
        <v>not completed</v>
      </c>
      <c r="CK896" s="20">
        <v>2.33</v>
      </c>
      <c r="CL896" s="20">
        <v>4.29</v>
      </c>
      <c r="CN896" s="20">
        <v>7.12</v>
      </c>
      <c r="CO896" s="20">
        <v>7.02</v>
      </c>
      <c r="CP896" s="68"/>
      <c r="CQ896" s="68"/>
      <c r="CR896" s="20" t="str" cm="1">
        <f t="array" ref="CR896">IF(OR(ISBLANK(E896),ISBLANK(CQ896)),"Incomplete",_xlfn.XLOOKUP(CQ896,_xlfn.XLOOKUP(E896,'Normative data'!$Y$3:$Y$6,'Normative data'!$Z$3:$AG$6,,-1),'Normative data'!$Z$2:$AG$2,"Not Found",-1))</f>
        <v>Incomplete</v>
      </c>
      <c r="CS896" s="68"/>
      <c r="CT896" s="66"/>
      <c r="CU896" s="20" t="str" cm="1">
        <f t="array" ref="CU896">_xlfn.XLOOKUP(CS896&amp;CT896,(VLOOKUP!$A$3:$A$250)&amp;(VLOOKUP!$B$3:$B$250),VLOOKUP!$C$3:$C$250,"Incomplete",-1)</f>
        <v>Incomplete</v>
      </c>
      <c r="CV896" s="20" t="str" cm="1">
        <f t="array" ref="CV896">_xlfn.XLOOKUP(CU896, _xlfn.XLOOKUP(E896, 'Normative data'!$Y$11:$Y$14, 'Normative data'!$Z$11:$AG$14, ,-1), 'Normative data'!$Z$10:$AG$10, "Not Found", -1)</f>
        <v>Excellent</v>
      </c>
      <c r="CW896" s="20" t="str" cm="1">
        <f t="array" ref="CW896">IF(OR(ISBLANK(CS896),ISBLANK(CT896)),"Incomplete",_xlfn.XLOOKUP(CS896&amp;CT896,VLOOKUP!$A$4:$A$250&amp;VLOOKUP!$B$4:$B$250,VLOOKUP!$D$4:$D$250,"0"))</f>
        <v>Incomplete</v>
      </c>
    </row>
    <row r="897" spans="1:101">
      <c r="A897" s="64" t="s">
        <v>560</v>
      </c>
      <c r="B897" s="73" t="s">
        <v>559</v>
      </c>
      <c r="C897" s="64" t="s">
        <v>86</v>
      </c>
      <c r="D897" s="65">
        <v>39611</v>
      </c>
      <c r="E897" s="64"/>
      <c r="F897" s="64">
        <v>10</v>
      </c>
      <c r="G897" s="64">
        <v>2025</v>
      </c>
      <c r="H897" s="66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  <c r="AD897" s="66"/>
      <c r="AE897" s="66"/>
      <c r="AF897" s="66"/>
      <c r="AG897" s="66"/>
      <c r="AH897" s="66"/>
      <c r="AI897" s="66"/>
      <c r="AJ897" s="66"/>
      <c r="AK897" s="66"/>
      <c r="AL897" s="66"/>
      <c r="AM897" s="66"/>
      <c r="AN897" s="66"/>
      <c r="AO897" s="66"/>
      <c r="AP897" s="66"/>
      <c r="AQ897" s="66"/>
      <c r="AR897" s="66"/>
      <c r="AS897" s="66"/>
      <c r="AT897" s="66"/>
      <c r="AU897" s="66"/>
      <c r="AV897" s="66"/>
      <c r="AW897" s="66"/>
      <c r="AX897" s="66"/>
      <c r="AY897" s="41" t="str">
        <f t="shared" si="278"/>
        <v>Incomplete</v>
      </c>
      <c r="AZ897" s="66"/>
      <c r="BA897" s="20" t="str">
        <f t="shared" si="279"/>
        <v>Incomplete</v>
      </c>
      <c r="BB897" s="66"/>
      <c r="BC897" s="20" t="str">
        <f t="shared" si="280"/>
        <v>Incomplete</v>
      </c>
      <c r="BD897" s="66"/>
      <c r="BE897" s="20" t="str">
        <f t="shared" si="281"/>
        <v>Incomplete</v>
      </c>
      <c r="BF897" s="66"/>
      <c r="BG897" s="66"/>
      <c r="BH897" s="66"/>
      <c r="BI897" s="20" t="str">
        <f>IF(OR(ISBLANK(BG897), ISBLANK(BH897)),"Incomplete",(SUM(BH897-BG897)))</f>
        <v>Incomplete</v>
      </c>
      <c r="BJ897" s="66"/>
      <c r="BK897" s="66"/>
      <c r="BL897" s="66"/>
      <c r="BM897" s="66"/>
      <c r="BN897" s="66"/>
      <c r="BO897" s="66"/>
      <c r="BP897" s="66"/>
      <c r="BQ897" s="66"/>
      <c r="BR897" s="66"/>
      <c r="BS897" s="66"/>
      <c r="BT897" s="66"/>
      <c r="BU897" s="66"/>
      <c r="BV897" s="66"/>
      <c r="BW897" s="91" t="str">
        <f t="shared" si="282"/>
        <v>Incomplete</v>
      </c>
      <c r="BX897" s="91" t="str">
        <f>_xlfn.XLOOKUP(BW897,'Normative data'!$V$3:$V$6,'Normative data'!$W$3:$W$6,"Not Found",-1)</f>
        <v>Very low risk</v>
      </c>
      <c r="BY897" s="91" t="str">
        <f t="shared" si="283"/>
        <v>Incomplete</v>
      </c>
      <c r="BZ897" s="91" t="str">
        <f>_xlfn.XLOOKUP(BY897,'Normative data'!$V$3:$V$6,'Normative data'!$W$3:$W$6,"Not Found",-1)</f>
        <v>Very low risk</v>
      </c>
      <c r="CA897" s="66"/>
      <c r="CB897" s="66"/>
      <c r="CC897" s="20"/>
      <c r="CD897" s="66"/>
      <c r="CE897" s="66"/>
      <c r="CF897" s="66"/>
      <c r="CG897" s="66"/>
      <c r="CH897" s="20" t="str">
        <f>_xlfn.XLOOKUP(CG897, 'Normative data'!$S$9:$S$15,'Normative data'!$T$9:$T$15, "Not Found", -1)</f>
        <v>not completed</v>
      </c>
      <c r="CI897" s="66"/>
      <c r="CJ897" s="20" t="str">
        <f>_xlfn.XLOOKUP(CI897, 'Normative data'!$S$9:$S$15, 'Normative data'!$T$9:$T$15, "Not Found", -1)</f>
        <v>not completed</v>
      </c>
      <c r="CK897" s="66">
        <v>2.33</v>
      </c>
      <c r="CL897" s="66">
        <v>4.29</v>
      </c>
      <c r="CM897" s="66"/>
      <c r="CN897" s="66">
        <v>7.12</v>
      </c>
      <c r="CO897" s="66">
        <v>7.02</v>
      </c>
      <c r="CP897" s="68"/>
      <c r="CQ897" s="68"/>
      <c r="CR897" s="20" t="str" cm="1">
        <f t="array" ref="CR897">IF(OR(ISBLANK(E897),ISBLANK(CQ897)),"Incomplete",_xlfn.XLOOKUP(CQ897,_xlfn.XLOOKUP(E897,'Normative data'!$Y$3:$Y$6,'Normative data'!$Z$3:$AG$6,,-1),'Normative data'!$Z$2:$AG$2,"Not Found",-1))</f>
        <v>Incomplete</v>
      </c>
      <c r="CS897" s="68"/>
      <c r="CT897" s="66"/>
      <c r="CU897" s="20" t="str" cm="1">
        <f t="array" ref="CU897">_xlfn.XLOOKUP(CS897&amp;CT897,(VLOOKUP!$A$3:$A$250)&amp;(VLOOKUP!$B$3:$B$250),VLOOKUP!$C$3:$C$250,"Incomplete",-1)</f>
        <v>Incomplete</v>
      </c>
      <c r="CV897" s="20" t="str" cm="1">
        <f t="array" ref="CV897">_xlfn.XLOOKUP(CU897, _xlfn.XLOOKUP(E897, 'Normative data'!$Y$11:$Y$14, 'Normative data'!$Z$11:$AG$14, ,-1), 'Normative data'!$Z$10:$AG$10, "Not Found", -1)</f>
        <v>Excellent</v>
      </c>
      <c r="CW897" s="20" t="str" cm="1">
        <f t="array" ref="CW897">IF(OR(ISBLANK(CS897),ISBLANK(CT897)),"Incomplete",_xlfn.XLOOKUP(CS897&amp;CT897,VLOOKUP!$A$4:$A$250&amp;VLOOKUP!$B$4:$B$250,VLOOKUP!$D$4:$D$250,"0"))</f>
        <v>Incomplete</v>
      </c>
    </row>
    <row r="898" spans="1:101">
      <c r="A898" s="64" t="s">
        <v>578</v>
      </c>
      <c r="B898" s="64" t="s">
        <v>1579</v>
      </c>
      <c r="C898" s="64" t="s">
        <v>86</v>
      </c>
      <c r="D898" s="65"/>
      <c r="E898" s="64"/>
      <c r="F898" s="64">
        <v>8</v>
      </c>
      <c r="G898" s="64">
        <v>2025</v>
      </c>
      <c r="H898" s="66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  <c r="AD898" s="66"/>
      <c r="AE898" s="66"/>
      <c r="AF898" s="66"/>
      <c r="AG898" s="66"/>
      <c r="AH898" s="66"/>
      <c r="AI898" s="66"/>
      <c r="AJ898" s="66"/>
      <c r="AK898" s="66"/>
      <c r="AL898" s="66"/>
      <c r="AM898" s="66"/>
      <c r="AN898" s="66"/>
      <c r="AO898" s="66"/>
      <c r="AP898" s="66"/>
      <c r="AQ898" s="20"/>
      <c r="AR898" s="20"/>
      <c r="AS898" s="20"/>
      <c r="AT898" s="20"/>
      <c r="AU898" s="20"/>
      <c r="AV898" s="20"/>
      <c r="AW898" s="20"/>
      <c r="AX898" s="20"/>
      <c r="AY898" s="41" t="str">
        <f t="shared" si="278"/>
        <v>Incomplete</v>
      </c>
      <c r="AZ898" s="66"/>
      <c r="BA898" s="20" t="str">
        <f t="shared" si="279"/>
        <v>Incomplete</v>
      </c>
      <c r="BB898" s="66"/>
      <c r="BC898" s="20" t="str">
        <f t="shared" si="280"/>
        <v>Incomplete</v>
      </c>
      <c r="BD898" s="66"/>
      <c r="BE898" s="20" t="str">
        <f t="shared" si="281"/>
        <v>Incomplete</v>
      </c>
      <c r="BF898" s="66"/>
      <c r="BG898" s="66"/>
      <c r="BH898" s="66"/>
      <c r="BI898" s="20" t="str">
        <f>IF(OR(ISBLANK(BG898), ISBLANK(BH898)),"Incomplete",(SUM(BH898-BG898)))</f>
        <v>Incomplete</v>
      </c>
      <c r="BJ898" s="66"/>
      <c r="BK898" s="66"/>
      <c r="BL898" s="66"/>
      <c r="BM898" s="20"/>
      <c r="BN898" s="66"/>
      <c r="BO898" s="66"/>
      <c r="BP898" s="66"/>
      <c r="BQ898" s="66"/>
      <c r="BR898" s="66"/>
      <c r="BS898" s="66"/>
      <c r="BT898" s="66"/>
      <c r="BU898" s="66"/>
      <c r="BV898" s="66"/>
      <c r="BW898" s="91" t="str">
        <f t="shared" si="282"/>
        <v>Incomplete</v>
      </c>
      <c r="BX898" s="91" t="str">
        <f>_xlfn.XLOOKUP(BW898,'Normative data'!$V$3:$V$6,'Normative data'!$W$3:$W$6,"Not Found",-1)</f>
        <v>Very low risk</v>
      </c>
      <c r="BY898" s="91" t="str">
        <f t="shared" si="283"/>
        <v>Incomplete</v>
      </c>
      <c r="BZ898" s="91" t="str">
        <f>_xlfn.XLOOKUP(BY898,'Normative data'!$V$3:$V$6,'Normative data'!$W$3:$W$6,"Not Found",-1)</f>
        <v>Very low risk</v>
      </c>
      <c r="CA898" s="66"/>
      <c r="CB898" s="66"/>
      <c r="CC898" s="20"/>
      <c r="CD898" s="66"/>
      <c r="CE898" s="66"/>
      <c r="CF898" s="66"/>
      <c r="CG898" s="66"/>
      <c r="CH898" s="20" t="str">
        <f>_xlfn.XLOOKUP(CG898, 'Normative data'!$S$9:$S$15,'Normative data'!$T$9:$T$15, "Not Found", -1)</f>
        <v>not completed</v>
      </c>
      <c r="CI898" s="66"/>
      <c r="CJ898" s="20" t="str">
        <f>_xlfn.XLOOKUP(CI898, 'Normative data'!$S$9:$S$15, 'Normative data'!$T$9:$T$15, "Not Found", -1)</f>
        <v>not completed</v>
      </c>
      <c r="CK898" s="64"/>
      <c r="CL898" s="64"/>
      <c r="CM898" s="66"/>
      <c r="CN898" s="64"/>
      <c r="CO898" s="64"/>
      <c r="CP898" s="68"/>
      <c r="CQ898" s="68"/>
      <c r="CR898" s="20" t="str" cm="1">
        <f t="array" ref="CR898">IF(OR(ISBLANK(E898),ISBLANK(CQ898)),"Incomplete",_xlfn.XLOOKUP(CQ898,_xlfn.XLOOKUP(E898,'Normative data'!$Y$3:$Y$6,'Normative data'!$Z$3:$AG$6,,-1),'Normative data'!$Z$2:$AG$2,"Not Found",-1))</f>
        <v>Incomplete</v>
      </c>
      <c r="CS898" s="68"/>
      <c r="CT898" s="66"/>
      <c r="CU898" s="20" t="str" cm="1">
        <f t="array" ref="CU898">_xlfn.XLOOKUP(CS898&amp;CT898,(VLOOKUP!$A$3:$A$250)&amp;(VLOOKUP!$B$3:$B$250),VLOOKUP!$C$3:$C$250,"Incomplete",-1)</f>
        <v>Incomplete</v>
      </c>
      <c r="CV898" s="20" t="str" cm="1">
        <f t="array" ref="CV898">_xlfn.XLOOKUP(CU898, _xlfn.XLOOKUP(E898, 'Normative data'!$Y$11:$Y$14, 'Normative data'!$Z$11:$AG$14, ,-1), 'Normative data'!$Z$10:$AG$10, "Not Found", -1)</f>
        <v>Excellent</v>
      </c>
      <c r="CW898" s="20" t="str" cm="1">
        <f t="array" ref="CW898">IF(OR(ISBLANK(CS898),ISBLANK(CT898)),"Incomplete",_xlfn.XLOOKUP(CS898&amp;CT898,VLOOKUP!$A$4:$A$250&amp;VLOOKUP!$B$4:$B$250,VLOOKUP!$D$4:$D$250,"0"))</f>
        <v>Incomplete</v>
      </c>
    </row>
    <row r="899" spans="1:101">
      <c r="A899" s="64" t="s">
        <v>578</v>
      </c>
      <c r="B899" s="64" t="s">
        <v>582</v>
      </c>
      <c r="C899" s="64" t="s">
        <v>86</v>
      </c>
      <c r="D899" s="65">
        <v>40751</v>
      </c>
      <c r="E899" s="64"/>
      <c r="F899" s="64">
        <v>8</v>
      </c>
      <c r="G899" s="64">
        <v>2025</v>
      </c>
      <c r="H899" s="66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6"/>
      <c r="T899" s="66">
        <v>175</v>
      </c>
      <c r="U899" s="66">
        <v>71.7</v>
      </c>
      <c r="V899" s="66"/>
      <c r="W899" s="66">
        <v>19.3</v>
      </c>
      <c r="X899" s="66">
        <f>SUM(T899-W899)</f>
        <v>155.69999999999999</v>
      </c>
      <c r="Y899" s="66">
        <v>29</v>
      </c>
      <c r="Z899" s="66">
        <v>23.4</v>
      </c>
      <c r="AA899" s="66">
        <v>26.9</v>
      </c>
      <c r="AB899" s="66"/>
      <c r="AC899" s="66"/>
      <c r="AD899" s="66"/>
      <c r="AE899" s="66"/>
      <c r="AF899" s="66"/>
      <c r="AG899" s="66"/>
      <c r="AH899" s="66"/>
      <c r="AI899" s="66"/>
      <c r="AJ899" s="66"/>
      <c r="AK899" s="66"/>
      <c r="AL899" s="66"/>
      <c r="AM899" s="66"/>
      <c r="AN899" s="66"/>
      <c r="AO899" s="66"/>
      <c r="AP899" s="66"/>
      <c r="AQ899" s="20"/>
      <c r="AR899" s="20"/>
      <c r="AS899" s="20"/>
      <c r="AT899" s="20"/>
      <c r="AU899" s="20"/>
      <c r="AV899" s="20"/>
      <c r="AW899" s="20"/>
      <c r="AX899" s="20"/>
      <c r="AY899" s="41" t="str">
        <f t="shared" si="278"/>
        <v>Incomplete</v>
      </c>
      <c r="AZ899" s="66"/>
      <c r="BA899" s="20" t="str">
        <f t="shared" si="279"/>
        <v>Incomplete</v>
      </c>
      <c r="BB899" s="66"/>
      <c r="BC899" s="20" t="str">
        <f t="shared" si="280"/>
        <v>Incomplete</v>
      </c>
      <c r="BD899" s="66"/>
      <c r="BE899" s="20" t="str">
        <f t="shared" si="281"/>
        <v>Incomplete</v>
      </c>
      <c r="BF899" s="66"/>
      <c r="BG899" s="66">
        <v>10.5</v>
      </c>
      <c r="BH899" s="20">
        <v>10.5</v>
      </c>
      <c r="BI899" s="20" t="e">
        <f>IF(OR(ISBLANK(#REF!), ISBLANK(#REF!)),"Incomplete",(SUM(#REF!-#REF!)))</f>
        <v>#REF!</v>
      </c>
      <c r="BJ899" s="66"/>
      <c r="BK899" s="66">
        <v>7</v>
      </c>
      <c r="BL899" s="66"/>
      <c r="BM899" s="20">
        <v>7</v>
      </c>
      <c r="BN899" s="66"/>
      <c r="BO899" s="66"/>
      <c r="BP899" s="66"/>
      <c r="BQ899" s="66"/>
      <c r="BR899" s="66"/>
      <c r="BS899" s="66"/>
      <c r="BT899" s="66"/>
      <c r="BU899" s="66"/>
      <c r="BV899" s="66"/>
      <c r="BW899" s="91">
        <f t="shared" si="282"/>
        <v>0</v>
      </c>
      <c r="BX899" s="91" t="str">
        <f>_xlfn.XLOOKUP(BW899,'Normative data'!$V$3:$V$6,'Normative data'!$W$3:$W$6,"Not Found",-1)</f>
        <v>Not completed</v>
      </c>
      <c r="BY899" s="91">
        <f t="shared" si="283"/>
        <v>0</v>
      </c>
      <c r="BZ899" s="91" t="str">
        <f>_xlfn.XLOOKUP(BY899,'Normative data'!$V$3:$V$6,'Normative data'!$W$3:$W$6,"Not Found",-1)</f>
        <v>Not completed</v>
      </c>
      <c r="CA899" s="66"/>
      <c r="CB899" s="66"/>
      <c r="CC899" s="20"/>
      <c r="CD899" s="66"/>
      <c r="CE899" s="66"/>
      <c r="CF899" s="66"/>
      <c r="CG899" s="66"/>
      <c r="CH899" s="20" t="str">
        <f>_xlfn.XLOOKUP(CG899, 'Normative data'!$S$9:$S$15,'Normative data'!$T$9:$T$15, "Not Found", -1)</f>
        <v>not completed</v>
      </c>
      <c r="CI899" s="66"/>
      <c r="CJ899" s="20" t="str">
        <f>_xlfn.XLOOKUP(CI899, 'Normative data'!$S$9:$S$15, 'Normative data'!$T$9:$T$15, "Not Found", -1)</f>
        <v>not completed</v>
      </c>
      <c r="CK899" s="66" t="s">
        <v>1112</v>
      </c>
      <c r="CL899" s="66" t="s">
        <v>998</v>
      </c>
      <c r="CM899" s="105"/>
      <c r="CN899" s="66" t="s">
        <v>1534</v>
      </c>
      <c r="CO899" s="66" t="s">
        <v>1535</v>
      </c>
      <c r="CP899" s="111"/>
      <c r="CQ899" s="68"/>
      <c r="CR899" s="20" t="str" cm="1">
        <f t="array" ref="CR899">IF(OR(ISBLANK(E899),ISBLANK(CQ899)),"Incomplete",_xlfn.XLOOKUP(CQ899,_xlfn.XLOOKUP(E899,'Normative data'!$Y$3:$Y$6,'Normative data'!$Z$3:$AG$6,,-1),'Normative data'!$Z$2:$AG$2,"Not Found",-1))</f>
        <v>Incomplete</v>
      </c>
      <c r="CS899" s="68"/>
      <c r="CT899" s="66"/>
      <c r="CU899" s="20" t="str" cm="1">
        <f t="array" ref="CU899">_xlfn.XLOOKUP(CS899&amp;CT899,(VLOOKUP!$A$3:$A$250)&amp;(VLOOKUP!$B$3:$B$250),VLOOKUP!$C$3:$C$250,"Incomplete",-1)</f>
        <v>Incomplete</v>
      </c>
      <c r="CV899" s="20" t="str" cm="1">
        <f t="array" ref="CV899">_xlfn.XLOOKUP(CU899, _xlfn.XLOOKUP(E899, 'Normative data'!$Y$11:$Y$14, 'Normative data'!$Z$11:$AG$14, ,-1), 'Normative data'!$Z$10:$AG$10, "Not Found", -1)</f>
        <v>Excellent</v>
      </c>
      <c r="CW899" s="20" t="str" cm="1">
        <f t="array" ref="CW899">IF(OR(ISBLANK(CS899),ISBLANK(CT899)),"Incomplete",_xlfn.XLOOKUP(CS899&amp;CT899,VLOOKUP!$A$4:$A$250&amp;VLOOKUP!$B$4:$B$250,VLOOKUP!$D$4:$D$250,"0"))</f>
        <v>Incomplete</v>
      </c>
    </row>
    <row r="900" spans="1:101">
      <c r="A900" s="64" t="s">
        <v>578</v>
      </c>
      <c r="B900" s="64" t="s">
        <v>582</v>
      </c>
      <c r="C900" s="64" t="s">
        <v>86</v>
      </c>
      <c r="D900" s="65">
        <v>40751</v>
      </c>
      <c r="E900" s="64"/>
      <c r="F900" s="64">
        <v>8</v>
      </c>
      <c r="G900" s="64">
        <v>2025</v>
      </c>
      <c r="H900" s="66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  <c r="AD900" s="66"/>
      <c r="AE900" s="66"/>
      <c r="AF900" s="66"/>
      <c r="AG900" s="66"/>
      <c r="AH900" s="66"/>
      <c r="AI900" s="66"/>
      <c r="AJ900" s="66"/>
      <c r="AK900" s="66"/>
      <c r="AL900" s="66"/>
      <c r="AM900" s="66"/>
      <c r="AN900" s="66"/>
      <c r="AO900" s="66"/>
      <c r="AP900" s="66"/>
      <c r="AQ900" s="20"/>
      <c r="AR900" s="20"/>
      <c r="AS900" s="20"/>
      <c r="AT900" s="20"/>
      <c r="AU900" s="20"/>
      <c r="AV900" s="20"/>
      <c r="AW900" s="20"/>
      <c r="AX900" s="20"/>
      <c r="AY900" s="41" t="str">
        <f t="shared" si="278"/>
        <v>Incomplete</v>
      </c>
      <c r="AZ900" s="66"/>
      <c r="BA900" s="20" t="str">
        <f t="shared" si="279"/>
        <v>Incomplete</v>
      </c>
      <c r="BB900" s="66"/>
      <c r="BC900" s="20" t="str">
        <f t="shared" si="280"/>
        <v>Incomplete</v>
      </c>
      <c r="BD900" s="66"/>
      <c r="BE900" s="20" t="str">
        <f t="shared" si="281"/>
        <v>Incomplete</v>
      </c>
      <c r="BF900" s="66"/>
      <c r="BG900" s="66"/>
      <c r="BH900" s="66"/>
      <c r="BI900" s="20" t="str">
        <f>IF(OR(ISBLANK(BG900), ISBLANK(BH900)),"Incomplete",(SUM(BH900-BG900)))</f>
        <v>Incomplete</v>
      </c>
      <c r="BJ900" s="66"/>
      <c r="BK900" s="66"/>
      <c r="BL900" s="66"/>
      <c r="BM900" s="20"/>
      <c r="BN900" s="66"/>
      <c r="BO900" s="66"/>
      <c r="BP900" s="66"/>
      <c r="BQ900" s="66"/>
      <c r="BR900" s="66"/>
      <c r="BS900" s="66"/>
      <c r="BT900" s="66"/>
      <c r="BU900" s="66"/>
      <c r="BV900" s="66"/>
      <c r="BW900" s="91" t="str">
        <f t="shared" si="282"/>
        <v>Incomplete</v>
      </c>
      <c r="BX900" s="91" t="str">
        <f>_xlfn.XLOOKUP(BW900,'Normative data'!$V$3:$V$6,'Normative data'!$W$3:$W$6,"Not Found",-1)</f>
        <v>Very low risk</v>
      </c>
      <c r="BY900" s="91" t="str">
        <f t="shared" si="283"/>
        <v>Incomplete</v>
      </c>
      <c r="BZ900" s="91" t="str">
        <f>_xlfn.XLOOKUP(BY900,'Normative data'!$V$3:$V$6,'Normative data'!$W$3:$W$6,"Not Found",-1)</f>
        <v>Very low risk</v>
      </c>
      <c r="CA900" s="66"/>
      <c r="CB900" s="66"/>
      <c r="CC900" s="66"/>
      <c r="CD900" s="66"/>
      <c r="CE900" s="66"/>
      <c r="CF900" s="66"/>
      <c r="CG900" s="20"/>
      <c r="CH900" s="20" t="str">
        <f>_xlfn.XLOOKUP(CG900, 'Normative data'!$S$9:$S$15,'Normative data'!$T$9:$T$15, "Not Found", -1)</f>
        <v>not completed</v>
      </c>
      <c r="CI900" s="20"/>
      <c r="CJ900" s="20" t="str">
        <f>_xlfn.XLOOKUP(CI900, 'Normative data'!$S$9:$S$15, 'Normative data'!$T$9:$T$15, "Not Found", -1)</f>
        <v>not completed</v>
      </c>
      <c r="CK900" s="20">
        <v>2.35</v>
      </c>
      <c r="CL900" s="20">
        <v>4.26</v>
      </c>
      <c r="CN900" s="20">
        <v>7.53</v>
      </c>
      <c r="CO900" s="20">
        <v>6.64</v>
      </c>
      <c r="CP900" s="68"/>
      <c r="CQ900" s="68"/>
      <c r="CR900" s="20" t="str" cm="1">
        <f t="array" ref="CR900">IF(OR(ISBLANK(E900),ISBLANK(CQ900)),"Incomplete",_xlfn.XLOOKUP(CQ900,_xlfn.XLOOKUP(E900,'Normative data'!$Y$3:$Y$6,'Normative data'!$Z$3:$AG$6,,-1),'Normative data'!$Z$2:$AG$2,"Not Found",-1))</f>
        <v>Incomplete</v>
      </c>
      <c r="CS900" s="68"/>
      <c r="CT900" s="66"/>
      <c r="CU900" s="20" t="str" cm="1">
        <f t="array" ref="CU900">_xlfn.XLOOKUP(CS900&amp;CT900,(VLOOKUP!$A$3:$A$250)&amp;(VLOOKUP!$B$3:$B$250),VLOOKUP!$C$3:$C$250,"Incomplete",-1)</f>
        <v>Incomplete</v>
      </c>
      <c r="CV900" s="20" t="str" cm="1">
        <f t="array" ref="CV900">_xlfn.XLOOKUP(CU900, _xlfn.XLOOKUP(E900, 'Normative data'!$Y$11:$Y$14, 'Normative data'!$Z$11:$AG$14, ,-1), 'Normative data'!$Z$10:$AG$10, "Not Found", -1)</f>
        <v>Excellent</v>
      </c>
      <c r="CW900" s="20" t="str" cm="1">
        <f t="array" ref="CW900">IF(OR(ISBLANK(CS900),ISBLANK(CT900)),"Incomplete",_xlfn.XLOOKUP(CS900&amp;CT900,VLOOKUP!$A$4:$A$250&amp;VLOOKUP!$B$4:$B$250,VLOOKUP!$D$4:$D$250,"0"))</f>
        <v>Incomplete</v>
      </c>
    </row>
    <row r="901" spans="1:101">
      <c r="A901" s="93" t="s">
        <v>1217</v>
      </c>
      <c r="B901" s="93" t="s">
        <v>1580</v>
      </c>
      <c r="C901" s="64" t="s">
        <v>86</v>
      </c>
      <c r="D901" s="96">
        <v>39984</v>
      </c>
      <c r="E901" s="64"/>
      <c r="F901" s="64">
        <v>10</v>
      </c>
      <c r="G901" s="64">
        <v>2025</v>
      </c>
      <c r="H901" s="66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  <c r="AD901" s="66"/>
      <c r="AE901" s="66"/>
      <c r="AF901" s="66"/>
      <c r="AG901" s="66"/>
      <c r="AH901" s="66"/>
      <c r="AI901" s="66"/>
      <c r="AJ901" s="66"/>
      <c r="AK901" s="66"/>
      <c r="AL901" s="66"/>
      <c r="AM901" s="66"/>
      <c r="AN901" s="66"/>
      <c r="AO901" s="66"/>
      <c r="AP901" s="66"/>
      <c r="AQ901" s="20"/>
      <c r="AR901" s="20"/>
      <c r="AS901" s="20"/>
      <c r="AT901" s="20"/>
      <c r="AU901" s="20"/>
      <c r="AV901" s="20"/>
      <c r="AW901" s="20"/>
      <c r="AX901" s="20"/>
      <c r="AY901" s="41" t="str">
        <f t="shared" si="278"/>
        <v>Incomplete</v>
      </c>
      <c r="AZ901" s="66"/>
      <c r="BA901" s="20" t="str">
        <f t="shared" si="279"/>
        <v>Incomplete</v>
      </c>
      <c r="BB901" s="66"/>
      <c r="BC901" s="20" t="str">
        <f t="shared" si="280"/>
        <v>Incomplete</v>
      </c>
      <c r="BD901" s="66"/>
      <c r="BE901" s="20" t="str">
        <f t="shared" si="281"/>
        <v>Incomplete</v>
      </c>
      <c r="BF901" s="66"/>
      <c r="BG901" s="66"/>
      <c r="BH901" s="66"/>
      <c r="BI901" s="20" t="str">
        <f>IF(OR(ISBLANK(BG901), ISBLANK(BH901)),"Incomplete",(SUM(BH901-BG901)))</f>
        <v>Incomplete</v>
      </c>
      <c r="BJ901" s="66"/>
      <c r="BK901" s="66"/>
      <c r="BL901" s="66"/>
      <c r="BM901" s="66"/>
      <c r="BN901" s="66"/>
      <c r="BO901" s="66"/>
      <c r="BP901" s="66"/>
      <c r="BQ901" s="66"/>
      <c r="BR901" s="66"/>
      <c r="BS901" s="66"/>
      <c r="BT901" s="66"/>
      <c r="BU901" s="66"/>
      <c r="BV901" s="66"/>
      <c r="BW901" s="91" t="str">
        <f t="shared" si="282"/>
        <v>Incomplete</v>
      </c>
      <c r="BX901" s="91" t="str">
        <f>_xlfn.XLOOKUP(BW901,'Normative data'!$V$3:$V$6,'Normative data'!$W$3:$W$6,"Not Found",-1)</f>
        <v>Very low risk</v>
      </c>
      <c r="BY901" s="91" t="str">
        <f t="shared" si="283"/>
        <v>Incomplete</v>
      </c>
      <c r="BZ901" s="91" t="str">
        <f>_xlfn.XLOOKUP(BY901,'Normative data'!$V$3:$V$6,'Normative data'!$W$3:$W$6,"Not Found",-1)</f>
        <v>Very low risk</v>
      </c>
      <c r="CA901" s="20"/>
      <c r="CB901" s="66"/>
      <c r="CC901" s="20"/>
      <c r="CD901" s="66"/>
      <c r="CE901" s="66"/>
      <c r="CF901" s="66"/>
      <c r="CG901" s="66"/>
      <c r="CH901" s="20" t="str">
        <f>_xlfn.XLOOKUP(CG901, 'Normative data'!$S$9:$S$15,'Normative data'!$T$9:$T$15, "Not Found", -1)</f>
        <v>not completed</v>
      </c>
      <c r="CI901" s="66"/>
      <c r="CJ901" s="20" t="str">
        <f>_xlfn.XLOOKUP(CI901, 'Normative data'!$S$9:$S$15, 'Normative data'!$T$9:$T$15, "Not Found", -1)</f>
        <v>not completed</v>
      </c>
      <c r="CK901" s="105">
        <v>2.11</v>
      </c>
      <c r="CL901" s="105">
        <v>4.74</v>
      </c>
      <c r="CM901" s="105"/>
      <c r="CN901" s="105">
        <v>6.2</v>
      </c>
      <c r="CO901" s="105">
        <v>8.06</v>
      </c>
      <c r="CP901" s="109"/>
      <c r="CQ901" s="68"/>
      <c r="CR901" s="20" t="str" cm="1">
        <f t="array" ref="CR901">IF(OR(ISBLANK(E901),ISBLANK(CQ901)),"Incomplete",_xlfn.XLOOKUP(CQ901,_xlfn.XLOOKUP(E901,'Normative data'!$Y$3:$Y$6,'Normative data'!$Z$3:$AG$6,,-1),'Normative data'!$Z$2:$AG$2,"Not Found",-1))</f>
        <v>Incomplete</v>
      </c>
      <c r="CS901" s="68"/>
      <c r="CT901" s="66"/>
      <c r="CU901" s="20" t="str" cm="1">
        <f t="array" ref="CU901">_xlfn.XLOOKUP(CS901&amp;CT901,(VLOOKUP!$A$3:$A$250)&amp;(VLOOKUP!$B$3:$B$250),VLOOKUP!$C$3:$C$250,"Incomplete",-1)</f>
        <v>Incomplete</v>
      </c>
      <c r="CV901" s="20" t="str" cm="1">
        <f t="array" ref="CV901">_xlfn.XLOOKUP(CU901, _xlfn.XLOOKUP(E901, 'Normative data'!$Y$11:$Y$14, 'Normative data'!$Z$11:$AG$14, ,-1), 'Normative data'!$Z$10:$AG$10, "Not Found", -1)</f>
        <v>Excellent</v>
      </c>
      <c r="CW901" s="20" t="str" cm="1">
        <f t="array" ref="CW901">IF(OR(ISBLANK(CS901),ISBLANK(CT901)),"Incomplete",_xlfn.XLOOKUP(CS901&amp;CT901,VLOOKUP!$A$4:$A$250&amp;VLOOKUP!$B$4:$B$250,VLOOKUP!$D$4:$D$250,"0"))</f>
        <v>Incomplete</v>
      </c>
    </row>
    <row r="902" spans="1:101">
      <c r="A902" s="93" t="s">
        <v>390</v>
      </c>
      <c r="B902" s="93" t="s">
        <v>588</v>
      </c>
      <c r="C902" s="64" t="s">
        <v>86</v>
      </c>
      <c r="D902" s="96">
        <v>40408</v>
      </c>
      <c r="E902" s="64"/>
      <c r="F902" s="64">
        <v>9</v>
      </c>
      <c r="G902" s="64">
        <v>2025</v>
      </c>
      <c r="H902" s="66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  <c r="AD902" s="66"/>
      <c r="AE902" s="66"/>
      <c r="AF902" s="66"/>
      <c r="AG902" s="66"/>
      <c r="AH902" s="66"/>
      <c r="AI902" s="66"/>
      <c r="AJ902" s="66"/>
      <c r="AK902" s="66"/>
      <c r="AL902" s="66"/>
      <c r="AM902" s="66"/>
      <c r="AN902" s="66"/>
      <c r="AO902" s="66"/>
      <c r="AP902" s="66"/>
      <c r="AQ902" s="66"/>
      <c r="AR902" s="66"/>
      <c r="AS902" s="66"/>
      <c r="AT902" s="66"/>
      <c r="AU902" s="66"/>
      <c r="AV902" s="66"/>
      <c r="AW902" s="66"/>
      <c r="AX902" s="66"/>
      <c r="AY902" s="41" t="str">
        <f t="shared" si="278"/>
        <v>Incomplete</v>
      </c>
      <c r="AZ902" s="66"/>
      <c r="BA902" s="20" t="str">
        <f t="shared" si="279"/>
        <v>Incomplete</v>
      </c>
      <c r="BB902" s="66"/>
      <c r="BC902" s="20" t="str">
        <f t="shared" si="280"/>
        <v>Incomplete</v>
      </c>
      <c r="BD902" s="66"/>
      <c r="BE902" s="20" t="str">
        <f t="shared" si="281"/>
        <v>Incomplete</v>
      </c>
      <c r="BF902" s="66"/>
      <c r="BG902" s="66">
        <v>18</v>
      </c>
      <c r="BH902" s="66">
        <v>30.2</v>
      </c>
      <c r="BI902" s="20" t="e">
        <f>IF(OR(ISBLANK(#REF!), ISBLANK(#REF!)),"Incomplete",(SUM(#REF!-#REF!)))</f>
        <v>#REF!</v>
      </c>
      <c r="BJ902" s="66"/>
      <c r="BK902" s="66"/>
      <c r="BL902" s="66"/>
      <c r="BM902" s="66"/>
      <c r="BN902" s="66"/>
      <c r="BO902" s="66"/>
      <c r="BP902" s="66"/>
      <c r="BQ902" s="66"/>
      <c r="BR902" s="66"/>
      <c r="BS902" s="66"/>
      <c r="BT902" s="66"/>
      <c r="BU902" s="66"/>
      <c r="BV902" s="66"/>
      <c r="BW902" s="91" t="str">
        <f t="shared" si="282"/>
        <v>Incomplete</v>
      </c>
      <c r="BX902" s="91" t="str">
        <f>_xlfn.XLOOKUP(BW902,'Normative data'!$V$3:$V$6,'Normative data'!$W$3:$W$6,"Not Found",-1)</f>
        <v>Very low risk</v>
      </c>
      <c r="BY902" s="91" t="str">
        <f t="shared" si="283"/>
        <v>Incomplete</v>
      </c>
      <c r="BZ902" s="91" t="str">
        <f>_xlfn.XLOOKUP(BY902,'Normative data'!$V$3:$V$6,'Normative data'!$W$3:$W$6,"Not Found",-1)</f>
        <v>Very low risk</v>
      </c>
      <c r="CA902" s="66"/>
      <c r="CB902" s="66"/>
      <c r="CC902" s="20"/>
      <c r="CD902" s="66"/>
      <c r="CE902" s="66">
        <v>20</v>
      </c>
      <c r="CF902" s="66"/>
      <c r="CG902" s="20"/>
      <c r="CH902" s="20" t="str">
        <f>_xlfn.XLOOKUP(CG902, 'Normative data'!$S$9:$S$15,'Normative data'!$T$9:$T$15, "Not Found", -1)</f>
        <v>not completed</v>
      </c>
      <c r="CI902" s="20"/>
      <c r="CJ902" s="20" t="str">
        <f>_xlfn.XLOOKUP(CI902, 'Normative data'!$S$9:$S$15, 'Normative data'!$T$9:$T$15, "Not Found", -1)</f>
        <v>not completed</v>
      </c>
      <c r="CK902" s="105">
        <v>2.19</v>
      </c>
      <c r="CL902" s="105">
        <v>4.57</v>
      </c>
      <c r="CM902" s="105"/>
      <c r="CN902" s="105">
        <v>6.96</v>
      </c>
      <c r="CO902" s="105">
        <v>7.18</v>
      </c>
      <c r="CP902" s="109"/>
      <c r="CQ902" s="68"/>
      <c r="CR902" s="20" t="str" cm="1">
        <f t="array" ref="CR902">IF(OR(ISBLANK(E902),ISBLANK(CQ902)),"Incomplete",_xlfn.XLOOKUP(CQ902,_xlfn.XLOOKUP(E902,'Normative data'!$Y$3:$Y$6,'Normative data'!$Z$3:$AG$6,,-1),'Normative data'!$Z$2:$AG$2,"Not Found",-1))</f>
        <v>Incomplete</v>
      </c>
      <c r="CS902" s="68"/>
      <c r="CT902" s="66"/>
      <c r="CU902" s="20" t="str" cm="1">
        <f t="array" ref="CU902">_xlfn.XLOOKUP(CS902&amp;CT902,(VLOOKUP!$A$3:$A$250)&amp;(VLOOKUP!$B$3:$B$250),VLOOKUP!$C$3:$C$250,"Incomplete",-1)</f>
        <v>Incomplete</v>
      </c>
      <c r="CV902" s="20" t="str" cm="1">
        <f t="array" ref="CV902">_xlfn.XLOOKUP(CU902, _xlfn.XLOOKUP(E902, 'Normative data'!$Y$11:$Y$14, 'Normative data'!$Z$11:$AG$14, ,-1), 'Normative data'!$Z$10:$AG$10, "Not Found", -1)</f>
        <v>Excellent</v>
      </c>
      <c r="CW902" s="20" t="str" cm="1">
        <f t="array" ref="CW902">IF(OR(ISBLANK(CS902),ISBLANK(CT902)),"Incomplete",_xlfn.XLOOKUP(CS902&amp;CT902,VLOOKUP!$A$4:$A$250&amp;VLOOKUP!$B$4:$B$250,VLOOKUP!$D$4:$D$250,"0"))</f>
        <v>Incomplete</v>
      </c>
    </row>
    <row r="903" spans="1:101">
      <c r="A903" s="64" t="s">
        <v>390</v>
      </c>
      <c r="B903" s="64" t="s">
        <v>588</v>
      </c>
      <c r="C903" s="64" t="s">
        <v>86</v>
      </c>
      <c r="D903" s="65"/>
      <c r="E903" s="64"/>
      <c r="F903" s="64">
        <v>9</v>
      </c>
      <c r="G903" s="64">
        <v>2025</v>
      </c>
      <c r="H903" s="66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  <c r="AD903" s="66"/>
      <c r="AE903" s="66"/>
      <c r="AF903" s="66"/>
      <c r="AG903" s="66"/>
      <c r="AH903" s="66"/>
      <c r="AI903" s="66"/>
      <c r="AJ903" s="66"/>
      <c r="AK903" s="66"/>
      <c r="AL903" s="66"/>
      <c r="AM903" s="66"/>
      <c r="AN903" s="66"/>
      <c r="AO903" s="66"/>
      <c r="AP903" s="66"/>
      <c r="AQ903" s="20"/>
      <c r="AR903" s="20"/>
      <c r="AS903" s="20"/>
      <c r="AT903" s="20"/>
      <c r="AU903" s="20"/>
      <c r="AV903" s="20"/>
      <c r="AW903" s="20"/>
      <c r="AX903" s="20"/>
      <c r="AY903" s="41" t="str">
        <f t="shared" si="278"/>
        <v>Incomplete</v>
      </c>
      <c r="AZ903" s="66"/>
      <c r="BA903" s="20" t="str">
        <f t="shared" si="279"/>
        <v>Incomplete</v>
      </c>
      <c r="BB903" s="66"/>
      <c r="BC903" s="20" t="str">
        <f t="shared" si="280"/>
        <v>Incomplete</v>
      </c>
      <c r="BD903" s="66"/>
      <c r="BE903" s="20" t="str">
        <f t="shared" si="281"/>
        <v>Incomplete</v>
      </c>
      <c r="BF903" s="66"/>
      <c r="BG903" s="66"/>
      <c r="BH903" s="66"/>
      <c r="BI903" s="20" t="str">
        <f>IF(OR(ISBLANK(BG903), ISBLANK(BH903)),"Incomplete",(SUM(BH903-BG903)))</f>
        <v>Incomplete</v>
      </c>
      <c r="BJ903" s="66"/>
      <c r="BK903" s="66"/>
      <c r="BL903" s="66"/>
      <c r="BM903" s="66"/>
      <c r="BN903" s="66"/>
      <c r="BO903" s="66"/>
      <c r="BP903" s="66"/>
      <c r="BQ903" s="66"/>
      <c r="BR903" s="66"/>
      <c r="BS903" s="66"/>
      <c r="BT903" s="66"/>
      <c r="BU903" s="66"/>
      <c r="BV903" s="66"/>
      <c r="BW903" s="91" t="str">
        <f t="shared" si="282"/>
        <v>Incomplete</v>
      </c>
      <c r="BX903" s="91" t="str">
        <f>_xlfn.XLOOKUP(BW903,'Normative data'!$V$3:$V$6,'Normative data'!$W$3:$W$6,"Not Found",-1)</f>
        <v>Very low risk</v>
      </c>
      <c r="BY903" s="91" t="str">
        <f t="shared" si="283"/>
        <v>Incomplete</v>
      </c>
      <c r="BZ903" s="91" t="str">
        <f>_xlfn.XLOOKUP(BY903,'Normative data'!$V$3:$V$6,'Normative data'!$W$3:$W$6,"Not Found",-1)</f>
        <v>Very low risk</v>
      </c>
      <c r="CA903" s="66"/>
      <c r="CB903" s="66"/>
      <c r="CC903" s="20"/>
      <c r="CD903" s="66"/>
      <c r="CE903" s="66"/>
      <c r="CF903" s="66"/>
      <c r="CG903" s="20"/>
      <c r="CH903" s="20" t="str">
        <f>_xlfn.XLOOKUP(CG903, 'Normative data'!$S$9:$S$15,'Normative data'!$T$9:$T$15, "Not Found", -1)</f>
        <v>not completed</v>
      </c>
      <c r="CI903" s="20"/>
      <c r="CJ903" s="20" t="str">
        <f>_xlfn.XLOOKUP(CI903, 'Normative data'!$S$9:$S$15, 'Normative data'!$T$9:$T$15, "Not Found", -1)</f>
        <v>not completed</v>
      </c>
      <c r="CK903" s="66" t="s">
        <v>938</v>
      </c>
      <c r="CL903" s="66" t="s">
        <v>939</v>
      </c>
      <c r="CM903" s="66"/>
      <c r="CN903" s="66" t="s">
        <v>499</v>
      </c>
      <c r="CO903" s="66" t="s">
        <v>500</v>
      </c>
      <c r="CP903" s="68"/>
      <c r="CQ903" s="68"/>
      <c r="CR903" s="20" t="str" cm="1">
        <f t="array" ref="CR903">IF(OR(ISBLANK(E903),ISBLANK(CQ903)),"Incomplete",_xlfn.XLOOKUP(CQ903,_xlfn.XLOOKUP(E903,'Normative data'!$Y$3:$Y$6,'Normative data'!$Z$3:$AG$6,,-1),'Normative data'!$Z$2:$AG$2,"Not Found",-1))</f>
        <v>Incomplete</v>
      </c>
      <c r="CS903" s="68"/>
      <c r="CT903" s="66"/>
      <c r="CU903" s="20" t="str" cm="1">
        <f t="array" ref="CU903">_xlfn.XLOOKUP(CS903&amp;CT903,(VLOOKUP!$A$3:$A$250)&amp;(VLOOKUP!$B$3:$B$250),VLOOKUP!$C$3:$C$250,"Incomplete",-1)</f>
        <v>Incomplete</v>
      </c>
      <c r="CV903" s="20" t="str" cm="1">
        <f t="array" ref="CV903">_xlfn.XLOOKUP(CU903, _xlfn.XLOOKUP(E903, 'Normative data'!$Y$11:$Y$14, 'Normative data'!$Z$11:$AG$14, ,-1), 'Normative data'!$Z$10:$AG$10, "Not Found", -1)</f>
        <v>Excellent</v>
      </c>
      <c r="CW903" s="20" t="str" cm="1">
        <f t="array" ref="CW903">IF(OR(ISBLANK(CS903),ISBLANK(CT903)),"Incomplete",_xlfn.XLOOKUP(CS903&amp;CT903,VLOOKUP!$A$4:$A$250&amp;VLOOKUP!$B$4:$B$250,VLOOKUP!$D$4:$D$250,"0"))</f>
        <v>Incomplete</v>
      </c>
    </row>
    <row r="904" spans="1:101">
      <c r="A904" s="93" t="s">
        <v>570</v>
      </c>
      <c r="B904" s="93" t="s">
        <v>569</v>
      </c>
      <c r="C904" s="64" t="s">
        <v>86</v>
      </c>
      <c r="D904" s="96">
        <v>40838</v>
      </c>
      <c r="E904" s="64"/>
      <c r="F904" s="64">
        <v>8</v>
      </c>
      <c r="G904" s="64">
        <v>2025</v>
      </c>
      <c r="H904" s="66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  <c r="AD904" s="66"/>
      <c r="AE904" s="66"/>
      <c r="AF904" s="66"/>
      <c r="AG904" s="66"/>
      <c r="AH904" s="66"/>
      <c r="AI904" s="66"/>
      <c r="AJ904" s="66"/>
      <c r="AK904" s="66"/>
      <c r="AL904" s="66"/>
      <c r="AM904" s="66"/>
      <c r="AN904" s="66"/>
      <c r="AO904" s="66"/>
      <c r="AP904" s="66"/>
      <c r="AQ904" s="20"/>
      <c r="AR904" s="20"/>
      <c r="AS904" s="20"/>
      <c r="AT904" s="20"/>
      <c r="AU904" s="20"/>
      <c r="AV904" s="20"/>
      <c r="AW904" s="20"/>
      <c r="AX904" s="20"/>
      <c r="AY904" s="41" t="str">
        <f t="shared" si="278"/>
        <v>Incomplete</v>
      </c>
      <c r="AZ904" s="66"/>
      <c r="BA904" s="20" t="str">
        <f t="shared" si="279"/>
        <v>Incomplete</v>
      </c>
      <c r="BB904" s="66"/>
      <c r="BC904" s="20" t="str">
        <f t="shared" si="280"/>
        <v>Incomplete</v>
      </c>
      <c r="BD904" s="66"/>
      <c r="BE904" s="20" t="str">
        <f t="shared" si="281"/>
        <v>Incomplete</v>
      </c>
      <c r="BF904" s="66"/>
      <c r="BG904" s="66">
        <v>12</v>
      </c>
      <c r="BH904" s="20">
        <v>41</v>
      </c>
      <c r="BI904" s="20" t="e">
        <f>IF(OR(ISBLANK(#REF!), ISBLANK(#REF!)),"Incomplete",(SUM(#REF!-#REF!)))</f>
        <v>#REF!</v>
      </c>
      <c r="BJ904" s="66"/>
      <c r="BK904" s="66"/>
      <c r="BL904" s="66"/>
      <c r="BM904" s="20"/>
      <c r="BN904" s="66"/>
      <c r="BO904" s="66"/>
      <c r="BP904" s="66"/>
      <c r="BQ904" s="66"/>
      <c r="BR904" s="66"/>
      <c r="BS904" s="66"/>
      <c r="BT904" s="66"/>
      <c r="BU904" s="66"/>
      <c r="BV904" s="66"/>
      <c r="BW904" s="91" t="str">
        <f t="shared" si="282"/>
        <v>Incomplete</v>
      </c>
      <c r="BX904" s="91" t="str">
        <f>_xlfn.XLOOKUP(BW904,'Normative data'!$V$3:$V$6,'Normative data'!$W$3:$W$6,"Not Found",-1)</f>
        <v>Very low risk</v>
      </c>
      <c r="BY904" s="91" t="str">
        <f t="shared" si="283"/>
        <v>Incomplete</v>
      </c>
      <c r="BZ904" s="91" t="str">
        <f>_xlfn.XLOOKUP(BY904,'Normative data'!$V$3:$V$6,'Normative data'!$W$3:$W$6,"Not Found",-1)</f>
        <v>Very low risk</v>
      </c>
      <c r="CA904" s="66"/>
      <c r="CB904" s="66"/>
      <c r="CC904" s="66"/>
      <c r="CD904" s="66"/>
      <c r="CE904" s="66"/>
      <c r="CF904" s="66"/>
      <c r="CG904" s="20"/>
      <c r="CH904" s="20" t="str">
        <f>_xlfn.XLOOKUP(CG904, 'Normative data'!$S$9:$S$15,'Normative data'!$T$9:$T$15, "Not Found", -1)</f>
        <v>not completed</v>
      </c>
      <c r="CI904" s="20"/>
      <c r="CJ904" s="20" t="str">
        <f>_xlfn.XLOOKUP(CI904, 'Normative data'!$S$9:$S$15, 'Normative data'!$T$9:$T$15, "Not Found", -1)</f>
        <v>not completed</v>
      </c>
      <c r="CK904" s="21">
        <v>2.2999999999999998</v>
      </c>
      <c r="CL904" s="21">
        <v>4.3499999999999996</v>
      </c>
      <c r="CM904" s="21"/>
      <c r="CN904" s="21">
        <v>7.19</v>
      </c>
      <c r="CO904" s="21">
        <v>6.95</v>
      </c>
      <c r="CP904" s="109"/>
      <c r="CQ904" s="68"/>
      <c r="CR904" s="20" t="str" cm="1">
        <f t="array" ref="CR904">IF(OR(ISBLANK(E904),ISBLANK(CQ904)),"Incomplete",_xlfn.XLOOKUP(CQ904,_xlfn.XLOOKUP(E904,'Normative data'!$Y$3:$Y$6,'Normative data'!$Z$3:$AG$6,,-1),'Normative data'!$Z$2:$AG$2,"Not Found",-1))</f>
        <v>Incomplete</v>
      </c>
      <c r="CS904" s="68"/>
      <c r="CT904" s="66"/>
      <c r="CU904" s="20" t="str" cm="1">
        <f t="array" ref="CU904">_xlfn.XLOOKUP(CS904&amp;CT904,(VLOOKUP!$A$3:$A$250)&amp;(VLOOKUP!$B$3:$B$250),VLOOKUP!$C$3:$C$250,"Incomplete",-1)</f>
        <v>Incomplete</v>
      </c>
      <c r="CV904" s="20" t="str" cm="1">
        <f t="array" ref="CV904">_xlfn.XLOOKUP(CU904, _xlfn.XLOOKUP(E904, 'Normative data'!$Y$11:$Y$14, 'Normative data'!$Z$11:$AG$14, ,-1), 'Normative data'!$Z$10:$AG$10, "Not Found", -1)</f>
        <v>Excellent</v>
      </c>
      <c r="CW904" s="20" t="str" cm="1">
        <f t="array" ref="CW904">IF(OR(ISBLANK(CS904),ISBLANK(CT904)),"Incomplete",_xlfn.XLOOKUP(CS904&amp;CT904,VLOOKUP!$A$4:$A$250&amp;VLOOKUP!$B$4:$B$250,VLOOKUP!$D$4:$D$250,"0"))</f>
        <v>Incomplete</v>
      </c>
    </row>
    <row r="905" spans="1:101">
      <c r="A905" s="64" t="s">
        <v>1581</v>
      </c>
      <c r="B905" s="64" t="s">
        <v>569</v>
      </c>
      <c r="C905" s="64" t="s">
        <v>86</v>
      </c>
      <c r="D905" s="96">
        <v>40838</v>
      </c>
      <c r="E905" s="64"/>
      <c r="F905" s="64">
        <v>8</v>
      </c>
      <c r="G905" s="64">
        <v>2025</v>
      </c>
      <c r="H905" s="66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  <c r="AD905" s="66"/>
      <c r="AE905" s="66"/>
      <c r="AF905" s="66"/>
      <c r="AG905" s="66"/>
      <c r="AH905" s="66"/>
      <c r="AI905" s="66"/>
      <c r="AJ905" s="66"/>
      <c r="AK905" s="66"/>
      <c r="AL905" s="66"/>
      <c r="AM905" s="66"/>
      <c r="AN905" s="66"/>
      <c r="AO905" s="66"/>
      <c r="AP905" s="66"/>
      <c r="AQ905" s="20"/>
      <c r="AR905" s="20"/>
      <c r="AS905" s="20"/>
      <c r="AT905" s="20"/>
      <c r="AU905" s="20"/>
      <c r="AV905" s="20"/>
      <c r="AW905" s="20"/>
      <c r="AX905" s="20"/>
      <c r="AY905" s="41" t="str">
        <f t="shared" si="278"/>
        <v>Incomplete</v>
      </c>
      <c r="AZ905" s="66"/>
      <c r="BA905" s="20" t="str">
        <f t="shared" si="279"/>
        <v>Incomplete</v>
      </c>
      <c r="BB905" s="66"/>
      <c r="BC905" s="20" t="str">
        <f t="shared" si="280"/>
        <v>Incomplete</v>
      </c>
      <c r="BD905" s="66"/>
      <c r="BE905" s="20" t="str">
        <f t="shared" si="281"/>
        <v>Incomplete</v>
      </c>
      <c r="BF905" s="66"/>
      <c r="BG905" s="66"/>
      <c r="BH905" s="66"/>
      <c r="BI905" s="20" t="str">
        <f t="shared" ref="BI905:BI910" si="284">IF(OR(ISBLANK(BG905), ISBLANK(BH905)),"Incomplete",(SUM(BH905-BG905)))</f>
        <v>Incomplete</v>
      </c>
      <c r="BJ905" s="66"/>
      <c r="BK905" s="66"/>
      <c r="BL905" s="66"/>
      <c r="BM905" s="20"/>
      <c r="BN905" s="66"/>
      <c r="BO905" s="66"/>
      <c r="BP905" s="66"/>
      <c r="BQ905" s="66"/>
      <c r="BR905" s="66"/>
      <c r="BS905" s="66"/>
      <c r="BT905" s="66"/>
      <c r="BU905" s="66"/>
      <c r="BV905" s="66"/>
      <c r="BW905" s="91" t="str">
        <f t="shared" si="282"/>
        <v>Incomplete</v>
      </c>
      <c r="BX905" s="91" t="str">
        <f>_xlfn.XLOOKUP(BW905,'Normative data'!$V$3:$V$6,'Normative data'!$W$3:$W$6,"Not Found",-1)</f>
        <v>Very low risk</v>
      </c>
      <c r="BY905" s="91" t="str">
        <f t="shared" si="283"/>
        <v>Incomplete</v>
      </c>
      <c r="BZ905" s="91" t="str">
        <f>_xlfn.XLOOKUP(BY905,'Normative data'!$V$3:$V$6,'Normative data'!$W$3:$W$6,"Not Found",-1)</f>
        <v>Very low risk</v>
      </c>
      <c r="CA905" s="66"/>
      <c r="CB905" s="66"/>
      <c r="CC905" s="66"/>
      <c r="CD905" s="66"/>
      <c r="CE905" s="66"/>
      <c r="CF905" s="66"/>
      <c r="CG905" s="20"/>
      <c r="CH905" s="20" t="str">
        <f>_xlfn.XLOOKUP(CG905, 'Normative data'!$S$9:$S$15,'Normative data'!$T$9:$T$15, "Not Found", -1)</f>
        <v>not completed</v>
      </c>
      <c r="CI905" s="20"/>
      <c r="CJ905" s="20" t="str">
        <f>_xlfn.XLOOKUP(CI905, 'Normative data'!$S$9:$S$15, 'Normative data'!$T$9:$T$15, "Not Found", -1)</f>
        <v>not completed</v>
      </c>
      <c r="CK905" s="20" t="s">
        <v>127</v>
      </c>
      <c r="CL905" s="20" t="s">
        <v>128</v>
      </c>
      <c r="CN905" s="20" t="s">
        <v>247</v>
      </c>
      <c r="CO905" s="20" t="s">
        <v>248</v>
      </c>
      <c r="CP905" s="68"/>
      <c r="CQ905" s="68"/>
      <c r="CR905" s="20" t="str" cm="1">
        <f t="array" ref="CR905">IF(OR(ISBLANK(E905),ISBLANK(CQ905)),"Incomplete",_xlfn.XLOOKUP(CQ905,_xlfn.XLOOKUP(E905,'Normative data'!$Y$3:$Y$6,'Normative data'!$Z$3:$AG$6,,-1),'Normative data'!$Z$2:$AG$2,"Not Found",-1))</f>
        <v>Incomplete</v>
      </c>
      <c r="CS905" s="68"/>
      <c r="CT905" s="66"/>
      <c r="CU905" s="20" t="str" cm="1">
        <f t="array" ref="CU905">_xlfn.XLOOKUP(CS905&amp;CT905,(VLOOKUP!$A$3:$A$250)&amp;(VLOOKUP!$B$3:$B$250),VLOOKUP!$C$3:$C$250,"Incomplete",-1)</f>
        <v>Incomplete</v>
      </c>
      <c r="CV905" s="20" t="str" cm="1">
        <f t="array" ref="CV905">_xlfn.XLOOKUP(CU905, _xlfn.XLOOKUP(E905, 'Normative data'!$Y$11:$Y$14, 'Normative data'!$Z$11:$AG$14, ,-1), 'Normative data'!$Z$10:$AG$10, "Not Found", -1)</f>
        <v>Excellent</v>
      </c>
      <c r="CW905" s="20" t="str" cm="1">
        <f t="array" ref="CW905">IF(OR(ISBLANK(CS905),ISBLANK(CT905)),"Incomplete",_xlfn.XLOOKUP(CS905&amp;CT905,VLOOKUP!$A$4:$A$250&amp;VLOOKUP!$B$4:$B$250,VLOOKUP!$D$4:$D$250,"0"))</f>
        <v>Incomplete</v>
      </c>
    </row>
    <row r="906" spans="1:101">
      <c r="A906" s="64" t="s">
        <v>1335</v>
      </c>
      <c r="B906" s="64" t="s">
        <v>1334</v>
      </c>
      <c r="C906" s="64" t="s">
        <v>86</v>
      </c>
      <c r="D906" s="65"/>
      <c r="E906" s="64"/>
      <c r="F906" s="66" t="s">
        <v>162</v>
      </c>
      <c r="G906" s="64">
        <v>2026</v>
      </c>
      <c r="H906" s="66"/>
      <c r="I906" s="66">
        <v>2</v>
      </c>
      <c r="J906" s="66"/>
      <c r="K906" s="66"/>
      <c r="L906" s="66"/>
      <c r="M906" s="64"/>
      <c r="N906" s="64"/>
      <c r="O906" s="64"/>
      <c r="P906" s="64"/>
      <c r="Q906" s="64"/>
      <c r="R906" s="64"/>
      <c r="S906" s="66">
        <v>84</v>
      </c>
      <c r="T906" s="66">
        <v>162.1</v>
      </c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  <c r="AG906" s="64"/>
      <c r="AH906" s="64"/>
      <c r="AI906" s="64"/>
      <c r="AJ906" s="64"/>
      <c r="AK906" s="64"/>
      <c r="AL906" s="64"/>
      <c r="AM906" s="64"/>
      <c r="AN906" s="64"/>
      <c r="AO906" s="64"/>
      <c r="AP906" s="64"/>
      <c r="AQ906" s="66"/>
      <c r="AR906" s="66"/>
      <c r="AS906" s="66"/>
      <c r="AT906" s="66"/>
      <c r="AU906" s="66"/>
      <c r="AV906" s="66"/>
      <c r="AW906" s="66"/>
      <c r="AX906" s="66"/>
      <c r="AY906" s="41" t="str">
        <f t="shared" si="278"/>
        <v>Incomplete</v>
      </c>
      <c r="AZ906" s="64"/>
      <c r="BA906" s="20" t="str">
        <f t="shared" si="279"/>
        <v>Incomplete</v>
      </c>
      <c r="BB906" s="64"/>
      <c r="BC906" s="20" t="str">
        <f t="shared" si="280"/>
        <v>Incomplete</v>
      </c>
      <c r="BD906" s="64"/>
      <c r="BE906" s="20" t="str">
        <f t="shared" si="281"/>
        <v>Incomplete</v>
      </c>
      <c r="BF906" s="64"/>
      <c r="BG906" s="64">
        <v>12.5</v>
      </c>
      <c r="BH906" s="64">
        <v>42</v>
      </c>
      <c r="BI906" s="20">
        <f t="shared" si="284"/>
        <v>29.5</v>
      </c>
      <c r="BJ906" s="66"/>
      <c r="BK906" s="64"/>
      <c r="BL906" s="66"/>
      <c r="BM906" s="66"/>
      <c r="BN906" s="66"/>
      <c r="BO906" s="64"/>
      <c r="BP906" s="64"/>
      <c r="BQ906" s="64"/>
      <c r="BR906" s="64"/>
      <c r="BS906" s="64"/>
      <c r="BT906" s="64"/>
      <c r="BU906" s="64"/>
      <c r="BV906" s="64"/>
      <c r="BW906" s="91">
        <f t="shared" si="282"/>
        <v>0</v>
      </c>
      <c r="BX906" s="91" t="str">
        <f>_xlfn.XLOOKUP(BW906,'Normative data'!$V$3:$V$6,'Normative data'!$W$3:$W$6,"Not Found",-1)</f>
        <v>Not completed</v>
      </c>
      <c r="BY906" s="91">
        <f t="shared" si="283"/>
        <v>0</v>
      </c>
      <c r="BZ906" s="91" t="str">
        <f>_xlfn.XLOOKUP(BY906,'Normative data'!$V$3:$V$6,'Normative data'!$W$3:$W$6,"Not Found",-1)</f>
        <v>Not completed</v>
      </c>
      <c r="CA906" s="66"/>
      <c r="CB906" s="66"/>
      <c r="CC906" s="66"/>
      <c r="CD906" s="66"/>
      <c r="CE906" s="64">
        <v>10</v>
      </c>
      <c r="CF906" s="66"/>
      <c r="CG906" s="64">
        <v>19.64</v>
      </c>
      <c r="CH906" s="20" t="str">
        <f>_xlfn.XLOOKUP(CG906, 'Normative data'!$S$9:$S$15,'Normative data'!$T$9:$T$15, "Not Found", -1)</f>
        <v>Average</v>
      </c>
      <c r="CI906" s="64">
        <v>19.559999999999999</v>
      </c>
      <c r="CJ906" s="20" t="str">
        <f>_xlfn.XLOOKUP(CI906, 'Normative data'!$S$9:$S$15, 'Normative data'!$T$9:$T$15, "Not Found", -1)</f>
        <v>Average</v>
      </c>
      <c r="CK906" s="64">
        <v>2.16</v>
      </c>
      <c r="CL906" s="64">
        <v>4.63</v>
      </c>
      <c r="CM906" s="66"/>
      <c r="CN906" s="64">
        <v>6.93</v>
      </c>
      <c r="CO906" s="64">
        <v>7.22</v>
      </c>
      <c r="CP906" s="68"/>
      <c r="CQ906" s="67">
        <v>3.4</v>
      </c>
      <c r="CR906" s="20" t="str" cm="1">
        <f t="array" ref="CR906">IF(OR(ISBLANK(E906),ISBLANK(CQ906)),"Incomplete",_xlfn.XLOOKUP(CQ906,_xlfn.XLOOKUP(E906,'Normative data'!$Y$3:$Y$6,'Normative data'!$Z$3:$AG$6,,-1),'Normative data'!$Z$2:$AG$2,"Not Found",-1))</f>
        <v>Incomplete</v>
      </c>
      <c r="CS906" s="68">
        <v>3</v>
      </c>
      <c r="CT906" s="66">
        <v>4</v>
      </c>
      <c r="CU906" s="20" cm="1">
        <f t="array" ref="CU906">_xlfn.XLOOKUP(CS906&amp;CT906,(VLOOKUP!$A$3:$A$250)&amp;(VLOOKUP!$B$3:$B$250),VLOOKUP!$C$3:$C$250,"Incomplete",-1)</f>
        <v>380</v>
      </c>
      <c r="CV906" s="20" t="str" cm="1">
        <f t="array" ref="CV906">_xlfn.XLOOKUP(CU906, _xlfn.XLOOKUP(E906, 'Normative data'!$Y$11:$Y$14, 'Normative data'!$Z$11:$AG$14, ,-1), 'Normative data'!$Z$10:$AG$10, "Not Found", -1)</f>
        <v xml:space="preserve">Very poor </v>
      </c>
      <c r="CW906" s="20" cm="1">
        <f t="array" ref="CW906">IF(OR(ISBLANK(CS906),ISBLANK(CT906)),"Incomplete",_xlfn.XLOOKUP(CS906&amp;CT906,VLOOKUP!$A$4:$A$250&amp;VLOOKUP!$B$4:$B$250,VLOOKUP!$D$4:$D$250,"0"))</f>
        <v>24</v>
      </c>
    </row>
    <row r="907" spans="1:101">
      <c r="A907" s="64" t="s">
        <v>415</v>
      </c>
      <c r="B907" s="64" t="s">
        <v>414</v>
      </c>
      <c r="C907" s="64" t="s">
        <v>86</v>
      </c>
      <c r="D907" s="65"/>
      <c r="E907" s="64"/>
      <c r="F907" s="66">
        <v>12</v>
      </c>
      <c r="G907" s="64">
        <v>2026</v>
      </c>
      <c r="H907" s="66"/>
      <c r="I907" s="66">
        <v>2</v>
      </c>
      <c r="J907" s="66" t="s">
        <v>100</v>
      </c>
      <c r="K907" s="66" t="s">
        <v>228</v>
      </c>
      <c r="L907" s="66"/>
      <c r="M907" s="64"/>
      <c r="N907" s="64"/>
      <c r="O907" s="64"/>
      <c r="P907" s="64"/>
      <c r="Q907" s="64"/>
      <c r="R907" s="64"/>
      <c r="S907" s="66"/>
      <c r="T907" s="66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  <c r="AG907" s="64"/>
      <c r="AH907" s="64"/>
      <c r="AI907" s="64"/>
      <c r="AJ907" s="64"/>
      <c r="AK907" s="64"/>
      <c r="AL907" s="64"/>
      <c r="AM907" s="64"/>
      <c r="AN907" s="64"/>
      <c r="AO907" s="64"/>
      <c r="AP907" s="64"/>
      <c r="AQ907" s="66"/>
      <c r="AR907" s="66"/>
      <c r="AS907" s="66"/>
      <c r="AT907" s="66"/>
      <c r="AU907" s="66"/>
      <c r="AV907" s="66"/>
      <c r="AW907" s="66"/>
      <c r="AX907" s="66"/>
      <c r="AY907" s="41" t="str">
        <f t="shared" si="278"/>
        <v>Incomplete</v>
      </c>
      <c r="AZ907" s="64"/>
      <c r="BA907" s="20" t="str">
        <f t="shared" si="279"/>
        <v>Incomplete</v>
      </c>
      <c r="BB907" s="64"/>
      <c r="BC907" s="20" t="str">
        <f t="shared" si="280"/>
        <v>Incomplete</v>
      </c>
      <c r="BD907" s="64"/>
      <c r="BE907" s="20" t="str">
        <f t="shared" si="281"/>
        <v>Incomplete</v>
      </c>
      <c r="BF907" s="64"/>
      <c r="BG907" s="64"/>
      <c r="BH907" s="66"/>
      <c r="BI907" s="20" t="str">
        <f t="shared" si="284"/>
        <v>Incomplete</v>
      </c>
      <c r="BJ907" s="66"/>
      <c r="BK907" s="64"/>
      <c r="BL907" s="66"/>
      <c r="BM907" s="66"/>
      <c r="BN907" s="66"/>
      <c r="BO907" s="64"/>
      <c r="BP907" s="64"/>
      <c r="BQ907" s="64"/>
      <c r="BR907" s="64"/>
      <c r="BS907" s="64"/>
      <c r="BT907" s="64"/>
      <c r="BU907" s="64"/>
      <c r="BV907" s="64"/>
      <c r="BW907" s="91" t="str">
        <f t="shared" si="282"/>
        <v>Incomplete</v>
      </c>
      <c r="BX907" s="91" t="str">
        <f>_xlfn.XLOOKUP(BW907,'Normative data'!$V$3:$V$6,'Normative data'!$W$3:$W$6,"Not Found",-1)</f>
        <v>Very low risk</v>
      </c>
      <c r="BY907" s="91" t="str">
        <f t="shared" si="283"/>
        <v>Incomplete</v>
      </c>
      <c r="BZ907" s="91" t="str">
        <f>_xlfn.XLOOKUP(BY907,'Normative data'!$V$3:$V$6,'Normative data'!$W$3:$W$6,"Not Found",-1)</f>
        <v>Very low risk</v>
      </c>
      <c r="CA907" s="66"/>
      <c r="CB907" s="66"/>
      <c r="CC907" s="20"/>
      <c r="CD907" s="66"/>
      <c r="CE907" s="66"/>
      <c r="CF907" s="66"/>
      <c r="CG907" s="66"/>
      <c r="CH907" s="20" t="str">
        <f>_xlfn.XLOOKUP(CG907, 'Normative data'!$S$9:$S$15,'Normative data'!$T$9:$T$15, "Not Found", -1)</f>
        <v>not completed</v>
      </c>
      <c r="CI907" s="66"/>
      <c r="CJ907" s="20" t="str">
        <f>_xlfn.XLOOKUP(CI907, 'Normative data'!$S$9:$S$15, 'Normative data'!$T$9:$T$15, "Not Found", -1)</f>
        <v>not completed</v>
      </c>
      <c r="CK907" s="105"/>
      <c r="CL907" s="105"/>
      <c r="CM907" s="105"/>
      <c r="CN907" s="105"/>
      <c r="CO907" s="105"/>
      <c r="CP907" s="68"/>
      <c r="CQ907" s="67">
        <v>4.5</v>
      </c>
      <c r="CR907" s="20" t="str" cm="1">
        <f t="array" ref="CR907">IF(OR(ISBLANK(E907),ISBLANK(CQ907)),"Incomplete",_xlfn.XLOOKUP(CQ907,_xlfn.XLOOKUP(E907,'Normative data'!$Y$3:$Y$6,'Normative data'!$Z$3:$AG$6,,-1),'Normative data'!$Z$2:$AG$2,"Not Found",-1))</f>
        <v>Incomplete</v>
      </c>
      <c r="CS907" s="68">
        <v>4</v>
      </c>
      <c r="CT907" s="66">
        <v>5</v>
      </c>
      <c r="CU907" s="20" cm="1">
        <f t="array" ref="CU907">_xlfn.XLOOKUP(CS907&amp;CT907,(VLOOKUP!$A$3:$A$250)&amp;(VLOOKUP!$B$3:$B$250),VLOOKUP!$C$3:$C$250,"Incomplete",-1)</f>
        <v>560</v>
      </c>
      <c r="CV907" s="20" t="str" cm="1">
        <f t="array" ref="CV907">_xlfn.XLOOKUP(CU907, _xlfn.XLOOKUP(E907, 'Normative data'!$Y$11:$Y$14, 'Normative data'!$Z$11:$AG$14, ,-1), 'Normative data'!$Z$10:$AG$10, "Not Found", -1)</f>
        <v xml:space="preserve">Poor </v>
      </c>
      <c r="CW907" s="20" cm="1">
        <f t="array" ref="CW907">IF(OR(ISBLANK(CS907),ISBLANK(CT907)),"Incomplete",_xlfn.XLOOKUP(CS907&amp;CT907,VLOOKUP!$A$4:$A$250&amp;VLOOKUP!$B$4:$B$250,VLOOKUP!$D$4:$D$250,"0"))</f>
        <v>28</v>
      </c>
    </row>
    <row r="908" spans="1:101">
      <c r="A908" s="64" t="s">
        <v>1582</v>
      </c>
      <c r="B908" s="64" t="s">
        <v>1583</v>
      </c>
      <c r="C908" s="64" t="s">
        <v>86</v>
      </c>
      <c r="D908" s="65">
        <v>40973</v>
      </c>
      <c r="E908" s="64">
        <v>13.9</v>
      </c>
      <c r="F908" s="66" t="s">
        <v>251</v>
      </c>
      <c r="G908" s="64">
        <v>2026</v>
      </c>
      <c r="H908" s="74"/>
      <c r="I908" s="66">
        <v>2</v>
      </c>
      <c r="J908" s="66"/>
      <c r="K908" s="66"/>
      <c r="L908" s="66"/>
      <c r="M908" s="64"/>
      <c r="N908" s="64"/>
      <c r="O908" s="64"/>
      <c r="P908" s="64"/>
      <c r="Q908" s="64"/>
      <c r="R908" s="64"/>
      <c r="S908" s="66">
        <v>13.9</v>
      </c>
      <c r="T908" s="66">
        <v>167.7</v>
      </c>
      <c r="U908" s="64">
        <v>52.9</v>
      </c>
      <c r="V908" s="64">
        <v>31.2</v>
      </c>
      <c r="W908" s="64">
        <v>10.1</v>
      </c>
      <c r="X908" s="64">
        <v>42.8</v>
      </c>
      <c r="Y908" s="64">
        <v>23.2</v>
      </c>
      <c r="Z908" s="64">
        <v>18.8</v>
      </c>
      <c r="AA908" s="64">
        <v>19.100000000000001</v>
      </c>
      <c r="AB908" s="64">
        <v>6.56</v>
      </c>
      <c r="AC908" s="64">
        <v>107.2</v>
      </c>
      <c r="AD908" s="64">
        <v>6.64</v>
      </c>
      <c r="AE908" s="64">
        <v>108.6</v>
      </c>
      <c r="AF908" s="64">
        <v>1.7</v>
      </c>
      <c r="AG908" s="64">
        <v>66.7</v>
      </c>
      <c r="AH908" s="64">
        <v>1.7</v>
      </c>
      <c r="AI908" s="64">
        <v>66.900000000000006</v>
      </c>
      <c r="AJ908" s="64">
        <v>324.89999999999998</v>
      </c>
      <c r="AK908" s="64">
        <v>315</v>
      </c>
      <c r="AL908" s="64">
        <v>291.39999999999998</v>
      </c>
      <c r="AM908" s="64">
        <v>283.8</v>
      </c>
      <c r="AN908" s="64">
        <v>101</v>
      </c>
      <c r="AO908" s="64">
        <v>0.8</v>
      </c>
      <c r="AP908" s="64">
        <v>6</v>
      </c>
      <c r="AQ908" s="66"/>
      <c r="AR908" s="66"/>
      <c r="AS908" s="66"/>
      <c r="AT908" s="66"/>
      <c r="AU908" s="66"/>
      <c r="AV908" s="66"/>
      <c r="AW908" s="66"/>
      <c r="AX908" s="66"/>
      <c r="AY908" s="41" t="str">
        <f t="shared" si="278"/>
        <v>Incomplete</v>
      </c>
      <c r="AZ908" s="64"/>
      <c r="BA908" s="20" t="str">
        <f t="shared" si="279"/>
        <v>Incomplete</v>
      </c>
      <c r="BB908" s="64"/>
      <c r="BC908" s="20" t="str">
        <f t="shared" si="280"/>
        <v>Incomplete</v>
      </c>
      <c r="BD908" s="64"/>
      <c r="BE908" s="20" t="str">
        <f t="shared" si="281"/>
        <v>Incomplete</v>
      </c>
      <c r="BF908" s="64"/>
      <c r="BG908" s="64"/>
      <c r="BH908" s="64">
        <v>52</v>
      </c>
      <c r="BI908" s="20" t="str">
        <f t="shared" si="284"/>
        <v>Incomplete</v>
      </c>
      <c r="BJ908" s="66"/>
      <c r="BK908" s="64">
        <v>14.3</v>
      </c>
      <c r="BL908" s="66"/>
      <c r="BM908" s="64">
        <v>14.9</v>
      </c>
      <c r="BN908" s="66"/>
      <c r="BO908" s="64"/>
      <c r="BP908" s="64"/>
      <c r="BQ908" s="64"/>
      <c r="BR908" s="64"/>
      <c r="BS908" s="64"/>
      <c r="BT908" s="64"/>
      <c r="BU908" s="64"/>
      <c r="BV908" s="64"/>
      <c r="BW908" s="91">
        <f t="shared" si="282"/>
        <v>0</v>
      </c>
      <c r="BX908" s="91" t="str">
        <f>_xlfn.XLOOKUP(BW908,'Normative data'!$V$3:$V$6,'Normative data'!$W$3:$W$6,"Not Found",-1)</f>
        <v>Not completed</v>
      </c>
      <c r="BY908" s="91">
        <f t="shared" si="283"/>
        <v>0</v>
      </c>
      <c r="BZ908" s="91" t="str">
        <f>_xlfn.XLOOKUP(BY908,'Normative data'!$V$3:$V$6,'Normative data'!$W$3:$W$6,"Not Found",-1)</f>
        <v>Not completed</v>
      </c>
      <c r="CA908" s="64"/>
      <c r="CB908" s="66"/>
      <c r="CD908" s="66"/>
      <c r="CE908" s="64"/>
      <c r="CF908" s="66"/>
      <c r="CG908" s="64">
        <v>18.309999999999999</v>
      </c>
      <c r="CH908" s="20" t="str">
        <f>_xlfn.XLOOKUP(CG908, 'Normative data'!$S$9:$S$15,'Normative data'!$T$9:$T$15, "Not Found", -1)</f>
        <v>Average</v>
      </c>
      <c r="CI908" s="64">
        <v>18.52</v>
      </c>
      <c r="CJ908" s="20" t="str">
        <f>_xlfn.XLOOKUP(CI908, 'Normative data'!$S$9:$S$15, 'Normative data'!$T$9:$T$15, "Not Found", -1)</f>
        <v>Average</v>
      </c>
      <c r="CK908" s="64">
        <v>2.2599999999999998</v>
      </c>
      <c r="CL908" s="64">
        <v>4.42</v>
      </c>
      <c r="CM908" s="66"/>
      <c r="CN908" s="64">
        <v>7.01</v>
      </c>
      <c r="CO908" s="64">
        <v>7.13</v>
      </c>
      <c r="CP908" s="68"/>
      <c r="CQ908" s="67"/>
      <c r="CR908" s="20" t="str" cm="1">
        <f t="array" ref="CR908">IF(OR(ISBLANK(E908),ISBLANK(CQ908)),"Incomplete",_xlfn.XLOOKUP(CQ908,_xlfn.XLOOKUP(E908,'Normative data'!$Y$3:$Y$6,'Normative data'!$Z$3:$AG$6,,-1),'Normative data'!$Z$2:$AG$2,"Not Found",-1))</f>
        <v>Incomplete</v>
      </c>
      <c r="CS908" s="68"/>
      <c r="CT908" s="66"/>
      <c r="CU908" s="20" t="str" cm="1">
        <f t="array" ref="CU908">_xlfn.XLOOKUP(CS908&amp;CT908,(VLOOKUP!$A$3:$A$250)&amp;(VLOOKUP!$B$3:$B$250),VLOOKUP!$C$3:$C$250,"Incomplete",-1)</f>
        <v>Incomplete</v>
      </c>
      <c r="CV908" s="20" t="str" cm="1">
        <f t="array" ref="CV908">_xlfn.XLOOKUP(CU908, _xlfn.XLOOKUP(E908, 'Normative data'!$Y$11:$Y$14, 'Normative data'!$Z$11:$AG$14, ,-1), 'Normative data'!$Z$10:$AG$10, "Not Found", -1)</f>
        <v>Excellent</v>
      </c>
      <c r="CW908" s="20" t="str" cm="1">
        <f t="array" ref="CW908">IF(OR(ISBLANK(CS908),ISBLANK(CT908)),"Incomplete",_xlfn.XLOOKUP(CS908&amp;CT908,VLOOKUP!$A$4:$A$250&amp;VLOOKUP!$B$4:$B$250,VLOOKUP!$D$4:$D$250,"0"))</f>
        <v>Incomplete</v>
      </c>
    </row>
    <row r="909" spans="1:101">
      <c r="A909" s="64" t="s">
        <v>396</v>
      </c>
      <c r="B909" s="64" t="s">
        <v>395</v>
      </c>
      <c r="C909" s="64" t="s">
        <v>86</v>
      </c>
      <c r="D909" s="65"/>
      <c r="E909" s="64"/>
      <c r="F909" s="66" t="s">
        <v>178</v>
      </c>
      <c r="G909" s="64">
        <v>2026</v>
      </c>
      <c r="H909" s="66"/>
      <c r="I909" s="66">
        <v>2</v>
      </c>
      <c r="J909" s="66"/>
      <c r="K909" s="66"/>
      <c r="L909" s="66"/>
      <c r="M909" s="64"/>
      <c r="N909" s="64"/>
      <c r="O909" s="64"/>
      <c r="P909" s="64"/>
      <c r="Q909" s="64"/>
      <c r="R909" s="64"/>
      <c r="S909" s="66"/>
      <c r="T909" s="66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  <c r="AG909" s="64"/>
      <c r="AH909" s="64"/>
      <c r="AI909" s="64"/>
      <c r="AJ909" s="64"/>
      <c r="AK909" s="64"/>
      <c r="AL909" s="64"/>
      <c r="AM909" s="64"/>
      <c r="AN909" s="64"/>
      <c r="AO909" s="64"/>
      <c r="AP909" s="64"/>
      <c r="AQ909" s="20"/>
      <c r="AR909" s="20"/>
      <c r="AS909" s="20"/>
      <c r="AT909" s="20"/>
      <c r="AU909" s="20"/>
      <c r="AV909" s="20"/>
      <c r="AW909" s="20"/>
      <c r="AX909" s="20"/>
      <c r="AY909" s="41" t="str">
        <f t="shared" si="278"/>
        <v>Incomplete</v>
      </c>
      <c r="AZ909" s="64"/>
      <c r="BA909" s="20" t="str">
        <f t="shared" si="279"/>
        <v>Incomplete</v>
      </c>
      <c r="BB909" s="64"/>
      <c r="BC909" s="20" t="str">
        <f t="shared" si="280"/>
        <v>Incomplete</v>
      </c>
      <c r="BD909" s="64"/>
      <c r="BE909" s="20" t="str">
        <f t="shared" si="281"/>
        <v>Incomplete</v>
      </c>
      <c r="BF909" s="64"/>
      <c r="BG909" s="64"/>
      <c r="BH909" s="66"/>
      <c r="BI909" s="20" t="str">
        <f t="shared" si="284"/>
        <v>Incomplete</v>
      </c>
      <c r="BJ909" s="66"/>
      <c r="BK909" s="64">
        <v>11</v>
      </c>
      <c r="BL909" s="66"/>
      <c r="BM909" s="64">
        <v>8</v>
      </c>
      <c r="BN909" s="66"/>
      <c r="BO909" s="66"/>
      <c r="BP909" s="66"/>
      <c r="BQ909" s="66"/>
      <c r="BR909" s="66"/>
      <c r="BS909" s="66"/>
      <c r="BT909" s="66"/>
      <c r="BU909" s="66"/>
      <c r="BV909" s="66"/>
      <c r="BW909" s="91" t="str">
        <f t="shared" si="282"/>
        <v>Incomplete</v>
      </c>
      <c r="BX909" s="91" t="str">
        <f>_xlfn.XLOOKUP(BW909,'Normative data'!$V$3:$V$6,'Normative data'!$W$3:$W$6,"Not Found",-1)</f>
        <v>Very low risk</v>
      </c>
      <c r="BY909" s="91" t="str">
        <f t="shared" si="283"/>
        <v>Incomplete</v>
      </c>
      <c r="BZ909" s="91" t="str">
        <f>_xlfn.XLOOKUP(BY909,'Normative data'!$V$3:$V$6,'Normative data'!$W$3:$W$6,"Not Found",-1)</f>
        <v>Very low risk</v>
      </c>
      <c r="CA909" s="66"/>
      <c r="CB909" s="66"/>
      <c r="CC909" s="66"/>
      <c r="CD909" s="66"/>
      <c r="CE909" s="64">
        <v>11</v>
      </c>
      <c r="CF909" s="66"/>
      <c r="CG909" s="17">
        <v>20.29</v>
      </c>
      <c r="CH909" s="20" t="str">
        <f>_xlfn.XLOOKUP(CG909, 'Normative data'!$S$9:$S$15,'Normative data'!$T$9:$T$15, "Not Found", -1)</f>
        <v>Average</v>
      </c>
      <c r="CI909" s="17">
        <v>19.73</v>
      </c>
      <c r="CJ909" s="20" t="str">
        <f>_xlfn.XLOOKUP(CI909, 'Normative data'!$S$9:$S$15, 'Normative data'!$T$9:$T$15, "Not Found", -1)</f>
        <v>Average</v>
      </c>
      <c r="CK909" s="17">
        <v>2.23</v>
      </c>
      <c r="CL909" s="17">
        <v>4.4800000000000004</v>
      </c>
      <c r="CN909" s="17">
        <v>7.31</v>
      </c>
      <c r="CO909" s="17">
        <v>6.84</v>
      </c>
      <c r="CP909" s="68"/>
      <c r="CQ909" s="67"/>
      <c r="CR909" s="20" t="str" cm="1">
        <f t="array" ref="CR909">IF(OR(ISBLANK(E909),ISBLANK(CQ909)),"Incomplete",_xlfn.XLOOKUP(CQ909,_xlfn.XLOOKUP(E909,'Normative data'!$Y$3:$Y$6,'Normative data'!$Z$3:$AG$6,,-1),'Normative data'!$Z$2:$AG$2,"Not Found",-1))</f>
        <v>Incomplete</v>
      </c>
      <c r="CS909" s="68"/>
      <c r="CT909" s="66"/>
      <c r="CU909" s="20" t="str" cm="1">
        <f t="array" ref="CU909">_xlfn.XLOOKUP(CS909&amp;CT909,(VLOOKUP!$A$3:$A$250)&amp;(VLOOKUP!$B$3:$B$250),VLOOKUP!$C$3:$C$250,"Incomplete",-1)</f>
        <v>Incomplete</v>
      </c>
      <c r="CV909" s="20" t="str" cm="1">
        <f t="array" ref="CV909">_xlfn.XLOOKUP(CU909, _xlfn.XLOOKUP(E909, 'Normative data'!$Y$11:$Y$14, 'Normative data'!$Z$11:$AG$14, ,-1), 'Normative data'!$Z$10:$AG$10, "Not Found", -1)</f>
        <v>Excellent</v>
      </c>
      <c r="CW909" s="20" t="str" cm="1">
        <f t="array" ref="CW909">IF(OR(ISBLANK(CS909),ISBLANK(CT909)),"Incomplete",_xlfn.XLOOKUP(CS909&amp;CT909,VLOOKUP!$A$4:$A$250&amp;VLOOKUP!$B$4:$B$250,VLOOKUP!$D$4:$D$250,"0"))</f>
        <v>Incomplete</v>
      </c>
    </row>
    <row r="910" spans="1:101">
      <c r="A910" s="64" t="s">
        <v>1584</v>
      </c>
      <c r="B910" s="64" t="s">
        <v>395</v>
      </c>
      <c r="C910" s="64" t="s">
        <v>86</v>
      </c>
      <c r="D910" s="65">
        <v>41059</v>
      </c>
      <c r="E910" s="64">
        <v>13.9</v>
      </c>
      <c r="F910" s="66" t="s">
        <v>235</v>
      </c>
      <c r="G910" s="64">
        <v>2026</v>
      </c>
      <c r="H910" s="66"/>
      <c r="I910" s="66">
        <v>2</v>
      </c>
      <c r="J910" s="66" t="s">
        <v>88</v>
      </c>
      <c r="K910" s="66" t="s">
        <v>108</v>
      </c>
      <c r="L910" s="66"/>
      <c r="M910" s="64"/>
      <c r="N910" s="64"/>
      <c r="O910" s="64"/>
      <c r="P910" s="64"/>
      <c r="Q910" s="64"/>
      <c r="R910" s="64"/>
      <c r="S910" s="66">
        <v>83.7</v>
      </c>
      <c r="T910" s="66">
        <v>161.19999999999999</v>
      </c>
      <c r="U910" s="64">
        <v>62.4</v>
      </c>
      <c r="V910" s="64">
        <v>29.9</v>
      </c>
      <c r="W910" s="64">
        <v>21.5</v>
      </c>
      <c r="X910" s="64">
        <v>40.9</v>
      </c>
      <c r="Y910" s="64">
        <v>22.3</v>
      </c>
      <c r="Z910" s="64">
        <v>24</v>
      </c>
      <c r="AA910" s="64">
        <v>34.4</v>
      </c>
      <c r="AB910" s="64">
        <v>6.35</v>
      </c>
      <c r="AC910" s="64">
        <v>99.1</v>
      </c>
      <c r="AD910" s="64">
        <v>6.31</v>
      </c>
      <c r="AE910" s="64">
        <v>98.4</v>
      </c>
      <c r="AF910" s="64">
        <v>3.5</v>
      </c>
      <c r="AG910" s="64">
        <v>154.5</v>
      </c>
      <c r="AH910" s="64">
        <v>3.5</v>
      </c>
      <c r="AI910" s="64">
        <v>154</v>
      </c>
      <c r="AJ910" s="64">
        <v>290.2</v>
      </c>
      <c r="AK910" s="64">
        <v>292.89999999999998</v>
      </c>
      <c r="AL910" s="64">
        <v>258</v>
      </c>
      <c r="AM910" s="64">
        <v>260.60000000000002</v>
      </c>
      <c r="AN910" s="64">
        <v>84</v>
      </c>
      <c r="AO910" s="64">
        <v>0.86</v>
      </c>
      <c r="AP910" s="64">
        <v>6.3</v>
      </c>
      <c r="AQ910" s="20"/>
      <c r="AR910" s="20"/>
      <c r="AS910" s="20"/>
      <c r="AT910" s="20"/>
      <c r="AU910" s="20"/>
      <c r="AV910" s="20"/>
      <c r="AW910" s="20"/>
      <c r="AX910" s="20"/>
      <c r="AY910" s="41" t="str">
        <f t="shared" si="278"/>
        <v>Incomplete</v>
      </c>
      <c r="AZ910" s="64"/>
      <c r="BA910" s="20" t="str">
        <f t="shared" si="279"/>
        <v>Incomplete</v>
      </c>
      <c r="BB910" s="64"/>
      <c r="BC910" s="20" t="str">
        <f t="shared" si="280"/>
        <v>Incomplete</v>
      </c>
      <c r="BD910" s="64"/>
      <c r="BE910" s="20" t="str">
        <f t="shared" si="281"/>
        <v>Incomplete</v>
      </c>
      <c r="BF910" s="64"/>
      <c r="BG910" s="64"/>
      <c r="BH910" s="17">
        <v>39.1</v>
      </c>
      <c r="BI910" s="20" t="str">
        <f t="shared" si="284"/>
        <v>Incomplete</v>
      </c>
      <c r="BJ910" s="66"/>
      <c r="BK910" s="64">
        <v>8.5</v>
      </c>
      <c r="BL910" s="66"/>
      <c r="BM910" s="64">
        <v>8.5</v>
      </c>
      <c r="BN910" s="66"/>
      <c r="BO910" s="64"/>
      <c r="BP910" s="64"/>
      <c r="BQ910" s="64"/>
      <c r="BR910" s="64"/>
      <c r="BS910" s="64"/>
      <c r="BT910" s="64"/>
      <c r="BU910" s="64"/>
      <c r="BV910" s="64"/>
      <c r="BW910" s="91">
        <f t="shared" si="282"/>
        <v>0</v>
      </c>
      <c r="BX910" s="91" t="str">
        <f>_xlfn.XLOOKUP(BW910,'Normative data'!$V$3:$V$6,'Normative data'!$W$3:$W$6,"Not Found",-1)</f>
        <v>Not completed</v>
      </c>
      <c r="BY910" s="91">
        <f t="shared" si="283"/>
        <v>0</v>
      </c>
      <c r="BZ910" s="91" t="str">
        <f>_xlfn.XLOOKUP(BY910,'Normative data'!$V$3:$V$6,'Normative data'!$W$3:$W$6,"Not Found",-1)</f>
        <v>Not completed</v>
      </c>
      <c r="CA910" s="66"/>
      <c r="CB910" s="66"/>
      <c r="CC910" s="66"/>
      <c r="CD910" s="66"/>
      <c r="CE910" s="64">
        <v>18</v>
      </c>
      <c r="CF910" s="66"/>
      <c r="CG910" s="64"/>
      <c r="CH910" s="20" t="str">
        <f>_xlfn.XLOOKUP(CG910, 'Normative data'!$S$9:$S$15,'Normative data'!$T$9:$T$15, "Not Found", -1)</f>
        <v>not completed</v>
      </c>
      <c r="CI910" s="64">
        <v>19.850000000000001</v>
      </c>
      <c r="CJ910" s="20" t="str">
        <f>_xlfn.XLOOKUP(CI910, 'Normative data'!$S$9:$S$15, 'Normative data'!$T$9:$T$15, "Not Found", -1)</f>
        <v>Average</v>
      </c>
      <c r="CK910" s="64">
        <v>2.4</v>
      </c>
      <c r="CL910" s="64">
        <v>4.17</v>
      </c>
      <c r="CM910" s="66"/>
      <c r="CN910" s="64">
        <v>7.47</v>
      </c>
      <c r="CO910" s="64">
        <v>6.69</v>
      </c>
      <c r="CP910" s="68"/>
      <c r="CQ910" s="67">
        <v>5.5</v>
      </c>
      <c r="CR910" s="20" t="str" cm="1">
        <f t="array" ref="CR910">IF(OR(ISBLANK(E910),ISBLANK(CQ910)),"Incomplete",_xlfn.XLOOKUP(CQ910,_xlfn.XLOOKUP(E910,'Normative data'!$Y$3:$Y$6,'Normative data'!$Z$3:$AG$6,,-1),'Normative data'!$Z$2:$AG$2,"Not Found",-1))</f>
        <v>Average</v>
      </c>
      <c r="CS910" s="68">
        <v>5</v>
      </c>
      <c r="CT910" s="66">
        <v>5</v>
      </c>
      <c r="CU910" s="20" cm="1">
        <f t="array" ref="CU910">_xlfn.XLOOKUP(CS910&amp;CT910,(VLOOKUP!$A$3:$A$250)&amp;(VLOOKUP!$B$3:$B$250),VLOOKUP!$C$3:$C$250,"Incomplete",-1)</f>
        <v>740</v>
      </c>
      <c r="CV910" s="20" t="str" cm="1">
        <f t="array" ref="CV910">_xlfn.XLOOKUP(CU910, _xlfn.XLOOKUP(E910, 'Normative data'!$Y$11:$Y$14, 'Normative data'!$Z$11:$AG$14, ,-1), 'Normative data'!$Z$10:$AG$10, "Not Found", -1)</f>
        <v>Average</v>
      </c>
      <c r="CW910" s="20" cm="1">
        <f t="array" ref="CW910">IF(OR(ISBLANK(CS910),ISBLANK(CT910)),"Incomplete",_xlfn.XLOOKUP(CS910&amp;CT910,VLOOKUP!$A$4:$A$250&amp;VLOOKUP!$B$4:$B$250,VLOOKUP!$D$4:$D$250,"0"))</f>
        <v>31</v>
      </c>
    </row>
    <row r="911" spans="1:101">
      <c r="A911" s="94" t="s">
        <v>1585</v>
      </c>
      <c r="B911" s="94" t="s">
        <v>1586</v>
      </c>
      <c r="C911" s="64" t="s">
        <v>86</v>
      </c>
      <c r="D911" s="97">
        <v>40822</v>
      </c>
      <c r="E911" s="64"/>
      <c r="F911" s="64">
        <v>8</v>
      </c>
      <c r="G911" s="64">
        <v>2025</v>
      </c>
      <c r="H911" s="66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  <c r="AD911" s="66"/>
      <c r="AE911" s="66"/>
      <c r="AF911" s="66"/>
      <c r="AG911" s="66"/>
      <c r="AH911" s="66"/>
      <c r="AI911" s="66"/>
      <c r="AJ911" s="66"/>
      <c r="AK911" s="66"/>
      <c r="AL911" s="66"/>
      <c r="AM911" s="66"/>
      <c r="AN911" s="66"/>
      <c r="AO911" s="66"/>
      <c r="AP911" s="66"/>
      <c r="AQ911" s="20"/>
      <c r="AR911" s="20"/>
      <c r="AS911" s="20"/>
      <c r="AT911" s="20"/>
      <c r="AU911" s="20"/>
      <c r="AV911" s="20"/>
      <c r="AW911" s="20"/>
      <c r="AX911" s="20"/>
      <c r="AY911" s="41" t="str">
        <f t="shared" si="278"/>
        <v>Incomplete</v>
      </c>
      <c r="AZ911" s="66"/>
      <c r="BA911" s="20" t="str">
        <f t="shared" si="279"/>
        <v>Incomplete</v>
      </c>
      <c r="BB911" s="66"/>
      <c r="BC911" s="20" t="str">
        <f t="shared" si="280"/>
        <v>Incomplete</v>
      </c>
      <c r="BD911" s="66"/>
      <c r="BE911" s="20" t="str">
        <f t="shared" si="281"/>
        <v>Incomplete</v>
      </c>
      <c r="BF911" s="66"/>
      <c r="BG911" s="66">
        <v>13</v>
      </c>
      <c r="BH911" s="66">
        <v>38.700000000000003</v>
      </c>
      <c r="BI911" s="20" t="e">
        <f>IF(OR(ISBLANK(#REF!), ISBLANK(#REF!)),"Incomplete",(SUM(#REF!-#REF!)))</f>
        <v>#REF!</v>
      </c>
      <c r="BJ911" s="66"/>
      <c r="BK911" s="66"/>
      <c r="BL911" s="66"/>
      <c r="BM911" s="66"/>
      <c r="BN911" s="66"/>
      <c r="BO911" s="66"/>
      <c r="BP911" s="66"/>
      <c r="BQ911" s="66"/>
      <c r="BR911" s="66"/>
      <c r="BS911" s="66"/>
      <c r="BT911" s="66"/>
      <c r="BU911" s="66"/>
      <c r="BV911" s="66"/>
      <c r="BW911" s="91" t="str">
        <f t="shared" si="282"/>
        <v>Incomplete</v>
      </c>
      <c r="BX911" s="91" t="str">
        <f>_xlfn.XLOOKUP(BW911,'Normative data'!$V$3:$V$6,'Normative data'!$W$3:$W$6,"Not Found",-1)</f>
        <v>Very low risk</v>
      </c>
      <c r="BY911" s="91" t="str">
        <f t="shared" si="283"/>
        <v>Incomplete</v>
      </c>
      <c r="BZ911" s="91" t="str">
        <f>_xlfn.XLOOKUP(BY911,'Normative data'!$V$3:$V$6,'Normative data'!$W$3:$W$6,"Not Found",-1)</f>
        <v>Very low risk</v>
      </c>
      <c r="CA911" s="66"/>
      <c r="CB911" s="66"/>
      <c r="CC911" s="66"/>
      <c r="CD911" s="66"/>
      <c r="CE911" s="66"/>
      <c r="CF911" s="66"/>
      <c r="CG911" s="20"/>
      <c r="CH911" s="20" t="str">
        <f>_xlfn.XLOOKUP(CG911, 'Normative data'!$S$9:$S$15,'Normative data'!$T$9:$T$15, "Not Found", -1)</f>
        <v>not completed</v>
      </c>
      <c r="CI911" s="20"/>
      <c r="CJ911" s="20" t="str">
        <f>_xlfn.XLOOKUP(CI911, 'Normative data'!$S$9:$S$15, 'Normative data'!$T$9:$T$15, "Not Found", -1)</f>
        <v>not completed</v>
      </c>
      <c r="CK911" s="106">
        <v>2.21</v>
      </c>
      <c r="CL911" s="106">
        <v>4.5199999999999996</v>
      </c>
      <c r="CM911" s="106"/>
      <c r="CN911" s="106">
        <v>7.06</v>
      </c>
      <c r="CO911" s="106">
        <v>7.08</v>
      </c>
      <c r="CP911" s="110"/>
      <c r="CQ911" s="68"/>
      <c r="CR911" s="20" t="str" cm="1">
        <f t="array" ref="CR911">IF(OR(ISBLANK(E911),ISBLANK(CQ911)),"Incomplete",_xlfn.XLOOKUP(CQ911,_xlfn.XLOOKUP(E911,'Normative data'!$Y$3:$Y$6,'Normative data'!$Z$3:$AG$6,,-1),'Normative data'!$Z$2:$AG$2,"Not Found",-1))</f>
        <v>Incomplete</v>
      </c>
      <c r="CS911" s="68"/>
      <c r="CT911" s="66"/>
      <c r="CU911" s="20" t="str" cm="1">
        <f t="array" ref="CU911">_xlfn.XLOOKUP(CS911&amp;CT911,(VLOOKUP!$A$3:$A$250)&amp;(VLOOKUP!$B$3:$B$250),VLOOKUP!$C$3:$C$250,"Incomplete",-1)</f>
        <v>Incomplete</v>
      </c>
      <c r="CV911" s="20" t="str" cm="1">
        <f t="array" ref="CV911">_xlfn.XLOOKUP(CU911, _xlfn.XLOOKUP(E911, 'Normative data'!$Y$11:$Y$14, 'Normative data'!$Z$11:$AG$14, ,-1), 'Normative data'!$Z$10:$AG$10, "Not Found", -1)</f>
        <v>Excellent</v>
      </c>
      <c r="CW911" s="20" t="str" cm="1">
        <f t="array" ref="CW911">IF(OR(ISBLANK(CS911),ISBLANK(CT911)),"Incomplete",_xlfn.XLOOKUP(CS911&amp;CT911,VLOOKUP!$A$4:$A$250&amp;VLOOKUP!$B$4:$B$250,VLOOKUP!$D$4:$D$250,"0"))</f>
        <v>Incomplete</v>
      </c>
    </row>
    <row r="912" spans="1:101">
      <c r="A912" s="94" t="s">
        <v>1381</v>
      </c>
      <c r="B912" s="94" t="s">
        <v>1380</v>
      </c>
      <c r="C912" s="64" t="s">
        <v>86</v>
      </c>
      <c r="D912" s="97">
        <v>40907</v>
      </c>
      <c r="E912" s="64"/>
      <c r="F912" s="64">
        <v>8</v>
      </c>
      <c r="G912" s="64">
        <v>2025</v>
      </c>
      <c r="H912" s="66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  <c r="AD912" s="66"/>
      <c r="AE912" s="66"/>
      <c r="AF912" s="66"/>
      <c r="AG912" s="66"/>
      <c r="AH912" s="66"/>
      <c r="AI912" s="66"/>
      <c r="AJ912" s="66"/>
      <c r="AK912" s="66"/>
      <c r="AL912" s="66"/>
      <c r="AM912" s="66"/>
      <c r="AN912" s="66"/>
      <c r="AO912" s="66"/>
      <c r="AP912" s="66"/>
      <c r="AQ912" s="66"/>
      <c r="AR912" s="66"/>
      <c r="AS912" s="66"/>
      <c r="AT912" s="66"/>
      <c r="AU912" s="66"/>
      <c r="AV912" s="66"/>
      <c r="AW912" s="66"/>
      <c r="AX912" s="66"/>
      <c r="AY912" s="41" t="str">
        <f t="shared" si="278"/>
        <v>Incomplete</v>
      </c>
      <c r="AZ912" s="66"/>
      <c r="BA912" s="20" t="str">
        <f t="shared" si="279"/>
        <v>Incomplete</v>
      </c>
      <c r="BB912" s="66"/>
      <c r="BC912" s="20" t="str">
        <f t="shared" si="280"/>
        <v>Incomplete</v>
      </c>
      <c r="BD912" s="66"/>
      <c r="BE912" s="20" t="str">
        <f t="shared" si="281"/>
        <v>Incomplete</v>
      </c>
      <c r="BF912" s="66"/>
      <c r="BG912" s="66">
        <v>15</v>
      </c>
      <c r="BH912" s="66">
        <v>26</v>
      </c>
      <c r="BI912" s="20" t="e">
        <f>IF(OR(ISBLANK(#REF!), ISBLANK(#REF!)),"Incomplete",(SUM(#REF!-#REF!)))</f>
        <v>#REF!</v>
      </c>
      <c r="BJ912" s="66"/>
      <c r="BK912" s="66"/>
      <c r="BL912" s="66"/>
      <c r="BM912" s="66"/>
      <c r="BN912" s="66"/>
      <c r="BO912" s="66"/>
      <c r="BP912" s="66"/>
      <c r="BQ912" s="66"/>
      <c r="BR912" s="66"/>
      <c r="BS912" s="66"/>
      <c r="BT912" s="66"/>
      <c r="BU912" s="66"/>
      <c r="BV912" s="66"/>
      <c r="BW912" s="91" t="str">
        <f t="shared" si="282"/>
        <v>Incomplete</v>
      </c>
      <c r="BX912" s="91" t="str">
        <f>_xlfn.XLOOKUP(BW912,'Normative data'!$V$3:$V$6,'Normative data'!$W$3:$W$6,"Not Found",-1)</f>
        <v>Very low risk</v>
      </c>
      <c r="BY912" s="91" t="str">
        <f t="shared" si="283"/>
        <v>Incomplete</v>
      </c>
      <c r="BZ912" s="91" t="str">
        <f>_xlfn.XLOOKUP(BY912,'Normative data'!$V$3:$V$6,'Normative data'!$W$3:$W$6,"Not Found",-1)</f>
        <v>Very low risk</v>
      </c>
      <c r="CA912" s="66"/>
      <c r="CB912" s="66"/>
      <c r="CC912" s="20"/>
      <c r="CD912" s="66"/>
      <c r="CE912" s="66">
        <v>9</v>
      </c>
      <c r="CF912" s="66"/>
      <c r="CG912" s="66"/>
      <c r="CH912" s="20" t="str">
        <f>_xlfn.XLOOKUP(CG912, 'Normative data'!$S$9:$S$15,'Normative data'!$T$9:$T$15, "Not Found", -1)</f>
        <v>not completed</v>
      </c>
      <c r="CI912" s="66"/>
      <c r="CJ912" s="20" t="str">
        <f>_xlfn.XLOOKUP(CI912, 'Normative data'!$S$9:$S$15, 'Normative data'!$T$9:$T$15, "Not Found", -1)</f>
        <v>not completed</v>
      </c>
      <c r="CK912" s="106">
        <v>2.37</v>
      </c>
      <c r="CL912" s="106">
        <v>4.22</v>
      </c>
      <c r="CM912" s="106"/>
      <c r="CN912" s="106">
        <v>7.41</v>
      </c>
      <c r="CO912" s="106">
        <v>6.75</v>
      </c>
      <c r="CP912" s="110"/>
      <c r="CQ912" s="68"/>
      <c r="CR912" s="20" t="str" cm="1">
        <f t="array" ref="CR912">IF(OR(ISBLANK(E912),ISBLANK(CQ912)),"Incomplete",_xlfn.XLOOKUP(CQ912,_xlfn.XLOOKUP(E912,'Normative data'!$Y$3:$Y$6,'Normative data'!$Z$3:$AG$6,,-1),'Normative data'!$Z$2:$AG$2,"Not Found",-1))</f>
        <v>Incomplete</v>
      </c>
      <c r="CS912" s="68"/>
      <c r="CT912" s="66"/>
      <c r="CU912" s="20" t="str" cm="1">
        <f t="array" ref="CU912">_xlfn.XLOOKUP(CS912&amp;CT912,(VLOOKUP!$A$3:$A$250)&amp;(VLOOKUP!$B$3:$B$250),VLOOKUP!$C$3:$C$250,"Incomplete",-1)</f>
        <v>Incomplete</v>
      </c>
      <c r="CV912" s="20" t="str" cm="1">
        <f t="array" ref="CV912">_xlfn.XLOOKUP(CU912, _xlfn.XLOOKUP(E912, 'Normative data'!$Y$11:$Y$14, 'Normative data'!$Z$11:$AG$14, ,-1), 'Normative data'!$Z$10:$AG$10, "Not Found", -1)</f>
        <v>Excellent</v>
      </c>
      <c r="CW912" s="20" t="str" cm="1">
        <f t="array" ref="CW912">IF(OR(ISBLANK(CS912),ISBLANK(CT912)),"Incomplete",_xlfn.XLOOKUP(CS912&amp;CT912,VLOOKUP!$A$4:$A$250&amp;VLOOKUP!$B$4:$B$250,VLOOKUP!$D$4:$D$250,"0"))</f>
        <v>Incomplete</v>
      </c>
    </row>
    <row r="913" spans="1:101">
      <c r="A913" s="64" t="s">
        <v>1030</v>
      </c>
      <c r="B913" s="64" t="s">
        <v>1031</v>
      </c>
      <c r="C913" s="64" t="s">
        <v>86</v>
      </c>
      <c r="D913" s="65"/>
      <c r="E913" s="64"/>
      <c r="F913" s="66" t="s">
        <v>99</v>
      </c>
      <c r="G913" s="64">
        <v>2026</v>
      </c>
      <c r="H913" s="66"/>
      <c r="I913" s="66">
        <v>2</v>
      </c>
      <c r="J913" s="66"/>
      <c r="K913" s="66"/>
      <c r="L913" s="66"/>
      <c r="M913" s="64"/>
      <c r="N913" s="64"/>
      <c r="O913" s="64"/>
      <c r="P913" s="64"/>
      <c r="Q913" s="64"/>
      <c r="R913" s="64"/>
      <c r="S913" s="66">
        <v>75.599999999999994</v>
      </c>
      <c r="T913" s="66">
        <v>156.30000000000001</v>
      </c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  <c r="AG913" s="64"/>
      <c r="AH913" s="64"/>
      <c r="AI913" s="64"/>
      <c r="AJ913" s="64"/>
      <c r="AK913" s="64"/>
      <c r="AL913" s="64"/>
      <c r="AM913" s="64"/>
      <c r="AN913" s="64"/>
      <c r="AO913" s="64"/>
      <c r="AP913" s="64"/>
      <c r="AQ913" s="20"/>
      <c r="AR913" s="20"/>
      <c r="AS913" s="20"/>
      <c r="AT913" s="20"/>
      <c r="AU913" s="20"/>
      <c r="AV913" s="20"/>
      <c r="AW913" s="20"/>
      <c r="AX913" s="20"/>
      <c r="AY913" s="41" t="str">
        <f t="shared" si="278"/>
        <v>Incomplete</v>
      </c>
      <c r="AZ913" s="64"/>
      <c r="BA913" s="20" t="str">
        <f t="shared" si="279"/>
        <v>Incomplete</v>
      </c>
      <c r="BB913" s="64"/>
      <c r="BC913" s="20" t="str">
        <f t="shared" si="280"/>
        <v>Incomplete</v>
      </c>
      <c r="BD913" s="64"/>
      <c r="BE913" s="20" t="str">
        <f t="shared" si="281"/>
        <v>Incomplete</v>
      </c>
      <c r="BF913" s="64"/>
      <c r="BG913" s="64">
        <v>6.7</v>
      </c>
      <c r="BH913" s="64">
        <v>32.799999999999997</v>
      </c>
      <c r="BI913" s="20">
        <f>IF(OR(ISBLANK(BG913), ISBLANK(BH913)),"Incomplete",(SUM(BH913-BG913)))</f>
        <v>26.099999999999998</v>
      </c>
      <c r="BJ913" s="66"/>
      <c r="BK913" s="64"/>
      <c r="BL913" s="66"/>
      <c r="BM913" s="20"/>
      <c r="BN913" s="66"/>
      <c r="BO913" s="64"/>
      <c r="BP913" s="64"/>
      <c r="BQ913" s="64">
        <v>77</v>
      </c>
      <c r="BR913" s="64">
        <v>74</v>
      </c>
      <c r="BS913" s="64">
        <v>80</v>
      </c>
      <c r="BT913" s="64">
        <v>76</v>
      </c>
      <c r="BU913" s="64">
        <v>80</v>
      </c>
      <c r="BV913" s="64">
        <v>80</v>
      </c>
      <c r="BW913" s="91">
        <f t="shared" si="282"/>
        <v>95.415117719950416</v>
      </c>
      <c r="BX913" s="91" t="str">
        <f>_xlfn.XLOOKUP(BW913,'Normative data'!$V$3:$V$6,'Normative data'!$W$3:$W$6,"Not Found",-1)</f>
        <v>High risk</v>
      </c>
      <c r="BY913" s="91">
        <f t="shared" si="283"/>
        <v>97.480380008261022</v>
      </c>
      <c r="BZ913" s="91" t="str">
        <f>_xlfn.XLOOKUP(BY913,'Normative data'!$V$3:$V$6,'Normative data'!$W$3:$W$6,"Not Found",-1)</f>
        <v>Low risk</v>
      </c>
      <c r="CA913" s="66"/>
      <c r="CB913" s="66"/>
      <c r="CC913" s="20"/>
      <c r="CD913" s="66"/>
      <c r="CE913" s="64">
        <v>7</v>
      </c>
      <c r="CF913" s="66"/>
      <c r="CG913" s="64">
        <v>19.12</v>
      </c>
      <c r="CH913" s="20" t="str">
        <f>_xlfn.XLOOKUP(CG913, 'Normative data'!$S$9:$S$15,'Normative data'!$T$9:$T$15, "Not Found", -1)</f>
        <v>Average</v>
      </c>
      <c r="CI913" s="64">
        <v>19.350000000000001</v>
      </c>
      <c r="CJ913" s="20" t="str">
        <f>_xlfn.XLOOKUP(CI913, 'Normative data'!$S$9:$S$15, 'Normative data'!$T$9:$T$15, "Not Found", -1)</f>
        <v>Average</v>
      </c>
      <c r="CK913" s="64">
        <v>2.37</v>
      </c>
      <c r="CL913" s="64">
        <v>4.66</v>
      </c>
      <c r="CM913" s="66"/>
      <c r="CN913" s="64">
        <v>7.54</v>
      </c>
      <c r="CO913" s="64">
        <v>6.83</v>
      </c>
      <c r="CP913" s="68"/>
      <c r="CQ913" s="67"/>
      <c r="CR913" s="20" t="str" cm="1">
        <f t="array" ref="CR913">IF(OR(ISBLANK(E913),ISBLANK(CQ913)),"Incomplete",_xlfn.XLOOKUP(CQ913,_xlfn.XLOOKUP(E913,'Normative data'!$Y$3:$Y$6,'Normative data'!$Z$3:$AG$6,,-1),'Normative data'!$Z$2:$AG$2,"Not Found",-1))</f>
        <v>Incomplete</v>
      </c>
      <c r="CS913" s="68"/>
      <c r="CT913" s="66"/>
      <c r="CU913" s="20" t="str" cm="1">
        <f t="array" ref="CU913">_xlfn.XLOOKUP(CS913&amp;CT913,(VLOOKUP!$A$3:$A$250)&amp;(VLOOKUP!$B$3:$B$250),VLOOKUP!$C$3:$C$250,"Incomplete",-1)</f>
        <v>Incomplete</v>
      </c>
      <c r="CV913" s="20" t="str" cm="1">
        <f t="array" ref="CV913">_xlfn.XLOOKUP(CU913, _xlfn.XLOOKUP(E913, 'Normative data'!$Y$11:$Y$14, 'Normative data'!$Z$11:$AG$14, ,-1), 'Normative data'!$Z$10:$AG$10, "Not Found", -1)</f>
        <v>Excellent</v>
      </c>
      <c r="CW913" s="20" t="str" cm="1">
        <f t="array" ref="CW913">IF(OR(ISBLANK(CS913),ISBLANK(CT913)),"Incomplete",_xlfn.XLOOKUP(CS913&amp;CT913,VLOOKUP!$A$4:$A$250&amp;VLOOKUP!$B$4:$B$250,VLOOKUP!$D$4:$D$250,"0"))</f>
        <v>Incomplete</v>
      </c>
    </row>
    <row r="914" spans="1:101">
      <c r="A914" s="64" t="s">
        <v>1044</v>
      </c>
      <c r="B914" s="64" t="s">
        <v>1267</v>
      </c>
      <c r="C914" s="64" t="s">
        <v>86</v>
      </c>
      <c r="D914" s="96">
        <v>40045</v>
      </c>
      <c r="E914" s="64"/>
      <c r="F914" s="64">
        <v>10</v>
      </c>
      <c r="G914" s="64">
        <v>2025</v>
      </c>
      <c r="H914" s="66"/>
      <c r="I914" s="64"/>
      <c r="J914" s="64" t="s">
        <v>122</v>
      </c>
      <c r="K914" s="64"/>
      <c r="L914" s="64"/>
      <c r="M914" s="64"/>
      <c r="N914" s="64"/>
      <c r="O914" s="64"/>
      <c r="P914" s="64"/>
      <c r="Q914" s="64"/>
      <c r="R914" s="64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  <c r="AD914" s="66"/>
      <c r="AE914" s="66"/>
      <c r="AF914" s="66"/>
      <c r="AG914" s="66"/>
      <c r="AH914" s="66"/>
      <c r="AI914" s="66"/>
      <c r="AJ914" s="66"/>
      <c r="AK914" s="66"/>
      <c r="AL914" s="66"/>
      <c r="AM914" s="66"/>
      <c r="AN914" s="66"/>
      <c r="AO914" s="66"/>
      <c r="AP914" s="66"/>
      <c r="AQ914" s="20"/>
      <c r="AR914" s="20"/>
      <c r="AS914" s="20"/>
      <c r="AT914" s="20"/>
      <c r="AU914" s="20"/>
      <c r="AV914" s="20"/>
      <c r="AW914" s="20"/>
      <c r="AX914" s="20"/>
      <c r="AY914" s="41" t="str">
        <f t="shared" si="278"/>
        <v>Incomplete</v>
      </c>
      <c r="AZ914" s="66"/>
      <c r="BA914" s="20" t="str">
        <f t="shared" si="279"/>
        <v>Incomplete</v>
      </c>
      <c r="BB914" s="66"/>
      <c r="BC914" s="20" t="str">
        <f t="shared" si="280"/>
        <v>Incomplete</v>
      </c>
      <c r="BD914" s="66"/>
      <c r="BE914" s="20" t="str">
        <f t="shared" si="281"/>
        <v>Incomplete</v>
      </c>
      <c r="BF914" s="66"/>
      <c r="BG914" s="66"/>
      <c r="BH914" s="66"/>
      <c r="BI914" s="20" t="str">
        <f>IF(OR(ISBLANK(BG914), ISBLANK(BH914)),"Incomplete",(SUM(BH914-BG914)))</f>
        <v>Incomplete</v>
      </c>
      <c r="BJ914" s="66"/>
      <c r="BK914" s="66"/>
      <c r="BL914" s="66"/>
      <c r="BM914" s="66"/>
      <c r="BN914" s="66"/>
      <c r="BO914" s="66"/>
      <c r="BP914" s="66"/>
      <c r="BQ914" s="66"/>
      <c r="BR914" s="66"/>
      <c r="BS914" s="66"/>
      <c r="BT914" s="66"/>
      <c r="BU914" s="66"/>
      <c r="BV914" s="66"/>
      <c r="BW914" s="91" t="str">
        <f t="shared" si="282"/>
        <v>Incomplete</v>
      </c>
      <c r="BX914" s="91" t="str">
        <f>_xlfn.XLOOKUP(BW914,'Normative data'!$V$3:$V$6,'Normative data'!$W$3:$W$6,"Not Found",-1)</f>
        <v>Very low risk</v>
      </c>
      <c r="BY914" s="91" t="str">
        <f t="shared" si="283"/>
        <v>Incomplete</v>
      </c>
      <c r="BZ914" s="91" t="str">
        <f>_xlfn.XLOOKUP(BY914,'Normative data'!$V$3:$V$6,'Normative data'!$W$3:$W$6,"Not Found",-1)</f>
        <v>Very low risk</v>
      </c>
      <c r="CA914" s="66"/>
      <c r="CB914" s="66"/>
      <c r="CC914" s="66"/>
      <c r="CD914" s="66"/>
      <c r="CE914" s="66"/>
      <c r="CF914" s="66"/>
      <c r="CG914" s="20"/>
      <c r="CH914" s="20" t="str">
        <f>_xlfn.XLOOKUP(CG914, 'Normative data'!$S$9:$S$15,'Normative data'!$T$9:$T$15, "Not Found", -1)</f>
        <v>not completed</v>
      </c>
      <c r="CI914" s="20"/>
      <c r="CJ914" s="20" t="str">
        <f>_xlfn.XLOOKUP(CI914, 'Normative data'!$S$9:$S$15, 'Normative data'!$T$9:$T$15, "Not Found", -1)</f>
        <v>not completed</v>
      </c>
      <c r="CK914" s="20" t="s">
        <v>328</v>
      </c>
      <c r="CL914" s="20" t="s">
        <v>784</v>
      </c>
      <c r="CN914" s="20" t="s">
        <v>1362</v>
      </c>
      <c r="CO914" s="20" t="s">
        <v>641</v>
      </c>
      <c r="CP914" s="68"/>
      <c r="CQ914" s="68"/>
      <c r="CR914" s="20" t="str" cm="1">
        <f t="array" ref="CR914">IF(OR(ISBLANK(E914),ISBLANK(CQ914)),"Incomplete",_xlfn.XLOOKUP(CQ914,_xlfn.XLOOKUP(E914,'Normative data'!$Y$3:$Y$6,'Normative data'!$Z$3:$AG$6,,-1),'Normative data'!$Z$2:$AG$2,"Not Found",-1))</f>
        <v>Incomplete</v>
      </c>
      <c r="CS914" s="68"/>
      <c r="CT914" s="66"/>
      <c r="CU914" s="20" t="str" cm="1">
        <f t="array" ref="CU914">_xlfn.XLOOKUP(CS914&amp;CT914,(VLOOKUP!$A$3:$A$250)&amp;(VLOOKUP!$B$3:$B$250),VLOOKUP!$C$3:$C$250,"Incomplete",-1)</f>
        <v>Incomplete</v>
      </c>
      <c r="CV914" s="20" t="str" cm="1">
        <f t="array" ref="CV914">_xlfn.XLOOKUP(CU914, _xlfn.XLOOKUP(E914, 'Normative data'!$Y$11:$Y$14, 'Normative data'!$Z$11:$AG$14, ,-1), 'Normative data'!$Z$10:$AG$10, "Not Found", -1)</f>
        <v>Excellent</v>
      </c>
      <c r="CW914" s="20" t="str" cm="1">
        <f t="array" ref="CW914">IF(OR(ISBLANK(CS914),ISBLANK(CT914)),"Incomplete",_xlfn.XLOOKUP(CS914&amp;CT914,VLOOKUP!$A$4:$A$250&amp;VLOOKUP!$B$4:$B$250,VLOOKUP!$D$4:$D$250,"0"))</f>
        <v>Incomplete</v>
      </c>
    </row>
    <row r="915" spans="1:101">
      <c r="A915" s="93" t="s">
        <v>431</v>
      </c>
      <c r="B915" s="93" t="s">
        <v>1267</v>
      </c>
      <c r="C915" s="64" t="s">
        <v>86</v>
      </c>
      <c r="D915" s="96">
        <v>40045</v>
      </c>
      <c r="E915" s="64"/>
      <c r="F915" s="64">
        <v>10</v>
      </c>
      <c r="G915" s="64">
        <v>2025</v>
      </c>
      <c r="H915" s="66"/>
      <c r="I915" s="64"/>
      <c r="J915" s="64" t="s">
        <v>122</v>
      </c>
      <c r="K915" s="64"/>
      <c r="L915" s="64"/>
      <c r="M915" s="64"/>
      <c r="N915" s="64"/>
      <c r="O915" s="64"/>
      <c r="P915" s="64"/>
      <c r="Q915" s="64"/>
      <c r="R915" s="64"/>
      <c r="S915" s="66"/>
      <c r="T915" s="66">
        <v>164</v>
      </c>
      <c r="U915" s="66">
        <v>58.7</v>
      </c>
      <c r="V915" s="66"/>
      <c r="W915" s="66">
        <v>14.8</v>
      </c>
      <c r="X915" s="66">
        <f>SUM(T915-W915)</f>
        <v>149.19999999999999</v>
      </c>
      <c r="Y915" s="66">
        <v>24.2</v>
      </c>
      <c r="Z915" s="66">
        <v>21.8</v>
      </c>
      <c r="AA915" s="66">
        <v>25.2</v>
      </c>
      <c r="AB915" s="66"/>
      <c r="AC915" s="66"/>
      <c r="AD915" s="66"/>
      <c r="AE915" s="66"/>
      <c r="AF915" s="66"/>
      <c r="AG915" s="66"/>
      <c r="AH915" s="66"/>
      <c r="AI915" s="66"/>
      <c r="AJ915" s="66"/>
      <c r="AK915" s="66"/>
      <c r="AL915" s="66"/>
      <c r="AM915" s="66"/>
      <c r="AN915" s="66"/>
      <c r="AO915" s="66"/>
      <c r="AP915" s="66"/>
      <c r="AQ915" s="20"/>
      <c r="AR915" s="20"/>
      <c r="AS915" s="20"/>
      <c r="AT915" s="20"/>
      <c r="AU915" s="20"/>
      <c r="AV915" s="20"/>
      <c r="AW915" s="20"/>
      <c r="AX915" s="20"/>
      <c r="AY915" s="41" t="str">
        <f t="shared" si="278"/>
        <v>Incomplete</v>
      </c>
      <c r="AZ915" s="66"/>
      <c r="BA915" s="20" t="str">
        <f t="shared" si="279"/>
        <v>Incomplete</v>
      </c>
      <c r="BB915" s="66"/>
      <c r="BC915" s="20" t="str">
        <f t="shared" si="280"/>
        <v>Incomplete</v>
      </c>
      <c r="BD915" s="66"/>
      <c r="BE915" s="20" t="str">
        <f t="shared" si="281"/>
        <v>Incomplete</v>
      </c>
      <c r="BF915" s="66"/>
      <c r="BG915" s="66">
        <v>14</v>
      </c>
      <c r="BH915" s="66">
        <v>37.799999999999997</v>
      </c>
      <c r="BI915" s="20" t="e">
        <f>IF(OR(ISBLANK(#REF!), ISBLANK(#REF!)),"Incomplete",(SUM(#REF!-#REF!)))</f>
        <v>#REF!</v>
      </c>
      <c r="BJ915" s="66"/>
      <c r="BK915" s="66">
        <v>6</v>
      </c>
      <c r="BL915" s="66"/>
      <c r="BM915" s="66">
        <v>7</v>
      </c>
      <c r="BN915" s="66"/>
      <c r="BO915" s="66"/>
      <c r="BP915" s="66"/>
      <c r="BQ915" s="66"/>
      <c r="BR915" s="66"/>
      <c r="BS915" s="66"/>
      <c r="BT915" s="66"/>
      <c r="BU915" s="66"/>
      <c r="BV915" s="66"/>
      <c r="BW915" s="91">
        <f t="shared" si="282"/>
        <v>0</v>
      </c>
      <c r="BX915" s="91" t="str">
        <f>_xlfn.XLOOKUP(BW915,'Normative data'!$V$3:$V$6,'Normative data'!$W$3:$W$6,"Not Found",-1)</f>
        <v>Not completed</v>
      </c>
      <c r="BY915" s="91">
        <f t="shared" si="283"/>
        <v>0</v>
      </c>
      <c r="BZ915" s="91" t="str">
        <f>_xlfn.XLOOKUP(BY915,'Normative data'!$V$3:$V$6,'Normative data'!$W$3:$W$6,"Not Found",-1)</f>
        <v>Not completed</v>
      </c>
      <c r="CA915" s="66"/>
      <c r="CB915" s="66"/>
      <c r="CC915" s="20"/>
      <c r="CD915" s="66"/>
      <c r="CE915" s="66">
        <v>1</v>
      </c>
      <c r="CF915" s="66"/>
      <c r="CG915" s="20">
        <v>18.29</v>
      </c>
      <c r="CH915" s="20" t="e">
        <f>_xlfn.XLOOKUP(#REF!, 'Normative data'!$S$9:$S$15,'Normative data'!$T$9:$T$15, "Not Found", -1)</f>
        <v>#REF!</v>
      </c>
      <c r="CI915" s="20">
        <v>18.59</v>
      </c>
      <c r="CJ915" s="20" t="e">
        <f>_xlfn.XLOOKUP(#REF!, 'Normative data'!$S$9:$S$15, 'Normative data'!$T$9:$T$15, "Not Found", -1)</f>
        <v>#REF!</v>
      </c>
      <c r="CK915" s="105">
        <v>2.3199999999999998</v>
      </c>
      <c r="CL915" s="105">
        <v>4.3099999999999996</v>
      </c>
      <c r="CM915" s="105"/>
      <c r="CN915" s="105">
        <v>7.11</v>
      </c>
      <c r="CO915" s="105">
        <v>7.03</v>
      </c>
      <c r="CP915" s="109"/>
      <c r="CQ915" s="68"/>
      <c r="CR915" s="20" t="str" cm="1">
        <f t="array" ref="CR915">IF(OR(ISBLANK(E915),ISBLANK(CQ915)),"Incomplete",_xlfn.XLOOKUP(CQ915,_xlfn.XLOOKUP(E915,'Normative data'!$Y$3:$Y$6,'Normative data'!$Z$3:$AG$6,,-1),'Normative data'!$Z$2:$AG$2,"Not Found",-1))</f>
        <v>Incomplete</v>
      </c>
      <c r="CS915" s="68"/>
      <c r="CT915" s="66"/>
      <c r="CU915" s="20" t="str" cm="1">
        <f t="array" ref="CU915">_xlfn.XLOOKUP(CS915&amp;CT915,(VLOOKUP!$A$3:$A$250)&amp;(VLOOKUP!$B$3:$B$250),VLOOKUP!$C$3:$C$250,"Incomplete",-1)</f>
        <v>Incomplete</v>
      </c>
      <c r="CV915" s="20" t="str" cm="1">
        <f t="array" ref="CV915">_xlfn.XLOOKUP(CU915, _xlfn.XLOOKUP(E915, 'Normative data'!$Y$11:$Y$14, 'Normative data'!$Z$11:$AG$14, ,-1), 'Normative data'!$Z$10:$AG$10, "Not Found", -1)</f>
        <v>Excellent</v>
      </c>
      <c r="CW915" s="20" t="str" cm="1">
        <f t="array" ref="CW915">IF(OR(ISBLANK(CS915),ISBLANK(CT915)),"Incomplete",_xlfn.XLOOKUP(CS915&amp;CT915,VLOOKUP!$A$4:$A$250&amp;VLOOKUP!$B$4:$B$250,VLOOKUP!$D$4:$D$250,"0"))</f>
        <v>Incomplete</v>
      </c>
    </row>
    <row r="916" spans="1:101">
      <c r="A916" s="64" t="s">
        <v>1157</v>
      </c>
      <c r="B916" s="64" t="s">
        <v>1156</v>
      </c>
      <c r="C916" s="64" t="s">
        <v>86</v>
      </c>
      <c r="D916" s="65">
        <v>40647</v>
      </c>
      <c r="E916" s="64">
        <v>15.1</v>
      </c>
      <c r="F916" s="66" t="s">
        <v>217</v>
      </c>
      <c r="G916" s="64">
        <v>2026</v>
      </c>
      <c r="H916" s="66"/>
      <c r="I916" s="66">
        <v>2</v>
      </c>
      <c r="J916" s="66" t="s">
        <v>122</v>
      </c>
      <c r="K916" s="66" t="s">
        <v>297</v>
      </c>
      <c r="L916" s="66" t="s">
        <v>224</v>
      </c>
      <c r="M916" s="64"/>
      <c r="N916" s="64"/>
      <c r="O916" s="64"/>
      <c r="P916" s="64"/>
      <c r="Q916" s="64"/>
      <c r="R916" s="64"/>
      <c r="S916" s="66">
        <v>80.3</v>
      </c>
      <c r="T916" s="66">
        <v>154.19999999999999</v>
      </c>
      <c r="U916" s="64">
        <v>60.5</v>
      </c>
      <c r="V916" s="64">
        <v>28.8</v>
      </c>
      <c r="W916" s="64">
        <v>21.1</v>
      </c>
      <c r="X916" s="64">
        <v>39.4</v>
      </c>
      <c r="Y916" s="64">
        <v>21.7</v>
      </c>
      <c r="Z916" s="64">
        <v>25.4</v>
      </c>
      <c r="AA916" s="64">
        <v>34.9</v>
      </c>
      <c r="AB916" s="64">
        <v>6.16</v>
      </c>
      <c r="AC916" s="64">
        <v>105.8</v>
      </c>
      <c r="AD916" s="64">
        <v>6.13</v>
      </c>
      <c r="AE916" s="64">
        <v>105.4</v>
      </c>
      <c r="AF916" s="64">
        <v>3.5</v>
      </c>
      <c r="AG916" s="64">
        <v>202</v>
      </c>
      <c r="AH916" s="64">
        <v>3.5</v>
      </c>
      <c r="AI916" s="64">
        <v>200.6</v>
      </c>
      <c r="AJ916" s="64">
        <v>295.89999999999998</v>
      </c>
      <c r="AK916" s="64">
        <v>296.7</v>
      </c>
      <c r="AL916" s="64">
        <v>255.7</v>
      </c>
      <c r="AM916" s="64">
        <v>258.3</v>
      </c>
      <c r="AN916" s="64">
        <v>67</v>
      </c>
      <c r="AO916" s="64">
        <v>0.84</v>
      </c>
      <c r="AP916" s="64">
        <v>6.8</v>
      </c>
      <c r="AQ916" s="64">
        <v>25.5</v>
      </c>
      <c r="AR916" s="64">
        <v>0.45600000000000002</v>
      </c>
      <c r="AS916" s="64">
        <v>29.9</v>
      </c>
      <c r="AT916" s="64">
        <v>0.49399999999999999</v>
      </c>
      <c r="AU916" s="64">
        <v>16.399999999999999</v>
      </c>
      <c r="AV916" s="64">
        <v>0.36599999999999999</v>
      </c>
      <c r="AW916" s="64">
        <v>16.3</v>
      </c>
      <c r="AX916" s="64">
        <v>0.36499999999999999</v>
      </c>
      <c r="AY916" s="41">
        <f t="shared" si="278"/>
        <v>2233.5</v>
      </c>
      <c r="AZ916" s="64"/>
      <c r="BA916" s="20">
        <f t="shared" si="279"/>
        <v>2500.58</v>
      </c>
      <c r="BB916" s="64"/>
      <c r="BC916" s="20">
        <f t="shared" si="280"/>
        <v>1681.1299999999997</v>
      </c>
      <c r="BD916" s="64"/>
      <c r="BE916" s="20">
        <f t="shared" si="281"/>
        <v>1675.0599999999995</v>
      </c>
      <c r="BF916" s="64"/>
      <c r="BG916" s="64">
        <v>17</v>
      </c>
      <c r="BH916" s="64">
        <v>59</v>
      </c>
      <c r="BI916" s="20">
        <f>IF(OR(ISBLANK(BG916), ISBLANK(BH916)),"Incomplete",(SUM(BH916-BG916)))</f>
        <v>42</v>
      </c>
      <c r="BJ916" s="66"/>
      <c r="BK916" s="64">
        <v>10</v>
      </c>
      <c r="BL916" s="66"/>
      <c r="BM916" s="64">
        <v>12</v>
      </c>
      <c r="BN916" s="66"/>
      <c r="BO916" s="64">
        <v>52.5</v>
      </c>
      <c r="BP916" s="64">
        <v>52</v>
      </c>
      <c r="BQ916" s="64">
        <v>90</v>
      </c>
      <c r="BR916" s="64">
        <v>93</v>
      </c>
      <c r="BS916" s="64">
        <v>89</v>
      </c>
      <c r="BT916" s="64">
        <v>92</v>
      </c>
      <c r="BU916" s="64">
        <v>83</v>
      </c>
      <c r="BV916" s="64">
        <v>91</v>
      </c>
      <c r="BW916" s="91">
        <f t="shared" si="282"/>
        <v>122.68831754623366</v>
      </c>
      <c r="BX916" s="91" t="str">
        <f>_xlfn.XLOOKUP(BW916,'Normative data'!$V$3:$V$6,'Normative data'!$W$3:$W$6,"Not Found",-1)</f>
        <v>Very low risk</v>
      </c>
      <c r="BY916" s="91">
        <f t="shared" si="283"/>
        <v>119.98195760036086</v>
      </c>
      <c r="BZ916" s="91" t="str">
        <f>_xlfn.XLOOKUP(BY916,'Normative data'!$V$3:$V$6,'Normative data'!$W$3:$W$6,"Not Found",-1)</f>
        <v>Low risk</v>
      </c>
      <c r="CA916" s="64">
        <v>33</v>
      </c>
      <c r="CB916" s="66"/>
      <c r="CC916" s="20"/>
      <c r="CD916" s="66"/>
      <c r="CE916" s="64">
        <v>27</v>
      </c>
      <c r="CF916" s="66"/>
      <c r="CG916" s="64">
        <v>17.239999999999998</v>
      </c>
      <c r="CH916" s="20" t="str">
        <f>_xlfn.XLOOKUP(CG916, 'Normative data'!$S$9:$S$15,'Normative data'!$T$9:$T$15, "Not Found", -1)</f>
        <v>Above Average</v>
      </c>
      <c r="CI916" s="64">
        <v>17.309999999999999</v>
      </c>
      <c r="CJ916" s="20" t="str">
        <f>_xlfn.XLOOKUP(CI916, 'Normative data'!$S$9:$S$15, 'Normative data'!$T$9:$T$15, "Not Found", -1)</f>
        <v>Above Average</v>
      </c>
      <c r="CK916" s="64">
        <v>2.11</v>
      </c>
      <c r="CL916" s="64">
        <v>4.74</v>
      </c>
      <c r="CM916" s="66"/>
      <c r="CN916" s="64">
        <v>6.39</v>
      </c>
      <c r="CO916" s="64">
        <v>7.82</v>
      </c>
      <c r="CP916" s="68"/>
      <c r="CQ916" s="67"/>
      <c r="CR916" s="20" t="str" cm="1">
        <f t="array" ref="CR916">IF(OR(ISBLANK(E916),ISBLANK(CQ916)),"Incomplete",_xlfn.XLOOKUP(CQ916,_xlfn.XLOOKUP(E916,'Normative data'!$Y$3:$Y$6,'Normative data'!$Z$3:$AG$6,,-1),'Normative data'!$Z$2:$AG$2,"Not Found",-1))</f>
        <v>Incomplete</v>
      </c>
      <c r="CS916" s="68"/>
      <c r="CT916" s="66"/>
      <c r="CU916" s="20" t="str" cm="1">
        <f t="array" ref="CU916">_xlfn.XLOOKUP(CS916&amp;CT916,(VLOOKUP!$A$3:$A$250)&amp;(VLOOKUP!$B$3:$B$250),VLOOKUP!$C$3:$C$250,"Incomplete",-1)</f>
        <v>Incomplete</v>
      </c>
      <c r="CV916" s="20" t="str" cm="1">
        <f t="array" ref="CV916">_xlfn.XLOOKUP(CU916, _xlfn.XLOOKUP(E916, 'Normative data'!$Y$11:$Y$14, 'Normative data'!$Z$11:$AG$14, ,-1), 'Normative data'!$Z$10:$AG$10, "Not Found", -1)</f>
        <v>Excellent</v>
      </c>
      <c r="CW916" s="20" t="str" cm="1">
        <f t="array" ref="CW916">IF(OR(ISBLANK(CS916),ISBLANK(CT916)),"Incomplete",_xlfn.XLOOKUP(CS916&amp;CT916,VLOOKUP!$A$4:$A$250&amp;VLOOKUP!$B$4:$B$250,VLOOKUP!$D$4:$D$250,"0"))</f>
        <v>Incomplete</v>
      </c>
    </row>
    <row r="917" spans="1:101">
      <c r="A917" s="64" t="s">
        <v>1587</v>
      </c>
      <c r="B917" s="64" t="s">
        <v>1156</v>
      </c>
      <c r="C917" s="64" t="s">
        <v>86</v>
      </c>
      <c r="D917" s="65"/>
      <c r="E917" s="64"/>
      <c r="F917" s="66" t="s">
        <v>162</v>
      </c>
      <c r="G917" s="64">
        <v>2026</v>
      </c>
      <c r="H917" s="66"/>
      <c r="I917" s="66">
        <v>2</v>
      </c>
      <c r="J917" s="66"/>
      <c r="K917" s="66"/>
      <c r="L917" s="66"/>
      <c r="M917" s="64"/>
      <c r="N917" s="64"/>
      <c r="O917" s="64"/>
      <c r="P917" s="64"/>
      <c r="Q917" s="64"/>
      <c r="R917" s="64"/>
      <c r="S917" s="66">
        <v>86.5</v>
      </c>
      <c r="T917" s="66">
        <v>169.6</v>
      </c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  <c r="AG917" s="64"/>
      <c r="AH917" s="64"/>
      <c r="AI917" s="64"/>
      <c r="AJ917" s="64"/>
      <c r="AK917" s="64"/>
      <c r="AL917" s="64"/>
      <c r="AM917" s="64"/>
      <c r="AN917" s="64"/>
      <c r="AO917" s="64"/>
      <c r="AP917" s="64"/>
      <c r="AQ917" s="64"/>
      <c r="AR917" s="64"/>
      <c r="AS917" s="64"/>
      <c r="AT917" s="64"/>
      <c r="AU917" s="64"/>
      <c r="AV917" s="64"/>
      <c r="AW917" s="64"/>
      <c r="AX917" s="64"/>
      <c r="AY917" s="41" t="str">
        <f t="shared" si="278"/>
        <v>Incomplete</v>
      </c>
      <c r="AZ917" s="64"/>
      <c r="BA917" s="20" t="str">
        <f t="shared" si="279"/>
        <v>Incomplete</v>
      </c>
      <c r="BB917" s="64"/>
      <c r="BC917" s="20" t="str">
        <f t="shared" si="280"/>
        <v>Incomplete</v>
      </c>
      <c r="BD917" s="64"/>
      <c r="BE917" s="20" t="str">
        <f t="shared" si="281"/>
        <v>Incomplete</v>
      </c>
      <c r="BF917" s="64"/>
      <c r="BG917" s="64">
        <v>12</v>
      </c>
      <c r="BH917" s="64">
        <v>49.4</v>
      </c>
      <c r="BI917" s="20">
        <f>IF(OR(ISBLANK(BG917), ISBLANK(BH917)),"Incomplete",(SUM(BH917-BG917)))</f>
        <v>37.4</v>
      </c>
      <c r="BJ917" s="66"/>
      <c r="BK917" s="64"/>
      <c r="BL917" s="66"/>
      <c r="BM917" s="66"/>
      <c r="BN917" s="66"/>
      <c r="BO917" s="64"/>
      <c r="BP917" s="64"/>
      <c r="BQ917" s="64"/>
      <c r="BR917" s="64"/>
      <c r="BS917" s="64"/>
      <c r="BT917" s="64"/>
      <c r="BU917" s="64"/>
      <c r="BV917" s="64"/>
      <c r="BW917" s="91">
        <f t="shared" si="282"/>
        <v>0</v>
      </c>
      <c r="BX917" s="91" t="str">
        <f>_xlfn.XLOOKUP(BW917,'Normative data'!$V$3:$V$6,'Normative data'!$W$3:$W$6,"Not Found",-1)</f>
        <v>Not completed</v>
      </c>
      <c r="BY917" s="91">
        <f t="shared" si="283"/>
        <v>0</v>
      </c>
      <c r="BZ917" s="91" t="str">
        <f>_xlfn.XLOOKUP(BY917,'Normative data'!$V$3:$V$6,'Normative data'!$W$3:$W$6,"Not Found",-1)</f>
        <v>Not completed</v>
      </c>
      <c r="CA917" s="66"/>
      <c r="CB917" s="66"/>
      <c r="CC917" s="20"/>
      <c r="CD917" s="66"/>
      <c r="CE917" s="64">
        <v>17</v>
      </c>
      <c r="CF917" s="66"/>
      <c r="CG917" s="17">
        <v>20.190000000000001</v>
      </c>
      <c r="CH917" s="20" t="str">
        <f>_xlfn.XLOOKUP(CG917, 'Normative data'!$S$9:$S$15,'Normative data'!$T$9:$T$15, "Not Found", -1)</f>
        <v>Average</v>
      </c>
      <c r="CI917" s="17">
        <v>21.09</v>
      </c>
      <c r="CJ917" s="20" t="str">
        <f>_xlfn.XLOOKUP(CI917, 'Normative data'!$S$9:$S$15, 'Normative data'!$T$9:$T$15, "Not Found", -1)</f>
        <v>Average</v>
      </c>
      <c r="CK917" s="64">
        <v>2.2799999999999998</v>
      </c>
      <c r="CL917" s="64">
        <v>4.3899999999999997</v>
      </c>
      <c r="CM917" s="66"/>
      <c r="CN917" s="64">
        <v>6.95</v>
      </c>
      <c r="CO917" s="64">
        <v>7.19</v>
      </c>
      <c r="CP917" s="68"/>
      <c r="CQ917" s="67"/>
      <c r="CR917" s="20" t="str" cm="1">
        <f t="array" ref="CR917">IF(OR(ISBLANK(E917),ISBLANK(CQ917)),"Incomplete",_xlfn.XLOOKUP(CQ917,_xlfn.XLOOKUP(E917,'Normative data'!$Y$3:$Y$6,'Normative data'!$Z$3:$AG$6,,-1),'Normative data'!$Z$2:$AG$2,"Not Found",-1))</f>
        <v>Incomplete</v>
      </c>
      <c r="CS917" s="68"/>
      <c r="CT917" s="66"/>
      <c r="CU917" s="20" t="str" cm="1">
        <f t="array" ref="CU917">_xlfn.XLOOKUP(CS917&amp;CT917,(VLOOKUP!$A$3:$A$250)&amp;(VLOOKUP!$B$3:$B$250),VLOOKUP!$C$3:$C$250,"Incomplete",-1)</f>
        <v>Incomplete</v>
      </c>
      <c r="CV917" s="20" t="str" cm="1">
        <f t="array" ref="CV917">_xlfn.XLOOKUP(CU917, _xlfn.XLOOKUP(E917, 'Normative data'!$Y$11:$Y$14, 'Normative data'!$Z$11:$AG$14, ,-1), 'Normative data'!$Z$10:$AG$10, "Not Found", -1)</f>
        <v>Excellent</v>
      </c>
      <c r="CW917" s="20" t="str" cm="1">
        <f t="array" ref="CW917">IF(OR(ISBLANK(CS917),ISBLANK(CT917)),"Incomplete",_xlfn.XLOOKUP(CS917&amp;CT917,VLOOKUP!$A$4:$A$250&amp;VLOOKUP!$B$4:$B$250,VLOOKUP!$D$4:$D$250,"0"))</f>
        <v>Incomplete</v>
      </c>
    </row>
    <row r="918" spans="1:101">
      <c r="A918" s="94" t="s">
        <v>1588</v>
      </c>
      <c r="B918" s="94" t="s">
        <v>1589</v>
      </c>
      <c r="C918" s="64" t="s">
        <v>86</v>
      </c>
      <c r="D918" s="97">
        <v>39456</v>
      </c>
      <c r="E918" s="64"/>
      <c r="F918" s="64">
        <v>11</v>
      </c>
      <c r="G918" s="64">
        <v>2025</v>
      </c>
      <c r="H918" s="66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  <c r="AD918" s="66"/>
      <c r="AE918" s="66"/>
      <c r="AF918" s="66"/>
      <c r="AG918" s="66"/>
      <c r="AH918" s="66"/>
      <c r="AI918" s="66"/>
      <c r="AJ918" s="66"/>
      <c r="AK918" s="66"/>
      <c r="AL918" s="66"/>
      <c r="AM918" s="66"/>
      <c r="AN918" s="66"/>
      <c r="AO918" s="66"/>
      <c r="AP918" s="66"/>
      <c r="AQ918" s="20"/>
      <c r="AR918" s="20"/>
      <c r="AS918" s="20"/>
      <c r="AT918" s="20"/>
      <c r="AU918" s="20"/>
      <c r="AV918" s="20"/>
      <c r="AW918" s="20"/>
      <c r="AX918" s="20"/>
      <c r="AY918" s="41" t="str">
        <f t="shared" si="278"/>
        <v>Incomplete</v>
      </c>
      <c r="AZ918" s="66"/>
      <c r="BA918" s="20" t="str">
        <f t="shared" si="279"/>
        <v>Incomplete</v>
      </c>
      <c r="BB918" s="66"/>
      <c r="BC918" s="20" t="str">
        <f t="shared" si="280"/>
        <v>Incomplete</v>
      </c>
      <c r="BD918" s="66"/>
      <c r="BE918" s="20" t="str">
        <f t="shared" si="281"/>
        <v>Incomplete</v>
      </c>
      <c r="BF918" s="66"/>
      <c r="BG918" s="66">
        <v>11</v>
      </c>
      <c r="BH918" s="20">
        <v>17.2</v>
      </c>
      <c r="BI918" s="20">
        <f>IF(OR(ISBLANK(BG918), ISBLANK(BH918)),"Incomplete",(SUM(BH918-BG918)))</f>
        <v>6.1999999999999993</v>
      </c>
      <c r="BJ918" s="66"/>
      <c r="BK918" s="66">
        <v>9</v>
      </c>
      <c r="BL918" s="66"/>
      <c r="BM918" s="20">
        <v>9</v>
      </c>
      <c r="BN918" s="66"/>
      <c r="BO918" s="66"/>
      <c r="BP918" s="66"/>
      <c r="BQ918" s="66"/>
      <c r="BR918" s="66"/>
      <c r="BS918" s="66"/>
      <c r="BT918" s="66"/>
      <c r="BU918" s="66"/>
      <c r="BV918" s="66"/>
      <c r="BW918" s="91" t="str">
        <f t="shared" si="282"/>
        <v>Incomplete</v>
      </c>
      <c r="BX918" s="91" t="str">
        <f>_xlfn.XLOOKUP(BW918,'Normative data'!$V$3:$V$6,'Normative data'!$W$3:$W$6,"Not Found",-1)</f>
        <v>Very low risk</v>
      </c>
      <c r="BY918" s="91" t="str">
        <f t="shared" si="283"/>
        <v>Incomplete</v>
      </c>
      <c r="BZ918" s="91" t="str">
        <f>_xlfn.XLOOKUP(BY918,'Normative data'!$V$3:$V$6,'Normative data'!$W$3:$W$6,"Not Found",-1)</f>
        <v>Very low risk</v>
      </c>
      <c r="CA918" s="66"/>
      <c r="CB918" s="66"/>
      <c r="CC918" s="66"/>
      <c r="CD918" s="66"/>
      <c r="CE918" s="66">
        <v>1</v>
      </c>
      <c r="CF918" s="66"/>
      <c r="CG918" s="20"/>
      <c r="CH918" s="20" t="str">
        <f>_xlfn.XLOOKUP(CG918, 'Normative data'!$S$9:$S$15,'Normative data'!$T$9:$T$15, "Not Found", -1)</f>
        <v>not completed</v>
      </c>
      <c r="CI918" s="20"/>
      <c r="CJ918" s="20" t="str">
        <f>_xlfn.XLOOKUP(CI918, 'Normative data'!$S$9:$S$15, 'Normative data'!$T$9:$T$15, "Not Found", -1)</f>
        <v>not completed</v>
      </c>
      <c r="CK918" s="106">
        <v>2.46</v>
      </c>
      <c r="CL918" s="106">
        <v>4.07</v>
      </c>
      <c r="CM918" s="105"/>
      <c r="CN918" s="106">
        <v>7.38</v>
      </c>
      <c r="CO918" s="106">
        <v>6.78</v>
      </c>
      <c r="CP918" s="110"/>
      <c r="CQ918" s="68"/>
      <c r="CR918" s="20" t="str" cm="1">
        <f t="array" ref="CR918">IF(OR(ISBLANK(E918),ISBLANK(CQ918)),"Incomplete",_xlfn.XLOOKUP(CQ918,_xlfn.XLOOKUP(E918,'Normative data'!$Y$3:$Y$6,'Normative data'!$Z$3:$AG$6,,-1),'Normative data'!$Z$2:$AG$2,"Not Found",-1))</f>
        <v>Incomplete</v>
      </c>
      <c r="CS918" s="68"/>
      <c r="CT918" s="66"/>
      <c r="CU918" s="20" t="str" cm="1">
        <f t="array" ref="CU918">_xlfn.XLOOKUP(CS918&amp;CT918,(VLOOKUP!$A$3:$A$250)&amp;(VLOOKUP!$B$3:$B$250),VLOOKUP!$C$3:$C$250,"Incomplete",-1)</f>
        <v>Incomplete</v>
      </c>
      <c r="CV918" s="20" t="str" cm="1">
        <f t="array" ref="CV918">_xlfn.XLOOKUP(CU918, _xlfn.XLOOKUP(E918, 'Normative data'!$Y$11:$Y$14, 'Normative data'!$Z$11:$AG$14, ,-1), 'Normative data'!$Z$10:$AG$10, "Not Found", -1)</f>
        <v>Excellent</v>
      </c>
      <c r="CW918" s="20" t="str" cm="1">
        <f t="array" ref="CW918">IF(OR(ISBLANK(CS918),ISBLANK(CT918)),"Incomplete",_xlfn.XLOOKUP(CS918&amp;CT918,VLOOKUP!$A$4:$A$250&amp;VLOOKUP!$B$4:$B$250,VLOOKUP!$D$4:$D$250,"0"))</f>
        <v>Incomplete</v>
      </c>
    </row>
    <row r="919" spans="1:101">
      <c r="A919" s="94" t="s">
        <v>1588</v>
      </c>
      <c r="B919" s="94" t="s">
        <v>1589</v>
      </c>
      <c r="C919" s="64" t="s">
        <v>86</v>
      </c>
      <c r="D919" s="97">
        <v>39456</v>
      </c>
      <c r="E919" s="64"/>
      <c r="F919" s="64">
        <v>11</v>
      </c>
      <c r="G919" s="64">
        <v>2025</v>
      </c>
      <c r="H919" s="66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  <c r="AD919" s="66"/>
      <c r="AE919" s="66"/>
      <c r="AF919" s="66"/>
      <c r="AG919" s="66"/>
      <c r="AH919" s="66"/>
      <c r="AI919" s="66"/>
      <c r="AJ919" s="66"/>
      <c r="AK919" s="66"/>
      <c r="AL919" s="66"/>
      <c r="AM919" s="66"/>
      <c r="AN919" s="66"/>
      <c r="AO919" s="66"/>
      <c r="AP919" s="66"/>
      <c r="AQ919" s="66"/>
      <c r="AR919" s="66"/>
      <c r="AS919" s="66"/>
      <c r="AT919" s="66"/>
      <c r="AU919" s="66"/>
      <c r="AV919" s="66"/>
      <c r="AW919" s="66"/>
      <c r="AX919" s="66"/>
      <c r="AY919" s="41" t="str">
        <f t="shared" si="278"/>
        <v>Incomplete</v>
      </c>
      <c r="AZ919" s="66"/>
      <c r="BA919" s="20" t="str">
        <f t="shared" si="279"/>
        <v>Incomplete</v>
      </c>
      <c r="BB919" s="66"/>
      <c r="BC919" s="20" t="str">
        <f t="shared" si="280"/>
        <v>Incomplete</v>
      </c>
      <c r="BD919" s="66"/>
      <c r="BE919" s="20" t="str">
        <f t="shared" si="281"/>
        <v>Incomplete</v>
      </c>
      <c r="BF919" s="66"/>
      <c r="BG919" s="66"/>
      <c r="BH919" s="66"/>
      <c r="BI919" s="20" t="str">
        <f>IF(OR(ISBLANK(BG919), ISBLANK(BH919)),"Incomplete",(SUM(BH919-BG919)))</f>
        <v>Incomplete</v>
      </c>
      <c r="BJ919" s="66"/>
      <c r="BK919" s="66"/>
      <c r="BL919" s="66"/>
      <c r="BM919" s="66"/>
      <c r="BN919" s="66"/>
      <c r="BO919" s="66"/>
      <c r="BP919" s="66"/>
      <c r="BQ919" s="66"/>
      <c r="BR919" s="66"/>
      <c r="BS919" s="66"/>
      <c r="BT919" s="66"/>
      <c r="BU919" s="66"/>
      <c r="BV919" s="66"/>
      <c r="BW919" s="91" t="str">
        <f t="shared" si="282"/>
        <v>Incomplete</v>
      </c>
      <c r="BX919" s="91" t="str">
        <f>_xlfn.XLOOKUP(BW919,'Normative data'!$V$3:$V$6,'Normative data'!$W$3:$W$6,"Not Found",-1)</f>
        <v>Very low risk</v>
      </c>
      <c r="BY919" s="91" t="str">
        <f t="shared" si="283"/>
        <v>Incomplete</v>
      </c>
      <c r="BZ919" s="91" t="str">
        <f>_xlfn.XLOOKUP(BY919,'Normative data'!$V$3:$V$6,'Normative data'!$W$3:$W$6,"Not Found",-1)</f>
        <v>Very low risk</v>
      </c>
      <c r="CA919" s="66"/>
      <c r="CB919" s="66"/>
      <c r="CC919" s="20"/>
      <c r="CD919" s="66"/>
      <c r="CE919" s="64"/>
      <c r="CF919" s="66"/>
      <c r="CG919" s="66"/>
      <c r="CH919" s="20" t="str">
        <f>_xlfn.XLOOKUP(CG919, 'Normative data'!$S$9:$S$15,'Normative data'!$T$9:$T$15, "Not Found", -1)</f>
        <v>not completed</v>
      </c>
      <c r="CI919" s="66"/>
      <c r="CJ919" s="20" t="str">
        <f>_xlfn.XLOOKUP(CI919, 'Normative data'!$S$9:$S$15, 'Normative data'!$T$9:$T$15, "Not Found", -1)</f>
        <v>not completed</v>
      </c>
      <c r="CK919" s="20" t="s">
        <v>735</v>
      </c>
      <c r="CL919" s="20" t="s">
        <v>361</v>
      </c>
      <c r="CM919" s="21"/>
      <c r="CN919" s="20" t="s">
        <v>118</v>
      </c>
      <c r="CO919" s="20" t="s">
        <v>148</v>
      </c>
      <c r="CP919" s="110"/>
      <c r="CQ919" s="68"/>
      <c r="CR919" s="20" t="str" cm="1">
        <f t="array" ref="CR919">IF(OR(ISBLANK(E919),ISBLANK(CQ919)),"Incomplete",_xlfn.XLOOKUP(CQ919,_xlfn.XLOOKUP(E919,'Normative data'!$Y$3:$Y$6,'Normative data'!$Z$3:$AG$6,,-1),'Normative data'!$Z$2:$AG$2,"Not Found",-1))</f>
        <v>Incomplete</v>
      </c>
      <c r="CS919" s="68"/>
      <c r="CT919" s="66"/>
      <c r="CU919" s="20" t="str" cm="1">
        <f t="array" ref="CU919">_xlfn.XLOOKUP(CS919&amp;CT919,(VLOOKUP!$A$3:$A$250)&amp;(VLOOKUP!$B$3:$B$250),VLOOKUP!$C$3:$C$250,"Incomplete",-1)</f>
        <v>Incomplete</v>
      </c>
      <c r="CV919" s="20" t="str" cm="1">
        <f t="array" ref="CV919">_xlfn.XLOOKUP(CU919, _xlfn.XLOOKUP(E919, 'Normative data'!$Y$11:$Y$14, 'Normative data'!$Z$11:$AG$14, ,-1), 'Normative data'!$Z$10:$AG$10, "Not Found", -1)</f>
        <v>Excellent</v>
      </c>
      <c r="CW919" s="20" t="str" cm="1">
        <f t="array" ref="CW919">IF(OR(ISBLANK(CS919),ISBLANK(CT919)),"Incomplete",_xlfn.XLOOKUP(CS919&amp;CT919,VLOOKUP!$A$4:$A$250&amp;VLOOKUP!$B$4:$B$250,VLOOKUP!$D$4:$D$250,"0"))</f>
        <v>Incomplete</v>
      </c>
    </row>
    <row r="920" spans="1:101">
      <c r="A920" s="64" t="s">
        <v>1590</v>
      </c>
      <c r="B920" s="64" t="s">
        <v>1591</v>
      </c>
      <c r="C920" s="64" t="s">
        <v>86</v>
      </c>
      <c r="D920" s="65"/>
      <c r="E920" s="64"/>
      <c r="F920" s="64">
        <v>11</v>
      </c>
      <c r="G920" s="64">
        <v>2025</v>
      </c>
      <c r="H920" s="66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  <c r="AD920" s="66"/>
      <c r="AE920" s="66"/>
      <c r="AF920" s="66"/>
      <c r="AG920" s="66"/>
      <c r="AH920" s="66"/>
      <c r="AI920" s="66"/>
      <c r="AJ920" s="66"/>
      <c r="AK920" s="66"/>
      <c r="AL920" s="66"/>
      <c r="AM920" s="66"/>
      <c r="AN920" s="66"/>
      <c r="AO920" s="66"/>
      <c r="AP920" s="66"/>
      <c r="AQ920" s="20"/>
      <c r="AR920" s="20"/>
      <c r="AS920" s="20"/>
      <c r="AT920" s="20"/>
      <c r="AU920" s="20"/>
      <c r="AV920" s="20"/>
      <c r="AW920" s="20"/>
      <c r="AX920" s="20"/>
      <c r="AY920" s="41" t="str">
        <f t="shared" si="278"/>
        <v>Incomplete</v>
      </c>
      <c r="AZ920" s="66"/>
      <c r="BA920" s="20" t="str">
        <f t="shared" si="279"/>
        <v>Incomplete</v>
      </c>
      <c r="BB920" s="66"/>
      <c r="BC920" s="20" t="str">
        <f t="shared" si="280"/>
        <v>Incomplete</v>
      </c>
      <c r="BD920" s="66"/>
      <c r="BE920" s="20" t="str">
        <f t="shared" si="281"/>
        <v>Incomplete</v>
      </c>
      <c r="BF920" s="66"/>
      <c r="BG920" s="66">
        <v>16.5</v>
      </c>
      <c r="BH920" s="66">
        <v>40</v>
      </c>
      <c r="BI920" s="20">
        <f>IF(OR(ISBLANK(BG920), ISBLANK(BH920)),"Incomplete",(SUM(BH920-BG920)))</f>
        <v>23.5</v>
      </c>
      <c r="BJ920" s="66"/>
      <c r="BK920" s="66">
        <v>10</v>
      </c>
      <c r="BL920" s="66"/>
      <c r="BM920" s="66">
        <v>11</v>
      </c>
      <c r="BN920" s="66"/>
      <c r="BO920" s="66"/>
      <c r="BP920" s="66"/>
      <c r="BQ920" s="66"/>
      <c r="BR920" s="66"/>
      <c r="BS920" s="66"/>
      <c r="BT920" s="66"/>
      <c r="BU920" s="66"/>
      <c r="BV920" s="66"/>
      <c r="BW920" s="91" t="str">
        <f t="shared" si="282"/>
        <v>Incomplete</v>
      </c>
      <c r="BX920" s="91" t="str">
        <f>_xlfn.XLOOKUP(BW920,'Normative data'!$V$3:$V$6,'Normative data'!$W$3:$W$6,"Not Found",-1)</f>
        <v>Very low risk</v>
      </c>
      <c r="BY920" s="91" t="str">
        <f t="shared" si="283"/>
        <v>Incomplete</v>
      </c>
      <c r="BZ920" s="91" t="str">
        <f>_xlfn.XLOOKUP(BY920,'Normative data'!$V$3:$V$6,'Normative data'!$W$3:$W$6,"Not Found",-1)</f>
        <v>Very low risk</v>
      </c>
      <c r="CA920" s="66"/>
      <c r="CB920" s="66"/>
      <c r="CC920" s="20"/>
      <c r="CD920" s="66"/>
      <c r="CE920" s="66">
        <v>14</v>
      </c>
      <c r="CF920" s="66"/>
      <c r="CG920" s="66"/>
      <c r="CH920" s="20" t="str">
        <f>_xlfn.XLOOKUP(CG920, 'Normative data'!$S$9:$S$15,'Normative data'!$T$9:$T$15, "Not Found", -1)</f>
        <v>not completed</v>
      </c>
      <c r="CI920" s="66"/>
      <c r="CJ920" s="20" t="str">
        <f>_xlfn.XLOOKUP(CI920, 'Normative data'!$S$9:$S$15, 'Normative data'!$T$9:$T$15, "Not Found", -1)</f>
        <v>not completed</v>
      </c>
      <c r="CK920" s="105"/>
      <c r="CL920" s="105"/>
      <c r="CM920" s="105"/>
      <c r="CN920" s="105"/>
      <c r="CO920" s="105"/>
      <c r="CP920" s="68"/>
      <c r="CQ920" s="68"/>
      <c r="CR920" s="20" t="str" cm="1">
        <f t="array" ref="CR920">IF(OR(ISBLANK(E920),ISBLANK(CQ920)),"Incomplete",_xlfn.XLOOKUP(CQ920,_xlfn.XLOOKUP(E920,'Normative data'!$Y$3:$Y$6,'Normative data'!$Z$3:$AG$6,,-1),'Normative data'!$Z$2:$AG$2,"Not Found",-1))</f>
        <v>Incomplete</v>
      </c>
      <c r="CS920" s="68"/>
      <c r="CT920" s="66"/>
      <c r="CU920" s="20" t="str" cm="1">
        <f t="array" ref="CU920">_xlfn.XLOOKUP(CS920&amp;CT920,(VLOOKUP!$A$3:$A$250)&amp;(VLOOKUP!$B$3:$B$250),VLOOKUP!$C$3:$C$250,"Incomplete",-1)</f>
        <v>Incomplete</v>
      </c>
      <c r="CV920" s="20" t="str" cm="1">
        <f t="array" ref="CV920">_xlfn.XLOOKUP(CU920, _xlfn.XLOOKUP(E920, 'Normative data'!$Y$11:$Y$14, 'Normative data'!$Z$11:$AG$14, ,-1), 'Normative data'!$Z$10:$AG$10, "Not Found", -1)</f>
        <v>Excellent</v>
      </c>
      <c r="CW920" s="20" t="str" cm="1">
        <f t="array" ref="CW920">IF(OR(ISBLANK(CS920),ISBLANK(CT920)),"Incomplete",_xlfn.XLOOKUP(CS920&amp;CT920,VLOOKUP!$A$4:$A$250&amp;VLOOKUP!$B$4:$B$250,VLOOKUP!$D$4:$D$250,"0"))</f>
        <v>Incomplete</v>
      </c>
    </row>
    <row r="921" spans="1:101">
      <c r="A921" s="64" t="s">
        <v>725</v>
      </c>
      <c r="B921" s="64" t="s">
        <v>778</v>
      </c>
      <c r="C921" s="64" t="s">
        <v>86</v>
      </c>
      <c r="D921" s="97">
        <v>40223</v>
      </c>
      <c r="E921" s="64"/>
      <c r="F921" s="64"/>
      <c r="G921" s="64">
        <v>2025</v>
      </c>
      <c r="H921" s="66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6"/>
      <c r="T921" s="66" t="s">
        <v>1254</v>
      </c>
      <c r="U921" s="66" t="s">
        <v>1287</v>
      </c>
      <c r="V921" s="66"/>
      <c r="W921" s="66"/>
      <c r="X921" s="66"/>
      <c r="Y921" s="66"/>
      <c r="Z921" s="66"/>
      <c r="AA921" s="66"/>
      <c r="AB921" s="66"/>
      <c r="AC921" s="66"/>
      <c r="AD921" s="66"/>
      <c r="AE921" s="66"/>
      <c r="AF921" s="66"/>
      <c r="AG921" s="66"/>
      <c r="AH921" s="66"/>
      <c r="AI921" s="66"/>
      <c r="AJ921" s="66"/>
      <c r="AK921" s="66"/>
      <c r="AL921" s="66"/>
      <c r="AM921" s="66"/>
      <c r="AN921" s="66"/>
      <c r="AO921" s="66"/>
      <c r="AP921" s="66"/>
      <c r="AQ921" s="20">
        <v>27.3</v>
      </c>
      <c r="AR921" s="20">
        <v>0.47199999999999998</v>
      </c>
      <c r="AS921" s="20">
        <v>29.3</v>
      </c>
      <c r="AT921" s="20">
        <v>0.49299999999999999</v>
      </c>
      <c r="AU921" s="20">
        <v>14</v>
      </c>
      <c r="AV921" s="20">
        <v>0.33800000000000002</v>
      </c>
      <c r="AW921" s="20">
        <v>16.899999999999999</v>
      </c>
      <c r="AX921" s="20">
        <v>0.371</v>
      </c>
      <c r="AY921" s="41" t="e">
        <f>IF(OR(ISBLANK(#REF!), ISBLANK(AQ921)), "Incomplete", (60.7*AQ921)+(45.3*#REF!)-2055)</f>
        <v>#REF!</v>
      </c>
      <c r="AZ921" s="66"/>
      <c r="BA921" s="20" t="e">
        <f>IF(OR(ISBLANK(#REF!), ISBLANK(AS921)), "Incomplete", (60.7*AS921)+(45.3*#REF!)-2055)</f>
        <v>#REF!</v>
      </c>
      <c r="BB921" s="66"/>
      <c r="BC921" s="20" t="e">
        <f>IF(OR(ISBLANK(#REF!), ISBLANK(AU921)), "Incomplete", (60.7*AU921)+(45.3*#REF!)-2055)</f>
        <v>#REF!</v>
      </c>
      <c r="BD921" s="66"/>
      <c r="BE921" s="20" t="e">
        <f>IF(OR(ISBLANK(#REF!), ISBLANK(AW921)), "Incomplete", (60.7*AW921)+(45.3*#REF!)-2055)</f>
        <v>#REF!</v>
      </c>
      <c r="BF921" s="66"/>
      <c r="BG921" s="66">
        <v>12</v>
      </c>
      <c r="BH921" s="66">
        <v>32.5</v>
      </c>
      <c r="BI921" s="20" t="e">
        <f>IF(OR(ISBLANK(#REF!), ISBLANK(#REF!)),"Incomplete",(SUM(#REF!-#REF!)))</f>
        <v>#REF!</v>
      </c>
      <c r="BJ921" s="66"/>
      <c r="BK921" s="66"/>
      <c r="BL921" s="66"/>
      <c r="BM921" s="20"/>
      <c r="BN921" s="66"/>
      <c r="BO921" s="66"/>
      <c r="BP921" s="66"/>
      <c r="BQ921" s="66"/>
      <c r="BR921" s="66"/>
      <c r="BS921" s="66"/>
      <c r="BT921" s="66"/>
      <c r="BU921" s="66"/>
      <c r="BV921" s="66"/>
      <c r="BW921" s="91" t="str">
        <f>IFERROR(SUM(BQ921+BR921+BS921)/(3*(#REF!-S921))*100, "Incomplete")</f>
        <v>Incomplete</v>
      </c>
      <c r="BX921" s="91" t="str">
        <f>_xlfn.XLOOKUP(BW921,'Normative data'!$V$3:$V$6,'Normative data'!$W$3:$W$6,"Not Found",-1)</f>
        <v>Very low risk</v>
      </c>
      <c r="BY921" s="91" t="str">
        <f>IFERROR(SUM(BT921+BU921+BV921)/(3*(#REF!-S921))*100, "Incomplete")</f>
        <v>Incomplete</v>
      </c>
      <c r="BZ921" s="91" t="str">
        <f>_xlfn.XLOOKUP(BY921,'Normative data'!$V$3:$V$6,'Normative data'!$W$3:$W$6,"Not Found",-1)</f>
        <v>Very low risk</v>
      </c>
      <c r="CA921" s="20"/>
      <c r="CB921" s="66"/>
      <c r="CC921" s="20"/>
      <c r="CD921" s="66"/>
      <c r="CE921" s="66">
        <v>18</v>
      </c>
      <c r="CF921" s="66"/>
      <c r="CG921" s="66">
        <v>17.23</v>
      </c>
      <c r="CH921" s="20" t="e">
        <f>_xlfn.XLOOKUP(#REF!, 'Normative data'!$S$9:$S$15,'Normative data'!$T$9:$T$15, "Not Found", -1)</f>
        <v>#REF!</v>
      </c>
      <c r="CI921" s="66">
        <v>17.37</v>
      </c>
      <c r="CJ921" s="20" t="e">
        <f>_xlfn.XLOOKUP(#REF!, 'Normative data'!$S$9:$S$15, 'Normative data'!$T$9:$T$15, "Not Found", -1)</f>
        <v>#REF!</v>
      </c>
      <c r="CK921" s="72">
        <v>2.35</v>
      </c>
      <c r="CL921" s="72">
        <v>4.26</v>
      </c>
      <c r="CM921" s="105"/>
      <c r="CN921" s="72">
        <v>7.13</v>
      </c>
      <c r="CO921" s="72">
        <v>7.01</v>
      </c>
      <c r="CP921" s="68"/>
      <c r="CQ921" s="68"/>
      <c r="CR921" s="20" t="str" cm="1">
        <f t="array" ref="CR921">IF(OR(ISBLANK(E921),ISBLANK(CQ921)),"Incomplete",_xlfn.XLOOKUP(CQ921,_xlfn.XLOOKUP(E921,'Normative data'!$Y$3:$Y$6,'Normative data'!$Z$3:$AG$6,,-1),'Normative data'!$Z$2:$AG$2,"Not Found",-1))</f>
        <v>Incomplete</v>
      </c>
      <c r="CS921" s="68"/>
      <c r="CT921" s="66"/>
      <c r="CU921" s="20" t="str" cm="1">
        <f t="array" ref="CU921">_xlfn.XLOOKUP(CS921&amp;CT921,(VLOOKUP!$A$3:$A$250)&amp;(VLOOKUP!$B$3:$B$250),VLOOKUP!$C$3:$C$250,"Incomplete",-1)</f>
        <v>Incomplete</v>
      </c>
      <c r="CV921" s="20" t="str" cm="1">
        <f t="array" ref="CV921">_xlfn.XLOOKUP(CU921, _xlfn.XLOOKUP(E921, 'Normative data'!$Y$11:$Y$14, 'Normative data'!$Z$11:$AG$14, ,-1), 'Normative data'!$Z$10:$AG$10, "Not Found", -1)</f>
        <v>Excellent</v>
      </c>
      <c r="CW921" s="20" t="str" cm="1">
        <f t="array" ref="CW921">IF(OR(ISBLANK(CS921),ISBLANK(CT921)),"Incomplete",_xlfn.XLOOKUP(CS921&amp;CT921,VLOOKUP!$A$4:$A$250&amp;VLOOKUP!$B$4:$B$250,VLOOKUP!$D$4:$D$250,"0"))</f>
        <v>Incomplete</v>
      </c>
    </row>
    <row r="922" spans="1:101">
      <c r="A922" s="64" t="s">
        <v>725</v>
      </c>
      <c r="B922" s="64" t="s">
        <v>778</v>
      </c>
      <c r="C922" s="64" t="s">
        <v>86</v>
      </c>
      <c r="D922" s="97">
        <v>40223</v>
      </c>
      <c r="E922" s="64"/>
      <c r="F922" s="64"/>
      <c r="G922" s="64">
        <v>2025</v>
      </c>
      <c r="H922" s="66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  <c r="AD922" s="66"/>
      <c r="AE922" s="66"/>
      <c r="AF922" s="66"/>
      <c r="AG922" s="66"/>
      <c r="AH922" s="66"/>
      <c r="AI922" s="66"/>
      <c r="AJ922" s="66"/>
      <c r="AK922" s="66"/>
      <c r="AL922" s="66"/>
      <c r="AM922" s="66"/>
      <c r="AN922" s="66"/>
      <c r="AO922" s="66"/>
      <c r="AP922" s="66"/>
      <c r="AQ922" s="66"/>
      <c r="AR922" s="66"/>
      <c r="AS922" s="66"/>
      <c r="AT922" s="66"/>
      <c r="AU922" s="66"/>
      <c r="AV922" s="66"/>
      <c r="AW922" s="66"/>
      <c r="AX922" s="66"/>
      <c r="AY922" s="41" t="str">
        <f t="shared" ref="AY922:AY934" si="285">IF(OR(ISBLANK(U922), ISBLANK(AQ922)), "Incomplete", (60.7*AQ922)+(45.3*U922)-2055)</f>
        <v>Incomplete</v>
      </c>
      <c r="AZ922" s="66"/>
      <c r="BA922" s="20" t="str">
        <f t="shared" ref="BA922:BA934" si="286">IF(OR(ISBLANK(U922), ISBLANK(AS922)), "Incomplete", (60.7*AS922)+(45.3*U922)-2055)</f>
        <v>Incomplete</v>
      </c>
      <c r="BB922" s="66"/>
      <c r="BC922" s="20" t="str">
        <f t="shared" ref="BC922:BC934" si="287">IF(OR(ISBLANK(U922), ISBLANK(AU922)), "Incomplete", (60.7*AU922)+(45.3*U922)-2055)</f>
        <v>Incomplete</v>
      </c>
      <c r="BD922" s="66"/>
      <c r="BE922" s="20" t="str">
        <f t="shared" ref="BE922:BE934" si="288">IF(OR(ISBLANK(U922), ISBLANK(AW922)), "Incomplete", (60.7*AW922)+(45.3*U922)-2055)</f>
        <v>Incomplete</v>
      </c>
      <c r="BF922" s="66"/>
      <c r="BG922" s="66"/>
      <c r="BH922" s="66"/>
      <c r="BI922" s="20" t="str">
        <f t="shared" ref="BI922:BI936" si="289">IF(OR(ISBLANK(BG922), ISBLANK(BH922)),"Incomplete",(SUM(BH922-BG922)))</f>
        <v>Incomplete</v>
      </c>
      <c r="BJ922" s="66"/>
      <c r="BK922" s="66"/>
      <c r="BL922" s="66"/>
      <c r="BM922" s="66"/>
      <c r="BN922" s="66"/>
      <c r="BO922" s="66"/>
      <c r="BP922" s="66"/>
      <c r="BQ922" s="66"/>
      <c r="BR922" s="66"/>
      <c r="BS922" s="66"/>
      <c r="BT922" s="66"/>
      <c r="BU922" s="66"/>
      <c r="BV922" s="66"/>
      <c r="BW922" s="91" t="str">
        <f t="shared" ref="BW922:BW937" si="290">IFERROR(SUM(BQ922+BR922+BS922)/(3*(T922-S922))*100, "Incomplete")</f>
        <v>Incomplete</v>
      </c>
      <c r="BX922" s="91" t="str">
        <f>_xlfn.XLOOKUP(BW922,'Normative data'!$V$3:$V$6,'Normative data'!$W$3:$W$6,"Not Found",-1)</f>
        <v>Very low risk</v>
      </c>
      <c r="BY922" s="91" t="str">
        <f t="shared" ref="BY922:BY937" si="291">IFERROR(SUM(BT922+BU922+BV922)/(3*(T922-S922))*100, "Incomplete")</f>
        <v>Incomplete</v>
      </c>
      <c r="BZ922" s="91" t="str">
        <f>_xlfn.XLOOKUP(BY922,'Normative data'!$V$3:$V$6,'Normative data'!$W$3:$W$6,"Not Found",-1)</f>
        <v>Very low risk</v>
      </c>
      <c r="CA922" s="20"/>
      <c r="CB922" s="66"/>
      <c r="CC922" s="20"/>
      <c r="CD922" s="66"/>
      <c r="CE922" s="66"/>
      <c r="CF922" s="66"/>
      <c r="CG922" s="20">
        <v>17.02</v>
      </c>
      <c r="CH922" s="20" t="str">
        <f>_xlfn.XLOOKUP(CG921, 'Normative data'!$S$9:$S$15,'Normative data'!$T$9:$T$15, "Not Found", -1)</f>
        <v>Above Average</v>
      </c>
      <c r="CI922" s="20">
        <v>17.04</v>
      </c>
      <c r="CJ922" s="20" t="str">
        <f>_xlfn.XLOOKUP(CI921, 'Normative data'!$S$9:$S$15, 'Normative data'!$T$9:$T$15, "Not Found", -1)</f>
        <v>Above Average</v>
      </c>
      <c r="CK922" s="66" t="s">
        <v>204</v>
      </c>
      <c r="CL922" s="66" t="s">
        <v>802</v>
      </c>
      <c r="CM922" s="105"/>
      <c r="CN922" s="66" t="s">
        <v>119</v>
      </c>
      <c r="CO922" s="66" t="s">
        <v>118</v>
      </c>
      <c r="CP922" s="68"/>
      <c r="CQ922" s="68"/>
      <c r="CR922" s="20" t="str" cm="1">
        <f t="array" ref="CR922">IF(OR(ISBLANK(E922),ISBLANK(CQ922)),"Incomplete",_xlfn.XLOOKUP(CQ922,_xlfn.XLOOKUP(E922,'Normative data'!$Y$3:$Y$6,'Normative data'!$Z$3:$AG$6,,-1),'Normative data'!$Z$2:$AG$2,"Not Found",-1))</f>
        <v>Incomplete</v>
      </c>
      <c r="CS922" s="68"/>
      <c r="CT922" s="66"/>
      <c r="CU922" s="20" t="str" cm="1">
        <f t="array" ref="CU922">_xlfn.XLOOKUP(CS922&amp;CT922,(VLOOKUP!$A$3:$A$250)&amp;(VLOOKUP!$B$3:$B$250),VLOOKUP!$C$3:$C$250,"Incomplete",-1)</f>
        <v>Incomplete</v>
      </c>
      <c r="CV922" s="20" t="str" cm="1">
        <f t="array" ref="CV922">_xlfn.XLOOKUP(CU922, _xlfn.XLOOKUP(E922, 'Normative data'!$Y$11:$Y$14, 'Normative data'!$Z$11:$AG$14, ,-1), 'Normative data'!$Z$10:$AG$10, "Not Found", -1)</f>
        <v>Excellent</v>
      </c>
      <c r="CW922" s="20" t="str" cm="1">
        <f t="array" ref="CW922">IF(OR(ISBLANK(CS922),ISBLANK(CT922)),"Incomplete",_xlfn.XLOOKUP(CS922&amp;CT922,VLOOKUP!$A$4:$A$250&amp;VLOOKUP!$B$4:$B$250,VLOOKUP!$D$4:$D$250,"0"))</f>
        <v>Incomplete</v>
      </c>
    </row>
    <row r="923" spans="1:101">
      <c r="A923" s="64" t="s">
        <v>639</v>
      </c>
      <c r="B923" s="64" t="s">
        <v>1592</v>
      </c>
      <c r="C923" s="64" t="s">
        <v>86</v>
      </c>
      <c r="D923" s="97">
        <v>40223</v>
      </c>
      <c r="E923" s="64"/>
      <c r="F923" s="64"/>
      <c r="G923" s="64">
        <v>2026</v>
      </c>
      <c r="H923" s="66" t="s">
        <v>114</v>
      </c>
      <c r="I923" s="64">
        <v>1</v>
      </c>
      <c r="J923" s="64"/>
      <c r="K923" s="64"/>
      <c r="L923" s="64"/>
      <c r="M923" s="64"/>
      <c r="N923" s="64"/>
      <c r="O923" s="64"/>
      <c r="P923" s="64"/>
      <c r="Q923" s="64"/>
      <c r="R923" s="64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  <c r="AD923" s="66"/>
      <c r="AE923" s="66"/>
      <c r="AF923" s="66"/>
      <c r="AG923" s="66"/>
      <c r="AH923" s="66"/>
      <c r="AI923" s="66"/>
      <c r="AJ923" s="66"/>
      <c r="AK923" s="66"/>
      <c r="AL923" s="66"/>
      <c r="AM923" s="66"/>
      <c r="AN923" s="66"/>
      <c r="AO923" s="66"/>
      <c r="AP923" s="66"/>
      <c r="AQ923" s="30" t="s">
        <v>1593</v>
      </c>
      <c r="AR923" s="30" t="s">
        <v>1594</v>
      </c>
      <c r="AS923" s="30" t="s">
        <v>1595</v>
      </c>
      <c r="AT923" s="30" t="s">
        <v>1596</v>
      </c>
      <c r="AU923" s="30" t="s">
        <v>1597</v>
      </c>
      <c r="AV923" s="30" t="s">
        <v>1598</v>
      </c>
      <c r="AW923" s="30" t="s">
        <v>1599</v>
      </c>
      <c r="AX923" s="30" t="s">
        <v>1600</v>
      </c>
      <c r="AY923" s="41" t="str">
        <f t="shared" si="285"/>
        <v>Incomplete</v>
      </c>
      <c r="AZ923" s="66"/>
      <c r="BA923" s="20" t="str">
        <f t="shared" si="286"/>
        <v>Incomplete</v>
      </c>
      <c r="BB923" s="66"/>
      <c r="BC923" s="20" t="str">
        <f t="shared" si="287"/>
        <v>Incomplete</v>
      </c>
      <c r="BD923" s="66"/>
      <c r="BE923" s="20" t="str">
        <f t="shared" si="288"/>
        <v>Incomplete</v>
      </c>
      <c r="BF923" s="66"/>
      <c r="BG923" s="123" t="s">
        <v>633</v>
      </c>
      <c r="BH923" s="31" t="s">
        <v>1601</v>
      </c>
      <c r="BI923" s="20" t="e">
        <f t="shared" si="289"/>
        <v>#VALUE!</v>
      </c>
      <c r="BJ923" s="66"/>
      <c r="BK923" s="66"/>
      <c r="BL923" s="66"/>
      <c r="BM923" s="20"/>
      <c r="BN923" s="66"/>
      <c r="BO923" s="66"/>
      <c r="BP923" s="66"/>
      <c r="BQ923" s="66"/>
      <c r="BR923" s="66"/>
      <c r="BS923" s="66"/>
      <c r="BT923" s="66"/>
      <c r="BU923" s="66"/>
      <c r="BV923" s="66"/>
      <c r="BW923" s="91" t="str">
        <f t="shared" si="290"/>
        <v>Incomplete</v>
      </c>
      <c r="BX923" s="91" t="str">
        <f>_xlfn.XLOOKUP(BW923,'Normative data'!$V$3:$V$6,'Normative data'!$W$3:$W$6,"Not Found",-1)</f>
        <v>Very low risk</v>
      </c>
      <c r="BY923" s="91" t="str">
        <f t="shared" si="291"/>
        <v>Incomplete</v>
      </c>
      <c r="BZ923" s="91" t="str">
        <f>_xlfn.XLOOKUP(BY923,'Normative data'!$V$3:$V$6,'Normative data'!$W$3:$W$6,"Not Found",-1)</f>
        <v>Very low risk</v>
      </c>
      <c r="CA923" s="66"/>
      <c r="CB923" s="66"/>
      <c r="CC923" s="30">
        <v>45</v>
      </c>
      <c r="CD923" s="104"/>
      <c r="CE923" s="104">
        <v>10</v>
      </c>
      <c r="CF923" s="104"/>
      <c r="CG923" s="104" t="s">
        <v>1602</v>
      </c>
      <c r="CH923" s="20" t="str">
        <f>_xlfn.XLOOKUP(CG923, 'Normative data'!$S$9:$S$15,'Normative data'!$T$9:$T$15, "Not Found", -1)</f>
        <v>Poor</v>
      </c>
      <c r="CI923" s="104" t="s">
        <v>1603</v>
      </c>
      <c r="CJ923" s="20" t="str">
        <f>_xlfn.XLOOKUP(CI923, 'Normative data'!$S$9:$S$15, 'Normative data'!$T$9:$T$15, "Not Found", -1)</f>
        <v>Poor</v>
      </c>
      <c r="CK923" s="104" t="s">
        <v>327</v>
      </c>
      <c r="CL923" s="104" t="s">
        <v>624</v>
      </c>
      <c r="CM923" s="104"/>
      <c r="CN923" s="104" t="s">
        <v>437</v>
      </c>
      <c r="CO923" s="104" t="s">
        <v>1604</v>
      </c>
      <c r="CP923" s="112"/>
      <c r="CQ923" s="112" t="s">
        <v>925</v>
      </c>
      <c r="CR923" s="20" t="str" cm="1">
        <f t="array" ref="CR923">IF(OR(ISBLANK(E923),ISBLANK(CQ923)),"Incomplete",_xlfn.XLOOKUP(CQ923,_xlfn.XLOOKUP(E923,'Normative data'!$Y$3:$Y$6,'Normative data'!$Z$3:$AG$6,,-1),'Normative data'!$Z$2:$AG$2,"Not Found",-1))</f>
        <v>Incomplete</v>
      </c>
      <c r="CS923" s="68">
        <v>10</v>
      </c>
      <c r="CT923" s="66">
        <v>6</v>
      </c>
      <c r="CU923" s="20" cm="1">
        <f t="array" ref="CU923">_xlfn.XLOOKUP(CS923&amp;CT923,(VLOOKUP!$A$3:$A$250)&amp;(VLOOKUP!$B$3:$B$250),VLOOKUP!$C$3:$C$250,"Incomplete",-1)</f>
        <v>1780</v>
      </c>
      <c r="CV923" s="20" t="str" cm="1">
        <f t="array" ref="CV923">_xlfn.XLOOKUP(CU923, _xlfn.XLOOKUP(E923, 'Normative data'!$Y$11:$Y$14, 'Normative data'!$Z$11:$AG$14, ,-1), 'Normative data'!$Z$10:$AG$10, "Not Found", -1)</f>
        <v xml:space="preserve">Good </v>
      </c>
      <c r="CW923" s="20" cm="1">
        <f t="array" ref="CW923">IF(OR(ISBLANK(CS923),ISBLANK(CT923)),"Incomplete",_xlfn.XLOOKUP(CS923&amp;CT923,VLOOKUP!$A$4:$A$250&amp;VLOOKUP!$B$4:$B$250,VLOOKUP!$D$4:$D$250,"0"))</f>
        <v>49</v>
      </c>
    </row>
    <row r="924" spans="1:101">
      <c r="A924" s="93" t="s">
        <v>175</v>
      </c>
      <c r="B924" s="93" t="s">
        <v>174</v>
      </c>
      <c r="C924" s="64" t="s">
        <v>86</v>
      </c>
      <c r="D924" s="96">
        <v>40708</v>
      </c>
      <c r="E924" s="64"/>
      <c r="F924" s="64">
        <v>8</v>
      </c>
      <c r="G924" s="64">
        <v>2025</v>
      </c>
      <c r="H924" s="66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  <c r="AD924" s="66"/>
      <c r="AE924" s="66"/>
      <c r="AF924" s="66"/>
      <c r="AG924" s="66"/>
      <c r="AH924" s="66"/>
      <c r="AI924" s="66"/>
      <c r="AJ924" s="66"/>
      <c r="AK924" s="66"/>
      <c r="AL924" s="66"/>
      <c r="AM924" s="66"/>
      <c r="AN924" s="66"/>
      <c r="AO924" s="66"/>
      <c r="AP924" s="66"/>
      <c r="AQ924" s="20"/>
      <c r="AR924" s="20"/>
      <c r="AS924" s="20"/>
      <c r="AT924" s="20"/>
      <c r="AU924" s="20"/>
      <c r="AV924" s="20"/>
      <c r="AW924" s="20"/>
      <c r="AX924" s="20"/>
      <c r="AY924" s="41" t="str">
        <f t="shared" si="285"/>
        <v>Incomplete</v>
      </c>
      <c r="AZ924" s="66"/>
      <c r="BA924" s="20" t="str">
        <f t="shared" si="286"/>
        <v>Incomplete</v>
      </c>
      <c r="BB924" s="66"/>
      <c r="BC924" s="20" t="str">
        <f t="shared" si="287"/>
        <v>Incomplete</v>
      </c>
      <c r="BD924" s="66"/>
      <c r="BE924" s="20" t="str">
        <f t="shared" si="288"/>
        <v>Incomplete</v>
      </c>
      <c r="BF924" s="66"/>
      <c r="BG924" s="66">
        <v>21</v>
      </c>
      <c r="BH924" s="66">
        <v>45</v>
      </c>
      <c r="BI924" s="20">
        <f t="shared" si="289"/>
        <v>24</v>
      </c>
      <c r="BJ924" s="66"/>
      <c r="BK924" s="66">
        <v>5</v>
      </c>
      <c r="BL924" s="66"/>
      <c r="BM924" s="20">
        <v>5</v>
      </c>
      <c r="BN924" s="66"/>
      <c r="BO924" s="66"/>
      <c r="BP924" s="66"/>
      <c r="BQ924" s="66"/>
      <c r="BR924" s="66"/>
      <c r="BS924" s="66"/>
      <c r="BT924" s="66"/>
      <c r="BU924" s="66"/>
      <c r="BV924" s="66"/>
      <c r="BW924" s="91" t="str">
        <f t="shared" si="290"/>
        <v>Incomplete</v>
      </c>
      <c r="BX924" s="91" t="str">
        <f>_xlfn.XLOOKUP(BW924,'Normative data'!$V$3:$V$6,'Normative data'!$W$3:$W$6,"Not Found",-1)</f>
        <v>Very low risk</v>
      </c>
      <c r="BY924" s="91" t="str">
        <f t="shared" si="291"/>
        <v>Incomplete</v>
      </c>
      <c r="BZ924" s="91" t="str">
        <f>_xlfn.XLOOKUP(BY924,'Normative data'!$V$3:$V$6,'Normative data'!$W$3:$W$6,"Not Found",-1)</f>
        <v>Very low risk</v>
      </c>
      <c r="CA924" s="66"/>
      <c r="CB924" s="66"/>
      <c r="CC924" s="20"/>
      <c r="CD924" s="66"/>
      <c r="CE924" s="66">
        <v>11</v>
      </c>
      <c r="CF924" s="66"/>
      <c r="CG924" s="66"/>
      <c r="CH924" s="20" t="str">
        <f>_xlfn.XLOOKUP(CG924, 'Normative data'!$S$9:$S$15,'Normative data'!$T$9:$T$15, "Not Found", -1)</f>
        <v>not completed</v>
      </c>
      <c r="CI924" s="66"/>
      <c r="CJ924" s="20" t="str">
        <f>_xlfn.XLOOKUP(CI924, 'Normative data'!$S$9:$S$15, 'Normative data'!$T$9:$T$15, "Not Found", -1)</f>
        <v>not completed</v>
      </c>
      <c r="CK924" s="105">
        <v>2.37</v>
      </c>
      <c r="CL924" s="105">
        <v>4.22</v>
      </c>
      <c r="CM924" s="105"/>
      <c r="CN924" s="105">
        <v>7.61</v>
      </c>
      <c r="CO924" s="105">
        <v>6.57</v>
      </c>
      <c r="CP924" s="109"/>
      <c r="CQ924" s="68"/>
      <c r="CR924" s="20" t="str" cm="1">
        <f t="array" ref="CR924">IF(OR(ISBLANK(E924),ISBLANK(CQ924)),"Incomplete",_xlfn.XLOOKUP(CQ924,_xlfn.XLOOKUP(E924,'Normative data'!$Y$3:$Y$6,'Normative data'!$Z$3:$AG$6,,-1),'Normative data'!$Z$2:$AG$2,"Not Found",-1))</f>
        <v>Incomplete</v>
      </c>
      <c r="CS924" s="68"/>
      <c r="CT924" s="66"/>
      <c r="CU924" s="20" t="str" cm="1">
        <f t="array" ref="CU924">_xlfn.XLOOKUP(CS924&amp;CT924,(VLOOKUP!$A$3:$A$250)&amp;(VLOOKUP!$B$3:$B$250),VLOOKUP!$C$3:$C$250,"Incomplete",-1)</f>
        <v>Incomplete</v>
      </c>
      <c r="CV924" s="20" t="str" cm="1">
        <f t="array" ref="CV924">_xlfn.XLOOKUP(CU924, _xlfn.XLOOKUP(E924, 'Normative data'!$Y$11:$Y$14, 'Normative data'!$Z$11:$AG$14, ,-1), 'Normative data'!$Z$10:$AG$10, "Not Found", -1)</f>
        <v>Excellent</v>
      </c>
      <c r="CW924" s="20" t="str" cm="1">
        <f t="array" ref="CW924">IF(OR(ISBLANK(CS924),ISBLANK(CT924)),"Incomplete",_xlfn.XLOOKUP(CS924&amp;CT924,VLOOKUP!$A$4:$A$250&amp;VLOOKUP!$B$4:$B$250,VLOOKUP!$D$4:$D$250,"0"))</f>
        <v>Incomplete</v>
      </c>
    </row>
    <row r="925" spans="1:101">
      <c r="A925" s="93" t="s">
        <v>1605</v>
      </c>
      <c r="B925" s="93" t="s">
        <v>174</v>
      </c>
      <c r="C925" s="64" t="s">
        <v>86</v>
      </c>
      <c r="D925" s="96">
        <v>39168</v>
      </c>
      <c r="E925" s="64"/>
      <c r="F925" s="64">
        <v>11</v>
      </c>
      <c r="G925" s="64">
        <v>2025</v>
      </c>
      <c r="H925" s="66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  <c r="AD925" s="66"/>
      <c r="AE925" s="66"/>
      <c r="AF925" s="66"/>
      <c r="AG925" s="66"/>
      <c r="AH925" s="66"/>
      <c r="AI925" s="66"/>
      <c r="AJ925" s="66"/>
      <c r="AK925" s="66"/>
      <c r="AL925" s="66"/>
      <c r="AM925" s="66"/>
      <c r="AN925" s="66"/>
      <c r="AO925" s="66"/>
      <c r="AP925" s="66"/>
      <c r="AQ925" s="20"/>
      <c r="AR925" s="20"/>
      <c r="AS925" s="20"/>
      <c r="AT925" s="20"/>
      <c r="AU925" s="20"/>
      <c r="AV925" s="20"/>
      <c r="AW925" s="20"/>
      <c r="AX925" s="20"/>
      <c r="AY925" s="41" t="str">
        <f t="shared" si="285"/>
        <v>Incomplete</v>
      </c>
      <c r="AZ925" s="66"/>
      <c r="BA925" s="20" t="str">
        <f t="shared" si="286"/>
        <v>Incomplete</v>
      </c>
      <c r="BB925" s="66"/>
      <c r="BC925" s="20" t="str">
        <f t="shared" si="287"/>
        <v>Incomplete</v>
      </c>
      <c r="BD925" s="66"/>
      <c r="BE925" s="20" t="str">
        <f t="shared" si="288"/>
        <v>Incomplete</v>
      </c>
      <c r="BF925" s="66"/>
      <c r="BG925" s="66">
        <v>21</v>
      </c>
      <c r="BH925" s="66">
        <v>51.7</v>
      </c>
      <c r="BI925" s="20">
        <f t="shared" si="289"/>
        <v>30.700000000000003</v>
      </c>
      <c r="BJ925" s="66"/>
      <c r="BK925" s="66"/>
      <c r="BL925" s="66"/>
      <c r="BM925" s="66"/>
      <c r="BN925" s="66"/>
      <c r="BO925" s="66"/>
      <c r="BP925" s="66"/>
      <c r="BQ925" s="66"/>
      <c r="BR925" s="66"/>
      <c r="BS925" s="66"/>
      <c r="BT925" s="66"/>
      <c r="BU925" s="66"/>
      <c r="BV925" s="66"/>
      <c r="BW925" s="91" t="str">
        <f t="shared" si="290"/>
        <v>Incomplete</v>
      </c>
      <c r="BX925" s="91" t="str">
        <f>_xlfn.XLOOKUP(BW925,'Normative data'!$V$3:$V$6,'Normative data'!$W$3:$W$6,"Not Found",-1)</f>
        <v>Very low risk</v>
      </c>
      <c r="BY925" s="91" t="str">
        <f t="shared" si="291"/>
        <v>Incomplete</v>
      </c>
      <c r="BZ925" s="91" t="str">
        <f>_xlfn.XLOOKUP(BY925,'Normative data'!$V$3:$V$6,'Normative data'!$W$3:$W$6,"Not Found",-1)</f>
        <v>Very low risk</v>
      </c>
      <c r="CA925" s="66"/>
      <c r="CB925" s="66"/>
      <c r="CC925" s="20"/>
      <c r="CD925" s="66"/>
      <c r="CE925" s="66"/>
      <c r="CF925" s="66"/>
      <c r="CG925" s="66"/>
      <c r="CH925" s="20" t="str">
        <f>_xlfn.XLOOKUP(CG925, 'Normative data'!$S$9:$S$15,'Normative data'!$T$9:$T$15, "Not Found", -1)</f>
        <v>not completed</v>
      </c>
      <c r="CI925" s="66"/>
      <c r="CJ925" s="20" t="str">
        <f>_xlfn.XLOOKUP(CI925, 'Normative data'!$S$9:$S$15, 'Normative data'!$T$9:$T$15, "Not Found", -1)</f>
        <v>not completed</v>
      </c>
      <c r="CK925" s="105">
        <v>2.4500000000000002</v>
      </c>
      <c r="CL925" s="105">
        <v>4.08</v>
      </c>
      <c r="CM925" s="105"/>
      <c r="CN925" s="105">
        <v>7.8</v>
      </c>
      <c r="CO925" s="105">
        <v>6.41</v>
      </c>
      <c r="CP925" s="109"/>
      <c r="CQ925" s="68"/>
      <c r="CR925" s="20" t="str" cm="1">
        <f t="array" ref="CR925">IF(OR(ISBLANK(E925),ISBLANK(CQ925)),"Incomplete",_xlfn.XLOOKUP(CQ925,_xlfn.XLOOKUP(E925,'Normative data'!$Y$3:$Y$6,'Normative data'!$Z$3:$AG$6,,-1),'Normative data'!$Z$2:$AG$2,"Not Found",-1))</f>
        <v>Incomplete</v>
      </c>
      <c r="CS925" s="68"/>
      <c r="CT925" s="66"/>
      <c r="CU925" s="20" t="str" cm="1">
        <f t="array" ref="CU925">_xlfn.XLOOKUP(CS925&amp;CT925,(VLOOKUP!$A$3:$A$250)&amp;(VLOOKUP!$B$3:$B$250),VLOOKUP!$C$3:$C$250,"Incomplete",-1)</f>
        <v>Incomplete</v>
      </c>
      <c r="CV925" s="20" t="str" cm="1">
        <f t="array" ref="CV925">_xlfn.XLOOKUP(CU925, _xlfn.XLOOKUP(E925, 'Normative data'!$Y$11:$Y$14, 'Normative data'!$Z$11:$AG$14, ,-1), 'Normative data'!$Z$10:$AG$10, "Not Found", -1)</f>
        <v>Excellent</v>
      </c>
      <c r="CW925" s="20" t="str" cm="1">
        <f t="array" ref="CW925">IF(OR(ISBLANK(CS925),ISBLANK(CT925)),"Incomplete",_xlfn.XLOOKUP(CS925&amp;CT925,VLOOKUP!$A$4:$A$250&amp;VLOOKUP!$B$4:$B$250,VLOOKUP!$D$4:$D$250,"0"))</f>
        <v>Incomplete</v>
      </c>
    </row>
    <row r="926" spans="1:101">
      <c r="A926" s="94" t="s">
        <v>1273</v>
      </c>
      <c r="B926" s="94" t="s">
        <v>1272</v>
      </c>
      <c r="C926" s="64" t="s">
        <v>86</v>
      </c>
      <c r="D926" s="97">
        <v>40156</v>
      </c>
      <c r="E926" s="64"/>
      <c r="F926" s="64">
        <v>9</v>
      </c>
      <c r="G926" s="64">
        <v>2025</v>
      </c>
      <c r="H926" s="66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  <c r="AD926" s="66"/>
      <c r="AE926" s="66"/>
      <c r="AF926" s="66"/>
      <c r="AG926" s="66"/>
      <c r="AH926" s="66"/>
      <c r="AI926" s="66"/>
      <c r="AJ926" s="66"/>
      <c r="AK926" s="66"/>
      <c r="AL926" s="66"/>
      <c r="AM926" s="66"/>
      <c r="AN926" s="66"/>
      <c r="AO926" s="66"/>
      <c r="AP926" s="66"/>
      <c r="AQ926" s="66"/>
      <c r="AR926" s="66"/>
      <c r="AS926" s="66"/>
      <c r="AT926" s="66"/>
      <c r="AU926" s="66"/>
      <c r="AV926" s="66"/>
      <c r="AW926" s="66"/>
      <c r="AX926" s="66"/>
      <c r="AY926" s="41" t="str">
        <f t="shared" si="285"/>
        <v>Incomplete</v>
      </c>
      <c r="AZ926" s="66"/>
      <c r="BA926" s="20" t="str">
        <f t="shared" si="286"/>
        <v>Incomplete</v>
      </c>
      <c r="BB926" s="66"/>
      <c r="BC926" s="20" t="str">
        <f t="shared" si="287"/>
        <v>Incomplete</v>
      </c>
      <c r="BD926" s="66"/>
      <c r="BE926" s="20" t="str">
        <f t="shared" si="288"/>
        <v>Incomplete</v>
      </c>
      <c r="BF926" s="66"/>
      <c r="BG926" s="66"/>
      <c r="BH926" s="66"/>
      <c r="BI926" s="20" t="str">
        <f t="shared" si="289"/>
        <v>Incomplete</v>
      </c>
      <c r="BJ926" s="66"/>
      <c r="BK926" s="66"/>
      <c r="BL926" s="66"/>
      <c r="BM926" s="66"/>
      <c r="BN926" s="66"/>
      <c r="BO926" s="66"/>
      <c r="BP926" s="66"/>
      <c r="BQ926" s="66"/>
      <c r="BR926" s="66"/>
      <c r="BS926" s="66"/>
      <c r="BT926" s="66"/>
      <c r="BU926" s="66"/>
      <c r="BV926" s="66"/>
      <c r="BW926" s="91" t="str">
        <f t="shared" si="290"/>
        <v>Incomplete</v>
      </c>
      <c r="BX926" s="91" t="str">
        <f>_xlfn.XLOOKUP(BW926,'Normative data'!$V$3:$V$6,'Normative data'!$W$3:$W$6,"Not Found",-1)</f>
        <v>Very low risk</v>
      </c>
      <c r="BY926" s="91" t="str">
        <f t="shared" si="291"/>
        <v>Incomplete</v>
      </c>
      <c r="BZ926" s="91" t="str">
        <f>_xlfn.XLOOKUP(BY926,'Normative data'!$V$3:$V$6,'Normative data'!$W$3:$W$6,"Not Found",-1)</f>
        <v>Very low risk</v>
      </c>
      <c r="CA926" s="66"/>
      <c r="CB926" s="66"/>
      <c r="CC926" s="20"/>
      <c r="CD926" s="66"/>
      <c r="CE926" s="66">
        <v>3</v>
      </c>
      <c r="CF926" s="66"/>
      <c r="CG926" s="66"/>
      <c r="CH926" s="20" t="str">
        <f>_xlfn.XLOOKUP(CG926, 'Normative data'!$S$9:$S$15,'Normative data'!$T$9:$T$15, "Not Found", -1)</f>
        <v>not completed</v>
      </c>
      <c r="CI926" s="66"/>
      <c r="CJ926" s="20" t="str">
        <f>_xlfn.XLOOKUP(CI926, 'Normative data'!$S$9:$S$15, 'Normative data'!$T$9:$T$15, "Not Found", -1)</f>
        <v>not completed</v>
      </c>
      <c r="CK926" s="24">
        <v>2.36</v>
      </c>
      <c r="CL926" s="24">
        <v>4.24</v>
      </c>
      <c r="CM926" s="24"/>
      <c r="CN926" s="24">
        <v>7.5</v>
      </c>
      <c r="CO926" s="24">
        <v>6.67</v>
      </c>
      <c r="CP926" s="110"/>
      <c r="CQ926" s="68"/>
      <c r="CR926" s="20" t="str" cm="1">
        <f t="array" ref="CR926">IF(OR(ISBLANK(E926),ISBLANK(CQ926)),"Incomplete",_xlfn.XLOOKUP(CQ926,_xlfn.XLOOKUP(E926,'Normative data'!$Y$3:$Y$6,'Normative data'!$Z$3:$AG$6,,-1),'Normative data'!$Z$2:$AG$2,"Not Found",-1))</f>
        <v>Incomplete</v>
      </c>
      <c r="CS926" s="68"/>
      <c r="CT926" s="66"/>
      <c r="CU926" s="20" t="str" cm="1">
        <f t="array" ref="CU926">_xlfn.XLOOKUP(CS926&amp;CT926,(VLOOKUP!$A$3:$A$250)&amp;(VLOOKUP!$B$3:$B$250),VLOOKUP!$C$3:$C$250,"Incomplete",-1)</f>
        <v>Incomplete</v>
      </c>
      <c r="CV926" s="20" t="str" cm="1">
        <f t="array" ref="CV926">_xlfn.XLOOKUP(CU926, _xlfn.XLOOKUP(E926, 'Normative data'!$Y$11:$Y$14, 'Normative data'!$Z$11:$AG$14, ,-1), 'Normative data'!$Z$10:$AG$10, "Not Found", -1)</f>
        <v>Excellent</v>
      </c>
      <c r="CW926" s="20" t="str" cm="1">
        <f t="array" ref="CW926">IF(OR(ISBLANK(CS926),ISBLANK(CT926)),"Incomplete",_xlfn.XLOOKUP(CS926&amp;CT926,VLOOKUP!$A$4:$A$250&amp;VLOOKUP!$B$4:$B$250,VLOOKUP!$D$4:$D$250,"0"))</f>
        <v>Incomplete</v>
      </c>
    </row>
    <row r="927" spans="1:101">
      <c r="A927" s="64" t="s">
        <v>1606</v>
      </c>
      <c r="B927" s="64" t="s">
        <v>1191</v>
      </c>
      <c r="C927" s="64" t="s">
        <v>86</v>
      </c>
      <c r="D927" s="65"/>
      <c r="E927" s="64"/>
      <c r="F927" s="66" t="s">
        <v>235</v>
      </c>
      <c r="G927" s="64">
        <v>2026</v>
      </c>
      <c r="H927" s="66"/>
      <c r="I927" s="66">
        <v>2</v>
      </c>
      <c r="J927" s="66" t="s">
        <v>88</v>
      </c>
      <c r="K927" s="66" t="s">
        <v>108</v>
      </c>
      <c r="L927" s="66"/>
      <c r="M927" s="64"/>
      <c r="N927" s="64"/>
      <c r="O927" s="64"/>
      <c r="P927" s="64"/>
      <c r="Q927" s="64"/>
      <c r="R927" s="64"/>
      <c r="S927" s="66">
        <v>88.8</v>
      </c>
      <c r="T927" s="66">
        <v>171.7</v>
      </c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  <c r="AG927" s="64"/>
      <c r="AH927" s="64"/>
      <c r="AI927" s="64"/>
      <c r="AJ927" s="64"/>
      <c r="AK927" s="64"/>
      <c r="AL927" s="64"/>
      <c r="AM927" s="64"/>
      <c r="AN927" s="64"/>
      <c r="AO927" s="64"/>
      <c r="AP927" s="64"/>
      <c r="AQ927" s="66"/>
      <c r="AR927" s="66"/>
      <c r="AS927" s="66"/>
      <c r="AT927" s="66"/>
      <c r="AU927" s="66"/>
      <c r="AV927" s="66"/>
      <c r="AW927" s="66"/>
      <c r="AX927" s="66"/>
      <c r="AY927" s="41" t="str">
        <f t="shared" si="285"/>
        <v>Incomplete</v>
      </c>
      <c r="AZ927" s="64"/>
      <c r="BA927" s="20" t="str">
        <f t="shared" si="286"/>
        <v>Incomplete</v>
      </c>
      <c r="BB927" s="64"/>
      <c r="BC927" s="20" t="str">
        <f t="shared" si="287"/>
        <v>Incomplete</v>
      </c>
      <c r="BD927" s="64"/>
      <c r="BE927" s="20" t="str">
        <f t="shared" si="288"/>
        <v>Incomplete</v>
      </c>
      <c r="BF927" s="64"/>
      <c r="BG927" s="64"/>
      <c r="BH927" s="64">
        <v>26</v>
      </c>
      <c r="BI927" s="20" t="str">
        <f t="shared" si="289"/>
        <v>Incomplete</v>
      </c>
      <c r="BJ927" s="66"/>
      <c r="BK927" s="64">
        <v>10</v>
      </c>
      <c r="BL927" s="66"/>
      <c r="BM927" s="64">
        <v>7</v>
      </c>
      <c r="BN927" s="66"/>
      <c r="BO927" s="64"/>
      <c r="BP927" s="64"/>
      <c r="BQ927" s="64"/>
      <c r="BR927" s="64"/>
      <c r="BS927" s="64"/>
      <c r="BT927" s="64"/>
      <c r="BU927" s="64"/>
      <c r="BV927" s="64"/>
      <c r="BW927" s="91">
        <f t="shared" si="290"/>
        <v>0</v>
      </c>
      <c r="BX927" s="91" t="str">
        <f>_xlfn.XLOOKUP(BW927,'Normative data'!$V$3:$V$6,'Normative data'!$W$3:$W$6,"Not Found",-1)</f>
        <v>Not completed</v>
      </c>
      <c r="BY927" s="91">
        <f t="shared" si="291"/>
        <v>0</v>
      </c>
      <c r="BZ927" s="91" t="str">
        <f>_xlfn.XLOOKUP(BY927,'Normative data'!$V$3:$V$6,'Normative data'!$W$3:$W$6,"Not Found",-1)</f>
        <v>Not completed</v>
      </c>
      <c r="CA927" s="66"/>
      <c r="CB927" s="66"/>
      <c r="CC927" s="20"/>
      <c r="CD927" s="66"/>
      <c r="CE927" s="64">
        <v>10</v>
      </c>
      <c r="CF927" s="66"/>
      <c r="CG927" s="64"/>
      <c r="CH927" s="20" t="str">
        <f>_xlfn.XLOOKUP(CG927, 'Normative data'!$S$9:$S$15,'Normative data'!$T$9:$T$15, "Not Found", -1)</f>
        <v>not completed</v>
      </c>
      <c r="CI927" s="64">
        <v>20.53</v>
      </c>
      <c r="CJ927" s="20" t="str">
        <f>_xlfn.XLOOKUP(CI927, 'Normative data'!$S$9:$S$15, 'Normative data'!$T$9:$T$15, "Not Found", -1)</f>
        <v>Average</v>
      </c>
      <c r="CK927" s="64">
        <v>2.29</v>
      </c>
      <c r="CL927" s="64">
        <v>4.37</v>
      </c>
      <c r="CM927" s="66"/>
      <c r="CN927" s="64">
        <v>7.5</v>
      </c>
      <c r="CO927" s="64">
        <v>6.67</v>
      </c>
      <c r="CP927" s="68"/>
      <c r="CQ927" s="67">
        <v>5.3</v>
      </c>
      <c r="CR927" s="20" t="str" cm="1">
        <f t="array" ref="CR927">IF(OR(ISBLANK(E927),ISBLANK(CQ927)),"Incomplete",_xlfn.XLOOKUP(CQ927,_xlfn.XLOOKUP(E927,'Normative data'!$Y$3:$Y$6,'Normative data'!$Z$3:$AG$6,,-1),'Normative data'!$Z$2:$AG$2,"Not Found",-1))</f>
        <v>Incomplete</v>
      </c>
      <c r="CS927" s="68">
        <v>5</v>
      </c>
      <c r="CT927" s="66">
        <v>3</v>
      </c>
      <c r="CU927" s="20" cm="1">
        <f t="array" ref="CU927">_xlfn.XLOOKUP(CS927&amp;CT927,(VLOOKUP!$A$3:$A$250)&amp;(VLOOKUP!$B$3:$B$250),VLOOKUP!$C$3:$C$250,"Incomplete",-1)</f>
        <v>700</v>
      </c>
      <c r="CV927" s="20" t="str" cm="1">
        <f t="array" ref="CV927">_xlfn.XLOOKUP(CU927, _xlfn.XLOOKUP(E927, 'Normative data'!$Y$11:$Y$14, 'Normative data'!$Z$11:$AG$14, ,-1), 'Normative data'!$Z$10:$AG$10, "Not Found", -1)</f>
        <v xml:space="preserve">Poor </v>
      </c>
      <c r="CW927" s="20" cm="1">
        <f t="array" ref="CW927">IF(OR(ISBLANK(CS927),ISBLANK(CT927)),"Incomplete",_xlfn.XLOOKUP(CS927&amp;CT927,VLOOKUP!$A$4:$A$250&amp;VLOOKUP!$B$4:$B$250,VLOOKUP!$D$4:$D$250,"0"))</f>
        <v>31</v>
      </c>
    </row>
    <row r="928" spans="1:101">
      <c r="A928" s="64" t="s">
        <v>1607</v>
      </c>
      <c r="B928" s="64" t="s">
        <v>1191</v>
      </c>
      <c r="C928" s="64" t="s">
        <v>86</v>
      </c>
      <c r="D928" s="65">
        <v>41080</v>
      </c>
      <c r="E928" s="64">
        <v>13.9</v>
      </c>
      <c r="F928" s="66" t="s">
        <v>97</v>
      </c>
      <c r="G928" s="64">
        <v>2026</v>
      </c>
      <c r="H928" s="66"/>
      <c r="I928" s="66">
        <v>2</v>
      </c>
      <c r="J928" s="66"/>
      <c r="K928" s="66"/>
      <c r="L928" s="66"/>
      <c r="M928" s="64"/>
      <c r="N928" s="64"/>
      <c r="O928" s="64"/>
      <c r="P928" s="64"/>
      <c r="Q928" s="64"/>
      <c r="R928" s="64"/>
      <c r="S928" s="66">
        <v>88.3</v>
      </c>
      <c r="T928" s="66">
        <v>167.6</v>
      </c>
      <c r="U928" s="64">
        <v>53.1</v>
      </c>
      <c r="V928" s="64">
        <v>30.7</v>
      </c>
      <c r="W928" s="64">
        <v>11.2</v>
      </c>
      <c r="X928" s="64">
        <v>41.9</v>
      </c>
      <c r="Y928" s="64">
        <v>22.8</v>
      </c>
      <c r="Z928" s="64">
        <v>18.899999999999999</v>
      </c>
      <c r="AA928" s="64">
        <v>21.1</v>
      </c>
      <c r="AB928" s="64">
        <v>6.53</v>
      </c>
      <c r="AC928" s="64">
        <v>106.4</v>
      </c>
      <c r="AD928" s="64">
        <v>6.53</v>
      </c>
      <c r="AE928" s="64">
        <v>106.4</v>
      </c>
      <c r="AF928" s="64">
        <v>1.9</v>
      </c>
      <c r="AG928" s="64">
        <v>71.599999999999994</v>
      </c>
      <c r="AH928" s="64">
        <v>1.8</v>
      </c>
      <c r="AI928" s="64">
        <v>71.599999999999994</v>
      </c>
      <c r="AJ928" s="64">
        <v>341.8</v>
      </c>
      <c r="AK928" s="64">
        <v>341.9</v>
      </c>
      <c r="AL928" s="64">
        <v>306</v>
      </c>
      <c r="AM928" s="64">
        <v>306.89999999999998</v>
      </c>
      <c r="AN928" s="64">
        <v>104</v>
      </c>
      <c r="AO928" s="64"/>
      <c r="AP928" s="64"/>
      <c r="AQ928" s="17">
        <v>18.899999999999999</v>
      </c>
      <c r="AR928" s="17">
        <v>0.39300000000000002</v>
      </c>
      <c r="AS928" s="17">
        <v>28.7</v>
      </c>
      <c r="AT928" s="17">
        <v>0.48399999999999999</v>
      </c>
      <c r="AU928" s="17">
        <v>12.3</v>
      </c>
      <c r="AV928" s="17">
        <v>0.317</v>
      </c>
      <c r="AW928" s="17">
        <v>11.9</v>
      </c>
      <c r="AX928" s="17">
        <v>0.311</v>
      </c>
      <c r="AY928" s="41">
        <f t="shared" si="285"/>
        <v>1497.6599999999999</v>
      </c>
      <c r="AZ928" s="64"/>
      <c r="BA928" s="20">
        <f t="shared" si="286"/>
        <v>2092.5200000000004</v>
      </c>
      <c r="BB928" s="64"/>
      <c r="BC928" s="20">
        <f t="shared" si="287"/>
        <v>1097.04</v>
      </c>
      <c r="BD928" s="64"/>
      <c r="BE928" s="20">
        <f t="shared" si="288"/>
        <v>1072.7599999999998</v>
      </c>
      <c r="BF928" s="64"/>
      <c r="BG928" s="64">
        <v>9</v>
      </c>
      <c r="BH928" s="64">
        <v>48.2</v>
      </c>
      <c r="BI928" s="20">
        <f t="shared" si="289"/>
        <v>39.200000000000003</v>
      </c>
      <c r="BJ928" s="66"/>
      <c r="BK928" s="64">
        <v>9</v>
      </c>
      <c r="BL928" s="66"/>
      <c r="BM928" s="64">
        <v>9</v>
      </c>
      <c r="BN928" s="66"/>
      <c r="BO928" s="64">
        <v>46.5</v>
      </c>
      <c r="BP928" s="64">
        <v>45.5</v>
      </c>
      <c r="BQ928" s="64">
        <v>76</v>
      </c>
      <c r="BR928" s="64">
        <v>68</v>
      </c>
      <c r="BS928" s="64">
        <v>69</v>
      </c>
      <c r="BT928" s="64">
        <v>78</v>
      </c>
      <c r="BU928" s="64">
        <v>66</v>
      </c>
      <c r="BV928" s="64">
        <v>70</v>
      </c>
      <c r="BW928" s="91">
        <f t="shared" si="290"/>
        <v>89.533417402269862</v>
      </c>
      <c r="BX928" s="91" t="str">
        <f>_xlfn.XLOOKUP(BW928,'Normative data'!$V$3:$V$6,'Normative data'!$W$3:$W$6,"Not Found",-1)</f>
        <v>High risk</v>
      </c>
      <c r="BY928" s="91">
        <f t="shared" si="291"/>
        <v>89.953762084909641</v>
      </c>
      <c r="BZ928" s="91" t="str">
        <f>_xlfn.XLOOKUP(BY928,'Normative data'!$V$3:$V$6,'Normative data'!$W$3:$W$6,"Not Found",-1)</f>
        <v>High risk</v>
      </c>
      <c r="CB928" s="66"/>
      <c r="CD928" s="66"/>
      <c r="CE928" s="64"/>
      <c r="CF928" s="66"/>
      <c r="CG928" s="64">
        <v>18</v>
      </c>
      <c r="CH928" s="20" t="str">
        <f>_xlfn.XLOOKUP(CG928, 'Normative data'!$S$9:$S$15,'Normative data'!$T$9:$T$15, "Not Found", -1)</f>
        <v>Average</v>
      </c>
      <c r="CI928" s="64">
        <v>17.440000000000001</v>
      </c>
      <c r="CJ928" s="20" t="str">
        <f>_xlfn.XLOOKUP(CI928, 'Normative data'!$S$9:$S$15, 'Normative data'!$T$9:$T$15, "Not Found", -1)</f>
        <v>Above Average</v>
      </c>
      <c r="CK928" s="105"/>
      <c r="CL928" s="105"/>
      <c r="CM928" s="105"/>
      <c r="CN928" s="105"/>
      <c r="CO928" s="105"/>
      <c r="CP928" s="68"/>
      <c r="CQ928" s="67">
        <v>4.3</v>
      </c>
      <c r="CR928" s="20" t="str" cm="1">
        <f t="array" ref="CR928">IF(OR(ISBLANK(E928),ISBLANK(CQ928)),"Incomplete",_xlfn.XLOOKUP(CQ928,_xlfn.XLOOKUP(E928,'Normative data'!$Y$3:$Y$6,'Normative data'!$Z$3:$AG$6,,-1),'Normative data'!$Z$2:$AG$2,"Not Found",-1))</f>
        <v>Fair</v>
      </c>
      <c r="CS928" s="68">
        <v>4</v>
      </c>
      <c r="CT928" s="66">
        <v>3</v>
      </c>
      <c r="CU928" s="20" cm="1">
        <f t="array" ref="CU928">_xlfn.XLOOKUP(CS928&amp;CT928,(VLOOKUP!$A$3:$A$250)&amp;(VLOOKUP!$B$3:$B$250),VLOOKUP!$C$3:$C$250,"Incomplete",-1)</f>
        <v>520</v>
      </c>
      <c r="CV928" s="20" t="str" cm="1">
        <f t="array" ref="CV928">_xlfn.XLOOKUP(CU928, _xlfn.XLOOKUP(E928, 'Normative data'!$Y$11:$Y$14, 'Normative data'!$Z$11:$AG$14, ,-1), 'Normative data'!$Z$10:$AG$10, "Not Found", -1)</f>
        <v xml:space="preserve">Fair </v>
      </c>
      <c r="CW928" s="20" cm="1">
        <f t="array" ref="CW928">IF(OR(ISBLANK(CS928),ISBLANK(CT928)),"Incomplete",_xlfn.XLOOKUP(CS928&amp;CT928,VLOOKUP!$A$4:$A$250&amp;VLOOKUP!$B$4:$B$250,VLOOKUP!$D$4:$D$250,"0"))</f>
        <v>27</v>
      </c>
    </row>
    <row r="929" spans="1:101">
      <c r="A929" s="64" t="s">
        <v>1608</v>
      </c>
      <c r="B929" s="64" t="s">
        <v>1191</v>
      </c>
      <c r="C929" s="64" t="s">
        <v>86</v>
      </c>
      <c r="D929" s="65">
        <v>41059</v>
      </c>
      <c r="E929" s="64">
        <v>13.9</v>
      </c>
      <c r="F929" s="66" t="s">
        <v>97</v>
      </c>
      <c r="G929" s="64">
        <v>2026</v>
      </c>
      <c r="H929" s="66"/>
      <c r="I929" s="66">
        <v>2</v>
      </c>
      <c r="J929" s="66" t="s">
        <v>100</v>
      </c>
      <c r="K929" s="66" t="s">
        <v>170</v>
      </c>
      <c r="L929" s="66"/>
      <c r="M929" s="64"/>
      <c r="N929" s="64"/>
      <c r="O929" s="64"/>
      <c r="P929" s="64"/>
      <c r="Q929" s="64"/>
      <c r="R929" s="64"/>
      <c r="S929" s="66">
        <v>85.1</v>
      </c>
      <c r="T929" s="66">
        <v>170.8</v>
      </c>
      <c r="U929" s="64">
        <v>66.900000000000006</v>
      </c>
      <c r="V929" s="64">
        <v>37.799999999999997</v>
      </c>
      <c r="W929" s="64">
        <v>15.2</v>
      </c>
      <c r="X929" s="64">
        <v>51.7</v>
      </c>
      <c r="Y929" s="64">
        <v>28.6</v>
      </c>
      <c r="Z929" s="64">
        <v>22.9</v>
      </c>
      <c r="AA929" s="64">
        <v>22.7</v>
      </c>
      <c r="AB929" s="64">
        <v>8.14</v>
      </c>
      <c r="AC929" s="64">
        <v>110</v>
      </c>
      <c r="AD929" s="64">
        <v>8.17</v>
      </c>
      <c r="AE929" s="64">
        <v>110.5</v>
      </c>
      <c r="AF929" s="64">
        <v>2.4</v>
      </c>
      <c r="AG929" s="64">
        <v>90.9</v>
      </c>
      <c r="AH929" s="64">
        <v>2.4</v>
      </c>
      <c r="AI929" s="64">
        <v>90.8</v>
      </c>
      <c r="AJ929" s="64">
        <v>256.2</v>
      </c>
      <c r="AK929" s="64">
        <v>252.1</v>
      </c>
      <c r="AL929" s="64">
        <v>228.3</v>
      </c>
      <c r="AM929" s="64">
        <v>224.5</v>
      </c>
      <c r="AN929" s="64">
        <v>124</v>
      </c>
      <c r="AO929" s="64">
        <v>0.82</v>
      </c>
      <c r="AP929" s="64">
        <v>7.3</v>
      </c>
      <c r="AQ929" s="17">
        <v>21.2</v>
      </c>
      <c r="AR929" s="17">
        <v>0.41599999999999998</v>
      </c>
      <c r="AS929" s="17">
        <v>25.3</v>
      </c>
      <c r="AT929" s="17">
        <v>0.45400000000000001</v>
      </c>
      <c r="AU929" s="17">
        <v>13.3</v>
      </c>
      <c r="AV929" s="17">
        <v>0.32900000000000001</v>
      </c>
      <c r="AW929" s="17">
        <v>10.4</v>
      </c>
      <c r="AX929" s="17">
        <v>0.29099999999999998</v>
      </c>
      <c r="AY929" s="41">
        <f t="shared" si="285"/>
        <v>2262.41</v>
      </c>
      <c r="AZ929" s="64"/>
      <c r="BA929" s="20">
        <f t="shared" si="286"/>
        <v>2511.2800000000007</v>
      </c>
      <c r="BB929" s="64"/>
      <c r="BC929" s="20">
        <f t="shared" si="287"/>
        <v>1782.88</v>
      </c>
      <c r="BD929" s="64"/>
      <c r="BE929" s="20">
        <f t="shared" si="288"/>
        <v>1606.8500000000004</v>
      </c>
      <c r="BF929" s="64"/>
      <c r="BG929" s="64">
        <v>9.5</v>
      </c>
      <c r="BH929" s="64">
        <v>39</v>
      </c>
      <c r="BI929" s="20">
        <f t="shared" si="289"/>
        <v>29.5</v>
      </c>
      <c r="BJ929" s="66"/>
      <c r="BK929" s="64">
        <v>7</v>
      </c>
      <c r="BL929" s="66"/>
      <c r="BM929" s="17">
        <v>7</v>
      </c>
      <c r="BN929" s="66"/>
      <c r="BO929" s="64">
        <v>49.9</v>
      </c>
      <c r="BP929" s="64">
        <v>50.2</v>
      </c>
      <c r="BQ929" s="64">
        <v>107</v>
      </c>
      <c r="BR929" s="64">
        <v>91</v>
      </c>
      <c r="BS929" s="64">
        <v>74</v>
      </c>
      <c r="BT929" s="64">
        <v>92</v>
      </c>
      <c r="BU929" s="64">
        <v>97</v>
      </c>
      <c r="BV929" s="64">
        <v>84</v>
      </c>
      <c r="BW929" s="91">
        <f t="shared" si="290"/>
        <v>105.79541034616879</v>
      </c>
      <c r="BX929" s="91" t="str">
        <f>_xlfn.XLOOKUP(BW929,'Normative data'!$V$3:$V$6,'Normative data'!$W$3:$W$6,"Not Found",-1)</f>
        <v>Low risk</v>
      </c>
      <c r="BY929" s="91">
        <f t="shared" si="291"/>
        <v>106.18436406067677</v>
      </c>
      <c r="BZ929" s="91" t="str">
        <f>_xlfn.XLOOKUP(BY929,'Normative data'!$V$3:$V$6,'Normative data'!$W$3:$W$6,"Not Found",-1)</f>
        <v>Low risk</v>
      </c>
      <c r="CA929" s="64">
        <v>34</v>
      </c>
      <c r="CB929" s="66"/>
      <c r="CC929" s="20"/>
      <c r="CD929" s="66"/>
      <c r="CE929" s="64">
        <v>8</v>
      </c>
      <c r="CF929" s="66"/>
      <c r="CG929" s="64">
        <v>19.16</v>
      </c>
      <c r="CH929" s="20" t="str">
        <f>_xlfn.XLOOKUP(CG929, 'Normative data'!$S$9:$S$15,'Normative data'!$T$9:$T$15, "Not Found", -1)</f>
        <v>Average</v>
      </c>
      <c r="CI929" s="64">
        <v>19.350000000000001</v>
      </c>
      <c r="CJ929" s="20" t="str">
        <f>_xlfn.XLOOKUP(CI929, 'Normative data'!$S$9:$S$15, 'Normative data'!$T$9:$T$15, "Not Found", -1)</f>
        <v>Average</v>
      </c>
      <c r="CK929" s="105"/>
      <c r="CL929" s="105"/>
      <c r="CM929" s="105"/>
      <c r="CN929" s="105"/>
      <c r="CO929" s="105"/>
      <c r="CP929" s="68"/>
      <c r="CQ929" s="67">
        <v>6.7</v>
      </c>
      <c r="CR929" s="20" t="str" cm="1">
        <f t="array" ref="CR929">IF(OR(ISBLANK(E929),ISBLANK(CQ929)),"Incomplete",_xlfn.XLOOKUP(CQ929,_xlfn.XLOOKUP(E929,'Normative data'!$Y$3:$Y$6,'Normative data'!$Z$3:$AG$6,,-1),'Normative data'!$Z$2:$AG$2,"Not Found",-1))</f>
        <v>Good</v>
      </c>
      <c r="CS929" s="68">
        <v>6</v>
      </c>
      <c r="CT929" s="66">
        <v>7</v>
      </c>
      <c r="CU929" s="20" cm="1">
        <f t="array" ref="CU929">_xlfn.XLOOKUP(CS929&amp;CT929,(VLOOKUP!$A$3:$A$250)&amp;(VLOOKUP!$B$3:$B$250),VLOOKUP!$C$3:$C$250,"Incomplete",-1)</f>
        <v>960</v>
      </c>
      <c r="CV929" s="20" t="str" cm="1">
        <f t="array" ref="CV929">_xlfn.XLOOKUP(CU929, _xlfn.XLOOKUP(E929, 'Normative data'!$Y$11:$Y$14, 'Normative data'!$Z$11:$AG$14, ,-1), 'Normative data'!$Z$10:$AG$10, "Not Found", -1)</f>
        <v xml:space="preserve">Good </v>
      </c>
      <c r="CW929" s="20" cm="1">
        <f t="array" ref="CW929">IF(OR(ISBLANK(CS929),ISBLANK(CT929)),"Incomplete",_xlfn.XLOOKUP(CS929&amp;CT929,VLOOKUP!$A$4:$A$250&amp;VLOOKUP!$B$4:$B$250,VLOOKUP!$D$4:$D$250,"0"))</f>
        <v>35</v>
      </c>
    </row>
    <row r="930" spans="1:101">
      <c r="A930" s="64" t="s">
        <v>1192</v>
      </c>
      <c r="B930" s="64" t="s">
        <v>1191</v>
      </c>
      <c r="C930" s="64" t="s">
        <v>86</v>
      </c>
      <c r="D930" s="65"/>
      <c r="E930" s="64"/>
      <c r="F930" s="66" t="s">
        <v>151</v>
      </c>
      <c r="G930" s="64">
        <v>2026</v>
      </c>
      <c r="H930" s="66"/>
      <c r="I930" s="66">
        <v>2</v>
      </c>
      <c r="J930" s="66" t="s">
        <v>122</v>
      </c>
      <c r="K930" s="66" t="s">
        <v>228</v>
      </c>
      <c r="L930" s="66"/>
      <c r="M930" s="64"/>
      <c r="N930" s="64"/>
      <c r="O930" s="64"/>
      <c r="P930" s="64"/>
      <c r="Q930" s="64"/>
      <c r="R930" s="64"/>
      <c r="S930" s="66"/>
      <c r="T930" s="66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  <c r="AG930" s="64"/>
      <c r="AH930" s="64"/>
      <c r="AI930" s="64"/>
      <c r="AJ930" s="64"/>
      <c r="AK930" s="64"/>
      <c r="AL930" s="64"/>
      <c r="AM930" s="64"/>
      <c r="AN930" s="64"/>
      <c r="AO930" s="64"/>
      <c r="AP930" s="64"/>
      <c r="AQ930" s="20"/>
      <c r="AR930" s="20"/>
      <c r="AS930" s="20"/>
      <c r="AT930" s="20"/>
      <c r="AU930" s="20"/>
      <c r="AV930" s="20"/>
      <c r="AW930" s="20"/>
      <c r="AX930" s="20"/>
      <c r="AY930" s="41" t="str">
        <f t="shared" si="285"/>
        <v>Incomplete</v>
      </c>
      <c r="AZ930" s="64"/>
      <c r="BA930" s="20" t="str">
        <f t="shared" si="286"/>
        <v>Incomplete</v>
      </c>
      <c r="BB930" s="64"/>
      <c r="BC930" s="20" t="str">
        <f t="shared" si="287"/>
        <v>Incomplete</v>
      </c>
      <c r="BD930" s="64"/>
      <c r="BE930" s="20" t="str">
        <f t="shared" si="288"/>
        <v>Incomplete</v>
      </c>
      <c r="BF930" s="64"/>
      <c r="BG930" s="64"/>
      <c r="BH930" s="20"/>
      <c r="BI930" s="20" t="str">
        <f t="shared" si="289"/>
        <v>Incomplete</v>
      </c>
      <c r="BJ930" s="66"/>
      <c r="BK930" s="64"/>
      <c r="BL930" s="66"/>
      <c r="BM930" s="20"/>
      <c r="BN930" s="66"/>
      <c r="BO930" s="64"/>
      <c r="BP930" s="64"/>
      <c r="BQ930" s="64"/>
      <c r="BR930" s="64"/>
      <c r="BS930" s="64"/>
      <c r="BT930" s="64"/>
      <c r="BU930" s="64"/>
      <c r="BV930" s="64"/>
      <c r="BW930" s="91" t="str">
        <f t="shared" si="290"/>
        <v>Incomplete</v>
      </c>
      <c r="BX930" s="91" t="str">
        <f>_xlfn.XLOOKUP(BW930,'Normative data'!$V$3:$V$6,'Normative data'!$W$3:$W$6,"Not Found",-1)</f>
        <v>Very low risk</v>
      </c>
      <c r="BY930" s="91" t="str">
        <f t="shared" si="291"/>
        <v>Incomplete</v>
      </c>
      <c r="BZ930" s="91" t="str">
        <f>_xlfn.XLOOKUP(BY930,'Normative data'!$V$3:$V$6,'Normative data'!$W$3:$W$6,"Not Found",-1)</f>
        <v>Very low risk</v>
      </c>
      <c r="CA930" s="64">
        <v>30</v>
      </c>
      <c r="CB930" s="66"/>
      <c r="CC930" s="20"/>
      <c r="CD930" s="66"/>
      <c r="CE930" s="64"/>
      <c r="CF930" s="66"/>
      <c r="CG930" s="17">
        <v>18.53</v>
      </c>
      <c r="CH930" s="20" t="str">
        <f>_xlfn.XLOOKUP(CG930, 'Normative data'!$S$9:$S$15,'Normative data'!$T$9:$T$15, "Not Found", -1)</f>
        <v>Average</v>
      </c>
      <c r="CI930" s="17">
        <v>18.93</v>
      </c>
      <c r="CJ930" s="20" t="str">
        <f>_xlfn.XLOOKUP(CI930, 'Normative data'!$S$9:$S$15, 'Normative data'!$T$9:$T$15, "Not Found", -1)</f>
        <v>Average</v>
      </c>
      <c r="CK930" s="64">
        <v>2.19</v>
      </c>
      <c r="CL930" s="64">
        <v>4.57</v>
      </c>
      <c r="CM930" s="66"/>
      <c r="CN930" s="64">
        <v>6.97</v>
      </c>
      <c r="CO930" s="64">
        <v>7.17</v>
      </c>
      <c r="CP930" s="68"/>
      <c r="CQ930" s="67"/>
      <c r="CR930" s="20" t="str" cm="1">
        <f t="array" ref="CR930">IF(OR(ISBLANK(E930),ISBLANK(CQ930)),"Incomplete",_xlfn.XLOOKUP(CQ930,_xlfn.XLOOKUP(E930,'Normative data'!$Y$3:$Y$6,'Normative data'!$Z$3:$AG$6,,-1),'Normative data'!$Z$2:$AG$2,"Not Found",-1))</f>
        <v>Incomplete</v>
      </c>
      <c r="CS930" s="68"/>
      <c r="CT930" s="66"/>
      <c r="CU930" s="20" t="str" cm="1">
        <f t="array" ref="CU930">_xlfn.XLOOKUP(CS930&amp;CT930,(VLOOKUP!$A$3:$A$250)&amp;(VLOOKUP!$B$3:$B$250),VLOOKUP!$C$3:$C$250,"Incomplete",-1)</f>
        <v>Incomplete</v>
      </c>
      <c r="CV930" s="20" t="str" cm="1">
        <f t="array" ref="CV930">_xlfn.XLOOKUP(CU930, _xlfn.XLOOKUP(E930, 'Normative data'!$Y$11:$Y$14, 'Normative data'!$Z$11:$AG$14, ,-1), 'Normative data'!$Z$10:$AG$10, "Not Found", -1)</f>
        <v>Excellent</v>
      </c>
      <c r="CW930" s="20" t="str" cm="1">
        <f t="array" ref="CW930">IF(OR(ISBLANK(CS930),ISBLANK(CT930)),"Incomplete",_xlfn.XLOOKUP(CS930&amp;CT930,VLOOKUP!$A$4:$A$250&amp;VLOOKUP!$B$4:$B$250,VLOOKUP!$D$4:$D$250,"0"))</f>
        <v>Incomplete</v>
      </c>
    </row>
    <row r="931" spans="1:101">
      <c r="A931" s="64" t="s">
        <v>1609</v>
      </c>
      <c r="B931" s="64" t="s">
        <v>1191</v>
      </c>
      <c r="C931" s="64" t="s">
        <v>86</v>
      </c>
      <c r="D931" s="65">
        <v>40946</v>
      </c>
      <c r="E931" s="64">
        <v>13.8</v>
      </c>
      <c r="F931" s="66" t="s">
        <v>157</v>
      </c>
      <c r="G931" s="64">
        <v>2026</v>
      </c>
      <c r="H931" s="66"/>
      <c r="I931" s="66">
        <v>2</v>
      </c>
      <c r="J931" s="66" t="s">
        <v>122</v>
      </c>
      <c r="K931" s="66" t="s">
        <v>158</v>
      </c>
      <c r="L931" s="66"/>
      <c r="M931" s="64"/>
      <c r="N931" s="64"/>
      <c r="O931" s="64"/>
      <c r="P931" s="64"/>
      <c r="Q931" s="64"/>
      <c r="R931" s="64"/>
      <c r="S931" s="66">
        <v>72.3</v>
      </c>
      <c r="T931" s="66">
        <v>154.1</v>
      </c>
      <c r="U931" s="64">
        <v>47.5</v>
      </c>
      <c r="V931" s="64">
        <v>25.4</v>
      </c>
      <c r="W931" s="64">
        <v>12.7</v>
      </c>
      <c r="X931" s="64">
        <v>34.799999999999997</v>
      </c>
      <c r="Y931" s="64">
        <v>18.5</v>
      </c>
      <c r="Z931" s="64">
        <v>20</v>
      </c>
      <c r="AA931" s="64">
        <v>26.8</v>
      </c>
      <c r="AB931" s="64">
        <v>5.19</v>
      </c>
      <c r="AC931" s="64">
        <v>96.6</v>
      </c>
      <c r="AD931" s="64">
        <v>5.23</v>
      </c>
      <c r="AE931" s="64">
        <v>97.3</v>
      </c>
      <c r="AF931" s="64">
        <v>2.2999999999999998</v>
      </c>
      <c r="AG931" s="64">
        <v>129.9</v>
      </c>
      <c r="AH931" s="64">
        <v>2.2999999999999998</v>
      </c>
      <c r="AI931" s="64">
        <v>130.30000000000001</v>
      </c>
      <c r="AJ931" s="64">
        <v>311</v>
      </c>
      <c r="AK931" s="64">
        <v>306.3</v>
      </c>
      <c r="AL931" s="64">
        <v>281.5</v>
      </c>
      <c r="AM931" s="64">
        <v>276.5</v>
      </c>
      <c r="AN931" s="64">
        <v>90</v>
      </c>
      <c r="AO931" s="64">
        <v>0.78</v>
      </c>
      <c r="AP931" s="64">
        <v>5.6</v>
      </c>
      <c r="AQ931" s="64">
        <v>19.2</v>
      </c>
      <c r="AR931" s="64">
        <v>0.39600000000000002</v>
      </c>
      <c r="AS931" s="64">
        <v>20.7</v>
      </c>
      <c r="AT931" s="64">
        <v>0.41099999999999998</v>
      </c>
      <c r="AU931" s="64">
        <v>8.3000000000000007</v>
      </c>
      <c r="AV931" s="64">
        <v>0.26</v>
      </c>
      <c r="AW931" s="64">
        <v>12.1</v>
      </c>
      <c r="AX931" s="64">
        <v>0.314</v>
      </c>
      <c r="AY931" s="41">
        <f t="shared" si="285"/>
        <v>1262.19</v>
      </c>
      <c r="AZ931" s="64"/>
      <c r="BA931" s="20">
        <f t="shared" si="286"/>
        <v>1353.2399999999998</v>
      </c>
      <c r="BB931" s="64"/>
      <c r="BC931" s="20">
        <f t="shared" si="287"/>
        <v>600.55999999999995</v>
      </c>
      <c r="BD931" s="64"/>
      <c r="BE931" s="20">
        <f t="shared" si="288"/>
        <v>831.22000000000025</v>
      </c>
      <c r="BF931" s="64"/>
      <c r="BG931" s="64">
        <v>10</v>
      </c>
      <c r="BH931" s="64">
        <v>35</v>
      </c>
      <c r="BI931" s="20">
        <f t="shared" si="289"/>
        <v>25</v>
      </c>
      <c r="BJ931" s="66"/>
      <c r="BK931" s="64">
        <v>4</v>
      </c>
      <c r="BL931" s="66"/>
      <c r="BM931" s="64">
        <v>3.5</v>
      </c>
      <c r="BN931" s="66"/>
      <c r="BO931" s="64">
        <v>43.5</v>
      </c>
      <c r="BP931" s="64">
        <v>44.5</v>
      </c>
      <c r="BQ931" s="64">
        <v>77</v>
      </c>
      <c r="BR931" s="64">
        <v>83</v>
      </c>
      <c r="BS931" s="64">
        <v>66</v>
      </c>
      <c r="BT931" s="64">
        <v>73</v>
      </c>
      <c r="BU931" s="64">
        <v>60</v>
      </c>
      <c r="BV931" s="64">
        <v>63</v>
      </c>
      <c r="BW931" s="91">
        <f t="shared" si="290"/>
        <v>92.094539527302373</v>
      </c>
      <c r="BX931" s="91" t="str">
        <f>_xlfn.XLOOKUP(BW931,'Normative data'!$V$3:$V$6,'Normative data'!$W$3:$W$6,"Not Found",-1)</f>
        <v>High risk</v>
      </c>
      <c r="BY931" s="91">
        <f t="shared" si="291"/>
        <v>79.869600651996748</v>
      </c>
      <c r="BZ931" s="91" t="str">
        <f>_xlfn.XLOOKUP(BY931,'Normative data'!$V$3:$V$6,'Normative data'!$W$3:$W$6,"Not Found",-1)</f>
        <v>High risk</v>
      </c>
      <c r="CA931" s="64">
        <v>30</v>
      </c>
      <c r="CB931" s="66"/>
      <c r="CC931" s="20"/>
      <c r="CD931" s="66"/>
      <c r="CE931" s="64">
        <v>9</v>
      </c>
      <c r="CF931" s="66"/>
      <c r="CG931" s="66"/>
      <c r="CH931" s="20" t="str">
        <f>_xlfn.XLOOKUP(CG931, 'Normative data'!$S$9:$S$15,'Normative data'!$T$9:$T$15, "Not Found", -1)</f>
        <v>not completed</v>
      </c>
      <c r="CI931" s="66"/>
      <c r="CJ931" s="20" t="str">
        <f>_xlfn.XLOOKUP(CI931, 'Normative data'!$S$9:$S$15, 'Normative data'!$T$9:$T$15, "Not Found", -1)</f>
        <v>not completed</v>
      </c>
      <c r="CK931" s="64">
        <v>2.36</v>
      </c>
      <c r="CL931" s="64">
        <v>4.24</v>
      </c>
      <c r="CM931" s="66"/>
      <c r="CN931" s="64">
        <v>7.64</v>
      </c>
      <c r="CO931" s="64">
        <v>6.54</v>
      </c>
      <c r="CP931" s="68"/>
      <c r="CQ931" s="67">
        <v>8.5</v>
      </c>
      <c r="CR931" s="20" t="str" cm="1">
        <f t="array" ref="CR931">IF(OR(ISBLANK(E931),ISBLANK(CQ931)),"Incomplete",_xlfn.XLOOKUP(CQ931,_xlfn.XLOOKUP(E931,'Normative data'!$Y$3:$Y$6,'Normative data'!$Z$3:$AG$6,,-1),'Normative data'!$Z$2:$AG$2,"Not Found",-1))</f>
        <v>Very good</v>
      </c>
      <c r="CS931" s="68">
        <v>8</v>
      </c>
      <c r="CT931" s="66">
        <v>5</v>
      </c>
      <c r="CU931" s="20" cm="1">
        <f t="array" ref="CU931">_xlfn.XLOOKUP(CS931&amp;CT931,(VLOOKUP!$A$3:$A$250)&amp;(VLOOKUP!$B$3:$B$250),VLOOKUP!$C$3:$C$250,"Incomplete",-1)</f>
        <v>1320</v>
      </c>
      <c r="CV931" s="20" t="str" cm="1">
        <f t="array" ref="CV931">_xlfn.XLOOKUP(CU931, _xlfn.XLOOKUP(E931, 'Normative data'!$Y$11:$Y$14, 'Normative data'!$Z$11:$AG$14, ,-1), 'Normative data'!$Z$10:$AG$10, "Not Found", -1)</f>
        <v xml:space="preserve">Very good </v>
      </c>
      <c r="CW931" s="20" cm="1">
        <f t="array" ref="CW931">IF(OR(ISBLANK(CS931),ISBLANK(CT931)),"Incomplete",_xlfn.XLOOKUP(CS931&amp;CT931,VLOOKUP!$A$4:$A$250&amp;VLOOKUP!$B$4:$B$250,VLOOKUP!$D$4:$D$250,"0"))</f>
        <v>42</v>
      </c>
    </row>
    <row r="932" spans="1:101">
      <c r="A932" s="64" t="s">
        <v>313</v>
      </c>
      <c r="B932" s="64" t="s">
        <v>1191</v>
      </c>
      <c r="C932" s="64" t="s">
        <v>86</v>
      </c>
      <c r="D932" s="65">
        <v>40039</v>
      </c>
      <c r="E932" s="64">
        <v>16.7</v>
      </c>
      <c r="F932" s="66" t="s">
        <v>110</v>
      </c>
      <c r="G932" s="64">
        <v>2026</v>
      </c>
      <c r="H932" s="66"/>
      <c r="I932" s="66">
        <v>2</v>
      </c>
      <c r="J932" s="66"/>
      <c r="K932" s="66"/>
      <c r="L932" s="66"/>
      <c r="M932" s="64"/>
      <c r="N932" s="64"/>
      <c r="O932" s="64"/>
      <c r="P932" s="64"/>
      <c r="Q932" s="64"/>
      <c r="R932" s="64"/>
      <c r="S932" s="66">
        <v>91.6</v>
      </c>
      <c r="T932" s="66">
        <v>176.3</v>
      </c>
      <c r="U932" s="64">
        <v>50.2</v>
      </c>
      <c r="V932" s="64">
        <v>29.9</v>
      </c>
      <c r="W932" s="64">
        <v>9.4</v>
      </c>
      <c r="X932" s="64">
        <v>40.799999999999997</v>
      </c>
      <c r="Y932" s="64">
        <v>22.1</v>
      </c>
      <c r="Z932" s="64">
        <v>16.2</v>
      </c>
      <c r="AA932" s="64">
        <v>18.8</v>
      </c>
      <c r="AB932" s="64">
        <v>7.06</v>
      </c>
      <c r="AC932" s="64">
        <v>121.7</v>
      </c>
      <c r="AD932" s="64">
        <v>7.13</v>
      </c>
      <c r="AE932" s="64">
        <v>122.9</v>
      </c>
      <c r="AF932" s="64">
        <v>1.7</v>
      </c>
      <c r="AG932" s="64">
        <v>58.6</v>
      </c>
      <c r="AH932" s="64">
        <v>1.7</v>
      </c>
      <c r="AI932" s="64">
        <v>59</v>
      </c>
      <c r="AJ932" s="64">
        <v>404.9</v>
      </c>
      <c r="AK932" s="64">
        <v>395.5</v>
      </c>
      <c r="AL932" s="64">
        <v>364.5</v>
      </c>
      <c r="AM932" s="64">
        <v>355.7</v>
      </c>
      <c r="AN932" s="64">
        <v>90</v>
      </c>
      <c r="AO932" s="64">
        <v>0.85</v>
      </c>
      <c r="AP932" s="64">
        <v>5.7</v>
      </c>
      <c r="AY932" s="41" t="str">
        <f t="shared" si="285"/>
        <v>Incomplete</v>
      </c>
      <c r="AZ932" s="64"/>
      <c r="BA932" s="20" t="str">
        <f t="shared" si="286"/>
        <v>Incomplete</v>
      </c>
      <c r="BB932" s="64"/>
      <c r="BC932" s="20" t="str">
        <f t="shared" si="287"/>
        <v>Incomplete</v>
      </c>
      <c r="BD932" s="64"/>
      <c r="BE932" s="20" t="str">
        <f t="shared" si="288"/>
        <v>Incomplete</v>
      </c>
      <c r="BF932" s="64"/>
      <c r="BG932" s="64">
        <v>6.5</v>
      </c>
      <c r="BH932" s="64">
        <v>35.1</v>
      </c>
      <c r="BI932" s="20">
        <f t="shared" si="289"/>
        <v>28.6</v>
      </c>
      <c r="BJ932" s="66"/>
      <c r="BK932" s="64"/>
      <c r="BL932" s="66"/>
      <c r="BM932" s="64"/>
      <c r="BN932" s="66"/>
      <c r="BO932" s="64"/>
      <c r="BP932" s="64"/>
      <c r="BQ932" s="64"/>
      <c r="BR932" s="64"/>
      <c r="BS932" s="64"/>
      <c r="BT932" s="64"/>
      <c r="BU932" s="64"/>
      <c r="BV932" s="64"/>
      <c r="BW932" s="91">
        <f t="shared" si="290"/>
        <v>0</v>
      </c>
      <c r="BX932" s="91" t="str">
        <f>_xlfn.XLOOKUP(BW932,'Normative data'!$V$3:$V$6,'Normative data'!$W$3:$W$6,"Not Found",-1)</f>
        <v>Not completed</v>
      </c>
      <c r="BY932" s="91">
        <f t="shared" si="291"/>
        <v>0</v>
      </c>
      <c r="BZ932" s="91" t="str">
        <f>_xlfn.XLOOKUP(BY932,'Normative data'!$V$3:$V$6,'Normative data'!$W$3:$W$6,"Not Found",-1)</f>
        <v>Not completed</v>
      </c>
      <c r="CA932" s="64"/>
      <c r="CB932" s="66"/>
      <c r="CD932" s="66"/>
      <c r="CE932" s="64"/>
      <c r="CF932" s="66"/>
      <c r="CG932" s="20"/>
      <c r="CH932" s="20" t="str">
        <f>_xlfn.XLOOKUP(CG932, 'Normative data'!$S$9:$S$15,'Normative data'!$T$9:$T$15, "Not Found", -1)</f>
        <v>not completed</v>
      </c>
      <c r="CI932" s="20"/>
      <c r="CJ932" s="20" t="str">
        <f>_xlfn.XLOOKUP(CI932, 'Normative data'!$S$9:$S$15, 'Normative data'!$T$9:$T$15, "Not Found", -1)</f>
        <v>not completed</v>
      </c>
      <c r="CK932" s="105"/>
      <c r="CL932" s="105"/>
      <c r="CM932" s="105"/>
      <c r="CN932" s="105"/>
      <c r="CO932" s="105"/>
      <c r="CP932" s="68"/>
      <c r="CQ932" s="67"/>
      <c r="CR932" s="20" t="str" cm="1">
        <f t="array" ref="CR932">IF(OR(ISBLANK(E932),ISBLANK(CQ932)),"Incomplete",_xlfn.XLOOKUP(CQ932,_xlfn.XLOOKUP(E932,'Normative data'!$Y$3:$Y$6,'Normative data'!$Z$3:$AG$6,,-1),'Normative data'!$Z$2:$AG$2,"Not Found",-1))</f>
        <v>Incomplete</v>
      </c>
      <c r="CS932" s="68"/>
      <c r="CT932" s="66"/>
      <c r="CU932" s="20" t="str" cm="1">
        <f t="array" ref="CU932">_xlfn.XLOOKUP(CS932&amp;CT932,(VLOOKUP!$A$3:$A$250)&amp;(VLOOKUP!$B$3:$B$250),VLOOKUP!$C$3:$C$250,"Incomplete",-1)</f>
        <v>Incomplete</v>
      </c>
      <c r="CV932" s="20" t="str" cm="1">
        <f t="array" ref="CV932">_xlfn.XLOOKUP(CU932, _xlfn.XLOOKUP(E932, 'Normative data'!$Y$11:$Y$14, 'Normative data'!$Z$11:$AG$14, ,-1), 'Normative data'!$Z$10:$AG$10, "Not Found", -1)</f>
        <v>Excellent</v>
      </c>
      <c r="CW932" s="20" t="str" cm="1">
        <f t="array" ref="CW932">IF(OR(ISBLANK(CS932),ISBLANK(CT932)),"Incomplete",_xlfn.XLOOKUP(CS932&amp;CT932,VLOOKUP!$A$4:$A$250&amp;VLOOKUP!$B$4:$B$250,VLOOKUP!$D$4:$D$250,"0"))</f>
        <v>Incomplete</v>
      </c>
    </row>
    <row r="933" spans="1:101">
      <c r="A933" s="64" t="s">
        <v>1610</v>
      </c>
      <c r="B933" s="64" t="s">
        <v>1191</v>
      </c>
      <c r="C933" s="64" t="s">
        <v>86</v>
      </c>
      <c r="D933" s="65"/>
      <c r="E933" s="64"/>
      <c r="F933" s="66" t="s">
        <v>110</v>
      </c>
      <c r="G933" s="64">
        <v>2026</v>
      </c>
      <c r="H933" s="66"/>
      <c r="I933" s="66">
        <v>2</v>
      </c>
      <c r="J933" s="66"/>
      <c r="K933" s="66"/>
      <c r="L933" s="66"/>
      <c r="M933" s="64"/>
      <c r="N933" s="64"/>
      <c r="O933" s="64"/>
      <c r="P933" s="64"/>
      <c r="Q933" s="64"/>
      <c r="R933" s="64"/>
      <c r="S933" s="66">
        <v>91</v>
      </c>
      <c r="T933" s="66">
        <v>173.4</v>
      </c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  <c r="AG933" s="64"/>
      <c r="AH933" s="64"/>
      <c r="AI933" s="64"/>
      <c r="AJ933" s="64"/>
      <c r="AK933" s="64"/>
      <c r="AL933" s="64"/>
      <c r="AM933" s="64"/>
      <c r="AN933" s="64"/>
      <c r="AO933" s="64"/>
      <c r="AP933" s="64"/>
      <c r="AY933" s="41" t="str">
        <f t="shared" si="285"/>
        <v>Incomplete</v>
      </c>
      <c r="AZ933" s="64"/>
      <c r="BA933" s="20" t="str">
        <f t="shared" si="286"/>
        <v>Incomplete</v>
      </c>
      <c r="BB933" s="64"/>
      <c r="BC933" s="20" t="str">
        <f t="shared" si="287"/>
        <v>Incomplete</v>
      </c>
      <c r="BD933" s="64"/>
      <c r="BE933" s="20" t="str">
        <f t="shared" si="288"/>
        <v>Incomplete</v>
      </c>
      <c r="BF933" s="64"/>
      <c r="BG933" s="64">
        <v>12.1</v>
      </c>
      <c r="BH933" s="17">
        <v>50.8</v>
      </c>
      <c r="BI933" s="20">
        <f t="shared" si="289"/>
        <v>38.699999999999996</v>
      </c>
      <c r="BJ933" s="66"/>
      <c r="BK933" s="64"/>
      <c r="BL933" s="66"/>
      <c r="BN933" s="66"/>
      <c r="BO933" s="64"/>
      <c r="BP933" s="64"/>
      <c r="BQ933" s="64"/>
      <c r="BR933" s="64"/>
      <c r="BS933" s="64"/>
      <c r="BT933" s="64"/>
      <c r="BU933" s="64"/>
      <c r="BV933" s="64"/>
      <c r="BW933" s="91">
        <f t="shared" si="290"/>
        <v>0</v>
      </c>
      <c r="BX933" s="91" t="str">
        <f>_xlfn.XLOOKUP(BW933,'Normative data'!$V$3:$V$6,'Normative data'!$W$3:$W$6,"Not Found",-1)</f>
        <v>Not completed</v>
      </c>
      <c r="BY933" s="91">
        <f t="shared" si="291"/>
        <v>0</v>
      </c>
      <c r="BZ933" s="91" t="str">
        <f>_xlfn.XLOOKUP(BY933,'Normative data'!$V$3:$V$6,'Normative data'!$W$3:$W$6,"Not Found",-1)</f>
        <v>Not completed</v>
      </c>
      <c r="CA933" s="64"/>
      <c r="CB933" s="66"/>
      <c r="CD933" s="66"/>
      <c r="CE933" s="64"/>
      <c r="CF933" s="66"/>
      <c r="CG933" s="64"/>
      <c r="CH933" s="20" t="str">
        <f>_xlfn.XLOOKUP(CG933, 'Normative data'!$S$9:$S$15,'Normative data'!$T$9:$T$15, "Not Found", -1)</f>
        <v>not completed</v>
      </c>
      <c r="CI933" s="64"/>
      <c r="CJ933" s="20" t="str">
        <f>_xlfn.XLOOKUP(CI933, 'Normative data'!$S$9:$S$15, 'Normative data'!$T$9:$T$15, "Not Found", -1)</f>
        <v>not completed</v>
      </c>
      <c r="CK933" s="105"/>
      <c r="CL933" s="105"/>
      <c r="CM933" s="105"/>
      <c r="CN933" s="105"/>
      <c r="CO933" s="105"/>
      <c r="CP933" s="68"/>
      <c r="CQ933" s="67"/>
      <c r="CR933" s="20" t="str" cm="1">
        <f t="array" ref="CR933">IF(OR(ISBLANK(E933),ISBLANK(CQ933)),"Incomplete",_xlfn.XLOOKUP(CQ933,_xlfn.XLOOKUP(E933,'Normative data'!$Y$3:$Y$6,'Normative data'!$Z$3:$AG$6,,-1),'Normative data'!$Z$2:$AG$2,"Not Found",-1))</f>
        <v>Incomplete</v>
      </c>
      <c r="CS933" s="68"/>
      <c r="CT933" s="66"/>
      <c r="CU933" s="20" t="str" cm="1">
        <f t="array" ref="CU933">_xlfn.XLOOKUP(CS933&amp;CT933,(VLOOKUP!$A$3:$A$250)&amp;(VLOOKUP!$B$3:$B$250),VLOOKUP!$C$3:$C$250,"Incomplete",-1)</f>
        <v>Incomplete</v>
      </c>
      <c r="CV933" s="20" t="str" cm="1">
        <f t="array" ref="CV933">_xlfn.XLOOKUP(CU933, _xlfn.XLOOKUP(E933, 'Normative data'!$Y$11:$Y$14, 'Normative data'!$Z$11:$AG$14, ,-1), 'Normative data'!$Z$10:$AG$10, "Not Found", -1)</f>
        <v>Excellent</v>
      </c>
      <c r="CW933" s="20" t="str" cm="1">
        <f t="array" ref="CW933">IF(OR(ISBLANK(CS933),ISBLANK(CT933)),"Incomplete",_xlfn.XLOOKUP(CS933&amp;CT933,VLOOKUP!$A$4:$A$250&amp;VLOOKUP!$B$4:$B$250,VLOOKUP!$D$4:$D$250,"0"))</f>
        <v>Incomplete</v>
      </c>
    </row>
    <row r="934" spans="1:101">
      <c r="A934" s="64" t="s">
        <v>1496</v>
      </c>
      <c r="B934" s="64" t="s">
        <v>1495</v>
      </c>
      <c r="C934" s="64" t="s">
        <v>86</v>
      </c>
      <c r="D934" s="65">
        <v>40795</v>
      </c>
      <c r="E934" s="64"/>
      <c r="F934" s="66" t="s">
        <v>154</v>
      </c>
      <c r="G934" s="64">
        <v>2026</v>
      </c>
      <c r="H934" s="66"/>
      <c r="I934" s="66">
        <v>2</v>
      </c>
      <c r="J934" s="66"/>
      <c r="K934" s="66"/>
      <c r="L934" s="66"/>
      <c r="M934" s="64"/>
      <c r="N934" s="64"/>
      <c r="O934" s="64"/>
      <c r="P934" s="64"/>
      <c r="Q934" s="64"/>
      <c r="R934" s="64"/>
      <c r="S934" s="66">
        <v>86.4</v>
      </c>
      <c r="T934" s="66">
        <v>165.3</v>
      </c>
      <c r="U934" s="64">
        <v>65</v>
      </c>
      <c r="V934" s="64">
        <v>33.1</v>
      </c>
      <c r="W934" s="64">
        <v>19.8</v>
      </c>
      <c r="X934" s="64">
        <v>45.2</v>
      </c>
      <c r="Y934" s="64">
        <v>25</v>
      </c>
      <c r="Z934" s="64">
        <v>23.8</v>
      </c>
      <c r="AA934" s="64">
        <v>30.4</v>
      </c>
      <c r="AB934" s="64">
        <v>6.99</v>
      </c>
      <c r="AC934" s="64">
        <v>99.7</v>
      </c>
      <c r="AD934" s="64">
        <v>6.96</v>
      </c>
      <c r="AE934" s="64">
        <v>99.4</v>
      </c>
      <c r="AF934" s="64">
        <v>2.9</v>
      </c>
      <c r="AG934" s="64">
        <v>117.3</v>
      </c>
      <c r="AH934" s="64">
        <v>2.9</v>
      </c>
      <c r="AI934" s="64">
        <v>116.6</v>
      </c>
      <c r="AJ934" s="64">
        <v>301.39999999999998</v>
      </c>
      <c r="AK934" s="64">
        <v>302.10000000000002</v>
      </c>
      <c r="AL934" s="64">
        <v>263.39999999999998</v>
      </c>
      <c r="AM934" s="64">
        <v>265.5</v>
      </c>
      <c r="AN934" s="64">
        <v>91</v>
      </c>
      <c r="AO934" s="64">
        <v>0.91</v>
      </c>
      <c r="AP934" s="64">
        <v>6.8</v>
      </c>
      <c r="AQ934" s="64"/>
      <c r="AR934" s="64"/>
      <c r="AS934" s="64"/>
      <c r="AT934" s="64"/>
      <c r="AU934" s="64"/>
      <c r="AV934" s="64"/>
      <c r="AW934" s="64"/>
      <c r="AX934" s="64"/>
      <c r="AY934" s="41" t="str">
        <f t="shared" si="285"/>
        <v>Incomplete</v>
      </c>
      <c r="AZ934" s="64"/>
      <c r="BA934" s="20" t="str">
        <f t="shared" si="286"/>
        <v>Incomplete</v>
      </c>
      <c r="BB934" s="64"/>
      <c r="BC934" s="20" t="str">
        <f t="shared" si="287"/>
        <v>Incomplete</v>
      </c>
      <c r="BD934" s="64"/>
      <c r="BE934" s="20" t="str">
        <f t="shared" si="288"/>
        <v>Incomplete</v>
      </c>
      <c r="BF934" s="64"/>
      <c r="BG934" s="64">
        <v>17</v>
      </c>
      <c r="BH934" s="64">
        <v>41</v>
      </c>
      <c r="BI934" s="20">
        <f t="shared" si="289"/>
        <v>24</v>
      </c>
      <c r="BJ934" s="66"/>
      <c r="BK934" s="64">
        <v>9.5</v>
      </c>
      <c r="BL934" s="66"/>
      <c r="BM934" s="64">
        <v>11</v>
      </c>
      <c r="BN934" s="66"/>
      <c r="BO934" s="64">
        <v>52</v>
      </c>
      <c r="BP934" s="64">
        <v>50.8</v>
      </c>
      <c r="BQ934" s="64">
        <v>88</v>
      </c>
      <c r="BR934" s="64">
        <v>77</v>
      </c>
      <c r="BS934" s="64">
        <v>79</v>
      </c>
      <c r="BT934" s="64">
        <v>83</v>
      </c>
      <c r="BU934" s="64">
        <v>82</v>
      </c>
      <c r="BV934" s="64">
        <v>78</v>
      </c>
      <c r="BW934" s="91">
        <f t="shared" si="290"/>
        <v>103.08407266582171</v>
      </c>
      <c r="BX934" s="91" t="str">
        <f>_xlfn.XLOOKUP(BW934,'Normative data'!$V$3:$V$6,'Normative data'!$W$3:$W$6,"Not Found",-1)</f>
        <v>Low risk</v>
      </c>
      <c r="BY934" s="91">
        <f t="shared" si="291"/>
        <v>102.6615969581749</v>
      </c>
      <c r="BZ934" s="91" t="str">
        <f>_xlfn.XLOOKUP(BY934,'Normative data'!$V$3:$V$6,'Normative data'!$W$3:$W$6,"Not Found",-1)</f>
        <v>Low risk</v>
      </c>
      <c r="CA934" s="64">
        <v>20</v>
      </c>
      <c r="CB934" s="66"/>
      <c r="CC934" s="20"/>
      <c r="CD934" s="66"/>
      <c r="CE934" s="64">
        <v>15</v>
      </c>
      <c r="CF934" s="66"/>
      <c r="CG934" s="64">
        <v>19.11</v>
      </c>
      <c r="CH934" s="20" t="str">
        <f>_xlfn.XLOOKUP(CG934, 'Normative data'!$S$9:$S$15,'Normative data'!$T$9:$T$15, "Not Found", -1)</f>
        <v>Average</v>
      </c>
      <c r="CI934" s="64">
        <v>20.64</v>
      </c>
      <c r="CJ934" s="20" t="str">
        <f>_xlfn.XLOOKUP(CI934, 'Normative data'!$S$9:$S$15, 'Normative data'!$T$9:$T$15, "Not Found", -1)</f>
        <v>Average</v>
      </c>
      <c r="CK934" s="17">
        <v>2.5099999999999998</v>
      </c>
      <c r="CL934" s="17">
        <v>3.98</v>
      </c>
      <c r="CN934" s="17">
        <v>7.58</v>
      </c>
      <c r="CO934" s="17">
        <v>6.6</v>
      </c>
      <c r="CP934" s="68"/>
      <c r="CQ934" s="67"/>
      <c r="CR934" s="20" t="str" cm="1">
        <f t="array" ref="CR934">IF(OR(ISBLANK(E934),ISBLANK(CQ934)),"Incomplete",_xlfn.XLOOKUP(CQ934,_xlfn.XLOOKUP(E934,'Normative data'!$Y$3:$Y$6,'Normative data'!$Z$3:$AG$6,,-1),'Normative data'!$Z$2:$AG$2,"Not Found",-1))</f>
        <v>Incomplete</v>
      </c>
      <c r="CS934" s="68"/>
      <c r="CT934" s="66"/>
      <c r="CU934" s="20" t="str" cm="1">
        <f t="array" ref="CU934">_xlfn.XLOOKUP(CS934&amp;CT934,(VLOOKUP!$A$3:$A$250)&amp;(VLOOKUP!$B$3:$B$250),VLOOKUP!$C$3:$C$250,"Incomplete",-1)</f>
        <v>Incomplete</v>
      </c>
      <c r="CV934" s="20" t="str" cm="1">
        <f t="array" ref="CV934">_xlfn.XLOOKUP(CU934, _xlfn.XLOOKUP(E934, 'Normative data'!$Y$11:$Y$14, 'Normative data'!$Z$11:$AG$14, ,-1), 'Normative data'!$Z$10:$AG$10, "Not Found", -1)</f>
        <v>Excellent</v>
      </c>
      <c r="CW934" s="20" t="str" cm="1">
        <f t="array" ref="CW934">IF(OR(ISBLANK(CS934),ISBLANK(CT934)),"Incomplete",_xlfn.XLOOKUP(CS934&amp;CT934,VLOOKUP!$A$4:$A$250&amp;VLOOKUP!$B$4:$B$250,VLOOKUP!$D$4:$D$250,"0"))</f>
        <v>Incomplete</v>
      </c>
    </row>
    <row r="935" spans="1:101">
      <c r="A935" s="64" t="s">
        <v>969</v>
      </c>
      <c r="B935" s="64" t="s">
        <v>1611</v>
      </c>
      <c r="C935" s="64" t="s">
        <v>86</v>
      </c>
      <c r="D935" s="65"/>
      <c r="E935" s="64"/>
      <c r="F935" s="64"/>
      <c r="G935" s="64">
        <v>2025</v>
      </c>
      <c r="H935" s="66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  <c r="AD935" s="66"/>
      <c r="AE935" s="66"/>
      <c r="AF935" s="66"/>
      <c r="AG935" s="66"/>
      <c r="AH935" s="66"/>
      <c r="AI935" s="66"/>
      <c r="AJ935" s="66"/>
      <c r="AK935" s="66"/>
      <c r="AL935" s="66"/>
      <c r="AM935" s="66"/>
      <c r="AN935" s="66"/>
      <c r="AO935" s="66"/>
      <c r="AP935" s="66"/>
      <c r="AQ935" s="64"/>
      <c r="AR935" s="64"/>
      <c r="AS935" s="64"/>
      <c r="AT935" s="64"/>
      <c r="AU935" s="64"/>
      <c r="AV935" s="64"/>
      <c r="AW935" s="64"/>
      <c r="AX935" s="64"/>
      <c r="AY935" s="41" t="str">
        <f>IF(OR(ISBLANK(U935), ISBLANK(AQ937)), "Incomplete", (60.7*AQ937)+(45.3*U935)-2055)</f>
        <v>Incomplete</v>
      </c>
      <c r="AZ935" s="66"/>
      <c r="BA935" s="20" t="str">
        <f>IF(OR(ISBLANK(U935), ISBLANK(AS937)), "Incomplete", (60.7*AS937)+(45.3*U935)-2055)</f>
        <v>Incomplete</v>
      </c>
      <c r="BB935" s="66"/>
      <c r="BC935" s="20" t="str">
        <f>IF(OR(ISBLANK(U935), ISBLANK(AU937)), "Incomplete", (60.7*AU937)+(45.3*U935)-2055)</f>
        <v>Incomplete</v>
      </c>
      <c r="BD935" s="66"/>
      <c r="BE935" s="20" t="str">
        <f>IF(OR(ISBLANK(U935), ISBLANK(AW937)), "Incomplete", (60.7*AW937)+(45.3*U935)-2055)</f>
        <v>Incomplete</v>
      </c>
      <c r="BF935" s="66"/>
      <c r="BG935" s="66"/>
      <c r="BH935" s="66"/>
      <c r="BI935" s="20" t="str">
        <f t="shared" si="289"/>
        <v>Incomplete</v>
      </c>
      <c r="BJ935" s="66"/>
      <c r="BK935" s="66"/>
      <c r="BL935" s="66"/>
      <c r="BM935" s="66"/>
      <c r="BN935" s="66"/>
      <c r="BO935" s="66"/>
      <c r="BP935" s="66"/>
      <c r="BQ935" s="66"/>
      <c r="BR935" s="66"/>
      <c r="BS935" s="66"/>
      <c r="BT935" s="66"/>
      <c r="BU935" s="66"/>
      <c r="BV935" s="66"/>
      <c r="BW935" s="91" t="str">
        <f t="shared" si="290"/>
        <v>Incomplete</v>
      </c>
      <c r="BX935" s="91" t="str">
        <f>_xlfn.XLOOKUP(BW935,'Normative data'!$V$3:$V$6,'Normative data'!$W$3:$W$6,"Not Found",-1)</f>
        <v>Very low risk</v>
      </c>
      <c r="BY935" s="91" t="str">
        <f t="shared" si="291"/>
        <v>Incomplete</v>
      </c>
      <c r="BZ935" s="91" t="str">
        <f>_xlfn.XLOOKUP(BY935,'Normative data'!$V$3:$V$6,'Normative data'!$W$3:$W$6,"Not Found",-1)</f>
        <v>Very low risk</v>
      </c>
      <c r="CA935" s="66"/>
      <c r="CB935" s="66"/>
      <c r="CC935" s="20"/>
      <c r="CD935" s="66"/>
      <c r="CE935" s="66"/>
      <c r="CF935" s="66"/>
      <c r="CG935" s="66"/>
      <c r="CH935" s="20" t="str">
        <f>_xlfn.XLOOKUP(CG935, 'Normative data'!$S$9:$S$15,'Normative data'!$T$9:$T$15, "Not Found", -1)</f>
        <v>not completed</v>
      </c>
      <c r="CI935" s="66"/>
      <c r="CJ935" s="20" t="str">
        <f>_xlfn.XLOOKUP(CI935, 'Normative data'!$S$9:$S$15, 'Normative data'!$T$9:$T$15, "Not Found", -1)</f>
        <v>not completed</v>
      </c>
      <c r="CK935" s="105"/>
      <c r="CL935" s="105"/>
      <c r="CM935" s="105"/>
      <c r="CN935" s="105"/>
      <c r="CO935" s="105"/>
      <c r="CP935" s="68"/>
      <c r="CQ935" s="68"/>
      <c r="CR935" s="20" t="str" cm="1">
        <f t="array" ref="CR935">IF(OR(ISBLANK(E935),ISBLANK(CQ935)),"Incomplete",_xlfn.XLOOKUP(CQ935,_xlfn.XLOOKUP(E935,'Normative data'!$Y$3:$Y$6,'Normative data'!$Z$3:$AG$6,,-1),'Normative data'!$Z$2:$AG$2,"Not Found",-1))</f>
        <v>Incomplete</v>
      </c>
      <c r="CS935" s="68"/>
      <c r="CT935" s="66"/>
      <c r="CU935" s="20" t="str" cm="1">
        <f t="array" ref="CU935">_xlfn.XLOOKUP(CS935&amp;CT935,(VLOOKUP!$A$3:$A$250)&amp;(VLOOKUP!$B$3:$B$250),VLOOKUP!$C$3:$C$250,"Incomplete",-1)</f>
        <v>Incomplete</v>
      </c>
      <c r="CV935" s="20" t="str" cm="1">
        <f t="array" ref="CV935">_xlfn.XLOOKUP(CU935, _xlfn.XLOOKUP(E935, 'Normative data'!$Y$11:$Y$14, 'Normative data'!$Z$11:$AG$14, ,-1), 'Normative data'!$Z$10:$AG$10, "Not Found", -1)</f>
        <v>Excellent</v>
      </c>
      <c r="CW935" s="20" t="str" cm="1">
        <f t="array" ref="CW935">IF(OR(ISBLANK(CS935),ISBLANK(CT935)),"Incomplete",_xlfn.XLOOKUP(CS935&amp;CT935,VLOOKUP!$A$4:$A$250&amp;VLOOKUP!$B$4:$B$250,VLOOKUP!$D$4:$D$250,"0"))</f>
        <v>Incomplete</v>
      </c>
    </row>
    <row r="936" spans="1:101">
      <c r="A936" s="64" t="s">
        <v>969</v>
      </c>
      <c r="B936" s="64" t="s">
        <v>1611</v>
      </c>
      <c r="C936" s="64" t="s">
        <v>86</v>
      </c>
      <c r="D936" s="65"/>
      <c r="E936" s="64"/>
      <c r="F936" s="64"/>
      <c r="G936" s="64">
        <v>2025</v>
      </c>
      <c r="H936" s="66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  <c r="AD936" s="66"/>
      <c r="AE936" s="66"/>
      <c r="AF936" s="66"/>
      <c r="AG936" s="66"/>
      <c r="AH936" s="66"/>
      <c r="AI936" s="66"/>
      <c r="AJ936" s="66"/>
      <c r="AK936" s="66"/>
      <c r="AL936" s="66"/>
      <c r="AM936" s="66"/>
      <c r="AN936" s="66"/>
      <c r="AO936" s="66"/>
      <c r="AP936" s="66"/>
      <c r="AQ936" s="66"/>
      <c r="AR936" s="66"/>
      <c r="AS936" s="66"/>
      <c r="AT936" s="66"/>
      <c r="AU936" s="66"/>
      <c r="AV936" s="66"/>
      <c r="AW936" s="66"/>
      <c r="AX936" s="66"/>
      <c r="AY936" s="41" t="str">
        <f>IF(OR(ISBLANK(U936), ISBLANK(AQ936)), "Incomplete", (60.7*AQ936)+(45.3*U936)-2055)</f>
        <v>Incomplete</v>
      </c>
      <c r="AZ936" s="66"/>
      <c r="BA936" s="20" t="str">
        <f>IF(OR(ISBLANK(U936), ISBLANK(AS936)), "Incomplete", (60.7*AS936)+(45.3*U936)-2055)</f>
        <v>Incomplete</v>
      </c>
      <c r="BB936" s="66"/>
      <c r="BC936" s="20" t="str">
        <f>IF(OR(ISBLANK(U936), ISBLANK(AU936)), "Incomplete", (60.7*AU936)+(45.3*U936)-2055)</f>
        <v>Incomplete</v>
      </c>
      <c r="BD936" s="66"/>
      <c r="BE936" s="20" t="str">
        <f>IF(OR(ISBLANK(U936), ISBLANK(AW936)), "Incomplete", (60.7*AW936)+(45.3*U936)-2055)</f>
        <v>Incomplete</v>
      </c>
      <c r="BF936" s="66"/>
      <c r="BG936" s="66"/>
      <c r="BH936" s="66"/>
      <c r="BI936" s="20" t="str">
        <f t="shared" si="289"/>
        <v>Incomplete</v>
      </c>
      <c r="BJ936" s="66"/>
      <c r="BK936" s="66"/>
      <c r="BL936" s="66"/>
      <c r="BM936" s="66"/>
      <c r="BN936" s="66"/>
      <c r="BO936" s="66"/>
      <c r="BP936" s="66"/>
      <c r="BQ936" s="66"/>
      <c r="BR936" s="66"/>
      <c r="BS936" s="66"/>
      <c r="BT936" s="66"/>
      <c r="BU936" s="66"/>
      <c r="BV936" s="66"/>
      <c r="BW936" s="91" t="str">
        <f t="shared" si="290"/>
        <v>Incomplete</v>
      </c>
      <c r="BX936" s="91" t="str">
        <f>_xlfn.XLOOKUP(BW936,'Normative data'!$V$3:$V$6,'Normative data'!$W$3:$W$6,"Not Found",-1)</f>
        <v>Very low risk</v>
      </c>
      <c r="BY936" s="91" t="str">
        <f t="shared" si="291"/>
        <v>Incomplete</v>
      </c>
      <c r="BZ936" s="91" t="str">
        <f>_xlfn.XLOOKUP(BY936,'Normative data'!$V$3:$V$6,'Normative data'!$W$3:$W$6,"Not Found",-1)</f>
        <v>Very low risk</v>
      </c>
      <c r="CA936" s="66"/>
      <c r="CB936" s="66"/>
      <c r="CC936" s="20"/>
      <c r="CD936" s="66"/>
      <c r="CE936" s="66"/>
      <c r="CF936" s="66"/>
      <c r="CG936" s="64"/>
      <c r="CH936" s="20" t="str">
        <f>_xlfn.XLOOKUP(CG937, 'Normative data'!$S$9:$S$15,'Normative data'!$T$9:$T$15, "Not Found", -1)</f>
        <v>Above Average</v>
      </c>
      <c r="CI936" s="64"/>
      <c r="CJ936" s="20" t="str">
        <f>_xlfn.XLOOKUP(CI937, 'Normative data'!$S$9:$S$15, 'Normative data'!$T$9:$T$15, "Not Found", -1)</f>
        <v>Above Average</v>
      </c>
      <c r="CK936" s="105"/>
      <c r="CL936" s="105"/>
      <c r="CM936" s="105"/>
      <c r="CN936" s="105"/>
      <c r="CO936" s="105"/>
      <c r="CP936" s="68"/>
      <c r="CQ936" s="68"/>
      <c r="CR936" s="20" t="str" cm="1">
        <f t="array" ref="CR936">IF(OR(ISBLANK(E936),ISBLANK(CQ936)),"Incomplete",_xlfn.XLOOKUP(CQ936,_xlfn.XLOOKUP(E936,'Normative data'!$Y$3:$Y$6,'Normative data'!$Z$3:$AG$6,,-1),'Normative data'!$Z$2:$AG$2,"Not Found",-1))</f>
        <v>Incomplete</v>
      </c>
      <c r="CS936" s="68"/>
      <c r="CT936" s="66"/>
      <c r="CU936" s="20" t="str" cm="1">
        <f t="array" ref="CU936">_xlfn.XLOOKUP(CS936&amp;CT936,(VLOOKUP!$A$3:$A$250)&amp;(VLOOKUP!$B$3:$B$250),VLOOKUP!$C$3:$C$250,"Incomplete",-1)</f>
        <v>Incomplete</v>
      </c>
      <c r="CV936" s="20" t="str" cm="1">
        <f t="array" ref="CV936">_xlfn.XLOOKUP(CU936, _xlfn.XLOOKUP(E936, 'Normative data'!$Y$11:$Y$14, 'Normative data'!$Z$11:$AG$14, ,-1), 'Normative data'!$Z$10:$AG$10, "Not Found", -1)</f>
        <v>Excellent</v>
      </c>
      <c r="CW936" s="20" t="str" cm="1">
        <f t="array" ref="CW936">IF(OR(ISBLANK(CS936),ISBLANK(CT936)),"Incomplete",_xlfn.XLOOKUP(CS936&amp;CT936,VLOOKUP!$A$4:$A$250&amp;VLOOKUP!$B$4:$B$250,VLOOKUP!$D$4:$D$250,"0"))</f>
        <v>Incomplete</v>
      </c>
    </row>
    <row r="937" spans="1:101">
      <c r="A937" s="64" t="s">
        <v>1612</v>
      </c>
      <c r="B937" s="64" t="s">
        <v>1611</v>
      </c>
      <c r="C937" s="64" t="s">
        <v>86</v>
      </c>
      <c r="D937" s="65">
        <v>40851</v>
      </c>
      <c r="E937" s="64"/>
      <c r="F937" s="64">
        <v>8</v>
      </c>
      <c r="G937" s="64">
        <v>2025</v>
      </c>
      <c r="H937" s="66"/>
      <c r="I937" s="64"/>
      <c r="J937" s="64" t="s">
        <v>122</v>
      </c>
      <c r="K937" s="64"/>
      <c r="L937" s="64"/>
      <c r="M937" s="64"/>
      <c r="N937" s="64"/>
      <c r="O937" s="64"/>
      <c r="P937" s="64"/>
      <c r="Q937" s="64"/>
      <c r="R937" s="64"/>
      <c r="S937" s="66"/>
      <c r="T937" s="66">
        <v>163</v>
      </c>
      <c r="U937" s="66">
        <v>51.8</v>
      </c>
      <c r="V937" s="66"/>
      <c r="W937" s="66">
        <v>10.6</v>
      </c>
      <c r="X937" s="66">
        <f>SUM(T937-W937)</f>
        <v>152.4</v>
      </c>
      <c r="Y937" s="66">
        <v>22.4</v>
      </c>
      <c r="Z937" s="66">
        <v>19.5</v>
      </c>
      <c r="AA937" s="66">
        <v>20.5</v>
      </c>
      <c r="AB937" s="66"/>
      <c r="AC937" s="66"/>
      <c r="AD937" s="66"/>
      <c r="AE937" s="66"/>
      <c r="AF937" s="66"/>
      <c r="AG937" s="66"/>
      <c r="AH937" s="66"/>
      <c r="AI937" s="66"/>
      <c r="AJ937" s="66"/>
      <c r="AK937" s="66"/>
      <c r="AL937" s="66"/>
      <c r="AM937" s="66"/>
      <c r="AN937" s="66"/>
      <c r="AO937" s="66"/>
      <c r="AP937" s="66"/>
      <c r="AQ937" s="20">
        <v>26.1</v>
      </c>
      <c r="AR937" s="20">
        <v>0.46100000000000002</v>
      </c>
      <c r="AS937" s="20">
        <v>30.5</v>
      </c>
      <c r="AT937" s="20">
        <v>0.499</v>
      </c>
      <c r="AU937" s="20">
        <v>14.3</v>
      </c>
      <c r="AV937" s="20">
        <v>0.34100000000000003</v>
      </c>
      <c r="AW937" s="20">
        <v>14.8</v>
      </c>
      <c r="AX937" s="20">
        <v>0.34799999999999998</v>
      </c>
      <c r="AY937" s="41" t="e">
        <f>IF(OR(ISBLANK(U937), ISBLANK(#REF!)), "Incomplete", (60.7*#REF!)+(45.3*U937)-2055)</f>
        <v>#REF!</v>
      </c>
      <c r="AZ937" s="66"/>
      <c r="BA937" s="20" t="e">
        <f>IF(OR(ISBLANK(U937), ISBLANK(#REF!)), "Incomplete", (60.7*#REF!)+(45.3*U937)-2055)</f>
        <v>#REF!</v>
      </c>
      <c r="BB937" s="66"/>
      <c r="BC937" s="20" t="e">
        <f>IF(OR(ISBLANK(U937), ISBLANK(#REF!)), "Incomplete", (60.7*#REF!)+(45.3*U937)-2055)</f>
        <v>#REF!</v>
      </c>
      <c r="BD937" s="66"/>
      <c r="BE937" s="20" t="e">
        <f>IF(OR(ISBLANK(U937), ISBLANK(#REF!)), "Incomplete", (60.7*#REF!)+(45.3*U937)-2055)</f>
        <v>#REF!</v>
      </c>
      <c r="BF937" s="66"/>
      <c r="BG937" s="66">
        <v>15</v>
      </c>
      <c r="BH937" s="66">
        <v>49</v>
      </c>
      <c r="BI937" s="20" t="e">
        <f>IF(OR(ISBLANK(#REF!), ISBLANK(#REF!)),"Incomplete",(SUM(#REF!-#REF!)))</f>
        <v>#REF!</v>
      </c>
      <c r="BJ937" s="66"/>
      <c r="BK937" s="66">
        <v>9</v>
      </c>
      <c r="BL937" s="66"/>
      <c r="BM937" s="66">
        <v>7</v>
      </c>
      <c r="BN937" s="66"/>
      <c r="BO937" s="66"/>
      <c r="BP937" s="66"/>
      <c r="BQ937" s="66"/>
      <c r="BR937" s="66"/>
      <c r="BS937" s="66"/>
      <c r="BT937" s="66"/>
      <c r="BU937" s="66"/>
      <c r="BV937" s="66"/>
      <c r="BW937" s="91">
        <f t="shared" si="290"/>
        <v>0</v>
      </c>
      <c r="BX937" s="91" t="str">
        <f>_xlfn.XLOOKUP(BW937,'Normative data'!$V$3:$V$6,'Normative data'!$W$3:$W$6,"Not Found",-1)</f>
        <v>Not completed</v>
      </c>
      <c r="BY937" s="91">
        <f t="shared" si="291"/>
        <v>0</v>
      </c>
      <c r="BZ937" s="91" t="str">
        <f>_xlfn.XLOOKUP(BY937,'Normative data'!$V$3:$V$6,'Normative data'!$W$3:$W$6,"Not Found",-1)</f>
        <v>Not completed</v>
      </c>
      <c r="CA937" s="66"/>
      <c r="CB937" s="66"/>
      <c r="CC937" s="20"/>
      <c r="CD937" s="66"/>
      <c r="CE937" s="66">
        <v>17</v>
      </c>
      <c r="CF937" s="66"/>
      <c r="CG937" s="66">
        <v>17.170000000000002</v>
      </c>
      <c r="CH937" s="20" t="e">
        <f>_xlfn.XLOOKUP(#REF!, 'Normative data'!$S$9:$S$15,'Normative data'!$T$9:$T$15, "Not Found", -1)</f>
        <v>#REF!</v>
      </c>
      <c r="CI937" s="66">
        <v>17.399999999999999</v>
      </c>
      <c r="CJ937" s="20" t="e">
        <f>_xlfn.XLOOKUP(#REF!, 'Normative data'!$S$9:$S$15, 'Normative data'!$T$9:$T$15, "Not Found", -1)</f>
        <v>#REF!</v>
      </c>
      <c r="CK937" s="72">
        <v>2.09</v>
      </c>
      <c r="CL937" s="72">
        <v>4.78</v>
      </c>
      <c r="CM937" s="105"/>
      <c r="CN937" s="72">
        <v>6.69</v>
      </c>
      <c r="CO937" s="72">
        <v>7.47</v>
      </c>
      <c r="CP937" s="111"/>
      <c r="CQ937" s="68"/>
      <c r="CR937" s="20" t="str" cm="1">
        <f t="array" ref="CR937">IF(OR(ISBLANK(E937),ISBLANK(CQ937)),"Incomplete",_xlfn.XLOOKUP(CQ937,_xlfn.XLOOKUP(E937,'Normative data'!$Y$3:$Y$6,'Normative data'!$Z$3:$AG$6,,-1),'Normative data'!$Z$2:$AG$2,"Not Found",-1))</f>
        <v>Incomplete</v>
      </c>
      <c r="CS937" s="68"/>
      <c r="CT937" s="66"/>
      <c r="CU937" s="20" t="str" cm="1">
        <f t="array" ref="CU937">_xlfn.XLOOKUP(CS937&amp;CT937,(VLOOKUP!$A$3:$A$250)&amp;(VLOOKUP!$B$3:$B$250),VLOOKUP!$C$3:$C$250,"Incomplete",-1)</f>
        <v>Incomplete</v>
      </c>
      <c r="CV937" s="20" t="str" cm="1">
        <f t="array" ref="CV937">_xlfn.XLOOKUP(CU937, _xlfn.XLOOKUP(E937, 'Normative data'!$Y$11:$Y$14, 'Normative data'!$Z$11:$AG$14, ,-1), 'Normative data'!$Z$10:$AG$10, "Not Found", -1)</f>
        <v>Excellent</v>
      </c>
      <c r="CW937" s="20" t="str" cm="1">
        <f t="array" ref="CW937">IF(OR(ISBLANK(CS937),ISBLANK(CT937)),"Incomplete",_xlfn.XLOOKUP(CS937&amp;CT937,VLOOKUP!$A$4:$A$250&amp;VLOOKUP!$B$4:$B$250,VLOOKUP!$D$4:$D$250,"0"))</f>
        <v>Incomplete</v>
      </c>
    </row>
    <row r="938" spans="1:101">
      <c r="A938" s="64" t="s">
        <v>1612</v>
      </c>
      <c r="B938" s="64" t="s">
        <v>1611</v>
      </c>
      <c r="C938" s="64" t="s">
        <v>86</v>
      </c>
      <c r="D938" s="65">
        <v>40851</v>
      </c>
      <c r="E938" s="64"/>
      <c r="F938" s="64">
        <v>8</v>
      </c>
      <c r="G938" s="64">
        <v>2025</v>
      </c>
      <c r="H938" s="66"/>
      <c r="I938" s="64"/>
      <c r="J938" s="64" t="s">
        <v>122</v>
      </c>
      <c r="K938" s="64"/>
      <c r="L938" s="64"/>
      <c r="M938" s="64"/>
      <c r="N938" s="64"/>
      <c r="O938" s="64"/>
      <c r="P938" s="64"/>
      <c r="Q938" s="64"/>
      <c r="R938" s="64"/>
      <c r="S938" s="66"/>
      <c r="T938" s="66" t="s">
        <v>1613</v>
      </c>
      <c r="U938" s="66" t="s">
        <v>1614</v>
      </c>
      <c r="V938" s="66"/>
      <c r="W938" s="66"/>
      <c r="X938" s="66"/>
      <c r="Y938" s="66"/>
      <c r="Z938" s="66"/>
      <c r="AA938" s="66"/>
      <c r="AB938" s="66"/>
      <c r="AC938" s="66"/>
      <c r="AD938" s="66"/>
      <c r="AE938" s="66"/>
      <c r="AF938" s="66"/>
      <c r="AG938" s="66"/>
      <c r="AH938" s="66"/>
      <c r="AI938" s="66"/>
      <c r="AJ938" s="66"/>
      <c r="AK938" s="66"/>
      <c r="AL938" s="66"/>
      <c r="AM938" s="66"/>
      <c r="AN938" s="66"/>
      <c r="AO938" s="66"/>
      <c r="AP938" s="66"/>
      <c r="AQ938" s="20"/>
      <c r="AR938" s="20"/>
      <c r="AS938" s="20"/>
      <c r="AT938" s="20"/>
      <c r="AU938" s="20"/>
      <c r="AV938" s="20"/>
      <c r="AW938" s="20"/>
      <c r="AX938" s="20"/>
      <c r="AY938" s="41" t="str">
        <f>IF(OR(ISBLANK(#REF!), ISBLANK(AQ938)), "Incomplete", (60.7*AQ938)+(45.3*#REF!)-2055)</f>
        <v>Incomplete</v>
      </c>
      <c r="AZ938" s="66"/>
      <c r="BA938" s="20" t="str">
        <f>IF(OR(ISBLANK(#REF!), ISBLANK(AS938)), "Incomplete", (60.7*AS938)+(45.3*#REF!)-2055)</f>
        <v>Incomplete</v>
      </c>
      <c r="BB938" s="66"/>
      <c r="BC938" s="20" t="str">
        <f>IF(OR(ISBLANK(#REF!), ISBLANK(AU938)), "Incomplete", (60.7*AU938)+(45.3*#REF!)-2055)</f>
        <v>Incomplete</v>
      </c>
      <c r="BD938" s="66"/>
      <c r="BE938" s="20" t="str">
        <f>IF(OR(ISBLANK(#REF!), ISBLANK(AW938)), "Incomplete", (60.7*AW938)+(45.3*#REF!)-2055)</f>
        <v>Incomplete</v>
      </c>
      <c r="BF938" s="66"/>
      <c r="BG938" s="66"/>
      <c r="BH938" s="66"/>
      <c r="BI938" s="20" t="str">
        <f>IF(OR(ISBLANK(BG938), ISBLANK(BH938)),"Incomplete",(SUM(BH938-BG938)))</f>
        <v>Incomplete</v>
      </c>
      <c r="BJ938" s="66"/>
      <c r="BK938" s="66"/>
      <c r="BL938" s="66"/>
      <c r="BM938" s="20"/>
      <c r="BN938" s="66"/>
      <c r="BO938" s="66"/>
      <c r="BP938" s="66"/>
      <c r="BQ938" s="66"/>
      <c r="BR938" s="66"/>
      <c r="BS938" s="66"/>
      <c r="BT938" s="66"/>
      <c r="BU938" s="66"/>
      <c r="BV938" s="66"/>
      <c r="BW938" s="91" t="str">
        <f>IFERROR(SUM(BQ938+BR938+BS938)/(3*(#REF!-S938))*100, "Incomplete")</f>
        <v>Incomplete</v>
      </c>
      <c r="BX938" s="91" t="str">
        <f>_xlfn.XLOOKUP(BW938,'Normative data'!$V$3:$V$6,'Normative data'!$W$3:$W$6,"Not Found",-1)</f>
        <v>Very low risk</v>
      </c>
      <c r="BY938" s="91" t="str">
        <f>IFERROR(SUM(BT938+BU938+BV938)/(3*(#REF!-S938))*100, "Incomplete")</f>
        <v>Incomplete</v>
      </c>
      <c r="BZ938" s="91" t="str">
        <f>_xlfn.XLOOKUP(BY938,'Normative data'!$V$3:$V$6,'Normative data'!$W$3:$W$6,"Not Found",-1)</f>
        <v>Very low risk</v>
      </c>
      <c r="CA938" s="20"/>
      <c r="CB938" s="66"/>
      <c r="CC938" s="20"/>
      <c r="CD938" s="66"/>
      <c r="CE938" s="66"/>
      <c r="CF938" s="66"/>
      <c r="CG938" s="66">
        <v>18.22</v>
      </c>
      <c r="CH938" s="20" t="str">
        <f>_xlfn.XLOOKUP(CG938, 'Normative data'!$S$9:$S$15,'Normative data'!$T$9:$T$15, "Not Found", -1)</f>
        <v>Average</v>
      </c>
      <c r="CI938" s="66">
        <v>18.16</v>
      </c>
      <c r="CJ938" s="20" t="str">
        <f>_xlfn.XLOOKUP(CI938, 'Normative data'!$S$9:$S$15, 'Normative data'!$T$9:$T$15, "Not Found", -1)</f>
        <v>Average</v>
      </c>
      <c r="CK938" s="66" t="s">
        <v>1395</v>
      </c>
      <c r="CL938" s="66" t="s">
        <v>1396</v>
      </c>
      <c r="CM938" s="105"/>
      <c r="CN938" s="66" t="s">
        <v>718</v>
      </c>
      <c r="CO938" s="66" t="s">
        <v>1615</v>
      </c>
      <c r="CP938" s="68"/>
      <c r="CQ938" s="68"/>
      <c r="CR938" s="20" t="str" cm="1">
        <f t="array" ref="CR938">IF(OR(ISBLANK(E938),ISBLANK(CQ938)),"Incomplete",_xlfn.XLOOKUP(CQ938,_xlfn.XLOOKUP(E938,'Normative data'!$Y$3:$Y$6,'Normative data'!$Z$3:$AG$6,,-1),'Normative data'!$Z$2:$AG$2,"Not Found",-1))</f>
        <v>Incomplete</v>
      </c>
      <c r="CS938" s="68"/>
      <c r="CT938" s="66"/>
      <c r="CU938" s="20" t="str" cm="1">
        <f t="array" ref="CU938">_xlfn.XLOOKUP(CS938&amp;CT938,(VLOOKUP!$A$3:$A$250)&amp;(VLOOKUP!$B$3:$B$250),VLOOKUP!$C$3:$C$250,"Incomplete",-1)</f>
        <v>Incomplete</v>
      </c>
      <c r="CV938" s="20" t="str" cm="1">
        <f t="array" ref="CV938">_xlfn.XLOOKUP(CU938, _xlfn.XLOOKUP(E938, 'Normative data'!$Y$11:$Y$14, 'Normative data'!$Z$11:$AG$14, ,-1), 'Normative data'!$Z$10:$AG$10, "Not Found", -1)</f>
        <v>Excellent</v>
      </c>
      <c r="CW938" s="20" t="str" cm="1">
        <f t="array" ref="CW938">IF(OR(ISBLANK(CS938),ISBLANK(CT938)),"Incomplete",_xlfn.XLOOKUP(CS938&amp;CT938,VLOOKUP!$A$4:$A$250&amp;VLOOKUP!$B$4:$B$250,VLOOKUP!$D$4:$D$250,"0"))</f>
        <v>Incomplete</v>
      </c>
    </row>
    <row r="939" spans="1:101">
      <c r="A939" s="64" t="s">
        <v>970</v>
      </c>
      <c r="B939" s="64" t="s">
        <v>1611</v>
      </c>
      <c r="C939" s="64" t="s">
        <v>86</v>
      </c>
      <c r="D939" s="120"/>
      <c r="E939" s="64"/>
      <c r="F939" s="64"/>
      <c r="G939" s="64">
        <v>2026</v>
      </c>
      <c r="H939" s="66" t="s">
        <v>114</v>
      </c>
      <c r="I939" s="64">
        <v>1</v>
      </c>
      <c r="J939" s="64"/>
      <c r="K939" s="64"/>
      <c r="L939" s="64"/>
      <c r="M939" s="64"/>
      <c r="N939" s="64"/>
      <c r="O939" s="64"/>
      <c r="P939" s="64"/>
      <c r="Q939" s="64"/>
      <c r="R939" s="64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  <c r="AD939" s="66"/>
      <c r="AE939" s="66"/>
      <c r="AF939" s="66"/>
      <c r="AG939" s="66"/>
      <c r="AH939" s="66"/>
      <c r="AI939" s="66"/>
      <c r="AJ939" s="66"/>
      <c r="AK939" s="66"/>
      <c r="AL939" s="66"/>
      <c r="AM939" s="66"/>
      <c r="AN939" s="66"/>
      <c r="AO939" s="66"/>
      <c r="AP939" s="66"/>
      <c r="AQ939" s="20"/>
      <c r="AR939" s="20"/>
      <c r="AS939" s="20"/>
      <c r="AT939" s="20"/>
      <c r="AU939" s="20"/>
      <c r="AV939" s="20"/>
      <c r="AW939" s="20"/>
      <c r="AX939" s="20"/>
      <c r="AY939" s="41" t="str">
        <f t="shared" ref="AY939:AY948" si="292">IF(OR(ISBLANK(U939), ISBLANK(AQ939)), "Incomplete", (60.7*AQ939)+(45.3*U939)-2055)</f>
        <v>Incomplete</v>
      </c>
      <c r="AZ939" s="66"/>
      <c r="BA939" s="20" t="str">
        <f t="shared" ref="BA939:BA948" si="293">IF(OR(ISBLANK(U939), ISBLANK(AS939)), "Incomplete", (60.7*AS939)+(45.3*U939)-2055)</f>
        <v>Incomplete</v>
      </c>
      <c r="BB939" s="66"/>
      <c r="BC939" s="20" t="str">
        <f t="shared" ref="BC939:BC948" si="294">IF(OR(ISBLANK(U939), ISBLANK(AU939)), "Incomplete", (60.7*AU939)+(45.3*U939)-2055)</f>
        <v>Incomplete</v>
      </c>
      <c r="BD939" s="66"/>
      <c r="BE939" s="20" t="str">
        <f t="shared" ref="BE939:BE948" si="295">IF(OR(ISBLANK(U939), ISBLANK(AW939)), "Incomplete", (60.7*AW939)+(45.3*U939)-2055)</f>
        <v>Incomplete</v>
      </c>
      <c r="BF939" s="66"/>
      <c r="BG939" s="66"/>
      <c r="BH939" s="20">
        <v>38.5</v>
      </c>
      <c r="BI939" s="20" t="str">
        <f>IF(OR(ISBLANK(BG939), ISBLANK(BH939)),"Incomplete",(SUM(BH939-BG939)))</f>
        <v>Incomplete</v>
      </c>
      <c r="BJ939" s="66"/>
      <c r="BK939" s="66"/>
      <c r="BL939" s="66"/>
      <c r="BM939" s="20"/>
      <c r="BN939" s="66"/>
      <c r="BO939" s="66"/>
      <c r="BP939" s="66"/>
      <c r="BQ939" s="66"/>
      <c r="BR939" s="66"/>
      <c r="BS939" s="66"/>
      <c r="BT939" s="66"/>
      <c r="BU939" s="66"/>
      <c r="BV939" s="66"/>
      <c r="BW939" s="91" t="str">
        <f t="shared" ref="BW939:BW970" si="296">IFERROR(SUM(BQ939+BR939+BS939)/(3*(T939-S939))*100, "Incomplete")</f>
        <v>Incomplete</v>
      </c>
      <c r="BX939" s="91" t="str">
        <f>_xlfn.XLOOKUP(BW939,'Normative data'!$V$3:$V$6,'Normative data'!$W$3:$W$6,"Not Found",-1)</f>
        <v>Very low risk</v>
      </c>
      <c r="BY939" s="91" t="str">
        <f t="shared" ref="BY939:BY970" si="297">IFERROR(SUM(BT939+BU939+BV939)/(3*(T939-S939))*100, "Incomplete")</f>
        <v>Incomplete</v>
      </c>
      <c r="BZ939" s="91" t="str">
        <f>_xlfn.XLOOKUP(BY939,'Normative data'!$V$3:$V$6,'Normative data'!$W$3:$W$6,"Not Found",-1)</f>
        <v>Very low risk</v>
      </c>
      <c r="CA939" s="66"/>
      <c r="CB939" s="66"/>
      <c r="CC939" s="20">
        <v>40</v>
      </c>
      <c r="CD939" s="66"/>
      <c r="CE939" s="66">
        <v>14</v>
      </c>
      <c r="CF939" s="66"/>
      <c r="CG939" s="66" t="s">
        <v>1616</v>
      </c>
      <c r="CH939" s="20" t="str">
        <f>_xlfn.XLOOKUP(CG939, 'Normative data'!$S$9:$S$15,'Normative data'!$T$9:$T$15, "Not Found", -1)</f>
        <v>Poor</v>
      </c>
      <c r="CI939" s="66" t="s">
        <v>1617</v>
      </c>
      <c r="CJ939" s="20" t="str">
        <f>_xlfn.XLOOKUP(CI939, 'Normative data'!$S$9:$S$15, 'Normative data'!$T$9:$T$15, "Not Found", -1)</f>
        <v>Poor</v>
      </c>
      <c r="CK939" s="105"/>
      <c r="CL939" s="105"/>
      <c r="CM939" s="105"/>
      <c r="CN939" s="105"/>
      <c r="CO939" s="105"/>
      <c r="CP939" s="68"/>
      <c r="CQ939" s="68"/>
      <c r="CR939" s="20" t="str" cm="1">
        <f t="array" ref="CR939">IF(OR(ISBLANK(E939),ISBLANK(CQ939)),"Incomplete",_xlfn.XLOOKUP(CQ939,_xlfn.XLOOKUP(E939,'Normative data'!$Y$3:$Y$6,'Normative data'!$Z$3:$AG$6,,-1),'Normative data'!$Z$2:$AG$2,"Not Found",-1))</f>
        <v>Incomplete</v>
      </c>
      <c r="CS939" s="68"/>
      <c r="CT939" s="66"/>
      <c r="CU939" s="20" t="str" cm="1">
        <f t="array" ref="CU939">_xlfn.XLOOKUP(CS939&amp;CT939,(VLOOKUP!$A$3:$A$250)&amp;(VLOOKUP!$B$3:$B$250),VLOOKUP!$C$3:$C$250,"Incomplete",-1)</f>
        <v>Incomplete</v>
      </c>
      <c r="CV939" s="20" t="str" cm="1">
        <f t="array" ref="CV939">_xlfn.XLOOKUP(CU939, _xlfn.XLOOKUP(E939, 'Normative data'!$Y$11:$Y$14, 'Normative data'!$Z$11:$AG$14, ,-1), 'Normative data'!$Z$10:$AG$10, "Not Found", -1)</f>
        <v>Excellent</v>
      </c>
      <c r="CW939" s="20" t="str" cm="1">
        <f t="array" ref="CW939">IF(OR(ISBLANK(CS939),ISBLANK(CT939)),"Incomplete",_xlfn.XLOOKUP(CS939&amp;CT939,VLOOKUP!$A$4:$A$250&amp;VLOOKUP!$B$4:$B$250,VLOOKUP!$D$4:$D$250,"0"))</f>
        <v>Incomplete</v>
      </c>
    </row>
    <row r="940" spans="1:101">
      <c r="A940" s="64" t="s">
        <v>572</v>
      </c>
      <c r="B940" s="64" t="s">
        <v>571</v>
      </c>
      <c r="C940" s="64" t="s">
        <v>86</v>
      </c>
      <c r="D940" s="65">
        <v>39819</v>
      </c>
      <c r="E940" s="64"/>
      <c r="F940" s="64">
        <v>10</v>
      </c>
      <c r="G940" s="64">
        <v>2025</v>
      </c>
      <c r="H940" s="66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  <c r="AD940" s="66"/>
      <c r="AE940" s="66"/>
      <c r="AF940" s="66"/>
      <c r="AG940" s="66"/>
      <c r="AH940" s="66"/>
      <c r="AI940" s="66"/>
      <c r="AJ940" s="66"/>
      <c r="AK940" s="66"/>
      <c r="AL940" s="66"/>
      <c r="AM940" s="66"/>
      <c r="AN940" s="66"/>
      <c r="AO940" s="66"/>
      <c r="AP940" s="66"/>
      <c r="AQ940" s="20"/>
      <c r="AR940" s="20"/>
      <c r="AS940" s="20"/>
      <c r="AT940" s="20"/>
      <c r="AU940" s="20"/>
      <c r="AV940" s="20"/>
      <c r="AW940" s="20"/>
      <c r="AX940" s="20"/>
      <c r="AY940" s="41" t="str">
        <f t="shared" si="292"/>
        <v>Incomplete</v>
      </c>
      <c r="AZ940" s="66"/>
      <c r="BA940" s="20" t="str">
        <f t="shared" si="293"/>
        <v>Incomplete</v>
      </c>
      <c r="BB940" s="66"/>
      <c r="BC940" s="20" t="str">
        <f t="shared" si="294"/>
        <v>Incomplete</v>
      </c>
      <c r="BD940" s="66"/>
      <c r="BE940" s="20" t="str">
        <f t="shared" si="295"/>
        <v>Incomplete</v>
      </c>
      <c r="BF940" s="66"/>
      <c r="BG940" s="66">
        <v>11</v>
      </c>
      <c r="BH940" s="66">
        <v>31</v>
      </c>
      <c r="BI940" s="20" t="e">
        <f>IF(OR(ISBLANK(#REF!), ISBLANK(#REF!)),"Incomplete",(SUM(#REF!-#REF!)))</f>
        <v>#REF!</v>
      </c>
      <c r="BJ940" s="66"/>
      <c r="BK940" s="66">
        <v>8</v>
      </c>
      <c r="BL940" s="66"/>
      <c r="BM940" s="66">
        <v>7</v>
      </c>
      <c r="BN940" s="66"/>
      <c r="BO940" s="66"/>
      <c r="BP940" s="66"/>
      <c r="BQ940" s="66"/>
      <c r="BR940" s="66"/>
      <c r="BS940" s="66"/>
      <c r="BT940" s="66"/>
      <c r="BU940" s="66"/>
      <c r="BV940" s="66"/>
      <c r="BW940" s="91" t="str">
        <f t="shared" si="296"/>
        <v>Incomplete</v>
      </c>
      <c r="BX940" s="91" t="str">
        <f>_xlfn.XLOOKUP(BW940,'Normative data'!$V$3:$V$6,'Normative data'!$W$3:$W$6,"Not Found",-1)</f>
        <v>Very low risk</v>
      </c>
      <c r="BY940" s="91" t="str">
        <f t="shared" si="297"/>
        <v>Incomplete</v>
      </c>
      <c r="BZ940" s="91" t="str">
        <f>_xlfn.XLOOKUP(BY940,'Normative data'!$V$3:$V$6,'Normative data'!$W$3:$W$6,"Not Found",-1)</f>
        <v>Very low risk</v>
      </c>
      <c r="CA940" s="66"/>
      <c r="CB940" s="66"/>
      <c r="CC940" s="20"/>
      <c r="CD940" s="66"/>
      <c r="CE940" s="66">
        <v>17</v>
      </c>
      <c r="CF940" s="66"/>
      <c r="CG940" s="20"/>
      <c r="CH940" s="20" t="str">
        <f>_xlfn.XLOOKUP(CG940, 'Normative data'!$S$9:$S$15,'Normative data'!$T$9:$T$15, "Not Found", -1)</f>
        <v>not completed</v>
      </c>
      <c r="CI940" s="20"/>
      <c r="CJ940" s="20" t="str">
        <f>_xlfn.XLOOKUP(CI940, 'Normative data'!$S$9:$S$15, 'Normative data'!$T$9:$T$15, "Not Found", -1)</f>
        <v>not completed</v>
      </c>
      <c r="CK940" s="66">
        <v>2.21</v>
      </c>
      <c r="CL940" s="66">
        <v>4.5199999999999996</v>
      </c>
      <c r="CM940" s="105"/>
      <c r="CN940" s="66">
        <v>6.78</v>
      </c>
      <c r="CO940" s="66">
        <v>7.37</v>
      </c>
      <c r="CP940" s="68"/>
      <c r="CQ940" s="68"/>
      <c r="CR940" s="20" t="str" cm="1">
        <f t="array" ref="CR940">IF(OR(ISBLANK(E940),ISBLANK(CQ940)),"Incomplete",_xlfn.XLOOKUP(CQ940,_xlfn.XLOOKUP(E940,'Normative data'!$Y$3:$Y$6,'Normative data'!$Z$3:$AG$6,,-1),'Normative data'!$Z$2:$AG$2,"Not Found",-1))</f>
        <v>Incomplete</v>
      </c>
      <c r="CS940" s="68"/>
      <c r="CT940" s="66"/>
      <c r="CU940" s="20" t="str" cm="1">
        <f t="array" ref="CU940">_xlfn.XLOOKUP(CS940&amp;CT940,(VLOOKUP!$A$3:$A$250)&amp;(VLOOKUP!$B$3:$B$250),VLOOKUP!$C$3:$C$250,"Incomplete",-1)</f>
        <v>Incomplete</v>
      </c>
      <c r="CV940" s="20" t="str" cm="1">
        <f t="array" ref="CV940">_xlfn.XLOOKUP(CU940, _xlfn.XLOOKUP(E940, 'Normative data'!$Y$11:$Y$14, 'Normative data'!$Z$11:$AG$14, ,-1), 'Normative data'!$Z$10:$AG$10, "Not Found", -1)</f>
        <v>Excellent</v>
      </c>
      <c r="CW940" s="20" t="str" cm="1">
        <f t="array" ref="CW940">IF(OR(ISBLANK(CS940),ISBLANK(CT940)),"Incomplete",_xlfn.XLOOKUP(CS940&amp;CT940,VLOOKUP!$A$4:$A$250&amp;VLOOKUP!$B$4:$B$250,VLOOKUP!$D$4:$D$250,"0"))</f>
        <v>Incomplete</v>
      </c>
    </row>
    <row r="941" spans="1:101">
      <c r="A941" s="93" t="s">
        <v>1156</v>
      </c>
      <c r="B941" s="93" t="s">
        <v>1587</v>
      </c>
      <c r="C941" s="64" t="s">
        <v>86</v>
      </c>
      <c r="D941" s="96">
        <v>40272</v>
      </c>
      <c r="E941" s="64"/>
      <c r="F941" s="64">
        <v>9</v>
      </c>
      <c r="G941" s="64">
        <v>2025</v>
      </c>
      <c r="H941" s="66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  <c r="AD941" s="66"/>
      <c r="AE941" s="66"/>
      <c r="AF941" s="66"/>
      <c r="AG941" s="66"/>
      <c r="AH941" s="66"/>
      <c r="AI941" s="66"/>
      <c r="AJ941" s="66"/>
      <c r="AK941" s="66"/>
      <c r="AL941" s="66"/>
      <c r="AM941" s="66"/>
      <c r="AN941" s="66"/>
      <c r="AO941" s="66"/>
      <c r="AP941" s="66"/>
      <c r="AQ941" s="66"/>
      <c r="AR941" s="66"/>
      <c r="AS941" s="66"/>
      <c r="AT941" s="66"/>
      <c r="AU941" s="66"/>
      <c r="AV941" s="66"/>
      <c r="AW941" s="66"/>
      <c r="AX941" s="66"/>
      <c r="AY941" s="41" t="str">
        <f t="shared" si="292"/>
        <v>Incomplete</v>
      </c>
      <c r="AZ941" s="66"/>
      <c r="BA941" s="20" t="str">
        <f t="shared" si="293"/>
        <v>Incomplete</v>
      </c>
      <c r="BB941" s="66"/>
      <c r="BC941" s="20" t="str">
        <f t="shared" si="294"/>
        <v>Incomplete</v>
      </c>
      <c r="BD941" s="66"/>
      <c r="BE941" s="20" t="str">
        <f t="shared" si="295"/>
        <v>Incomplete</v>
      </c>
      <c r="BF941" s="66"/>
      <c r="BG941" s="66">
        <v>13.5</v>
      </c>
      <c r="BH941" s="66">
        <v>26.5</v>
      </c>
      <c r="BI941" s="20" t="e">
        <f>IF(OR(ISBLANK(#REF!), ISBLANK(#REF!)),"Incomplete",(SUM(#REF!-#REF!)))</f>
        <v>#REF!</v>
      </c>
      <c r="BJ941" s="66"/>
      <c r="BK941" s="66"/>
      <c r="BL941" s="66"/>
      <c r="BM941" s="66"/>
      <c r="BN941" s="66"/>
      <c r="BO941" s="66"/>
      <c r="BP941" s="66"/>
      <c r="BQ941" s="66"/>
      <c r="BR941" s="66"/>
      <c r="BS941" s="66"/>
      <c r="BT941" s="66"/>
      <c r="BU941" s="66"/>
      <c r="BV941" s="66"/>
      <c r="BW941" s="91" t="str">
        <f t="shared" si="296"/>
        <v>Incomplete</v>
      </c>
      <c r="BX941" s="91" t="str">
        <f>_xlfn.XLOOKUP(BW941,'Normative data'!$V$3:$V$6,'Normative data'!$W$3:$W$6,"Not Found",-1)</f>
        <v>Very low risk</v>
      </c>
      <c r="BY941" s="91" t="str">
        <f t="shared" si="297"/>
        <v>Incomplete</v>
      </c>
      <c r="BZ941" s="91" t="str">
        <f>_xlfn.XLOOKUP(BY941,'Normative data'!$V$3:$V$6,'Normative data'!$W$3:$W$6,"Not Found",-1)</f>
        <v>Very low risk</v>
      </c>
      <c r="CA941" s="66"/>
      <c r="CB941" s="66"/>
      <c r="CC941" s="20"/>
      <c r="CD941" s="66"/>
      <c r="CE941" s="66">
        <v>11</v>
      </c>
      <c r="CF941" s="66"/>
      <c r="CG941" s="66"/>
      <c r="CH941" s="20" t="str">
        <f>_xlfn.XLOOKUP(CG941, 'Normative data'!$S$9:$S$15,'Normative data'!$T$9:$T$15, "Not Found", -1)</f>
        <v>not completed</v>
      </c>
      <c r="CI941" s="66"/>
      <c r="CJ941" s="20" t="str">
        <f>_xlfn.XLOOKUP(CI941, 'Normative data'!$S$9:$S$15, 'Normative data'!$T$9:$T$15, "Not Found", -1)</f>
        <v>not completed</v>
      </c>
      <c r="CK941" s="72">
        <v>2.27</v>
      </c>
      <c r="CL941" s="72">
        <v>4.41</v>
      </c>
      <c r="CM941" s="72"/>
      <c r="CN941" s="72">
        <v>7.09</v>
      </c>
      <c r="CO941" s="72">
        <v>7.05</v>
      </c>
      <c r="CP941" s="111"/>
      <c r="CQ941" s="68"/>
      <c r="CR941" s="20" t="str" cm="1">
        <f t="array" ref="CR941">IF(OR(ISBLANK(E941),ISBLANK(CQ941)),"Incomplete",_xlfn.XLOOKUP(CQ941,_xlfn.XLOOKUP(E941,'Normative data'!$Y$3:$Y$6,'Normative data'!$Z$3:$AG$6,,-1),'Normative data'!$Z$2:$AG$2,"Not Found",-1))</f>
        <v>Incomplete</v>
      </c>
      <c r="CS941" s="68"/>
      <c r="CT941" s="66"/>
      <c r="CU941" s="20" t="str" cm="1">
        <f t="array" ref="CU941">_xlfn.XLOOKUP(CS941&amp;CT941,(VLOOKUP!$A$3:$A$250)&amp;(VLOOKUP!$B$3:$B$250),VLOOKUP!$C$3:$C$250,"Incomplete",-1)</f>
        <v>Incomplete</v>
      </c>
      <c r="CV941" s="20" t="str" cm="1">
        <f t="array" ref="CV941">_xlfn.XLOOKUP(CU941, _xlfn.XLOOKUP(E941, 'Normative data'!$Y$11:$Y$14, 'Normative data'!$Z$11:$AG$14, ,-1), 'Normative data'!$Z$10:$AG$10, "Not Found", -1)</f>
        <v>Excellent</v>
      </c>
      <c r="CW941" s="20" t="str" cm="1">
        <f t="array" ref="CW941">IF(OR(ISBLANK(CS941),ISBLANK(CT941)),"Incomplete",_xlfn.XLOOKUP(CS941&amp;CT941,VLOOKUP!$A$4:$A$250&amp;VLOOKUP!$B$4:$B$250,VLOOKUP!$D$4:$D$250,"0"))</f>
        <v>Incomplete</v>
      </c>
    </row>
    <row r="942" spans="1:101">
      <c r="A942" s="64" t="s">
        <v>1618</v>
      </c>
      <c r="B942" s="64" t="s">
        <v>1587</v>
      </c>
      <c r="C942" s="64" t="s">
        <v>86</v>
      </c>
      <c r="D942" s="65"/>
      <c r="E942" s="64"/>
      <c r="F942" s="64">
        <v>9</v>
      </c>
      <c r="G942" s="64">
        <v>2025</v>
      </c>
      <c r="H942" s="66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  <c r="AD942" s="66"/>
      <c r="AE942" s="66"/>
      <c r="AF942" s="66"/>
      <c r="AG942" s="66"/>
      <c r="AH942" s="66"/>
      <c r="AI942" s="66"/>
      <c r="AJ942" s="66"/>
      <c r="AK942" s="66"/>
      <c r="AL942" s="66"/>
      <c r="AM942" s="66"/>
      <c r="AN942" s="66"/>
      <c r="AO942" s="66"/>
      <c r="AP942" s="66"/>
      <c r="AQ942" s="20"/>
      <c r="AR942" s="20"/>
      <c r="AS942" s="20"/>
      <c r="AT942" s="20"/>
      <c r="AU942" s="20"/>
      <c r="AV942" s="20"/>
      <c r="AW942" s="20"/>
      <c r="AX942" s="20"/>
      <c r="AY942" s="41" t="str">
        <f t="shared" si="292"/>
        <v>Incomplete</v>
      </c>
      <c r="AZ942" s="66"/>
      <c r="BA942" s="20" t="str">
        <f t="shared" si="293"/>
        <v>Incomplete</v>
      </c>
      <c r="BB942" s="66"/>
      <c r="BC942" s="20" t="str">
        <f t="shared" si="294"/>
        <v>Incomplete</v>
      </c>
      <c r="BD942" s="66"/>
      <c r="BE942" s="20" t="str">
        <f t="shared" si="295"/>
        <v>Incomplete</v>
      </c>
      <c r="BF942" s="66"/>
      <c r="BG942" s="66"/>
      <c r="BH942" s="20"/>
      <c r="BI942" s="20" t="str">
        <f>IF(OR(ISBLANK(BG942), ISBLANK(BH942)),"Incomplete",(SUM(BH942-BG942)))</f>
        <v>Incomplete</v>
      </c>
      <c r="BJ942" s="66"/>
      <c r="BK942" s="66"/>
      <c r="BL942" s="66"/>
      <c r="BM942" s="20"/>
      <c r="BN942" s="66"/>
      <c r="BO942" s="66"/>
      <c r="BP942" s="66"/>
      <c r="BQ942" s="66"/>
      <c r="BR942" s="66"/>
      <c r="BS942" s="66"/>
      <c r="BT942" s="66"/>
      <c r="BU942" s="66"/>
      <c r="BV942" s="66"/>
      <c r="BW942" s="91" t="str">
        <f t="shared" si="296"/>
        <v>Incomplete</v>
      </c>
      <c r="BX942" s="91" t="str">
        <f>_xlfn.XLOOKUP(BW942,'Normative data'!$V$3:$V$6,'Normative data'!$W$3:$W$6,"Not Found",-1)</f>
        <v>Very low risk</v>
      </c>
      <c r="BY942" s="91" t="str">
        <f t="shared" si="297"/>
        <v>Incomplete</v>
      </c>
      <c r="BZ942" s="91" t="str">
        <f>_xlfn.XLOOKUP(BY942,'Normative data'!$V$3:$V$6,'Normative data'!$W$3:$W$6,"Not Found",-1)</f>
        <v>Very low risk</v>
      </c>
      <c r="CA942" s="66"/>
      <c r="CB942" s="66"/>
      <c r="CC942" s="66"/>
      <c r="CD942" s="66"/>
      <c r="CE942" s="66"/>
      <c r="CF942" s="66"/>
      <c r="CG942" s="20"/>
      <c r="CH942" s="20" t="str">
        <f>_xlfn.XLOOKUP(CG942, 'Normative data'!$S$9:$S$15,'Normative data'!$T$9:$T$15, "Not Found", -1)</f>
        <v>not completed</v>
      </c>
      <c r="CI942" s="20"/>
      <c r="CJ942" s="20" t="str">
        <f>_xlfn.XLOOKUP(CI942, 'Normative data'!$S$9:$S$15, 'Normative data'!$T$9:$T$15, "Not Found", -1)</f>
        <v>not completed</v>
      </c>
      <c r="CK942" s="20" t="s">
        <v>335</v>
      </c>
      <c r="CL942" s="20" t="s">
        <v>336</v>
      </c>
      <c r="CN942" s="20" t="s">
        <v>1076</v>
      </c>
      <c r="CO942" s="20" t="s">
        <v>1075</v>
      </c>
      <c r="CP942" s="68"/>
      <c r="CQ942" s="68"/>
      <c r="CR942" s="20" t="str" cm="1">
        <f t="array" ref="CR942">IF(OR(ISBLANK(E942),ISBLANK(CQ942)),"Incomplete",_xlfn.XLOOKUP(CQ942,_xlfn.XLOOKUP(E942,'Normative data'!$Y$3:$Y$6,'Normative data'!$Z$3:$AG$6,,-1),'Normative data'!$Z$2:$AG$2,"Not Found",-1))</f>
        <v>Incomplete</v>
      </c>
      <c r="CS942" s="68"/>
      <c r="CT942" s="66"/>
      <c r="CU942" s="20" t="str" cm="1">
        <f t="array" ref="CU942">_xlfn.XLOOKUP(CS942&amp;CT942,(VLOOKUP!$A$3:$A$250)&amp;(VLOOKUP!$B$3:$B$250),VLOOKUP!$C$3:$C$250,"Incomplete",-1)</f>
        <v>Incomplete</v>
      </c>
      <c r="CV942" s="20" t="str" cm="1">
        <f t="array" ref="CV942">_xlfn.XLOOKUP(CU942, _xlfn.XLOOKUP(E942, 'Normative data'!$Y$11:$Y$14, 'Normative data'!$Z$11:$AG$14, ,-1), 'Normative data'!$Z$10:$AG$10, "Not Found", -1)</f>
        <v>Excellent</v>
      </c>
      <c r="CW942" s="20" t="str" cm="1">
        <f t="array" ref="CW942">IF(OR(ISBLANK(CS942),ISBLANK(CT942)),"Incomplete",_xlfn.XLOOKUP(CS942&amp;CT942,VLOOKUP!$A$4:$A$250&amp;VLOOKUP!$B$4:$B$250,VLOOKUP!$D$4:$D$250,"0"))</f>
        <v>Incomplete</v>
      </c>
    </row>
    <row r="943" spans="1:101">
      <c r="A943" s="64" t="s">
        <v>1325</v>
      </c>
      <c r="B943" s="64" t="s">
        <v>1324</v>
      </c>
      <c r="C943" s="64" t="s">
        <v>86</v>
      </c>
      <c r="D943" s="65"/>
      <c r="E943" s="64"/>
      <c r="F943" s="66" t="s">
        <v>162</v>
      </c>
      <c r="G943" s="64">
        <v>2026</v>
      </c>
      <c r="H943" s="66"/>
      <c r="I943" s="66">
        <v>2</v>
      </c>
      <c r="J943" s="66"/>
      <c r="K943" s="66"/>
      <c r="L943" s="66"/>
      <c r="M943" s="64"/>
      <c r="N943" s="64"/>
      <c r="O943" s="64"/>
      <c r="P943" s="64"/>
      <c r="Q943" s="64"/>
      <c r="R943" s="64"/>
      <c r="S943" s="66">
        <v>78.5</v>
      </c>
      <c r="T943" s="66">
        <v>158.30000000000001</v>
      </c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  <c r="AG943" s="64"/>
      <c r="AH943" s="64"/>
      <c r="AI943" s="64"/>
      <c r="AJ943" s="64"/>
      <c r="AK943" s="64"/>
      <c r="AL943" s="64"/>
      <c r="AM943" s="64"/>
      <c r="AN943" s="64"/>
      <c r="AO943" s="64"/>
      <c r="AP943" s="64"/>
      <c r="AQ943" s="20"/>
      <c r="AR943" s="20"/>
      <c r="AS943" s="20"/>
      <c r="AT943" s="20"/>
      <c r="AU943" s="20"/>
      <c r="AV943" s="20"/>
      <c r="AW943" s="20"/>
      <c r="AX943" s="20"/>
      <c r="AY943" s="41" t="str">
        <f t="shared" si="292"/>
        <v>Incomplete</v>
      </c>
      <c r="AZ943" s="64"/>
      <c r="BA943" s="20" t="str">
        <f t="shared" si="293"/>
        <v>Incomplete</v>
      </c>
      <c r="BB943" s="64"/>
      <c r="BC943" s="20" t="str">
        <f t="shared" si="294"/>
        <v>Incomplete</v>
      </c>
      <c r="BD943" s="64"/>
      <c r="BE943" s="20" t="str">
        <f t="shared" si="295"/>
        <v>Incomplete</v>
      </c>
      <c r="BF943" s="64"/>
      <c r="BG943" s="64"/>
      <c r="BH943" s="20"/>
      <c r="BI943" s="20" t="str">
        <f>IF(OR(ISBLANK(BG943), ISBLANK(BH943)),"Incomplete",(SUM(BH943-BG943)))</f>
        <v>Incomplete</v>
      </c>
      <c r="BJ943" s="66"/>
      <c r="BK943" s="64"/>
      <c r="BL943" s="66"/>
      <c r="BM943" s="20"/>
      <c r="BN943" s="66"/>
      <c r="BO943" s="64"/>
      <c r="BP943" s="64"/>
      <c r="BQ943" s="64">
        <v>74</v>
      </c>
      <c r="BR943" s="64">
        <v>74</v>
      </c>
      <c r="BS943" s="64">
        <v>68</v>
      </c>
      <c r="BT943" s="64">
        <v>70</v>
      </c>
      <c r="BU943" s="64">
        <v>76</v>
      </c>
      <c r="BV943" s="64">
        <v>68</v>
      </c>
      <c r="BW943" s="91">
        <f t="shared" si="296"/>
        <v>90.225563909774422</v>
      </c>
      <c r="BX943" s="91" t="str">
        <f>_xlfn.XLOOKUP(BW943,'Normative data'!$V$3:$V$6,'Normative data'!$W$3:$W$6,"Not Found",-1)</f>
        <v>High risk</v>
      </c>
      <c r="BY943" s="91">
        <f t="shared" si="297"/>
        <v>89.390142021720948</v>
      </c>
      <c r="BZ943" s="91" t="str">
        <f>_xlfn.XLOOKUP(BY943,'Normative data'!$V$3:$V$6,'Normative data'!$W$3:$W$6,"Not Found",-1)</f>
        <v>High risk</v>
      </c>
      <c r="CA943" s="66"/>
      <c r="CB943" s="66"/>
      <c r="CC943" s="66"/>
      <c r="CD943" s="66"/>
      <c r="CE943" s="64">
        <v>15</v>
      </c>
      <c r="CF943" s="66"/>
      <c r="CG943" s="20"/>
      <c r="CH943" s="20" t="str">
        <f>_xlfn.XLOOKUP(CG943, 'Normative data'!$S$9:$S$15,'Normative data'!$T$9:$T$15, "Not Found", -1)</f>
        <v>not completed</v>
      </c>
      <c r="CI943" s="20"/>
      <c r="CJ943" s="20" t="str">
        <f>_xlfn.XLOOKUP(CI943, 'Normative data'!$S$9:$S$15, 'Normative data'!$T$9:$T$15, "Not Found", -1)</f>
        <v>not completed</v>
      </c>
      <c r="CK943" s="17">
        <v>2.0099999999999998</v>
      </c>
      <c r="CL943" s="17">
        <v>4.9800000000000004</v>
      </c>
      <c r="CN943" s="17">
        <v>5.98</v>
      </c>
      <c r="CO943" s="17">
        <v>8.36</v>
      </c>
      <c r="CP943" s="68"/>
      <c r="CQ943" s="67"/>
      <c r="CR943" s="20" t="str" cm="1">
        <f t="array" ref="CR943">IF(OR(ISBLANK(E943),ISBLANK(CQ943)),"Incomplete",_xlfn.XLOOKUP(CQ943,_xlfn.XLOOKUP(E943,'Normative data'!$Y$3:$Y$6,'Normative data'!$Z$3:$AG$6,,-1),'Normative data'!$Z$2:$AG$2,"Not Found",-1))</f>
        <v>Incomplete</v>
      </c>
      <c r="CS943" s="68"/>
      <c r="CT943" s="66"/>
      <c r="CU943" s="20" t="str" cm="1">
        <f t="array" ref="CU943">_xlfn.XLOOKUP(CS943&amp;CT943,(VLOOKUP!$A$3:$A$250)&amp;(VLOOKUP!$B$3:$B$250),VLOOKUP!$C$3:$C$250,"Incomplete",-1)</f>
        <v>Incomplete</v>
      </c>
      <c r="CV943" s="20" t="str" cm="1">
        <f t="array" ref="CV943">_xlfn.XLOOKUP(CU943, _xlfn.XLOOKUP(E943, 'Normative data'!$Y$11:$Y$14, 'Normative data'!$Z$11:$AG$14, ,-1), 'Normative data'!$Z$10:$AG$10, "Not Found", -1)</f>
        <v>Excellent</v>
      </c>
      <c r="CW943" s="20" t="str" cm="1">
        <f t="array" ref="CW943">IF(OR(ISBLANK(CS943),ISBLANK(CT943)),"Incomplete",_xlfn.XLOOKUP(CS943&amp;CT943,VLOOKUP!$A$4:$A$250&amp;VLOOKUP!$B$4:$B$250,VLOOKUP!$D$4:$D$250,"0"))</f>
        <v>Incomplete</v>
      </c>
    </row>
    <row r="944" spans="1:101">
      <c r="A944" s="94" t="s">
        <v>160</v>
      </c>
      <c r="B944" s="94" t="s">
        <v>161</v>
      </c>
      <c r="C944" s="64" t="s">
        <v>86</v>
      </c>
      <c r="D944" s="97">
        <v>40348</v>
      </c>
      <c r="E944" s="64"/>
      <c r="F944" s="64">
        <v>9</v>
      </c>
      <c r="G944" s="64">
        <v>2025</v>
      </c>
      <c r="H944" s="66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  <c r="AD944" s="66"/>
      <c r="AE944" s="66"/>
      <c r="AF944" s="66"/>
      <c r="AG944" s="66"/>
      <c r="AH944" s="66"/>
      <c r="AI944" s="66"/>
      <c r="AJ944" s="66"/>
      <c r="AK944" s="66"/>
      <c r="AL944" s="66"/>
      <c r="AM944" s="66"/>
      <c r="AN944" s="66"/>
      <c r="AO944" s="66"/>
      <c r="AP944" s="66"/>
      <c r="AQ944" s="20"/>
      <c r="AR944" s="20"/>
      <c r="AS944" s="20"/>
      <c r="AT944" s="20"/>
      <c r="AU944" s="20"/>
      <c r="AV944" s="20"/>
      <c r="AW944" s="20"/>
      <c r="AX944" s="20"/>
      <c r="AY944" s="41" t="str">
        <f t="shared" si="292"/>
        <v>Incomplete</v>
      </c>
      <c r="AZ944" s="66"/>
      <c r="BA944" s="20" t="str">
        <f t="shared" si="293"/>
        <v>Incomplete</v>
      </c>
      <c r="BB944" s="66"/>
      <c r="BC944" s="20" t="str">
        <f t="shared" si="294"/>
        <v>Incomplete</v>
      </c>
      <c r="BD944" s="66"/>
      <c r="BE944" s="20" t="str">
        <f t="shared" si="295"/>
        <v>Incomplete</v>
      </c>
      <c r="BF944" s="66"/>
      <c r="BG944" s="66">
        <v>9.5</v>
      </c>
      <c r="BH944" s="20">
        <v>28.2</v>
      </c>
      <c r="BI944" s="20">
        <f>IF(OR(ISBLANK(BG944), ISBLANK(BH944)),"Incomplete",(SUM(BH944-BG944)))</f>
        <v>18.7</v>
      </c>
      <c r="BJ944" s="66"/>
      <c r="BK944" s="66">
        <v>14</v>
      </c>
      <c r="BL944" s="66"/>
      <c r="BM944" s="20">
        <v>11</v>
      </c>
      <c r="BN944" s="66"/>
      <c r="BO944" s="66"/>
      <c r="BP944" s="66"/>
      <c r="BQ944" s="66"/>
      <c r="BR944" s="66"/>
      <c r="BS944" s="66"/>
      <c r="BT944" s="66"/>
      <c r="BU944" s="66"/>
      <c r="BV944" s="66"/>
      <c r="BW944" s="91" t="str">
        <f t="shared" si="296"/>
        <v>Incomplete</v>
      </c>
      <c r="BX944" s="91" t="str">
        <f>_xlfn.XLOOKUP(BW944,'Normative data'!$V$3:$V$6,'Normative data'!$W$3:$W$6,"Not Found",-1)</f>
        <v>Very low risk</v>
      </c>
      <c r="BY944" s="91" t="str">
        <f t="shared" si="297"/>
        <v>Incomplete</v>
      </c>
      <c r="BZ944" s="91" t="str">
        <f>_xlfn.XLOOKUP(BY944,'Normative data'!$V$3:$V$6,'Normative data'!$W$3:$W$6,"Not Found",-1)</f>
        <v>Very low risk</v>
      </c>
      <c r="CA944" s="20"/>
      <c r="CB944" s="66"/>
      <c r="CC944" s="20"/>
      <c r="CD944" s="66"/>
      <c r="CE944" s="66">
        <v>18</v>
      </c>
      <c r="CF944" s="66"/>
      <c r="CG944" s="66"/>
      <c r="CH944" s="20" t="str">
        <f>_xlfn.XLOOKUP(CG944, 'Normative data'!$S$9:$S$15,'Normative data'!$T$9:$T$15, "Not Found", -1)</f>
        <v>not completed</v>
      </c>
      <c r="CI944" s="66"/>
      <c r="CJ944" s="20" t="str">
        <f>_xlfn.XLOOKUP(CI944, 'Normative data'!$S$9:$S$15, 'Normative data'!$T$9:$T$15, "Not Found", -1)</f>
        <v>not completed</v>
      </c>
      <c r="CK944" s="106">
        <v>2.2999999999999998</v>
      </c>
      <c r="CL944" s="106">
        <v>4.3499999999999996</v>
      </c>
      <c r="CM944" s="105"/>
      <c r="CN944" s="106">
        <v>6.84</v>
      </c>
      <c r="CO944" s="106">
        <v>7.31</v>
      </c>
      <c r="CP944" s="68"/>
      <c r="CQ944" s="68"/>
      <c r="CR944" s="20" t="str" cm="1">
        <f t="array" ref="CR944">IF(OR(ISBLANK(E944),ISBLANK(CQ944)),"Incomplete",_xlfn.XLOOKUP(CQ944,_xlfn.XLOOKUP(E944,'Normative data'!$Y$3:$Y$6,'Normative data'!$Z$3:$AG$6,,-1),'Normative data'!$Z$2:$AG$2,"Not Found",-1))</f>
        <v>Incomplete</v>
      </c>
      <c r="CS944" s="68"/>
      <c r="CT944" s="66"/>
      <c r="CU944" s="20" t="str" cm="1">
        <f t="array" ref="CU944">_xlfn.XLOOKUP(CS944&amp;CT944,(VLOOKUP!$A$3:$A$250)&amp;(VLOOKUP!$B$3:$B$250),VLOOKUP!$C$3:$C$250,"Incomplete",-1)</f>
        <v>Incomplete</v>
      </c>
      <c r="CV944" s="20" t="str" cm="1">
        <f t="array" ref="CV944">_xlfn.XLOOKUP(CU944, _xlfn.XLOOKUP(E944, 'Normative data'!$Y$11:$Y$14, 'Normative data'!$Z$11:$AG$14, ,-1), 'Normative data'!$Z$10:$AG$10, "Not Found", -1)</f>
        <v>Excellent</v>
      </c>
      <c r="CW944" s="20" t="str" cm="1">
        <f t="array" ref="CW944">IF(OR(ISBLANK(CS944),ISBLANK(CT944)),"Incomplete",_xlfn.XLOOKUP(CS944&amp;CT944,VLOOKUP!$A$4:$A$250&amp;VLOOKUP!$B$4:$B$250,VLOOKUP!$D$4:$D$250,"0"))</f>
        <v>Incomplete</v>
      </c>
    </row>
    <row r="945" spans="1:101">
      <c r="A945" s="64" t="s">
        <v>1619</v>
      </c>
      <c r="B945" s="64" t="s">
        <v>1620</v>
      </c>
      <c r="C945" s="64" t="s">
        <v>86</v>
      </c>
      <c r="D945" s="65">
        <v>40837</v>
      </c>
      <c r="E945" s="64"/>
      <c r="F945" s="66" t="s">
        <v>87</v>
      </c>
      <c r="G945" s="64">
        <v>2026</v>
      </c>
      <c r="H945" s="66"/>
      <c r="I945" s="66">
        <v>2</v>
      </c>
      <c r="J945" s="66" t="s">
        <v>100</v>
      </c>
      <c r="K945" s="66" t="s">
        <v>173</v>
      </c>
      <c r="L945" s="66"/>
      <c r="M945" s="64"/>
      <c r="N945" s="64"/>
      <c r="O945" s="64"/>
      <c r="P945" s="64"/>
      <c r="Q945" s="64"/>
      <c r="R945" s="64"/>
      <c r="S945" s="66">
        <v>84.2</v>
      </c>
      <c r="T945" s="66">
        <v>161.19999999999999</v>
      </c>
      <c r="U945" s="64">
        <v>62.4</v>
      </c>
      <c r="V945" s="64">
        <v>32.9</v>
      </c>
      <c r="W945" s="64">
        <v>17.3</v>
      </c>
      <c r="X945" s="64">
        <v>45.1</v>
      </c>
      <c r="Y945" s="64">
        <v>25</v>
      </c>
      <c r="Z945" s="64"/>
      <c r="AA945" s="64">
        <v>27.8</v>
      </c>
      <c r="AB945" s="64">
        <v>6.88</v>
      </c>
      <c r="AC945" s="64">
        <v>107.4</v>
      </c>
      <c r="AD945" s="64">
        <v>6.71</v>
      </c>
      <c r="AE945" s="64">
        <v>104.9</v>
      </c>
      <c r="AF945" s="64">
        <v>2.7</v>
      </c>
      <c r="AG945" s="64">
        <v>121.1</v>
      </c>
      <c r="AH945" s="64">
        <v>2.7</v>
      </c>
      <c r="AI945" s="64">
        <v>118.9</v>
      </c>
      <c r="AJ945" s="64">
        <v>285.7</v>
      </c>
      <c r="AK945" s="64">
        <v>298</v>
      </c>
      <c r="AL945" s="64">
        <v>247</v>
      </c>
      <c r="AM945" s="64">
        <v>261.60000000000002</v>
      </c>
      <c r="AN945" s="64">
        <v>96</v>
      </c>
      <c r="AO945" s="64"/>
      <c r="AP945" s="64"/>
      <c r="AQ945" s="64"/>
      <c r="AR945" s="64"/>
      <c r="AS945" s="64"/>
      <c r="AT945" s="64"/>
      <c r="AU945" s="64"/>
      <c r="AV945" s="64"/>
      <c r="AW945" s="64"/>
      <c r="AX945" s="64"/>
      <c r="AY945" s="41" t="str">
        <f t="shared" si="292"/>
        <v>Incomplete</v>
      </c>
      <c r="AZ945" s="64"/>
      <c r="BA945" s="20" t="str">
        <f t="shared" si="293"/>
        <v>Incomplete</v>
      </c>
      <c r="BB945" s="64"/>
      <c r="BC945" s="20" t="str">
        <f t="shared" si="294"/>
        <v>Incomplete</v>
      </c>
      <c r="BD945" s="64"/>
      <c r="BE945" s="20" t="str">
        <f t="shared" si="295"/>
        <v>Incomplete</v>
      </c>
      <c r="BF945" s="64"/>
      <c r="BG945" s="64">
        <v>13</v>
      </c>
      <c r="BH945" s="64">
        <v>27</v>
      </c>
      <c r="BI945" s="20">
        <f>IF(OR(ISBLANK(BG945), ISBLANK(BH945)),"Incomplete",(SUM(BH945-BG945)))</f>
        <v>14</v>
      </c>
      <c r="BJ945" s="66"/>
      <c r="BK945" s="64">
        <v>11.5</v>
      </c>
      <c r="BL945" s="66"/>
      <c r="BM945" s="64">
        <v>11</v>
      </c>
      <c r="BN945" s="66"/>
      <c r="BO945" s="64">
        <v>51</v>
      </c>
      <c r="BP945" s="64">
        <v>50</v>
      </c>
      <c r="BQ945" s="64">
        <v>80</v>
      </c>
      <c r="BR945" s="64">
        <v>92</v>
      </c>
      <c r="BS945" s="64">
        <v>85</v>
      </c>
      <c r="BT945" s="64">
        <v>87</v>
      </c>
      <c r="BU945" s="64">
        <v>80</v>
      </c>
      <c r="BV945" s="64">
        <v>75</v>
      </c>
      <c r="BW945" s="91">
        <f t="shared" si="296"/>
        <v>111.25541125541127</v>
      </c>
      <c r="BX945" s="91" t="str">
        <f>_xlfn.XLOOKUP(BW945,'Normative data'!$V$3:$V$6,'Normative data'!$W$3:$W$6,"Not Found",-1)</f>
        <v>Low risk</v>
      </c>
      <c r="BY945" s="91">
        <f t="shared" si="297"/>
        <v>104.76190476190479</v>
      </c>
      <c r="BZ945" s="91" t="str">
        <f>_xlfn.XLOOKUP(BY945,'Normative data'!$V$3:$V$6,'Normative data'!$W$3:$W$6,"Not Found",-1)</f>
        <v>Low risk</v>
      </c>
      <c r="CA945" s="64"/>
      <c r="CB945" s="66"/>
      <c r="CD945" s="66"/>
      <c r="CE945" s="64"/>
      <c r="CF945" s="66"/>
      <c r="CG945" s="64">
        <v>18.350000000000001</v>
      </c>
      <c r="CH945" s="20" t="str">
        <f>_xlfn.XLOOKUP(CG945, 'Normative data'!$S$9:$S$15,'Normative data'!$T$9:$T$15, "Not Found", -1)</f>
        <v>Average</v>
      </c>
      <c r="CI945" s="64">
        <v>18.690000000000001</v>
      </c>
      <c r="CJ945" s="20" t="str">
        <f>_xlfn.XLOOKUP(CI945, 'Normative data'!$S$9:$S$15, 'Normative data'!$T$9:$T$15, "Not Found", -1)</f>
        <v>Average</v>
      </c>
      <c r="CK945" s="105"/>
      <c r="CL945" s="105"/>
      <c r="CM945" s="105"/>
      <c r="CN945" s="105"/>
      <c r="CO945" s="105"/>
      <c r="CP945" s="68"/>
      <c r="CQ945" s="67"/>
      <c r="CR945" s="20" t="str" cm="1">
        <f t="array" ref="CR945">IF(OR(ISBLANK(E945),ISBLANK(CQ945)),"Incomplete",_xlfn.XLOOKUP(CQ945,_xlfn.XLOOKUP(E945,'Normative data'!$Y$3:$Y$6,'Normative data'!$Z$3:$AG$6,,-1),'Normative data'!$Z$2:$AG$2,"Not Found",-1))</f>
        <v>Incomplete</v>
      </c>
      <c r="CS945" s="68"/>
      <c r="CT945" s="66"/>
      <c r="CU945" s="20" t="str" cm="1">
        <f t="array" ref="CU945">_xlfn.XLOOKUP(CS945&amp;CT945,(VLOOKUP!$A$3:$A$250)&amp;(VLOOKUP!$B$3:$B$250),VLOOKUP!$C$3:$C$250,"Incomplete",-1)</f>
        <v>Incomplete</v>
      </c>
      <c r="CV945" s="20" t="str" cm="1">
        <f t="array" ref="CV945">_xlfn.XLOOKUP(CU945, _xlfn.XLOOKUP(E945, 'Normative data'!$Y$11:$Y$14, 'Normative data'!$Z$11:$AG$14, ,-1), 'Normative data'!$Z$10:$AG$10, "Not Found", -1)</f>
        <v>Excellent</v>
      </c>
      <c r="CW945" s="20" t="str" cm="1">
        <f t="array" ref="CW945">IF(OR(ISBLANK(CS945),ISBLANK(CT945)),"Incomplete",_xlfn.XLOOKUP(CS945&amp;CT945,VLOOKUP!$A$4:$A$250&amp;VLOOKUP!$B$4:$B$250,VLOOKUP!$D$4:$D$250,"0"))</f>
        <v>Incomplete</v>
      </c>
    </row>
    <row r="946" spans="1:101">
      <c r="A946" s="93" t="s">
        <v>936</v>
      </c>
      <c r="B946" s="93" t="s">
        <v>1407</v>
      </c>
      <c r="C946" s="64" t="s">
        <v>86</v>
      </c>
      <c r="D946" s="96">
        <v>40727</v>
      </c>
      <c r="E946" s="64"/>
      <c r="F946" s="64">
        <v>8</v>
      </c>
      <c r="G946" s="64">
        <v>2025</v>
      </c>
      <c r="H946" s="66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  <c r="AE946" s="66"/>
      <c r="AF946" s="66"/>
      <c r="AG946" s="66"/>
      <c r="AH946" s="66"/>
      <c r="AI946" s="66"/>
      <c r="AJ946" s="66"/>
      <c r="AK946" s="66"/>
      <c r="AL946" s="66"/>
      <c r="AM946" s="66"/>
      <c r="AN946" s="66"/>
      <c r="AO946" s="66"/>
      <c r="AP946" s="66"/>
      <c r="AQ946" s="20"/>
      <c r="AR946" s="20"/>
      <c r="AS946" s="20"/>
      <c r="AT946" s="20"/>
      <c r="AU946" s="20"/>
      <c r="AV946" s="20"/>
      <c r="AW946" s="20"/>
      <c r="AX946" s="20"/>
      <c r="AY946" s="41" t="str">
        <f t="shared" si="292"/>
        <v>Incomplete</v>
      </c>
      <c r="AZ946" s="66"/>
      <c r="BA946" s="20" t="str">
        <f t="shared" si="293"/>
        <v>Incomplete</v>
      </c>
      <c r="BB946" s="66"/>
      <c r="BC946" s="20" t="str">
        <f t="shared" si="294"/>
        <v>Incomplete</v>
      </c>
      <c r="BD946" s="66"/>
      <c r="BE946" s="20" t="str">
        <f t="shared" si="295"/>
        <v>Incomplete</v>
      </c>
      <c r="BF946" s="66"/>
      <c r="BG946" s="66">
        <v>12.5</v>
      </c>
      <c r="BH946" s="66">
        <v>31.8</v>
      </c>
      <c r="BI946" s="20">
        <f>IF(OR(ISBLANK(BG946), ISBLANK(BH946)),"Incomplete",(SUM(BH946-BG946)))</f>
        <v>19.3</v>
      </c>
      <c r="BJ946" s="66"/>
      <c r="BK946" s="66"/>
      <c r="BL946" s="66"/>
      <c r="BM946" s="66"/>
      <c r="BN946" s="66"/>
      <c r="BO946" s="66"/>
      <c r="BP946" s="66"/>
      <c r="BQ946" s="66"/>
      <c r="BR946" s="66"/>
      <c r="BS946" s="66"/>
      <c r="BT946" s="66"/>
      <c r="BU946" s="66"/>
      <c r="BV946" s="66"/>
      <c r="BW946" s="91" t="str">
        <f t="shared" si="296"/>
        <v>Incomplete</v>
      </c>
      <c r="BX946" s="91" t="str">
        <f>_xlfn.XLOOKUP(BW946,'Normative data'!$V$3:$V$6,'Normative data'!$W$3:$W$6,"Not Found",-1)</f>
        <v>Very low risk</v>
      </c>
      <c r="BY946" s="91" t="str">
        <f t="shared" si="297"/>
        <v>Incomplete</v>
      </c>
      <c r="BZ946" s="91" t="str">
        <f>_xlfn.XLOOKUP(BY946,'Normative data'!$V$3:$V$6,'Normative data'!$W$3:$W$6,"Not Found",-1)</f>
        <v>Very low risk</v>
      </c>
      <c r="CA946" s="66"/>
      <c r="CB946" s="66"/>
      <c r="CC946" s="66"/>
      <c r="CD946" s="66"/>
      <c r="CE946" s="66"/>
      <c r="CF946" s="66"/>
      <c r="CG946" s="20"/>
      <c r="CH946" s="20" t="str">
        <f>_xlfn.XLOOKUP(CG946, 'Normative data'!$S$9:$S$15,'Normative data'!$T$9:$T$15, "Not Found", -1)</f>
        <v>not completed</v>
      </c>
      <c r="CI946" s="20"/>
      <c r="CJ946" s="20" t="str">
        <f>_xlfn.XLOOKUP(CI946, 'Normative data'!$S$9:$S$15, 'Normative data'!$T$9:$T$15, "Not Found", -1)</f>
        <v>not completed</v>
      </c>
      <c r="CK946" s="21"/>
      <c r="CL946" s="21"/>
      <c r="CM946" s="21"/>
      <c r="CN946" s="21"/>
      <c r="CO946" s="21"/>
      <c r="CP946" s="109"/>
      <c r="CQ946" s="68"/>
      <c r="CR946" s="20" t="str" cm="1">
        <f t="array" ref="CR946">IF(OR(ISBLANK(E946),ISBLANK(CQ946)),"Incomplete",_xlfn.XLOOKUP(CQ946,_xlfn.XLOOKUP(E946,'Normative data'!$Y$3:$Y$6,'Normative data'!$Z$3:$AG$6,,-1),'Normative data'!$Z$2:$AG$2,"Not Found",-1))</f>
        <v>Incomplete</v>
      </c>
      <c r="CS946" s="68"/>
      <c r="CT946" s="66"/>
      <c r="CU946" s="20" t="str" cm="1">
        <f t="array" ref="CU946">_xlfn.XLOOKUP(CS946&amp;CT946,(VLOOKUP!$A$3:$A$250)&amp;(VLOOKUP!$B$3:$B$250),VLOOKUP!$C$3:$C$250,"Incomplete",-1)</f>
        <v>Incomplete</v>
      </c>
      <c r="CV946" s="20" t="str" cm="1">
        <f t="array" ref="CV946">_xlfn.XLOOKUP(CU946, _xlfn.XLOOKUP(E946, 'Normative data'!$Y$11:$Y$14, 'Normative data'!$Z$11:$AG$14, ,-1), 'Normative data'!$Z$10:$AG$10, "Not Found", -1)</f>
        <v>Excellent</v>
      </c>
      <c r="CW946" s="20" t="str" cm="1">
        <f t="array" ref="CW946">IF(OR(ISBLANK(CS946),ISBLANK(CT946)),"Incomplete",_xlfn.XLOOKUP(CS946&amp;CT946,VLOOKUP!$A$4:$A$250&amp;VLOOKUP!$B$4:$B$250,VLOOKUP!$D$4:$D$250,"0"))</f>
        <v>Incomplete</v>
      </c>
    </row>
    <row r="947" spans="1:101">
      <c r="A947" s="93" t="s">
        <v>308</v>
      </c>
      <c r="B947" s="93" t="s">
        <v>312</v>
      </c>
      <c r="C947" s="64" t="s">
        <v>86</v>
      </c>
      <c r="D947" s="96">
        <v>40217</v>
      </c>
      <c r="E947" s="64"/>
      <c r="F947" s="64">
        <v>9</v>
      </c>
      <c r="G947" s="64">
        <v>2025</v>
      </c>
      <c r="H947" s="66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  <c r="AE947" s="66"/>
      <c r="AF947" s="66"/>
      <c r="AG947" s="66"/>
      <c r="AH947" s="66"/>
      <c r="AI947" s="66"/>
      <c r="AJ947" s="66"/>
      <c r="AK947" s="66"/>
      <c r="AL947" s="66"/>
      <c r="AM947" s="66"/>
      <c r="AN947" s="66"/>
      <c r="AO947" s="66"/>
      <c r="AP947" s="66"/>
      <c r="AQ947" s="66"/>
      <c r="AR947" s="66"/>
      <c r="AS947" s="66"/>
      <c r="AT947" s="66"/>
      <c r="AU947" s="66"/>
      <c r="AV947" s="66"/>
      <c r="AW947" s="66"/>
      <c r="AX947" s="66"/>
      <c r="AY947" s="41" t="str">
        <f t="shared" si="292"/>
        <v>Incomplete</v>
      </c>
      <c r="AZ947" s="66"/>
      <c r="BA947" s="20" t="str">
        <f t="shared" si="293"/>
        <v>Incomplete</v>
      </c>
      <c r="BB947" s="66"/>
      <c r="BC947" s="20" t="str">
        <f t="shared" si="294"/>
        <v>Incomplete</v>
      </c>
      <c r="BD947" s="66"/>
      <c r="BE947" s="20" t="str">
        <f t="shared" si="295"/>
        <v>Incomplete</v>
      </c>
      <c r="BF947" s="66"/>
      <c r="BG947" s="66">
        <v>6</v>
      </c>
      <c r="BH947" s="66">
        <v>31</v>
      </c>
      <c r="BI947" s="20" t="e">
        <f>IF(OR(ISBLANK(#REF!), ISBLANK(#REF!)),"Incomplete",(SUM(#REF!-#REF!)))</f>
        <v>#REF!</v>
      </c>
      <c r="BJ947" s="66"/>
      <c r="BK947" s="66"/>
      <c r="BL947" s="66"/>
      <c r="BM947" s="66"/>
      <c r="BN947" s="66"/>
      <c r="BO947" s="66"/>
      <c r="BP947" s="66"/>
      <c r="BQ947" s="66"/>
      <c r="BR947" s="66"/>
      <c r="BS947" s="66"/>
      <c r="BT947" s="66"/>
      <c r="BU947" s="66"/>
      <c r="BV947" s="66"/>
      <c r="BW947" s="91" t="str">
        <f t="shared" si="296"/>
        <v>Incomplete</v>
      </c>
      <c r="BX947" s="91" t="str">
        <f>_xlfn.XLOOKUP(BW947,'Normative data'!$V$3:$V$6,'Normative data'!$W$3:$W$6,"Not Found",-1)</f>
        <v>Very low risk</v>
      </c>
      <c r="BY947" s="91" t="str">
        <f t="shared" si="297"/>
        <v>Incomplete</v>
      </c>
      <c r="BZ947" s="91" t="str">
        <f>_xlfn.XLOOKUP(BY947,'Normative data'!$V$3:$V$6,'Normative data'!$W$3:$W$6,"Not Found",-1)</f>
        <v>Very low risk</v>
      </c>
      <c r="CA947" s="66"/>
      <c r="CB947" s="66"/>
      <c r="CC947" s="20"/>
      <c r="CD947" s="66"/>
      <c r="CE947" s="66">
        <v>19</v>
      </c>
      <c r="CF947" s="66"/>
      <c r="CG947" s="66"/>
      <c r="CH947" s="20" t="str">
        <f>_xlfn.XLOOKUP(CG947, 'Normative data'!$S$9:$S$15,'Normative data'!$T$9:$T$15, "Not Found", -1)</f>
        <v>not completed</v>
      </c>
      <c r="CI947" s="66"/>
      <c r="CJ947" s="20" t="str">
        <f>_xlfn.XLOOKUP(CI947, 'Normative data'!$S$9:$S$15, 'Normative data'!$T$9:$T$15, "Not Found", -1)</f>
        <v>not completed</v>
      </c>
      <c r="CK947" s="105">
        <v>2.36</v>
      </c>
      <c r="CL947" s="105">
        <v>4.24</v>
      </c>
      <c r="CM947" s="105"/>
      <c r="CN947" s="105">
        <v>7.11</v>
      </c>
      <c r="CO947" s="105">
        <v>7.03</v>
      </c>
      <c r="CP947" s="109"/>
      <c r="CQ947" s="68"/>
      <c r="CR947" s="20" t="str" cm="1">
        <f t="array" ref="CR947">IF(OR(ISBLANK(E947),ISBLANK(CQ947)),"Incomplete",_xlfn.XLOOKUP(CQ947,_xlfn.XLOOKUP(E947,'Normative data'!$Y$3:$Y$6,'Normative data'!$Z$3:$AG$6,,-1),'Normative data'!$Z$2:$AG$2,"Not Found",-1))</f>
        <v>Incomplete</v>
      </c>
      <c r="CS947" s="68"/>
      <c r="CT947" s="66"/>
      <c r="CU947" s="20" t="str" cm="1">
        <f t="array" ref="CU947">_xlfn.XLOOKUP(CS947&amp;CT947,(VLOOKUP!$A$3:$A$250)&amp;(VLOOKUP!$B$3:$B$250),VLOOKUP!$C$3:$C$250,"Incomplete",-1)</f>
        <v>Incomplete</v>
      </c>
      <c r="CV947" s="20" t="str" cm="1">
        <f t="array" ref="CV947">_xlfn.XLOOKUP(CU947, _xlfn.XLOOKUP(E947, 'Normative data'!$Y$11:$Y$14, 'Normative data'!$Z$11:$AG$14, ,-1), 'Normative data'!$Z$10:$AG$10, "Not Found", -1)</f>
        <v>Excellent</v>
      </c>
      <c r="CW947" s="20" t="str" cm="1">
        <f t="array" ref="CW947">IF(OR(ISBLANK(CS947),ISBLANK(CT947)),"Incomplete",_xlfn.XLOOKUP(CS947&amp;CT947,VLOOKUP!$A$4:$A$250&amp;VLOOKUP!$B$4:$B$250,VLOOKUP!$D$4:$D$250,"0"))</f>
        <v>Incomplete</v>
      </c>
    </row>
    <row r="948" spans="1:101">
      <c r="A948" s="64" t="s">
        <v>308</v>
      </c>
      <c r="B948" s="64" t="s">
        <v>312</v>
      </c>
      <c r="C948" s="64" t="s">
        <v>86</v>
      </c>
      <c r="D948" s="96">
        <v>40217</v>
      </c>
      <c r="E948" s="64"/>
      <c r="F948" s="64"/>
      <c r="G948" s="64">
        <v>2025</v>
      </c>
      <c r="H948" s="66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  <c r="AD948" s="66"/>
      <c r="AE948" s="66"/>
      <c r="AF948" s="66"/>
      <c r="AG948" s="66"/>
      <c r="AH948" s="66"/>
      <c r="AI948" s="66"/>
      <c r="AJ948" s="66"/>
      <c r="AK948" s="66"/>
      <c r="AL948" s="66"/>
      <c r="AM948" s="66"/>
      <c r="AN948" s="66"/>
      <c r="AO948" s="66"/>
      <c r="AP948" s="66"/>
      <c r="AQ948" s="66"/>
      <c r="AR948" s="66"/>
      <c r="AS948" s="66" t="s">
        <v>1621</v>
      </c>
      <c r="AT948" s="66" t="s">
        <v>1622</v>
      </c>
      <c r="AU948" s="66" t="s">
        <v>1623</v>
      </c>
      <c r="AV948" s="66" t="s">
        <v>1624</v>
      </c>
      <c r="AW948" s="66" t="s">
        <v>1153</v>
      </c>
      <c r="AX948" s="66" t="s">
        <v>1154</v>
      </c>
      <c r="AY948" s="41" t="str">
        <f t="shared" si="292"/>
        <v>Incomplete</v>
      </c>
      <c r="AZ948" s="66"/>
      <c r="BA948" s="20" t="str">
        <f t="shared" si="293"/>
        <v>Incomplete</v>
      </c>
      <c r="BB948" s="66"/>
      <c r="BC948" s="20" t="str">
        <f t="shared" si="294"/>
        <v>Incomplete</v>
      </c>
      <c r="BD948" s="66"/>
      <c r="BE948" s="20" t="str">
        <f t="shared" si="295"/>
        <v>Incomplete</v>
      </c>
      <c r="BF948" s="66"/>
      <c r="BG948" s="66"/>
      <c r="BH948" s="66"/>
      <c r="BI948" s="20" t="str">
        <f t="shared" ref="BI948:BI961" si="298">IF(OR(ISBLANK(BG948), ISBLANK(BH948)),"Incomplete",(SUM(BH948-BG948)))</f>
        <v>Incomplete</v>
      </c>
      <c r="BJ948" s="66"/>
      <c r="BK948" s="66"/>
      <c r="BL948" s="66"/>
      <c r="BM948" s="66"/>
      <c r="BN948" s="66"/>
      <c r="BO948" s="66"/>
      <c r="BP948" s="66"/>
      <c r="BQ948" s="66"/>
      <c r="BR948" s="66"/>
      <c r="BS948" s="66"/>
      <c r="BT948" s="66"/>
      <c r="BU948" s="66"/>
      <c r="BV948" s="66"/>
      <c r="BW948" s="91" t="str">
        <f t="shared" si="296"/>
        <v>Incomplete</v>
      </c>
      <c r="BX948" s="91" t="str">
        <f>_xlfn.XLOOKUP(BW948,'Normative data'!$V$3:$V$6,'Normative data'!$W$3:$W$6,"Not Found",-1)</f>
        <v>Very low risk</v>
      </c>
      <c r="BY948" s="91" t="str">
        <f t="shared" si="297"/>
        <v>Incomplete</v>
      </c>
      <c r="BZ948" s="91" t="str">
        <f>_xlfn.XLOOKUP(BY948,'Normative data'!$V$3:$V$6,'Normative data'!$W$3:$W$6,"Not Found",-1)</f>
        <v>Very low risk</v>
      </c>
      <c r="CA948" s="66"/>
      <c r="CB948" s="66"/>
      <c r="CC948" s="20"/>
      <c r="CD948" s="66"/>
      <c r="CE948" s="66"/>
      <c r="CF948" s="66"/>
      <c r="CG948" s="66"/>
      <c r="CH948" s="20" t="str">
        <f>_xlfn.XLOOKUP(CG948, 'Normative data'!$S$9:$S$15,'Normative data'!$T$9:$T$15, "Not Found", -1)</f>
        <v>not completed</v>
      </c>
      <c r="CI948" s="66"/>
      <c r="CJ948" s="20" t="str">
        <f>_xlfn.XLOOKUP(CI948, 'Normative data'!$S$9:$S$15, 'Normative data'!$T$9:$T$15, "Not Found", -1)</f>
        <v>not completed</v>
      </c>
      <c r="CK948" s="66" t="s">
        <v>660</v>
      </c>
      <c r="CL948" s="66" t="s">
        <v>661</v>
      </c>
      <c r="CM948" s="66"/>
      <c r="CN948" s="66" t="s">
        <v>492</v>
      </c>
      <c r="CO948" s="66" t="s">
        <v>699</v>
      </c>
      <c r="CP948" s="68"/>
      <c r="CQ948" s="68"/>
      <c r="CR948" s="20" t="str" cm="1">
        <f t="array" ref="CR948">IF(OR(ISBLANK(E948),ISBLANK(CQ948)),"Incomplete",_xlfn.XLOOKUP(CQ948,_xlfn.XLOOKUP(E948,'Normative data'!$Y$3:$Y$6,'Normative data'!$Z$3:$AG$6,,-1),'Normative data'!$Z$2:$AG$2,"Not Found",-1))</f>
        <v>Incomplete</v>
      </c>
      <c r="CS948" s="68"/>
      <c r="CT948" s="66"/>
      <c r="CU948" s="20" t="str" cm="1">
        <f t="array" ref="CU948">_xlfn.XLOOKUP(CS948&amp;CT948,(VLOOKUP!$A$3:$A$250)&amp;(VLOOKUP!$B$3:$B$250),VLOOKUP!$C$3:$C$250,"Incomplete",-1)</f>
        <v>Incomplete</v>
      </c>
      <c r="CV948" s="20" t="str" cm="1">
        <f t="array" ref="CV948">_xlfn.XLOOKUP(CU948, _xlfn.XLOOKUP(E948, 'Normative data'!$Y$11:$Y$14, 'Normative data'!$Z$11:$AG$14, ,-1), 'Normative data'!$Z$10:$AG$10, "Not Found", -1)</f>
        <v>Excellent</v>
      </c>
      <c r="CW948" s="20" t="str" cm="1">
        <f t="array" ref="CW948">IF(OR(ISBLANK(CS948),ISBLANK(CT948)),"Incomplete",_xlfn.XLOOKUP(CS948&amp;CT948,VLOOKUP!$A$4:$A$250&amp;VLOOKUP!$B$4:$B$250,VLOOKUP!$D$4:$D$250,"0"))</f>
        <v>Incomplete</v>
      </c>
    </row>
    <row r="949" spans="1:101">
      <c r="A949" s="64" t="s">
        <v>308</v>
      </c>
      <c r="B949" s="64" t="s">
        <v>312</v>
      </c>
      <c r="C949" s="64" t="s">
        <v>86</v>
      </c>
      <c r="D949" s="96">
        <v>40217</v>
      </c>
      <c r="E949" s="64"/>
      <c r="F949" s="64"/>
      <c r="G949" s="64">
        <v>2025</v>
      </c>
      <c r="H949" s="66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6"/>
      <c r="T949" s="66" t="s">
        <v>1625</v>
      </c>
      <c r="U949" s="66" t="s">
        <v>1626</v>
      </c>
      <c r="V949" s="66"/>
      <c r="W949" s="66"/>
      <c r="X949" s="66"/>
      <c r="Y949" s="66"/>
      <c r="Z949" s="66"/>
      <c r="AA949" s="66"/>
      <c r="AB949" s="66"/>
      <c r="AC949" s="66"/>
      <c r="AD949" s="66"/>
      <c r="AE949" s="66"/>
      <c r="AF949" s="66"/>
      <c r="AG949" s="66"/>
      <c r="AH949" s="66"/>
      <c r="AI949" s="66"/>
      <c r="AJ949" s="66"/>
      <c r="AK949" s="66"/>
      <c r="AL949" s="66"/>
      <c r="AM949" s="66"/>
      <c r="AN949" s="66"/>
      <c r="AO949" s="66"/>
      <c r="AP949" s="66"/>
      <c r="AQ949" s="20">
        <v>21.4</v>
      </c>
      <c r="AR949" s="20">
        <v>0.41799999999999998</v>
      </c>
      <c r="AS949" s="20">
        <v>24.2</v>
      </c>
      <c r="AT949" s="20">
        <v>0.44400000000000001</v>
      </c>
      <c r="AU949" s="20">
        <v>14.7</v>
      </c>
      <c r="AV949" s="20">
        <v>0.34599999999999997</v>
      </c>
      <c r="AW949" s="20">
        <v>14</v>
      </c>
      <c r="AX949" s="20">
        <v>0.33800000000000002</v>
      </c>
      <c r="AY949" s="41" t="e">
        <f>IF(OR(ISBLANK(U949), ISBLANK(#REF!)), "Incomplete", (60.7*#REF!)+(45.3*U949)-2055)</f>
        <v>#REF!</v>
      </c>
      <c r="AZ949" s="66"/>
      <c r="BA949" s="20" t="e">
        <f>IF(OR(ISBLANK(U949), ISBLANK(#REF!)), "Incomplete", (60.7*#REF!)+(45.3*U949)-2055)</f>
        <v>#REF!</v>
      </c>
      <c r="BB949" s="66"/>
      <c r="BC949" s="20" t="e">
        <f>IF(OR(ISBLANK(U949), ISBLANK(#REF!)), "Incomplete", (60.7*#REF!)+(45.3*U949)-2055)</f>
        <v>#REF!</v>
      </c>
      <c r="BD949" s="66"/>
      <c r="BE949" s="20" t="e">
        <f>IF(OR(ISBLANK(U949), ISBLANK(#REF!)), "Incomplete", (60.7*#REF!)+(45.3*U949)-2055)</f>
        <v>#REF!</v>
      </c>
      <c r="BF949" s="66"/>
      <c r="BG949" s="66"/>
      <c r="BH949" s="66"/>
      <c r="BI949" s="20" t="str">
        <f t="shared" si="298"/>
        <v>Incomplete</v>
      </c>
      <c r="BJ949" s="66"/>
      <c r="BK949" s="66"/>
      <c r="BL949" s="66"/>
      <c r="BM949" s="66"/>
      <c r="BN949" s="66"/>
      <c r="BO949" s="66"/>
      <c r="BP949" s="66"/>
      <c r="BQ949" s="66"/>
      <c r="BR949" s="66"/>
      <c r="BS949" s="66"/>
      <c r="BT949" s="66"/>
      <c r="BU949" s="66"/>
      <c r="BV949" s="66"/>
      <c r="BW949" s="91" t="str">
        <f t="shared" si="296"/>
        <v>Incomplete</v>
      </c>
      <c r="BX949" s="91" t="str">
        <f>_xlfn.XLOOKUP(BW949,'Normative data'!$V$3:$V$6,'Normative data'!$W$3:$W$6,"Not Found",-1)</f>
        <v>Very low risk</v>
      </c>
      <c r="BY949" s="91" t="str">
        <f t="shared" si="297"/>
        <v>Incomplete</v>
      </c>
      <c r="BZ949" s="91" t="str">
        <f>_xlfn.XLOOKUP(BY949,'Normative data'!$V$3:$V$6,'Normative data'!$W$3:$W$6,"Not Found",-1)</f>
        <v>Very low risk</v>
      </c>
      <c r="CA949" s="66"/>
      <c r="CB949" s="66"/>
      <c r="CC949" s="20"/>
      <c r="CD949" s="66"/>
      <c r="CE949" s="66"/>
      <c r="CF949" s="66"/>
      <c r="CG949" s="66"/>
      <c r="CH949" s="20" t="str">
        <f>_xlfn.XLOOKUP(CG949, 'Normative data'!$S$9:$S$15,'Normative data'!$T$9:$T$15, "Not Found", -1)</f>
        <v>not completed</v>
      </c>
      <c r="CI949" s="66"/>
      <c r="CJ949" s="20" t="str">
        <f>_xlfn.XLOOKUP(CI949, 'Normative data'!$S$9:$S$15, 'Normative data'!$T$9:$T$15, "Not Found", -1)</f>
        <v>not completed</v>
      </c>
      <c r="CK949" s="66" t="s">
        <v>270</v>
      </c>
      <c r="CL949" s="66" t="s">
        <v>423</v>
      </c>
      <c r="CM949" s="105"/>
      <c r="CN949" s="66" t="s">
        <v>1404</v>
      </c>
      <c r="CO949" s="66" t="s">
        <v>1403</v>
      </c>
      <c r="CP949" s="68"/>
      <c r="CQ949" s="68"/>
      <c r="CR949" s="20" t="str" cm="1">
        <f t="array" ref="CR949">IF(OR(ISBLANK(E949),ISBLANK(CQ949)),"Incomplete",_xlfn.XLOOKUP(CQ949,_xlfn.XLOOKUP(E949,'Normative data'!$Y$3:$Y$6,'Normative data'!$Z$3:$AG$6,,-1),'Normative data'!$Z$2:$AG$2,"Not Found",-1))</f>
        <v>Incomplete</v>
      </c>
      <c r="CS949" s="68"/>
      <c r="CT949" s="66"/>
      <c r="CU949" s="20" t="str" cm="1">
        <f t="array" ref="CU949">_xlfn.XLOOKUP(CS949&amp;CT949,(VLOOKUP!$A$3:$A$250)&amp;(VLOOKUP!$B$3:$B$250),VLOOKUP!$C$3:$C$250,"Incomplete",-1)</f>
        <v>Incomplete</v>
      </c>
      <c r="CV949" s="20" t="str" cm="1">
        <f t="array" ref="CV949">_xlfn.XLOOKUP(CU949, _xlfn.XLOOKUP(E949, 'Normative data'!$Y$11:$Y$14, 'Normative data'!$Z$11:$AG$14, ,-1), 'Normative data'!$Z$10:$AG$10, "Not Found", -1)</f>
        <v>Excellent</v>
      </c>
      <c r="CW949" s="20" t="str" cm="1">
        <f t="array" ref="CW949">IF(OR(ISBLANK(CS949),ISBLANK(CT949)),"Incomplete",_xlfn.XLOOKUP(CS949&amp;CT949,VLOOKUP!$A$4:$A$250&amp;VLOOKUP!$B$4:$B$250,VLOOKUP!$D$4:$D$250,"0"))</f>
        <v>Incomplete</v>
      </c>
    </row>
    <row r="950" spans="1:101">
      <c r="A950" s="64" t="s">
        <v>1627</v>
      </c>
      <c r="B950" s="64" t="s">
        <v>312</v>
      </c>
      <c r="C950" s="64" t="s">
        <v>86</v>
      </c>
      <c r="D950" s="96">
        <v>40217</v>
      </c>
      <c r="E950" s="64"/>
      <c r="F950" s="64"/>
      <c r="G950" s="64">
        <v>2026</v>
      </c>
      <c r="H950" s="66" t="s">
        <v>114</v>
      </c>
      <c r="I950" s="64">
        <v>1</v>
      </c>
      <c r="J950" s="64"/>
      <c r="K950" s="64"/>
      <c r="L950" s="64"/>
      <c r="M950" s="64"/>
      <c r="N950" s="64"/>
      <c r="O950" s="64"/>
      <c r="P950" s="64"/>
      <c r="Q950" s="64"/>
      <c r="R950" s="64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  <c r="AD950" s="66"/>
      <c r="AE950" s="66"/>
      <c r="AF950" s="66"/>
      <c r="AG950" s="66"/>
      <c r="AH950" s="66"/>
      <c r="AI950" s="66"/>
      <c r="AJ950" s="66"/>
      <c r="AK950" s="66"/>
      <c r="AL950" s="66"/>
      <c r="AM950" s="66"/>
      <c r="AN950" s="66"/>
      <c r="AO950" s="66"/>
      <c r="AP950" s="66"/>
      <c r="AQ950" s="20">
        <v>22.2</v>
      </c>
      <c r="AR950" s="20">
        <v>0.42399999999999999</v>
      </c>
      <c r="AS950" s="20">
        <v>20.9</v>
      </c>
      <c r="AT950" s="20">
        <v>0.41299999999999998</v>
      </c>
      <c r="AU950" s="20">
        <v>11.2</v>
      </c>
      <c r="AV950" s="20">
        <v>0.30199999999999999</v>
      </c>
      <c r="AW950" s="20">
        <v>12.2</v>
      </c>
      <c r="AX950" s="20">
        <v>0.316</v>
      </c>
      <c r="AY950" s="41" t="str">
        <f t="shared" ref="AY950:AY986" si="299">IF(OR(ISBLANK(U950), ISBLANK(AQ950)), "Incomplete", (60.7*AQ950)+(45.3*U950)-2055)</f>
        <v>Incomplete</v>
      </c>
      <c r="AZ950" s="66"/>
      <c r="BA950" s="20" t="str">
        <f t="shared" ref="BA950:BA986" si="300">IF(OR(ISBLANK(U950), ISBLANK(AS950)), "Incomplete", (60.7*AS950)+(45.3*U950)-2055)</f>
        <v>Incomplete</v>
      </c>
      <c r="BB950" s="66"/>
      <c r="BC950" s="20" t="str">
        <f t="shared" ref="BC950:BC986" si="301">IF(OR(ISBLANK(U950), ISBLANK(AU950)), "Incomplete", (60.7*AU950)+(45.3*U950)-2055)</f>
        <v>Incomplete</v>
      </c>
      <c r="BD950" s="66"/>
      <c r="BE950" s="20" t="str">
        <f t="shared" ref="BE950:BE986" si="302">IF(OR(ISBLANK(U950), ISBLANK(AW950)), "Incomplete", (60.7*AW950)+(45.3*U950)-2055)</f>
        <v>Incomplete</v>
      </c>
      <c r="BF950" s="66"/>
      <c r="BG950" s="66">
        <v>15</v>
      </c>
      <c r="BH950" s="66">
        <v>53</v>
      </c>
      <c r="BI950" s="20">
        <f t="shared" si="298"/>
        <v>38</v>
      </c>
      <c r="BJ950" s="66"/>
      <c r="BK950" s="66"/>
      <c r="BL950" s="66"/>
      <c r="BM950" s="66"/>
      <c r="BN950" s="66"/>
      <c r="BO950" s="66"/>
      <c r="BP950" s="66"/>
      <c r="BQ950" s="66"/>
      <c r="BR950" s="66"/>
      <c r="BS950" s="66"/>
      <c r="BT950" s="66"/>
      <c r="BU950" s="66"/>
      <c r="BV950" s="66"/>
      <c r="BW950" s="91" t="str">
        <f t="shared" si="296"/>
        <v>Incomplete</v>
      </c>
      <c r="BX950" s="91" t="str">
        <f>_xlfn.XLOOKUP(BW950,'Normative data'!$V$3:$V$6,'Normative data'!$W$3:$W$6,"Not Found",-1)</f>
        <v>Very low risk</v>
      </c>
      <c r="BY950" s="91" t="str">
        <f t="shared" si="297"/>
        <v>Incomplete</v>
      </c>
      <c r="BZ950" s="91" t="str">
        <f>_xlfn.XLOOKUP(BY950,'Normative data'!$V$3:$V$6,'Normative data'!$W$3:$W$6,"Not Found",-1)</f>
        <v>Very low risk</v>
      </c>
      <c r="CA950" s="66"/>
      <c r="CB950" s="66"/>
      <c r="CC950" s="66">
        <v>54</v>
      </c>
      <c r="CD950" s="66"/>
      <c r="CE950" s="66">
        <v>18</v>
      </c>
      <c r="CF950" s="66"/>
      <c r="CG950" s="20"/>
      <c r="CH950" s="20" t="str">
        <f>_xlfn.XLOOKUP(CG950, 'Normative data'!$S$9:$S$15,'Normative data'!$T$9:$T$15, "Not Found", -1)</f>
        <v>not completed</v>
      </c>
      <c r="CI950" s="20"/>
      <c r="CJ950" s="20" t="str">
        <f>_xlfn.XLOOKUP(CI950, 'Normative data'!$S$9:$S$15, 'Normative data'!$T$9:$T$15, "Not Found", -1)</f>
        <v>not completed</v>
      </c>
      <c r="CK950" s="20">
        <v>2.19</v>
      </c>
      <c r="CL950" s="20">
        <v>4.57</v>
      </c>
      <c r="CN950" s="20">
        <v>6.95</v>
      </c>
      <c r="CO950" s="20">
        <v>7.19</v>
      </c>
      <c r="CP950" s="68"/>
      <c r="CQ950" s="68">
        <v>6.6</v>
      </c>
      <c r="CR950" s="20" t="str" cm="1">
        <f t="array" ref="CR950">IF(OR(ISBLANK(E950),ISBLANK(CQ950)),"Incomplete",_xlfn.XLOOKUP(CQ950,_xlfn.XLOOKUP(E950,'Normative data'!$Y$3:$Y$6,'Normative data'!$Z$3:$AG$6,,-1),'Normative data'!$Z$2:$AG$2,"Not Found",-1))</f>
        <v>Incomplete</v>
      </c>
      <c r="CS950" s="68">
        <v>6</v>
      </c>
      <c r="CT950" s="66">
        <v>6</v>
      </c>
      <c r="CU950" s="20" cm="1">
        <f t="array" ref="CU950">_xlfn.XLOOKUP(CS950&amp;CT950,(VLOOKUP!$A$3:$A$250)&amp;(VLOOKUP!$B$3:$B$250),VLOOKUP!$C$3:$C$250,"Incomplete",-1)</f>
        <v>940</v>
      </c>
      <c r="CV950" s="20" t="str" cm="1">
        <f t="array" ref="CV950">_xlfn.XLOOKUP(CU950, _xlfn.XLOOKUP(E950, 'Normative data'!$Y$11:$Y$14, 'Normative data'!$Z$11:$AG$14, ,-1), 'Normative data'!$Z$10:$AG$10, "Not Found", -1)</f>
        <v xml:space="preserve">Fair </v>
      </c>
      <c r="CW950" s="20" cm="1">
        <f t="array" ref="CW950">IF(OR(ISBLANK(CS950),ISBLANK(CT950)),"Incomplete",_xlfn.XLOOKUP(CS950&amp;CT950,VLOOKUP!$A$4:$A$250&amp;VLOOKUP!$B$4:$B$250,VLOOKUP!$D$4:$D$250,"0"))</f>
        <v>35</v>
      </c>
    </row>
    <row r="951" spans="1:101">
      <c r="A951" s="64" t="s">
        <v>1627</v>
      </c>
      <c r="B951" s="64" t="s">
        <v>312</v>
      </c>
      <c r="C951" s="64" t="s">
        <v>86</v>
      </c>
      <c r="D951" s="96">
        <v>40217</v>
      </c>
      <c r="E951" s="64"/>
      <c r="F951" s="64"/>
      <c r="G951" s="64">
        <v>2026</v>
      </c>
      <c r="H951" s="66" t="s">
        <v>114</v>
      </c>
      <c r="I951" s="64">
        <v>1</v>
      </c>
      <c r="J951" s="64"/>
      <c r="K951" s="64"/>
      <c r="L951" s="64"/>
      <c r="M951" s="64"/>
      <c r="N951" s="64"/>
      <c r="O951" s="64"/>
      <c r="P951" s="64"/>
      <c r="Q951" s="64"/>
      <c r="R951" s="64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  <c r="AD951" s="66"/>
      <c r="AE951" s="66"/>
      <c r="AF951" s="66"/>
      <c r="AG951" s="66"/>
      <c r="AH951" s="66"/>
      <c r="AI951" s="66"/>
      <c r="AJ951" s="66"/>
      <c r="AK951" s="66"/>
      <c r="AL951" s="66"/>
      <c r="AM951" s="66"/>
      <c r="AN951" s="66"/>
      <c r="AO951" s="66"/>
      <c r="AP951" s="66"/>
      <c r="AQ951" s="20">
        <v>21.9</v>
      </c>
      <c r="AR951" s="20">
        <v>0.42299999999999999</v>
      </c>
      <c r="AS951" s="20">
        <v>24.9</v>
      </c>
      <c r="AT951" s="20">
        <v>0.45100000000000001</v>
      </c>
      <c r="AU951" s="20">
        <v>11.8</v>
      </c>
      <c r="AV951" s="20">
        <v>0.31</v>
      </c>
      <c r="AW951" s="20">
        <v>13.4</v>
      </c>
      <c r="AX951" s="20">
        <v>0.33100000000000002</v>
      </c>
      <c r="AY951" s="41" t="str">
        <f t="shared" si="299"/>
        <v>Incomplete</v>
      </c>
      <c r="AZ951" s="66"/>
      <c r="BA951" s="20" t="str">
        <f t="shared" si="300"/>
        <v>Incomplete</v>
      </c>
      <c r="BB951" s="66"/>
      <c r="BC951" s="20" t="str">
        <f t="shared" si="301"/>
        <v>Incomplete</v>
      </c>
      <c r="BD951" s="66"/>
      <c r="BE951" s="20" t="str">
        <f t="shared" si="302"/>
        <v>Incomplete</v>
      </c>
      <c r="BF951" s="66"/>
      <c r="BG951" s="66"/>
      <c r="BH951" s="20"/>
      <c r="BI951" s="20" t="str">
        <f t="shared" si="298"/>
        <v>Incomplete</v>
      </c>
      <c r="BJ951" s="66"/>
      <c r="BK951" s="66"/>
      <c r="BL951" s="66"/>
      <c r="BM951" s="20"/>
      <c r="BN951" s="66"/>
      <c r="BO951" s="66"/>
      <c r="BP951" s="66"/>
      <c r="BQ951" s="66"/>
      <c r="BR951" s="66"/>
      <c r="BS951" s="66"/>
      <c r="BT951" s="66"/>
      <c r="BU951" s="66"/>
      <c r="BV951" s="66"/>
      <c r="BW951" s="91" t="str">
        <f t="shared" si="296"/>
        <v>Incomplete</v>
      </c>
      <c r="BX951" s="91" t="str">
        <f>_xlfn.XLOOKUP(BW951,'Normative data'!$V$3:$V$6,'Normative data'!$W$3:$W$6,"Not Found",-1)</f>
        <v>Very low risk</v>
      </c>
      <c r="BY951" s="91" t="str">
        <f t="shared" si="297"/>
        <v>Incomplete</v>
      </c>
      <c r="BZ951" s="91" t="str">
        <f>_xlfn.XLOOKUP(BY951,'Normative data'!$V$3:$V$6,'Normative data'!$W$3:$W$6,"Not Found",-1)</f>
        <v>Very low risk</v>
      </c>
      <c r="CA951" s="66"/>
      <c r="CB951" s="66"/>
      <c r="CC951" s="20">
        <v>60</v>
      </c>
      <c r="CD951" s="66"/>
      <c r="CE951" s="66">
        <v>16</v>
      </c>
      <c r="CF951" s="66"/>
      <c r="CG951" s="66"/>
      <c r="CH951" s="20" t="str">
        <f>_xlfn.XLOOKUP(CG951, 'Normative data'!$S$9:$S$15,'Normative data'!$T$9:$T$15, "Not Found", -1)</f>
        <v>not completed</v>
      </c>
      <c r="CI951" s="66"/>
      <c r="CJ951" s="20" t="str">
        <f>_xlfn.XLOOKUP(CI951, 'Normative data'!$S$9:$S$15, 'Normative data'!$T$9:$T$15, "Not Found", -1)</f>
        <v>not completed</v>
      </c>
      <c r="CK951" s="66" t="s">
        <v>270</v>
      </c>
      <c r="CL951" s="66" t="s">
        <v>423</v>
      </c>
      <c r="CM951" s="66"/>
      <c r="CN951" s="66" t="s">
        <v>1404</v>
      </c>
      <c r="CO951" s="66" t="s">
        <v>1403</v>
      </c>
      <c r="CP951" s="68"/>
      <c r="CQ951" s="68"/>
      <c r="CR951" s="20" t="str" cm="1">
        <f t="array" ref="CR951">IF(OR(ISBLANK(E951),ISBLANK(CQ951)),"Incomplete",_xlfn.XLOOKUP(CQ951,_xlfn.XLOOKUP(E951,'Normative data'!$Y$3:$Y$6,'Normative data'!$Z$3:$AG$6,,-1),'Normative data'!$Z$2:$AG$2,"Not Found",-1))</f>
        <v>Incomplete</v>
      </c>
      <c r="CS951" s="68"/>
      <c r="CT951" s="66"/>
      <c r="CU951" s="20" t="str" cm="1">
        <f t="array" ref="CU951">_xlfn.XLOOKUP(CS951&amp;CT951,(VLOOKUP!$A$3:$A$250)&amp;(VLOOKUP!$B$3:$B$250),VLOOKUP!$C$3:$C$250,"Incomplete",-1)</f>
        <v>Incomplete</v>
      </c>
      <c r="CV951" s="20" t="str" cm="1">
        <f t="array" ref="CV951">_xlfn.XLOOKUP(CU951, _xlfn.XLOOKUP(E951, 'Normative data'!$Y$11:$Y$14, 'Normative data'!$Z$11:$AG$14, ,-1), 'Normative data'!$Z$10:$AG$10, "Not Found", -1)</f>
        <v>Excellent</v>
      </c>
      <c r="CW951" s="20" t="str" cm="1">
        <f t="array" ref="CW951">IF(OR(ISBLANK(CS951),ISBLANK(CT951)),"Incomplete",_xlfn.XLOOKUP(CS951&amp;CT951,VLOOKUP!$A$4:$A$250&amp;VLOOKUP!$B$4:$B$250,VLOOKUP!$D$4:$D$250,"0"))</f>
        <v>Incomplete</v>
      </c>
    </row>
    <row r="952" spans="1:101">
      <c r="A952" s="64" t="s">
        <v>485</v>
      </c>
      <c r="B952" s="64" t="s">
        <v>484</v>
      </c>
      <c r="C952" s="64" t="s">
        <v>86</v>
      </c>
      <c r="D952" s="65">
        <v>40610</v>
      </c>
      <c r="E952" s="64"/>
      <c r="F952" s="66" t="s">
        <v>217</v>
      </c>
      <c r="G952" s="64">
        <v>2026</v>
      </c>
      <c r="H952" s="66"/>
      <c r="I952" s="66">
        <v>2</v>
      </c>
      <c r="J952" s="66"/>
      <c r="K952" s="66"/>
      <c r="L952" s="66"/>
      <c r="M952" s="64"/>
      <c r="N952" s="64"/>
      <c r="O952" s="64"/>
      <c r="P952" s="64"/>
      <c r="Q952" s="64"/>
      <c r="R952" s="64"/>
      <c r="S952" s="66">
        <v>85.2</v>
      </c>
      <c r="T952" s="66">
        <v>159.6</v>
      </c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  <c r="AG952" s="64"/>
      <c r="AH952" s="64"/>
      <c r="AI952" s="64"/>
      <c r="AJ952" s="64"/>
      <c r="AK952" s="64"/>
      <c r="AL952" s="64"/>
      <c r="AM952" s="64"/>
      <c r="AN952" s="64"/>
      <c r="AO952" s="64"/>
      <c r="AP952" s="64"/>
      <c r="AQ952" s="20"/>
      <c r="AR952" s="20"/>
      <c r="AS952" s="20"/>
      <c r="AT952" s="20"/>
      <c r="AU952" s="20"/>
      <c r="AV952" s="20"/>
      <c r="AW952" s="20"/>
      <c r="AX952" s="20"/>
      <c r="AY952" s="41" t="str">
        <f t="shared" si="299"/>
        <v>Incomplete</v>
      </c>
      <c r="AZ952" s="64"/>
      <c r="BA952" s="20" t="str">
        <f t="shared" si="300"/>
        <v>Incomplete</v>
      </c>
      <c r="BB952" s="64"/>
      <c r="BC952" s="20" t="str">
        <f t="shared" si="301"/>
        <v>Incomplete</v>
      </c>
      <c r="BD952" s="64"/>
      <c r="BE952" s="20" t="str">
        <f t="shared" si="302"/>
        <v>Incomplete</v>
      </c>
      <c r="BF952" s="64"/>
      <c r="BG952" s="64">
        <v>11.5</v>
      </c>
      <c r="BH952" s="64">
        <v>63.4</v>
      </c>
      <c r="BI952" s="20">
        <f t="shared" si="298"/>
        <v>51.9</v>
      </c>
      <c r="BJ952" s="66"/>
      <c r="BK952" s="64">
        <v>14</v>
      </c>
      <c r="BL952" s="66"/>
      <c r="BM952" s="64">
        <v>15</v>
      </c>
      <c r="BN952" s="66"/>
      <c r="BO952" s="64">
        <v>49</v>
      </c>
      <c r="BP952" s="64">
        <v>49</v>
      </c>
      <c r="BQ952" s="64">
        <v>70</v>
      </c>
      <c r="BR952" s="64">
        <v>88</v>
      </c>
      <c r="BS952" s="64">
        <v>83</v>
      </c>
      <c r="BT952" s="64">
        <v>63</v>
      </c>
      <c r="BU952" s="64">
        <v>80</v>
      </c>
      <c r="BV952" s="64">
        <v>77</v>
      </c>
      <c r="BW952" s="91">
        <f t="shared" si="296"/>
        <v>107.97491039426524</v>
      </c>
      <c r="BX952" s="91" t="str">
        <f>_xlfn.XLOOKUP(BW952,'Normative data'!$V$3:$V$6,'Normative data'!$W$3:$W$6,"Not Found",-1)</f>
        <v>Low risk</v>
      </c>
      <c r="BY952" s="91">
        <f t="shared" si="297"/>
        <v>98.566308243727605</v>
      </c>
      <c r="BZ952" s="91" t="str">
        <f>_xlfn.XLOOKUP(BY952,'Normative data'!$V$3:$V$6,'Normative data'!$W$3:$W$6,"Not Found",-1)</f>
        <v>Low risk</v>
      </c>
      <c r="CA952" s="64">
        <v>34</v>
      </c>
      <c r="CB952" s="66"/>
      <c r="CC952" s="66"/>
      <c r="CD952" s="66"/>
      <c r="CE952" s="64">
        <v>20</v>
      </c>
      <c r="CF952" s="66"/>
      <c r="CG952" s="20"/>
      <c r="CH952" s="20" t="str">
        <f>_xlfn.XLOOKUP(CG952, 'Normative data'!$S$9:$S$15,'Normative data'!$T$9:$T$15, "Not Found", -1)</f>
        <v>not completed</v>
      </c>
      <c r="CI952" s="20"/>
      <c r="CJ952" s="20" t="str">
        <f>_xlfn.XLOOKUP(CI952, 'Normative data'!$S$9:$S$15, 'Normative data'!$T$9:$T$15, "Not Found", -1)</f>
        <v>not completed</v>
      </c>
      <c r="CK952" s="64">
        <v>2.3199999999999998</v>
      </c>
      <c r="CL952" s="64">
        <v>4.3099999999999996</v>
      </c>
      <c r="CM952" s="66"/>
      <c r="CN952" s="64">
        <v>7.54</v>
      </c>
      <c r="CO952" s="64">
        <v>6.63</v>
      </c>
      <c r="CP952" s="68"/>
      <c r="CQ952" s="67">
        <v>6.3</v>
      </c>
      <c r="CR952" s="20" t="str" cm="1">
        <f t="array" ref="CR952">IF(OR(ISBLANK(E952),ISBLANK(CQ952)),"Incomplete",_xlfn.XLOOKUP(CQ952,_xlfn.XLOOKUP(E952,'Normative data'!$Y$3:$Y$6,'Normative data'!$Z$3:$AG$6,,-1),'Normative data'!$Z$2:$AG$2,"Not Found",-1))</f>
        <v>Incomplete</v>
      </c>
      <c r="CS952" s="68">
        <v>6</v>
      </c>
      <c r="CT952" s="66">
        <v>3</v>
      </c>
      <c r="CU952" s="20" cm="1">
        <f t="array" ref="CU952">_xlfn.XLOOKUP(CS952&amp;CT952,(VLOOKUP!$A$3:$A$250)&amp;(VLOOKUP!$B$3:$B$250),VLOOKUP!$C$3:$C$250,"Incomplete",-1)</f>
        <v>880</v>
      </c>
      <c r="CV952" s="20" t="str" cm="1">
        <f t="array" ref="CV952">_xlfn.XLOOKUP(CU952, _xlfn.XLOOKUP(E952, 'Normative data'!$Y$11:$Y$14, 'Normative data'!$Z$11:$AG$14, ,-1), 'Normative data'!$Z$10:$AG$10, "Not Found", -1)</f>
        <v xml:space="preserve">Fair </v>
      </c>
      <c r="CW952" s="20" cm="1">
        <f t="array" ref="CW952">IF(OR(ISBLANK(CS952),ISBLANK(CT952)),"Incomplete",_xlfn.XLOOKUP(CS952&amp;CT952,VLOOKUP!$A$4:$A$250&amp;VLOOKUP!$B$4:$B$250,VLOOKUP!$D$4:$D$250,"0"))</f>
        <v>34</v>
      </c>
    </row>
    <row r="953" spans="1:101">
      <c r="A953" s="64" t="s">
        <v>587</v>
      </c>
      <c r="B953" s="64" t="s">
        <v>484</v>
      </c>
      <c r="C953" s="64" t="s">
        <v>86</v>
      </c>
      <c r="D953" s="65">
        <v>40640</v>
      </c>
      <c r="E953" s="64"/>
      <c r="F953" s="66" t="s">
        <v>87</v>
      </c>
      <c r="G953" s="64">
        <v>2026</v>
      </c>
      <c r="H953" s="66"/>
      <c r="I953" s="66">
        <v>2</v>
      </c>
      <c r="J953" s="66"/>
      <c r="K953" s="66"/>
      <c r="L953" s="66"/>
      <c r="M953" s="64"/>
      <c r="N953" s="64"/>
      <c r="O953" s="64"/>
      <c r="P953" s="64"/>
      <c r="Q953" s="64"/>
      <c r="R953" s="64"/>
      <c r="S953" s="66">
        <v>86.2</v>
      </c>
      <c r="T953" s="66">
        <v>165.5</v>
      </c>
      <c r="U953" s="64">
        <v>57.2</v>
      </c>
      <c r="V953" s="64">
        <v>33.6</v>
      </c>
      <c r="W953" s="64">
        <v>11.3</v>
      </c>
      <c r="X953" s="64">
        <v>45.9</v>
      </c>
      <c r="Y953" s="64">
        <v>25.1</v>
      </c>
      <c r="Z953" s="64"/>
      <c r="AA953" s="64">
        <v>19.7</v>
      </c>
      <c r="AB953" s="64">
        <v>6.65</v>
      </c>
      <c r="AC953" s="64">
        <v>100.5</v>
      </c>
      <c r="AD953" s="64">
        <v>6.57</v>
      </c>
      <c r="AE953" s="64">
        <v>99.3</v>
      </c>
      <c r="AF953" s="64">
        <v>1.8</v>
      </c>
      <c r="AG953" s="64">
        <v>70</v>
      </c>
      <c r="AH953" s="64">
        <v>1.8</v>
      </c>
      <c r="AI953" s="64">
        <v>69.8</v>
      </c>
      <c r="AJ953" s="64">
        <v>286.89999999999998</v>
      </c>
      <c r="AK953" s="64">
        <v>294.3</v>
      </c>
      <c r="AL953" s="64">
        <v>258.89999999999998</v>
      </c>
      <c r="AM953" s="64">
        <v>263.89999999999998</v>
      </c>
      <c r="AN953" s="64">
        <v>108</v>
      </c>
      <c r="AO953" s="64"/>
      <c r="AP953" s="64"/>
      <c r="AQ953" s="64">
        <v>26.2</v>
      </c>
      <c r="AR953" s="64">
        <v>0.46200000000000002</v>
      </c>
      <c r="AS953" s="64">
        <v>27.9</v>
      </c>
      <c r="AT953" s="64">
        <v>0.47699999999999998</v>
      </c>
      <c r="AU953" s="64">
        <v>10.4</v>
      </c>
      <c r="AV953" s="64">
        <v>0.29099999999999998</v>
      </c>
      <c r="AW953" s="64">
        <v>8.5</v>
      </c>
      <c r="AX953" s="64">
        <v>0.26300000000000001</v>
      </c>
      <c r="AY953" s="41">
        <f t="shared" si="299"/>
        <v>2126.5</v>
      </c>
      <c r="AZ953" s="64"/>
      <c r="BA953" s="20">
        <f t="shared" si="300"/>
        <v>2229.6899999999996</v>
      </c>
      <c r="BB953" s="64"/>
      <c r="BC953" s="20">
        <f t="shared" si="301"/>
        <v>1167.44</v>
      </c>
      <c r="BD953" s="64"/>
      <c r="BE953" s="20">
        <f t="shared" si="302"/>
        <v>1052.1099999999997</v>
      </c>
      <c r="BF953" s="64"/>
      <c r="BG953" s="64">
        <v>14</v>
      </c>
      <c r="BH953" s="64">
        <v>54</v>
      </c>
      <c r="BI953" s="20">
        <f t="shared" si="298"/>
        <v>40</v>
      </c>
      <c r="BJ953" s="66"/>
      <c r="BK953" s="64">
        <v>12</v>
      </c>
      <c r="BL953" s="66"/>
      <c r="BM953" s="64">
        <v>15</v>
      </c>
      <c r="BN953" s="66"/>
      <c r="BO953" s="64">
        <v>49</v>
      </c>
      <c r="BP953" s="64">
        <v>49</v>
      </c>
      <c r="BQ953" s="64">
        <v>79</v>
      </c>
      <c r="BR953" s="64">
        <v>88</v>
      </c>
      <c r="BS953" s="64">
        <v>68</v>
      </c>
      <c r="BT953" s="64">
        <v>70</v>
      </c>
      <c r="BU953" s="64">
        <v>81</v>
      </c>
      <c r="BV953" s="64">
        <v>86</v>
      </c>
      <c r="BW953" s="91">
        <f t="shared" si="296"/>
        <v>98.781000420344682</v>
      </c>
      <c r="BX953" s="91" t="str">
        <f>_xlfn.XLOOKUP(BW953,'Normative data'!$V$3:$V$6,'Normative data'!$W$3:$W$6,"Not Found",-1)</f>
        <v>Low risk</v>
      </c>
      <c r="BY953" s="91">
        <f t="shared" si="297"/>
        <v>99.621689785624227</v>
      </c>
      <c r="BZ953" s="91" t="str">
        <f>_xlfn.XLOOKUP(BY953,'Normative data'!$V$3:$V$6,'Normative data'!$W$3:$W$6,"Not Found",-1)</f>
        <v>Low risk</v>
      </c>
      <c r="CA953" s="64">
        <v>35</v>
      </c>
      <c r="CB953" s="66"/>
      <c r="CC953" s="20"/>
      <c r="CD953" s="66"/>
      <c r="CE953" s="64">
        <v>1</v>
      </c>
      <c r="CF953" s="66"/>
      <c r="CG953" s="64">
        <v>20.49</v>
      </c>
      <c r="CH953" s="20" t="str">
        <f>_xlfn.XLOOKUP(CG953, 'Normative data'!$S$9:$S$15,'Normative data'!$T$9:$T$15, "Not Found", -1)</f>
        <v>Average</v>
      </c>
      <c r="CI953" s="64">
        <v>19.440000000000001</v>
      </c>
      <c r="CJ953" s="20" t="str">
        <f>_xlfn.XLOOKUP(CI953, 'Normative data'!$S$9:$S$15, 'Normative data'!$T$9:$T$15, "Not Found", -1)</f>
        <v>Average</v>
      </c>
      <c r="CK953" s="64">
        <v>2.38</v>
      </c>
      <c r="CL953" s="64">
        <v>4.2</v>
      </c>
      <c r="CM953" s="66"/>
      <c r="CN953" s="64">
        <v>7.21</v>
      </c>
      <c r="CO953" s="64">
        <v>6.93</v>
      </c>
      <c r="CP953" s="68"/>
      <c r="CQ953" s="67">
        <v>5.9</v>
      </c>
      <c r="CR953" s="20" t="str" cm="1">
        <f t="array" ref="CR953">IF(OR(ISBLANK(E953),ISBLANK(CQ953)),"Incomplete",_xlfn.XLOOKUP(CQ953,_xlfn.XLOOKUP(E953,'Normative data'!$Y$3:$Y$6,'Normative data'!$Z$3:$AG$6,,-1),'Normative data'!$Z$2:$AG$2,"Not Found",-1))</f>
        <v>Incomplete</v>
      </c>
      <c r="CS953" s="68">
        <v>5</v>
      </c>
      <c r="CT953" s="66">
        <v>9</v>
      </c>
      <c r="CU953" s="20" cm="1">
        <f t="array" ref="CU953">_xlfn.XLOOKUP(CS953&amp;CT953,(VLOOKUP!$A$3:$A$250)&amp;(VLOOKUP!$B$3:$B$250),VLOOKUP!$C$3:$C$250,"Incomplete",-1)</f>
        <v>820</v>
      </c>
      <c r="CV953" s="20" t="str" cm="1">
        <f t="array" ref="CV953">_xlfn.XLOOKUP(CU953, _xlfn.XLOOKUP(E953, 'Normative data'!$Y$11:$Y$14, 'Normative data'!$Z$11:$AG$14, ,-1), 'Normative data'!$Z$10:$AG$10, "Not Found", -1)</f>
        <v xml:space="preserve">Fair </v>
      </c>
      <c r="CW953" s="20" cm="1">
        <f t="array" ref="CW953">IF(OR(ISBLANK(CS953),ISBLANK(CT953)),"Incomplete",_xlfn.XLOOKUP(CS953&amp;CT953,VLOOKUP!$A$4:$A$250&amp;VLOOKUP!$B$4:$B$250,VLOOKUP!$D$4:$D$250,"0"))</f>
        <v>33</v>
      </c>
    </row>
    <row r="954" spans="1:101">
      <c r="A954" s="64" t="s">
        <v>1293</v>
      </c>
      <c r="B954" s="64" t="s">
        <v>484</v>
      </c>
      <c r="C954" s="64" t="s">
        <v>86</v>
      </c>
      <c r="D954" s="65"/>
      <c r="E954" s="64"/>
      <c r="F954" s="66" t="s">
        <v>99</v>
      </c>
      <c r="G954" s="64">
        <v>2026</v>
      </c>
      <c r="H954" s="66"/>
      <c r="I954" s="66">
        <v>2</v>
      </c>
      <c r="J954" s="66"/>
      <c r="K954" s="66"/>
      <c r="L954" s="66"/>
      <c r="M954" s="64"/>
      <c r="N954" s="64"/>
      <c r="O954" s="64"/>
      <c r="P954" s="64"/>
      <c r="Q954" s="64"/>
      <c r="R954" s="64"/>
      <c r="S954" s="66">
        <v>95</v>
      </c>
      <c r="T954" s="66">
        <v>176.1</v>
      </c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  <c r="AG954" s="64"/>
      <c r="AH954" s="64"/>
      <c r="AI954" s="64"/>
      <c r="AJ954" s="64"/>
      <c r="AK954" s="64"/>
      <c r="AL954" s="64"/>
      <c r="AM954" s="64"/>
      <c r="AN954" s="64"/>
      <c r="AO954" s="64"/>
      <c r="AP954" s="64"/>
      <c r="AQ954" s="66"/>
      <c r="AR954" s="66"/>
      <c r="AS954" s="66"/>
      <c r="AT954" s="66"/>
      <c r="AU954" s="66"/>
      <c r="AV954" s="66"/>
      <c r="AW954" s="66"/>
      <c r="AX954" s="66"/>
      <c r="AY954" s="41" t="str">
        <f t="shared" si="299"/>
        <v>Incomplete</v>
      </c>
      <c r="AZ954" s="64"/>
      <c r="BA954" s="20" t="str">
        <f t="shared" si="300"/>
        <v>Incomplete</v>
      </c>
      <c r="BB954" s="64"/>
      <c r="BC954" s="20" t="str">
        <f t="shared" si="301"/>
        <v>Incomplete</v>
      </c>
      <c r="BD954" s="64"/>
      <c r="BE954" s="20" t="str">
        <f t="shared" si="302"/>
        <v>Incomplete</v>
      </c>
      <c r="BF954" s="64"/>
      <c r="BG954" s="64">
        <v>12</v>
      </c>
      <c r="BH954" s="64">
        <v>40</v>
      </c>
      <c r="BI954" s="20">
        <f t="shared" si="298"/>
        <v>28</v>
      </c>
      <c r="BJ954" s="66"/>
      <c r="BK954" s="64"/>
      <c r="BL954" s="66"/>
      <c r="BM954" s="66"/>
      <c r="BN954" s="66"/>
      <c r="BO954" s="64"/>
      <c r="BP954" s="64"/>
      <c r="BQ954" s="64">
        <v>80</v>
      </c>
      <c r="BR954" s="64">
        <v>95</v>
      </c>
      <c r="BS954" s="64">
        <v>82</v>
      </c>
      <c r="BT954" s="64">
        <v>77</v>
      </c>
      <c r="BU954" s="64">
        <v>98</v>
      </c>
      <c r="BV954" s="64">
        <v>90</v>
      </c>
      <c r="BW954" s="91">
        <f t="shared" si="296"/>
        <v>105.63090834360874</v>
      </c>
      <c r="BX954" s="91" t="str">
        <f>_xlfn.XLOOKUP(BW954,'Normative data'!$V$3:$V$6,'Normative data'!$W$3:$W$6,"Not Found",-1)</f>
        <v>Low risk</v>
      </c>
      <c r="BY954" s="91">
        <f t="shared" si="297"/>
        <v>108.91903000411017</v>
      </c>
      <c r="BZ954" s="91" t="str">
        <f>_xlfn.XLOOKUP(BY954,'Normative data'!$V$3:$V$6,'Normative data'!$W$3:$W$6,"Not Found",-1)</f>
        <v>Low risk</v>
      </c>
      <c r="CA954" s="64"/>
      <c r="CB954" s="66"/>
      <c r="CD954" s="66"/>
      <c r="CE954" s="64"/>
      <c r="CF954" s="66"/>
      <c r="CG954" s="64">
        <v>19.68</v>
      </c>
      <c r="CH954" s="20" t="str">
        <f>_xlfn.XLOOKUP(CG954, 'Normative data'!$S$9:$S$15,'Normative data'!$T$9:$T$15, "Not Found", -1)</f>
        <v>Average</v>
      </c>
      <c r="CI954" s="64">
        <v>18.84</v>
      </c>
      <c r="CJ954" s="20" t="str">
        <f>_xlfn.XLOOKUP(CI954, 'Normative data'!$S$9:$S$15, 'Normative data'!$T$9:$T$15, "Not Found", -1)</f>
        <v>Average</v>
      </c>
      <c r="CK954" s="105"/>
      <c r="CL954" s="105"/>
      <c r="CM954" s="105"/>
      <c r="CN954" s="105"/>
      <c r="CO954" s="105"/>
      <c r="CP954" s="68"/>
      <c r="CQ954" s="67"/>
      <c r="CR954" s="20" t="str" cm="1">
        <f t="array" ref="CR954">IF(OR(ISBLANK(E954),ISBLANK(CQ954)),"Incomplete",_xlfn.XLOOKUP(CQ954,_xlfn.XLOOKUP(E954,'Normative data'!$Y$3:$Y$6,'Normative data'!$Z$3:$AG$6,,-1),'Normative data'!$Z$2:$AG$2,"Not Found",-1))</f>
        <v>Incomplete</v>
      </c>
      <c r="CS954" s="68"/>
      <c r="CT954" s="66"/>
      <c r="CU954" s="20" t="str" cm="1">
        <f t="array" ref="CU954">_xlfn.XLOOKUP(CS954&amp;CT954,(VLOOKUP!$A$3:$A$250)&amp;(VLOOKUP!$B$3:$B$250),VLOOKUP!$C$3:$C$250,"Incomplete",-1)</f>
        <v>Incomplete</v>
      </c>
      <c r="CV954" s="20" t="str" cm="1">
        <f t="array" ref="CV954">_xlfn.XLOOKUP(CU954, _xlfn.XLOOKUP(E954, 'Normative data'!$Y$11:$Y$14, 'Normative data'!$Z$11:$AG$14, ,-1), 'Normative data'!$Z$10:$AG$10, "Not Found", -1)</f>
        <v>Excellent</v>
      </c>
      <c r="CW954" s="20" t="str" cm="1">
        <f t="array" ref="CW954">IF(OR(ISBLANK(CS954),ISBLANK(CT954)),"Incomplete",_xlfn.XLOOKUP(CS954&amp;CT954,VLOOKUP!$A$4:$A$250&amp;VLOOKUP!$B$4:$B$250,VLOOKUP!$D$4:$D$250,"0"))</f>
        <v>Incomplete</v>
      </c>
    </row>
    <row r="955" spans="1:101">
      <c r="A955" s="64" t="s">
        <v>1268</v>
      </c>
      <c r="B955" s="64" t="s">
        <v>484</v>
      </c>
      <c r="C955" s="64" t="s">
        <v>86</v>
      </c>
      <c r="D955" s="65">
        <v>40188</v>
      </c>
      <c r="E955" s="64">
        <v>15.5</v>
      </c>
      <c r="F955" s="66" t="s">
        <v>186</v>
      </c>
      <c r="G955" s="64">
        <v>2026</v>
      </c>
      <c r="H955" s="66"/>
      <c r="I955" s="66">
        <v>2</v>
      </c>
      <c r="J955" s="66" t="s">
        <v>100</v>
      </c>
      <c r="K955" s="66" t="s">
        <v>105</v>
      </c>
      <c r="L955" s="66"/>
      <c r="M955" s="64"/>
      <c r="N955" s="64"/>
      <c r="O955" s="64"/>
      <c r="P955" s="64"/>
      <c r="Q955" s="64"/>
      <c r="R955" s="64"/>
      <c r="S955" s="66">
        <v>90.3</v>
      </c>
      <c r="T955" s="66">
        <v>167.4</v>
      </c>
      <c r="U955" s="64">
        <v>61.6</v>
      </c>
      <c r="V955" s="64">
        <v>31.3</v>
      </c>
      <c r="W955" s="64">
        <v>18.7</v>
      </c>
      <c r="X955" s="64">
        <v>42.7</v>
      </c>
      <c r="Y955" s="64">
        <v>23.2</v>
      </c>
      <c r="Z955" s="64">
        <v>21.9</v>
      </c>
      <c r="AA955" s="64">
        <v>30.4</v>
      </c>
      <c r="AB955" s="64">
        <v>6.54</v>
      </c>
      <c r="AC955" s="64">
        <v>93.4</v>
      </c>
      <c r="AD955" s="64">
        <v>6.54</v>
      </c>
      <c r="AE955" s="64">
        <v>93.4</v>
      </c>
      <c r="AF955" s="64">
        <v>2.8</v>
      </c>
      <c r="AG955" s="64">
        <v>108.2</v>
      </c>
      <c r="AH955" s="64">
        <v>2.8</v>
      </c>
      <c r="AI955" s="64">
        <v>108</v>
      </c>
      <c r="AJ955" s="64">
        <v>324</v>
      </c>
      <c r="AK955" s="64">
        <v>323.8</v>
      </c>
      <c r="AL955" s="64">
        <v>292.89999999999998</v>
      </c>
      <c r="AM955" s="64">
        <v>293.39999999999998</v>
      </c>
      <c r="AN955" s="64">
        <v>98</v>
      </c>
      <c r="AO955" s="64">
        <v>0.91</v>
      </c>
      <c r="AP955" s="64">
        <v>6.1</v>
      </c>
      <c r="AY955" s="41" t="str">
        <f t="shared" si="299"/>
        <v>Incomplete</v>
      </c>
      <c r="AZ955" s="64"/>
      <c r="BA955" s="20" t="str">
        <f t="shared" si="300"/>
        <v>Incomplete</v>
      </c>
      <c r="BB955" s="64"/>
      <c r="BC955" s="20" t="str">
        <f t="shared" si="301"/>
        <v>Incomplete</v>
      </c>
      <c r="BD955" s="64"/>
      <c r="BE955" s="20" t="str">
        <f t="shared" si="302"/>
        <v>Incomplete</v>
      </c>
      <c r="BF955" s="64"/>
      <c r="BG955" s="64"/>
      <c r="BH955" s="20"/>
      <c r="BI955" s="20" t="str">
        <f t="shared" si="298"/>
        <v>Incomplete</v>
      </c>
      <c r="BJ955" s="66"/>
      <c r="BK955" s="64"/>
      <c r="BL955" s="66"/>
      <c r="BM955" s="64"/>
      <c r="BN955" s="66"/>
      <c r="BO955" s="64"/>
      <c r="BP955" s="64"/>
      <c r="BQ955" s="64"/>
      <c r="BR955" s="64"/>
      <c r="BS955" s="64"/>
      <c r="BT955" s="64"/>
      <c r="BU955" s="64"/>
      <c r="BV955" s="64"/>
      <c r="BW955" s="91">
        <f t="shared" si="296"/>
        <v>0</v>
      </c>
      <c r="BX955" s="91" t="str">
        <f>_xlfn.XLOOKUP(BW955,'Normative data'!$V$3:$V$6,'Normative data'!$W$3:$W$6,"Not Found",-1)</f>
        <v>Not completed</v>
      </c>
      <c r="BY955" s="91">
        <f t="shared" si="297"/>
        <v>0</v>
      </c>
      <c r="BZ955" s="91" t="str">
        <f>_xlfn.XLOOKUP(BY955,'Normative data'!$V$3:$V$6,'Normative data'!$W$3:$W$6,"Not Found",-1)</f>
        <v>Not completed</v>
      </c>
      <c r="CA955" s="64">
        <v>30</v>
      </c>
      <c r="CB955" s="66"/>
      <c r="CC955" s="66"/>
      <c r="CD955" s="66"/>
      <c r="CE955" s="64">
        <v>6</v>
      </c>
      <c r="CF955" s="66"/>
      <c r="CH955" s="20" t="str">
        <f>_xlfn.XLOOKUP(CG955, 'Normative data'!$S$9:$S$15,'Normative data'!$T$9:$T$15, "Not Found", -1)</f>
        <v>not completed</v>
      </c>
      <c r="CJ955" s="20" t="str">
        <f>_xlfn.XLOOKUP(CI955, 'Normative data'!$S$9:$S$15, 'Normative data'!$T$9:$T$15, "Not Found", -1)</f>
        <v>not completed</v>
      </c>
      <c r="CK955" s="64">
        <v>2.4</v>
      </c>
      <c r="CL955" s="64">
        <v>4.17</v>
      </c>
      <c r="CM955" s="66"/>
      <c r="CN955" s="64">
        <v>7.21</v>
      </c>
      <c r="CO955" s="64">
        <v>6.93</v>
      </c>
      <c r="CP955" s="68"/>
      <c r="CQ955" s="67"/>
      <c r="CR955" s="20" t="str" cm="1">
        <f t="array" ref="CR955">IF(OR(ISBLANK(E955),ISBLANK(CQ955)),"Incomplete",_xlfn.XLOOKUP(CQ955,_xlfn.XLOOKUP(E955,'Normative data'!$Y$3:$Y$6,'Normative data'!$Z$3:$AG$6,,-1),'Normative data'!$Z$2:$AG$2,"Not Found",-1))</f>
        <v>Incomplete</v>
      </c>
      <c r="CS955" s="68"/>
      <c r="CT955" s="66"/>
      <c r="CU955" s="20" t="str" cm="1">
        <f t="array" ref="CU955">_xlfn.XLOOKUP(CS955&amp;CT955,(VLOOKUP!$A$3:$A$250)&amp;(VLOOKUP!$B$3:$B$250),VLOOKUP!$C$3:$C$250,"Incomplete",-1)</f>
        <v>Incomplete</v>
      </c>
      <c r="CV955" s="20" t="str" cm="1">
        <f t="array" ref="CV955">_xlfn.XLOOKUP(CU955, _xlfn.XLOOKUP(E955, 'Normative data'!$Y$11:$Y$14, 'Normative data'!$Z$11:$AG$14, ,-1), 'Normative data'!$Z$10:$AG$10, "Not Found", -1)</f>
        <v>Excellent</v>
      </c>
      <c r="CW955" s="20" t="str" cm="1">
        <f t="array" ref="CW955">IF(OR(ISBLANK(CS955),ISBLANK(CT955)),"Incomplete",_xlfn.XLOOKUP(CS955&amp;CT955,VLOOKUP!$A$4:$A$250&amp;VLOOKUP!$B$4:$B$250,VLOOKUP!$D$4:$D$250,"0"))</f>
        <v>Incomplete</v>
      </c>
    </row>
    <row r="956" spans="1:101">
      <c r="A956" s="94" t="s">
        <v>684</v>
      </c>
      <c r="B956" s="94" t="s">
        <v>1628</v>
      </c>
      <c r="C956" s="64" t="s">
        <v>86</v>
      </c>
      <c r="D956" s="97">
        <v>39648</v>
      </c>
      <c r="E956" s="64"/>
      <c r="F956" s="64">
        <v>11</v>
      </c>
      <c r="G956" s="64">
        <v>2025</v>
      </c>
      <c r="H956" s="66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  <c r="AD956" s="66"/>
      <c r="AE956" s="66"/>
      <c r="AF956" s="66"/>
      <c r="AG956" s="66"/>
      <c r="AH956" s="66"/>
      <c r="AI956" s="66"/>
      <c r="AJ956" s="66"/>
      <c r="AK956" s="66"/>
      <c r="AL956" s="66"/>
      <c r="AM956" s="66"/>
      <c r="AN956" s="66"/>
      <c r="AO956" s="66"/>
      <c r="AP956" s="66"/>
      <c r="AQ956" s="66"/>
      <c r="AR956" s="66"/>
      <c r="AS956" s="66"/>
      <c r="AT956" s="66"/>
      <c r="AU956" s="66"/>
      <c r="AV956" s="66"/>
      <c r="AW956" s="66"/>
      <c r="AX956" s="66"/>
      <c r="AY956" s="41" t="str">
        <f t="shared" si="299"/>
        <v>Incomplete</v>
      </c>
      <c r="AZ956" s="66"/>
      <c r="BA956" s="20" t="str">
        <f t="shared" si="300"/>
        <v>Incomplete</v>
      </c>
      <c r="BB956" s="66"/>
      <c r="BC956" s="20" t="str">
        <f t="shared" si="301"/>
        <v>Incomplete</v>
      </c>
      <c r="BD956" s="66"/>
      <c r="BE956" s="20" t="str">
        <f t="shared" si="302"/>
        <v>Incomplete</v>
      </c>
      <c r="BF956" s="66"/>
      <c r="BG956" s="66">
        <v>14</v>
      </c>
      <c r="BH956" s="66">
        <v>27.8</v>
      </c>
      <c r="BI956" s="20">
        <f t="shared" si="298"/>
        <v>13.8</v>
      </c>
      <c r="BJ956" s="66"/>
      <c r="BK956" s="66">
        <v>6</v>
      </c>
      <c r="BL956" s="66"/>
      <c r="BM956" s="66">
        <v>5</v>
      </c>
      <c r="BN956" s="66"/>
      <c r="BO956" s="66"/>
      <c r="BP956" s="66"/>
      <c r="BQ956" s="66"/>
      <c r="BR956" s="66"/>
      <c r="BS956" s="66"/>
      <c r="BT956" s="66"/>
      <c r="BU956" s="66"/>
      <c r="BV956" s="66"/>
      <c r="BW956" s="91" t="str">
        <f t="shared" si="296"/>
        <v>Incomplete</v>
      </c>
      <c r="BX956" s="91" t="str">
        <f>_xlfn.XLOOKUP(BW956,'Normative data'!$V$3:$V$6,'Normative data'!$W$3:$W$6,"Not Found",-1)</f>
        <v>Very low risk</v>
      </c>
      <c r="BY956" s="91" t="str">
        <f t="shared" si="297"/>
        <v>Incomplete</v>
      </c>
      <c r="BZ956" s="91" t="str">
        <f>_xlfn.XLOOKUP(BY956,'Normative data'!$V$3:$V$6,'Normative data'!$W$3:$W$6,"Not Found",-1)</f>
        <v>Very low risk</v>
      </c>
      <c r="CA956" s="66"/>
      <c r="CB956" s="66"/>
      <c r="CC956" s="20"/>
      <c r="CD956" s="66"/>
      <c r="CE956" s="66"/>
      <c r="CF956" s="66"/>
      <c r="CG956" s="20"/>
      <c r="CH956" s="20" t="str">
        <f>_xlfn.XLOOKUP(CG956, 'Normative data'!$S$9:$S$15,'Normative data'!$T$9:$T$15, "Not Found", -1)</f>
        <v>not completed</v>
      </c>
      <c r="CI956" s="20"/>
      <c r="CJ956" s="20" t="str">
        <f>_xlfn.XLOOKUP(CI956, 'Normative data'!$S$9:$S$15, 'Normative data'!$T$9:$T$15, "Not Found", -1)</f>
        <v>not completed</v>
      </c>
      <c r="CK956" s="106">
        <v>2.2400000000000002</v>
      </c>
      <c r="CL956" s="106">
        <v>4.46</v>
      </c>
      <c r="CM956" s="105"/>
      <c r="CN956" s="106">
        <v>7.2</v>
      </c>
      <c r="CO956" s="106">
        <v>6.94</v>
      </c>
      <c r="CP956" s="110"/>
      <c r="CQ956" s="68"/>
      <c r="CR956" s="20" t="str" cm="1">
        <f t="array" ref="CR956">IF(OR(ISBLANK(E956),ISBLANK(CQ956)),"Incomplete",_xlfn.XLOOKUP(CQ956,_xlfn.XLOOKUP(E956,'Normative data'!$Y$3:$Y$6,'Normative data'!$Z$3:$AG$6,,-1),'Normative data'!$Z$2:$AG$2,"Not Found",-1))</f>
        <v>Incomplete</v>
      </c>
      <c r="CS956" s="68"/>
      <c r="CT956" s="66"/>
      <c r="CU956" s="20" t="str" cm="1">
        <f t="array" ref="CU956">_xlfn.XLOOKUP(CS956&amp;CT956,(VLOOKUP!$A$3:$A$250)&amp;(VLOOKUP!$B$3:$B$250),VLOOKUP!$C$3:$C$250,"Incomplete",-1)</f>
        <v>Incomplete</v>
      </c>
      <c r="CV956" s="20" t="str" cm="1">
        <f t="array" ref="CV956">_xlfn.XLOOKUP(CU956, _xlfn.XLOOKUP(E956, 'Normative data'!$Y$11:$Y$14, 'Normative data'!$Z$11:$AG$14, ,-1), 'Normative data'!$Z$10:$AG$10, "Not Found", -1)</f>
        <v>Excellent</v>
      </c>
      <c r="CW956" s="20" t="str" cm="1">
        <f t="array" ref="CW956">IF(OR(ISBLANK(CS956),ISBLANK(CT956)),"Incomplete",_xlfn.XLOOKUP(CS956&amp;CT956,VLOOKUP!$A$4:$A$250&amp;VLOOKUP!$B$4:$B$250,VLOOKUP!$D$4:$D$250,"0"))</f>
        <v>Incomplete</v>
      </c>
    </row>
    <row r="957" spans="1:101">
      <c r="A957" s="93" t="s">
        <v>199</v>
      </c>
      <c r="B957" s="93" t="s">
        <v>1629</v>
      </c>
      <c r="C957" s="64" t="s">
        <v>86</v>
      </c>
      <c r="D957" s="96">
        <v>39751</v>
      </c>
      <c r="E957" s="64"/>
      <c r="F957" s="64">
        <v>11</v>
      </c>
      <c r="G957" s="64">
        <v>2025</v>
      </c>
      <c r="H957" s="66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  <c r="AD957" s="66"/>
      <c r="AE957" s="66"/>
      <c r="AF957" s="66"/>
      <c r="AG957" s="66"/>
      <c r="AH957" s="66"/>
      <c r="AI957" s="66"/>
      <c r="AJ957" s="66"/>
      <c r="AK957" s="66"/>
      <c r="AL957" s="66"/>
      <c r="AM957" s="66"/>
      <c r="AN957" s="66"/>
      <c r="AO957" s="66"/>
      <c r="AP957" s="66"/>
      <c r="AQ957" s="20"/>
      <c r="AR957" s="20"/>
      <c r="AS957" s="20"/>
      <c r="AT957" s="20"/>
      <c r="AU957" s="20"/>
      <c r="AV957" s="20"/>
      <c r="AW957" s="20"/>
      <c r="AX957" s="20"/>
      <c r="AY957" s="41" t="str">
        <f t="shared" si="299"/>
        <v>Incomplete</v>
      </c>
      <c r="AZ957" s="66"/>
      <c r="BA957" s="20" t="str">
        <f t="shared" si="300"/>
        <v>Incomplete</v>
      </c>
      <c r="BB957" s="66"/>
      <c r="BC957" s="20" t="str">
        <f t="shared" si="301"/>
        <v>Incomplete</v>
      </c>
      <c r="BD957" s="66"/>
      <c r="BE957" s="20" t="str">
        <f t="shared" si="302"/>
        <v>Incomplete</v>
      </c>
      <c r="BF957" s="66"/>
      <c r="BG957" s="66"/>
      <c r="BH957" s="66"/>
      <c r="BI957" s="20" t="str">
        <f t="shared" si="298"/>
        <v>Incomplete</v>
      </c>
      <c r="BJ957" s="66"/>
      <c r="BK957" s="66"/>
      <c r="BL957" s="66"/>
      <c r="BM957" s="66"/>
      <c r="BN957" s="66"/>
      <c r="BO957" s="66"/>
      <c r="BP957" s="66"/>
      <c r="BQ957" s="66"/>
      <c r="BR957" s="66"/>
      <c r="BS957" s="66"/>
      <c r="BT957" s="66"/>
      <c r="BU957" s="66"/>
      <c r="BV957" s="66"/>
      <c r="BW957" s="91" t="str">
        <f t="shared" si="296"/>
        <v>Incomplete</v>
      </c>
      <c r="BX957" s="91" t="str">
        <f>_xlfn.XLOOKUP(BW957,'Normative data'!$V$3:$V$6,'Normative data'!$W$3:$W$6,"Not Found",-1)</f>
        <v>Very low risk</v>
      </c>
      <c r="BY957" s="91" t="str">
        <f t="shared" si="297"/>
        <v>Incomplete</v>
      </c>
      <c r="BZ957" s="91" t="str">
        <f>_xlfn.XLOOKUP(BY957,'Normative data'!$V$3:$V$6,'Normative data'!$W$3:$W$6,"Not Found",-1)</f>
        <v>Very low risk</v>
      </c>
      <c r="CA957" s="66"/>
      <c r="CB957" s="66"/>
      <c r="CC957" s="20"/>
      <c r="CD957" s="66"/>
      <c r="CE957" s="66"/>
      <c r="CF957" s="66"/>
      <c r="CG957" s="20"/>
      <c r="CH957" s="20" t="str">
        <f>_xlfn.XLOOKUP(CG957, 'Normative data'!$S$9:$S$15,'Normative data'!$T$9:$T$15, "Not Found", -1)</f>
        <v>not completed</v>
      </c>
      <c r="CI957" s="20"/>
      <c r="CJ957" s="20" t="str">
        <f>_xlfn.XLOOKUP(CI957, 'Normative data'!$S$9:$S$15, 'Normative data'!$T$9:$T$15, "Not Found", -1)</f>
        <v>not completed</v>
      </c>
      <c r="CK957" s="105">
        <v>2.12</v>
      </c>
      <c r="CL957" s="105">
        <v>4.72</v>
      </c>
      <c r="CM957" s="105"/>
      <c r="CN957" s="105">
        <v>6.85</v>
      </c>
      <c r="CO957" s="105">
        <v>7.3</v>
      </c>
      <c r="CP957" s="109"/>
      <c r="CQ957" s="68"/>
      <c r="CR957" s="20" t="str" cm="1">
        <f t="array" ref="CR957">IF(OR(ISBLANK(E957),ISBLANK(CQ957)),"Incomplete",_xlfn.XLOOKUP(CQ957,_xlfn.XLOOKUP(E957,'Normative data'!$Y$3:$Y$6,'Normative data'!$Z$3:$AG$6,,-1),'Normative data'!$Z$2:$AG$2,"Not Found",-1))</f>
        <v>Incomplete</v>
      </c>
      <c r="CS957" s="68"/>
      <c r="CT957" s="66"/>
      <c r="CU957" s="20" t="str" cm="1">
        <f t="array" ref="CU957">_xlfn.XLOOKUP(CS957&amp;CT957,(VLOOKUP!$A$3:$A$250)&amp;(VLOOKUP!$B$3:$B$250),VLOOKUP!$C$3:$C$250,"Incomplete",-1)</f>
        <v>Incomplete</v>
      </c>
      <c r="CV957" s="20" t="str" cm="1">
        <f t="array" ref="CV957">_xlfn.XLOOKUP(CU957, _xlfn.XLOOKUP(E957, 'Normative data'!$Y$11:$Y$14, 'Normative data'!$Z$11:$AG$14, ,-1), 'Normative data'!$Z$10:$AG$10, "Not Found", -1)</f>
        <v>Excellent</v>
      </c>
      <c r="CW957" s="20" t="str" cm="1">
        <f t="array" ref="CW957">IF(OR(ISBLANK(CS957),ISBLANK(CT957)),"Incomplete",_xlfn.XLOOKUP(CS957&amp;CT957,VLOOKUP!$A$4:$A$250&amp;VLOOKUP!$B$4:$B$250,VLOOKUP!$D$4:$D$250,"0"))</f>
        <v>Incomplete</v>
      </c>
    </row>
    <row r="958" spans="1:101">
      <c r="A958" s="64" t="s">
        <v>378</v>
      </c>
      <c r="B958" s="64" t="s">
        <v>381</v>
      </c>
      <c r="C958" s="64" t="s">
        <v>86</v>
      </c>
      <c r="D958" s="65"/>
      <c r="E958" s="64"/>
      <c r="F958" s="66" t="s">
        <v>178</v>
      </c>
      <c r="G958" s="64">
        <v>2026</v>
      </c>
      <c r="H958" s="66"/>
      <c r="I958" s="66">
        <v>2</v>
      </c>
      <c r="J958" s="66"/>
      <c r="K958" s="66"/>
      <c r="L958" s="66"/>
      <c r="M958" s="64"/>
      <c r="N958" s="64"/>
      <c r="O958" s="64"/>
      <c r="P958" s="64"/>
      <c r="Q958" s="64"/>
      <c r="R958" s="64"/>
      <c r="S958" s="66"/>
      <c r="T958" s="66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  <c r="AG958" s="64"/>
      <c r="AH958" s="64"/>
      <c r="AI958" s="64"/>
      <c r="AJ958" s="64"/>
      <c r="AK958" s="64"/>
      <c r="AL958" s="64"/>
      <c r="AM958" s="64"/>
      <c r="AN958" s="64"/>
      <c r="AO958" s="64"/>
      <c r="AP958" s="64"/>
      <c r="AQ958" s="66"/>
      <c r="AR958" s="66"/>
      <c r="AS958" s="66"/>
      <c r="AT958" s="66"/>
      <c r="AU958" s="66"/>
      <c r="AV958" s="66"/>
      <c r="AW958" s="66"/>
      <c r="AX958" s="66"/>
      <c r="AY958" s="41" t="str">
        <f t="shared" si="299"/>
        <v>Incomplete</v>
      </c>
      <c r="AZ958" s="64"/>
      <c r="BA958" s="20" t="str">
        <f t="shared" si="300"/>
        <v>Incomplete</v>
      </c>
      <c r="BB958" s="64"/>
      <c r="BC958" s="20" t="str">
        <f t="shared" si="301"/>
        <v>Incomplete</v>
      </c>
      <c r="BD958" s="64"/>
      <c r="BE958" s="20" t="str">
        <f t="shared" si="302"/>
        <v>Incomplete</v>
      </c>
      <c r="BF958" s="64"/>
      <c r="BG958" s="64"/>
      <c r="BH958" s="66"/>
      <c r="BI958" s="20" t="str">
        <f t="shared" si="298"/>
        <v>Incomplete</v>
      </c>
      <c r="BJ958" s="66"/>
      <c r="BK958" s="64">
        <v>9</v>
      </c>
      <c r="BL958" s="66"/>
      <c r="BM958" s="64">
        <v>10</v>
      </c>
      <c r="BN958" s="66"/>
      <c r="BO958" s="64"/>
      <c r="BP958" s="64"/>
      <c r="BQ958" s="64">
        <v>77</v>
      </c>
      <c r="BR958" s="64">
        <v>70</v>
      </c>
      <c r="BS958" s="64">
        <v>65</v>
      </c>
      <c r="BT958" s="64">
        <v>79</v>
      </c>
      <c r="BU958" s="64">
        <v>73</v>
      </c>
      <c r="BV958" s="64">
        <v>71</v>
      </c>
      <c r="BW958" s="91" t="str">
        <f t="shared" si="296"/>
        <v>Incomplete</v>
      </c>
      <c r="BX958" s="91" t="str">
        <f>_xlfn.XLOOKUP(BW958,'Normative data'!$V$3:$V$6,'Normative data'!$W$3:$W$6,"Not Found",-1)</f>
        <v>Very low risk</v>
      </c>
      <c r="BY958" s="91" t="str">
        <f t="shared" si="297"/>
        <v>Incomplete</v>
      </c>
      <c r="BZ958" s="91" t="str">
        <f>_xlfn.XLOOKUP(BY958,'Normative data'!$V$3:$V$6,'Normative data'!$W$3:$W$6,"Not Found",-1)</f>
        <v>Very low risk</v>
      </c>
      <c r="CA958" s="64">
        <v>20</v>
      </c>
      <c r="CB958" s="66"/>
      <c r="CC958" s="20"/>
      <c r="CD958" s="66"/>
      <c r="CE958" s="64">
        <v>10</v>
      </c>
      <c r="CF958" s="66"/>
      <c r="CG958" s="64">
        <v>24.27</v>
      </c>
      <c r="CH958" s="20" t="str">
        <f>_xlfn.XLOOKUP(CG958, 'Normative data'!$S$9:$S$15,'Normative data'!$T$9:$T$15, "Not Found", -1)</f>
        <v>Poor</v>
      </c>
      <c r="CI958" s="64">
        <v>20.73</v>
      </c>
      <c r="CJ958" s="20" t="str">
        <f>_xlfn.XLOOKUP(CI958, 'Normative data'!$S$9:$S$15, 'Normative data'!$T$9:$T$15, "Not Found", -1)</f>
        <v>Average</v>
      </c>
      <c r="CK958" s="64">
        <v>2.4300000000000002</v>
      </c>
      <c r="CL958" s="64">
        <v>4.12</v>
      </c>
      <c r="CM958" s="66"/>
      <c r="CN958" s="64">
        <v>8.26</v>
      </c>
      <c r="CO958" s="64">
        <v>6.05</v>
      </c>
      <c r="CP958" s="68"/>
      <c r="CQ958" s="67">
        <v>3.7</v>
      </c>
      <c r="CR958" s="20" t="str" cm="1">
        <f t="array" ref="CR958">IF(OR(ISBLANK(E958),ISBLANK(CQ958)),"Incomplete",_xlfn.XLOOKUP(CQ958,_xlfn.XLOOKUP(E958,'Normative data'!$Y$3:$Y$6,'Normative data'!$Z$3:$AG$6,,-1),'Normative data'!$Z$2:$AG$2,"Not Found",-1))</f>
        <v>Incomplete</v>
      </c>
      <c r="CS958" s="68">
        <v>3</v>
      </c>
      <c r="CT958" s="66">
        <v>7</v>
      </c>
      <c r="CU958" s="20" cm="1">
        <f t="array" ref="CU958">_xlfn.XLOOKUP(CS958&amp;CT958,(VLOOKUP!$A$3:$A$250)&amp;(VLOOKUP!$B$3:$B$250),VLOOKUP!$C$3:$C$250,"Incomplete",-1)</f>
        <v>440</v>
      </c>
      <c r="CV958" s="20" t="str" cm="1">
        <f t="array" ref="CV958">_xlfn.XLOOKUP(CU958, _xlfn.XLOOKUP(E958, 'Normative data'!$Y$11:$Y$14, 'Normative data'!$Z$11:$AG$14, ,-1), 'Normative data'!$Z$10:$AG$10, "Not Found", -1)</f>
        <v xml:space="preserve">Very poor </v>
      </c>
      <c r="CW958" s="20" cm="1">
        <f t="array" ref="CW958">IF(OR(ISBLANK(CS958),ISBLANK(CT958)),"Incomplete",_xlfn.XLOOKUP(CS958&amp;CT958,VLOOKUP!$A$4:$A$250&amp;VLOOKUP!$B$4:$B$250,VLOOKUP!$D$4:$D$250,"0"))</f>
        <v>25</v>
      </c>
    </row>
    <row r="959" spans="1:101">
      <c r="A959" s="64" t="s">
        <v>1630</v>
      </c>
      <c r="B959" s="64" t="s">
        <v>1631</v>
      </c>
      <c r="C959" s="64" t="s">
        <v>86</v>
      </c>
      <c r="D959" s="65">
        <v>39849</v>
      </c>
      <c r="E959" s="64">
        <v>17.2</v>
      </c>
      <c r="F959" s="66" t="s">
        <v>186</v>
      </c>
      <c r="G959" s="64">
        <v>2026</v>
      </c>
      <c r="H959" s="66"/>
      <c r="I959" s="66">
        <v>2</v>
      </c>
      <c r="J959" s="66"/>
      <c r="K959" s="66"/>
      <c r="L959" s="66"/>
      <c r="M959" s="64"/>
      <c r="N959" s="64"/>
      <c r="O959" s="64"/>
      <c r="P959" s="64"/>
      <c r="Q959" s="64"/>
      <c r="R959" s="64"/>
      <c r="S959" s="66">
        <v>85.2</v>
      </c>
      <c r="T959" s="66">
        <v>156.9</v>
      </c>
      <c r="U959" s="64">
        <v>50.4</v>
      </c>
      <c r="V959" s="64">
        <v>26</v>
      </c>
      <c r="W959" s="64">
        <v>14.8</v>
      </c>
      <c r="X959" s="64">
        <v>35.6</v>
      </c>
      <c r="Y959" s="64">
        <v>19.2</v>
      </c>
      <c r="Z959" s="64">
        <v>20.5</v>
      </c>
      <c r="AA959" s="64">
        <v>29.3</v>
      </c>
      <c r="AB959" s="64">
        <v>5.35</v>
      </c>
      <c r="AC959" s="64">
        <v>95.6</v>
      </c>
      <c r="AD959" s="64">
        <v>5.4</v>
      </c>
      <c r="AE959" s="64">
        <v>96.4</v>
      </c>
      <c r="AF959" s="64">
        <v>2.4</v>
      </c>
      <c r="AG959" s="64">
        <v>126.5</v>
      </c>
      <c r="AH959" s="64">
        <v>2.4</v>
      </c>
      <c r="AI959" s="64">
        <v>126.8</v>
      </c>
      <c r="AJ959" s="64">
        <v>332.6</v>
      </c>
      <c r="AK959" s="64">
        <v>326.10000000000002</v>
      </c>
      <c r="AL959" s="64">
        <v>295</v>
      </c>
      <c r="AM959" s="64">
        <v>289.3</v>
      </c>
      <c r="AN959" s="64">
        <v>82</v>
      </c>
      <c r="AO959" s="64">
        <v>0.83</v>
      </c>
      <c r="AP959" s="64">
        <v>5.6</v>
      </c>
      <c r="AQ959" s="64"/>
      <c r="AR959" s="64"/>
      <c r="AS959" s="64"/>
      <c r="AT959" s="64"/>
      <c r="AU959" s="64"/>
      <c r="AV959" s="64"/>
      <c r="AW959" s="64"/>
      <c r="AX959" s="64"/>
      <c r="AY959" s="41" t="str">
        <f t="shared" si="299"/>
        <v>Incomplete</v>
      </c>
      <c r="AZ959" s="64"/>
      <c r="BA959" s="20" t="str">
        <f t="shared" si="300"/>
        <v>Incomplete</v>
      </c>
      <c r="BB959" s="64"/>
      <c r="BC959" s="20" t="str">
        <f t="shared" si="301"/>
        <v>Incomplete</v>
      </c>
      <c r="BD959" s="64"/>
      <c r="BE959" s="20" t="str">
        <f t="shared" si="302"/>
        <v>Incomplete</v>
      </c>
      <c r="BF959" s="64"/>
      <c r="BG959" s="64"/>
      <c r="BH959" s="66"/>
      <c r="BI959" s="20" t="str">
        <f t="shared" si="298"/>
        <v>Incomplete</v>
      </c>
      <c r="BJ959" s="66"/>
      <c r="BK959" s="64">
        <v>8</v>
      </c>
      <c r="BL959" s="66"/>
      <c r="BM959" s="64">
        <v>7</v>
      </c>
      <c r="BN959" s="66"/>
      <c r="BO959" s="64"/>
      <c r="BP959" s="64"/>
      <c r="BQ959" s="64"/>
      <c r="BR959" s="64"/>
      <c r="BS959" s="64"/>
      <c r="BT959" s="64"/>
      <c r="BU959" s="64"/>
      <c r="BV959" s="64"/>
      <c r="BW959" s="91">
        <f t="shared" si="296"/>
        <v>0</v>
      </c>
      <c r="BX959" s="91" t="str">
        <f>_xlfn.XLOOKUP(BW959,'Normative data'!$V$3:$V$6,'Normative data'!$W$3:$W$6,"Not Found",-1)</f>
        <v>Not completed</v>
      </c>
      <c r="BY959" s="91">
        <f t="shared" si="297"/>
        <v>0</v>
      </c>
      <c r="BZ959" s="91" t="str">
        <f>_xlfn.XLOOKUP(BY959,'Normative data'!$V$3:$V$6,'Normative data'!$W$3:$W$6,"Not Found",-1)</f>
        <v>Not completed</v>
      </c>
      <c r="CA959" s="64">
        <v>15</v>
      </c>
      <c r="CB959" s="66"/>
      <c r="CC959" s="20"/>
      <c r="CD959" s="66"/>
      <c r="CE959" s="64">
        <v>12</v>
      </c>
      <c r="CF959" s="66"/>
      <c r="CG959" s="66"/>
      <c r="CH959" s="20" t="str">
        <f>_xlfn.XLOOKUP(CG959, 'Normative data'!$S$9:$S$15,'Normative data'!$T$9:$T$15, "Not Found", -1)</f>
        <v>not completed</v>
      </c>
      <c r="CI959" s="66"/>
      <c r="CJ959" s="20" t="str">
        <f>_xlfn.XLOOKUP(CI959, 'Normative data'!$S$9:$S$15, 'Normative data'!$T$9:$T$15, "Not Found", -1)</f>
        <v>not completed</v>
      </c>
      <c r="CK959" s="64">
        <v>2.25</v>
      </c>
      <c r="CL959" s="64">
        <v>4.4400000000000004</v>
      </c>
      <c r="CM959" s="66"/>
      <c r="CN959" s="64">
        <v>6.97</v>
      </c>
      <c r="CO959" s="64">
        <v>7.17</v>
      </c>
      <c r="CP959" s="68"/>
      <c r="CQ959" s="67"/>
      <c r="CR959" s="20" t="str" cm="1">
        <f t="array" ref="CR959">IF(OR(ISBLANK(E959),ISBLANK(CQ959)),"Incomplete",_xlfn.XLOOKUP(CQ959,_xlfn.XLOOKUP(E959,'Normative data'!$Y$3:$Y$6,'Normative data'!$Z$3:$AG$6,,-1),'Normative data'!$Z$2:$AG$2,"Not Found",-1))</f>
        <v>Incomplete</v>
      </c>
      <c r="CS959" s="68"/>
      <c r="CT959" s="66"/>
      <c r="CU959" s="20" t="str" cm="1">
        <f t="array" ref="CU959">_xlfn.XLOOKUP(CS959&amp;CT959,(VLOOKUP!$A$3:$A$250)&amp;(VLOOKUP!$B$3:$B$250),VLOOKUP!$C$3:$C$250,"Incomplete",-1)</f>
        <v>Incomplete</v>
      </c>
      <c r="CV959" s="20" t="str" cm="1">
        <f t="array" ref="CV959">_xlfn.XLOOKUP(CU959, _xlfn.XLOOKUP(E959, 'Normative data'!$Y$11:$Y$14, 'Normative data'!$Z$11:$AG$14, ,-1), 'Normative data'!$Z$10:$AG$10, "Not Found", -1)</f>
        <v>Excellent</v>
      </c>
      <c r="CW959" s="20" t="str" cm="1">
        <f t="array" ref="CW959">IF(OR(ISBLANK(CS959),ISBLANK(CT959)),"Incomplete",_xlfn.XLOOKUP(CS959&amp;CT959,VLOOKUP!$A$4:$A$250&amp;VLOOKUP!$B$4:$B$250,VLOOKUP!$D$4:$D$250,"0"))</f>
        <v>Incomplete</v>
      </c>
    </row>
    <row r="960" spans="1:101">
      <c r="A960" s="64" t="s">
        <v>1632</v>
      </c>
      <c r="B960" s="64" t="s">
        <v>1422</v>
      </c>
      <c r="C960" s="64" t="s">
        <v>86</v>
      </c>
      <c r="D960" s="65">
        <v>40610</v>
      </c>
      <c r="E960" s="64"/>
      <c r="F960" s="66" t="s">
        <v>154</v>
      </c>
      <c r="G960" s="64">
        <v>2026</v>
      </c>
      <c r="H960" s="66"/>
      <c r="I960" s="66">
        <v>2</v>
      </c>
      <c r="J960" s="66" t="s">
        <v>100</v>
      </c>
      <c r="K960" s="66" t="s">
        <v>556</v>
      </c>
      <c r="L960" s="66"/>
      <c r="M960" s="64"/>
      <c r="N960" s="64"/>
      <c r="O960" s="64"/>
      <c r="P960" s="64"/>
      <c r="Q960" s="64"/>
      <c r="R960" s="64"/>
      <c r="S960" s="66">
        <v>81.900000000000006</v>
      </c>
      <c r="T960" s="66">
        <v>155.69999999999999</v>
      </c>
      <c r="U960" s="64">
        <v>49.3</v>
      </c>
      <c r="V960" s="64">
        <v>27.9</v>
      </c>
      <c r="W960" s="64">
        <v>11.1</v>
      </c>
      <c r="X960" s="64">
        <v>38.200000000000003</v>
      </c>
      <c r="Y960" s="64">
        <v>20.8</v>
      </c>
      <c r="Z960" s="64">
        <v>20.3</v>
      </c>
      <c r="AA960" s="64">
        <v>22.6</v>
      </c>
      <c r="AB960" s="64">
        <v>5.42</v>
      </c>
      <c r="AC960" s="64">
        <v>99.2</v>
      </c>
      <c r="AD960" s="64">
        <v>5.42</v>
      </c>
      <c r="AE960" s="64">
        <v>99.2</v>
      </c>
      <c r="AF960" s="64">
        <v>1.8</v>
      </c>
      <c r="AG960" s="64">
        <v>94.7</v>
      </c>
      <c r="AH960" s="64">
        <v>1.8</v>
      </c>
      <c r="AI960" s="64">
        <v>94.6</v>
      </c>
      <c r="AJ960" s="64">
        <v>342.2</v>
      </c>
      <c r="AK960" s="64">
        <v>342.2</v>
      </c>
      <c r="AL960" s="64">
        <v>300.2</v>
      </c>
      <c r="AM960" s="64">
        <v>300.89999999999998</v>
      </c>
      <c r="AN960" s="64">
        <v>89</v>
      </c>
      <c r="AO960" s="64">
        <v>0.85</v>
      </c>
      <c r="AP960" s="64">
        <v>6</v>
      </c>
      <c r="AQ960" s="17">
        <v>18.399999999999999</v>
      </c>
      <c r="AR960" s="17">
        <v>0.38700000000000001</v>
      </c>
      <c r="AS960" s="17">
        <v>23.1</v>
      </c>
      <c r="AT960" s="17">
        <v>0.434</v>
      </c>
      <c r="AU960" s="17">
        <v>11.7</v>
      </c>
      <c r="AV960" s="17">
        <v>0.309</v>
      </c>
      <c r="AW960" s="17">
        <v>11.1</v>
      </c>
      <c r="AX960" s="17">
        <v>0.30099999999999999</v>
      </c>
      <c r="AY960" s="41">
        <f t="shared" si="299"/>
        <v>1295.1699999999992</v>
      </c>
      <c r="AZ960" s="64"/>
      <c r="BA960" s="20">
        <f t="shared" si="300"/>
        <v>1580.4599999999996</v>
      </c>
      <c r="BB960" s="64"/>
      <c r="BC960" s="20">
        <f t="shared" si="301"/>
        <v>888.47999999999956</v>
      </c>
      <c r="BD960" s="64"/>
      <c r="BE960" s="20">
        <f t="shared" si="302"/>
        <v>852.05999999999949</v>
      </c>
      <c r="BF960" s="64"/>
      <c r="BG960" s="64">
        <v>18.5</v>
      </c>
      <c r="BH960" s="64">
        <v>45</v>
      </c>
      <c r="BI960" s="20">
        <f t="shared" si="298"/>
        <v>26.5</v>
      </c>
      <c r="BJ960" s="66"/>
      <c r="BK960" s="64">
        <v>2</v>
      </c>
      <c r="BL960" s="66"/>
      <c r="BM960" s="64">
        <v>4</v>
      </c>
      <c r="BN960" s="66"/>
      <c r="BO960" s="64">
        <v>40.6</v>
      </c>
      <c r="BP960" s="64">
        <v>42</v>
      </c>
      <c r="BQ960" s="64">
        <v>78</v>
      </c>
      <c r="BR960" s="64">
        <v>80</v>
      </c>
      <c r="BS960" s="64">
        <v>73</v>
      </c>
      <c r="BT960" s="64">
        <v>75</v>
      </c>
      <c r="BU960" s="64">
        <v>76</v>
      </c>
      <c r="BV960" s="64">
        <v>72</v>
      </c>
      <c r="BW960" s="91">
        <f t="shared" si="296"/>
        <v>104.33604336043362</v>
      </c>
      <c r="BX960" s="91" t="str">
        <f>_xlfn.XLOOKUP(BW960,'Normative data'!$V$3:$V$6,'Normative data'!$W$3:$W$6,"Not Found",-1)</f>
        <v>Low risk</v>
      </c>
      <c r="BY960" s="91">
        <f t="shared" si="297"/>
        <v>100.72267389340564</v>
      </c>
      <c r="BZ960" s="91" t="str">
        <f>_xlfn.XLOOKUP(BY960,'Normative data'!$V$3:$V$6,'Normative data'!$W$3:$W$6,"Not Found",-1)</f>
        <v>Low risk</v>
      </c>
      <c r="CA960" s="64">
        <v>28</v>
      </c>
      <c r="CB960" s="66"/>
      <c r="CC960" s="20"/>
      <c r="CD960" s="66"/>
      <c r="CE960" s="64">
        <v>20</v>
      </c>
      <c r="CF960" s="66"/>
      <c r="CG960" s="64">
        <v>21.3</v>
      </c>
      <c r="CH960" s="20" t="str">
        <f>_xlfn.XLOOKUP(CG960, 'Normative data'!$S$9:$S$15,'Normative data'!$T$9:$T$15, "Not Found", -1)</f>
        <v>Average</v>
      </c>
      <c r="CI960" s="64">
        <v>19.18</v>
      </c>
      <c r="CJ960" s="20" t="str">
        <f>_xlfn.XLOOKUP(CI960, 'Normative data'!$S$9:$S$15, 'Normative data'!$T$9:$T$15, "Not Found", -1)</f>
        <v>Average</v>
      </c>
      <c r="CK960" s="64">
        <v>2.2999999999999998</v>
      </c>
      <c r="CL960" s="64">
        <v>4.3499999999999996</v>
      </c>
      <c r="CM960" s="66"/>
      <c r="CN960" s="64">
        <v>7.2</v>
      </c>
      <c r="CO960" s="64">
        <v>6.94</v>
      </c>
      <c r="CP960" s="68"/>
      <c r="CQ960" s="67">
        <v>3.6</v>
      </c>
      <c r="CR960" s="20" t="str" cm="1">
        <f t="array" ref="CR960">IF(OR(ISBLANK(E960),ISBLANK(CQ960)),"Incomplete",_xlfn.XLOOKUP(CQ960,_xlfn.XLOOKUP(E960,'Normative data'!$Y$3:$Y$6,'Normative data'!$Z$3:$AG$6,,-1),'Normative data'!$Z$2:$AG$2,"Not Found",-1))</f>
        <v>Incomplete</v>
      </c>
      <c r="CS960" s="68">
        <v>3</v>
      </c>
      <c r="CT960" s="66">
        <v>6</v>
      </c>
      <c r="CU960" s="20" cm="1">
        <f t="array" ref="CU960">_xlfn.XLOOKUP(CS960&amp;CT960,(VLOOKUP!$A$3:$A$250)&amp;(VLOOKUP!$B$3:$B$250),VLOOKUP!$C$3:$C$250,"Incomplete",-1)</f>
        <v>420</v>
      </c>
      <c r="CV960" s="20" t="str" cm="1">
        <f t="array" ref="CV960">_xlfn.XLOOKUP(CU960, _xlfn.XLOOKUP(E960, 'Normative data'!$Y$11:$Y$14, 'Normative data'!$Z$11:$AG$14, ,-1), 'Normative data'!$Z$10:$AG$10, "Not Found", -1)</f>
        <v xml:space="preserve">Very poor </v>
      </c>
      <c r="CW960" s="20" cm="1">
        <f t="array" ref="CW960">IF(OR(ISBLANK(CS960),ISBLANK(CT960)),"Incomplete",_xlfn.XLOOKUP(CS960&amp;CT960,VLOOKUP!$A$4:$A$250&amp;VLOOKUP!$B$4:$B$250,VLOOKUP!$D$4:$D$250,"0"))</f>
        <v>25</v>
      </c>
    </row>
    <row r="961" spans="1:101">
      <c r="A961" s="64" t="s">
        <v>746</v>
      </c>
      <c r="B961" s="64" t="s">
        <v>1633</v>
      </c>
      <c r="C961" s="64" t="s">
        <v>86</v>
      </c>
      <c r="D961" s="65">
        <v>41249</v>
      </c>
      <c r="E961" s="64">
        <v>13.8</v>
      </c>
      <c r="F961" s="66" t="s">
        <v>157</v>
      </c>
      <c r="G961" s="64">
        <v>2026</v>
      </c>
      <c r="H961" s="66"/>
      <c r="I961" s="66">
        <v>2</v>
      </c>
      <c r="J961" s="66" t="s">
        <v>100</v>
      </c>
      <c r="K961" s="66" t="s">
        <v>108</v>
      </c>
      <c r="L961" s="66"/>
      <c r="M961" s="64"/>
      <c r="N961" s="64"/>
      <c r="O961" s="64"/>
      <c r="P961" s="64"/>
      <c r="Q961" s="64"/>
      <c r="R961" s="64"/>
      <c r="S961" s="66"/>
      <c r="T961" s="66">
        <v>155.69999999999999</v>
      </c>
      <c r="U961" s="64">
        <v>70</v>
      </c>
      <c r="V961" s="64">
        <v>31</v>
      </c>
      <c r="W961" s="64">
        <v>27.6</v>
      </c>
      <c r="X961" s="64">
        <v>42.4</v>
      </c>
      <c r="Y961" s="64">
        <v>23.2</v>
      </c>
      <c r="Z961" s="64">
        <v>28.9</v>
      </c>
      <c r="AA961" s="64">
        <v>39.4</v>
      </c>
      <c r="AB961" s="64">
        <v>6.12</v>
      </c>
      <c r="AC961" s="64">
        <v>99.3</v>
      </c>
      <c r="AD961" s="64">
        <v>6.1</v>
      </c>
      <c r="AE961" s="64">
        <v>99</v>
      </c>
      <c r="AF961" s="64">
        <v>4.0999999999999996</v>
      </c>
      <c r="AG961" s="64">
        <v>129.4</v>
      </c>
      <c r="AH961" s="64">
        <v>4.0999999999999996</v>
      </c>
      <c r="AI961" s="64">
        <v>218.6</v>
      </c>
      <c r="AJ961" s="64">
        <v>271.2</v>
      </c>
      <c r="AK961" s="64">
        <v>271.2</v>
      </c>
      <c r="AL961" s="64">
        <v>239.7</v>
      </c>
      <c r="AM961" s="64">
        <v>240</v>
      </c>
      <c r="AN961" s="64">
        <v>59</v>
      </c>
      <c r="AO961" s="64">
        <v>0.91</v>
      </c>
      <c r="AP961" s="64">
        <v>6.9</v>
      </c>
      <c r="AQ961" s="20"/>
      <c r="AR961" s="20"/>
      <c r="AS961" s="20"/>
      <c r="AT961" s="20"/>
      <c r="AU961" s="20"/>
      <c r="AV961" s="20"/>
      <c r="AW961" s="20"/>
      <c r="AX961" s="20"/>
      <c r="AY961" s="41" t="str">
        <f t="shared" si="299"/>
        <v>Incomplete</v>
      </c>
      <c r="AZ961" s="64"/>
      <c r="BA961" s="20" t="str">
        <f t="shared" si="300"/>
        <v>Incomplete</v>
      </c>
      <c r="BB961" s="64"/>
      <c r="BC961" s="20" t="str">
        <f t="shared" si="301"/>
        <v>Incomplete</v>
      </c>
      <c r="BD961" s="64"/>
      <c r="BE961" s="20" t="str">
        <f t="shared" si="302"/>
        <v>Incomplete</v>
      </c>
      <c r="BF961" s="64"/>
      <c r="BG961" s="64"/>
      <c r="BH961" s="17">
        <v>32.299999999999997</v>
      </c>
      <c r="BI961" s="20" t="str">
        <f t="shared" si="298"/>
        <v>Incomplete</v>
      </c>
      <c r="BJ961" s="66"/>
      <c r="BK961" s="64">
        <v>5.5</v>
      </c>
      <c r="BL961" s="66"/>
      <c r="BM961" s="17">
        <v>5</v>
      </c>
      <c r="BN961" s="66"/>
      <c r="BO961" s="64"/>
      <c r="BP961" s="64"/>
      <c r="BQ961" s="64">
        <v>79</v>
      </c>
      <c r="BR961" s="64">
        <v>68</v>
      </c>
      <c r="BS961" s="64">
        <v>58</v>
      </c>
      <c r="BT961" s="64">
        <v>86</v>
      </c>
      <c r="BU961" s="64">
        <v>66</v>
      </c>
      <c r="BV961" s="64">
        <v>65</v>
      </c>
      <c r="BW961" s="91">
        <f t="shared" si="296"/>
        <v>43.887818454292443</v>
      </c>
      <c r="BX961" s="91" t="str">
        <f>_xlfn.XLOOKUP(BW961,'Normative data'!$V$3:$V$6,'Normative data'!$W$3:$W$6,"Not Found",-1)</f>
        <v>High risk</v>
      </c>
      <c r="BY961" s="91">
        <f t="shared" si="297"/>
        <v>46.456861485763227</v>
      </c>
      <c r="BZ961" s="91" t="str">
        <f>_xlfn.XLOOKUP(BY961,'Normative data'!$V$3:$V$6,'Normative data'!$W$3:$W$6,"Not Found",-1)</f>
        <v>High risk</v>
      </c>
      <c r="CA961" s="64"/>
      <c r="CB961" s="66"/>
      <c r="CD961" s="66"/>
      <c r="CE961" s="64"/>
      <c r="CF961" s="66"/>
      <c r="CG961" s="66"/>
      <c r="CH961" s="20" t="str">
        <f>_xlfn.XLOOKUP(CG961, 'Normative data'!$S$9:$S$15,'Normative data'!$T$9:$T$15, "Not Found", -1)</f>
        <v>not completed</v>
      </c>
      <c r="CI961" s="66"/>
      <c r="CJ961" s="20" t="str">
        <f>_xlfn.XLOOKUP(CI961, 'Normative data'!$S$9:$S$15, 'Normative data'!$T$9:$T$15, "Not Found", -1)</f>
        <v>not completed</v>
      </c>
      <c r="CK961" s="64">
        <v>2.19</v>
      </c>
      <c r="CL961" s="64">
        <v>4.57</v>
      </c>
      <c r="CM961" s="66"/>
      <c r="CN961" s="64">
        <v>7.7</v>
      </c>
      <c r="CO961" s="64">
        <v>6.49</v>
      </c>
      <c r="CP961" s="68"/>
      <c r="CQ961" s="67">
        <v>3.7</v>
      </c>
      <c r="CR961" s="20" t="str" cm="1">
        <f t="array" ref="CR961">IF(OR(ISBLANK(E961),ISBLANK(CQ961)),"Incomplete",_xlfn.XLOOKUP(CQ961,_xlfn.XLOOKUP(E961,'Normative data'!$Y$3:$Y$6,'Normative data'!$Z$3:$AG$6,,-1),'Normative data'!$Z$2:$AG$2,"Not Found",-1))</f>
        <v>Fair</v>
      </c>
      <c r="CS961" s="68">
        <v>3</v>
      </c>
      <c r="CT961" s="66">
        <v>7</v>
      </c>
      <c r="CU961" s="20" cm="1">
        <f t="array" ref="CU961">_xlfn.XLOOKUP(CS961&amp;CT961,(VLOOKUP!$A$3:$A$250)&amp;(VLOOKUP!$B$3:$B$250),VLOOKUP!$C$3:$C$250,"Incomplete",-1)</f>
        <v>440</v>
      </c>
      <c r="CV961" s="20" t="str" cm="1">
        <f t="array" ref="CV961">_xlfn.XLOOKUP(CU961, _xlfn.XLOOKUP(E961, 'Normative data'!$Y$11:$Y$14, 'Normative data'!$Z$11:$AG$14, ,-1), 'Normative data'!$Z$10:$AG$10, "Not Found", -1)</f>
        <v xml:space="preserve">Fair </v>
      </c>
      <c r="CW961" s="20" cm="1">
        <f t="array" ref="CW961">IF(OR(ISBLANK(CS961),ISBLANK(CT961)),"Incomplete",_xlfn.XLOOKUP(CS961&amp;CT961,VLOOKUP!$A$4:$A$250&amp;VLOOKUP!$B$4:$B$250,VLOOKUP!$D$4:$D$250,"0"))</f>
        <v>25</v>
      </c>
    </row>
    <row r="962" spans="1:101">
      <c r="A962" s="94" t="s">
        <v>1014</v>
      </c>
      <c r="B962" s="94" t="s">
        <v>1016</v>
      </c>
      <c r="C962" s="64" t="s">
        <v>86</v>
      </c>
      <c r="D962" s="97">
        <v>40292</v>
      </c>
      <c r="E962" s="64"/>
      <c r="F962" s="64">
        <v>9</v>
      </c>
      <c r="G962" s="64">
        <v>2025</v>
      </c>
      <c r="H962" s="66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  <c r="AD962" s="66"/>
      <c r="AE962" s="66"/>
      <c r="AF962" s="66"/>
      <c r="AG962" s="66"/>
      <c r="AH962" s="66"/>
      <c r="AI962" s="66"/>
      <c r="AJ962" s="66"/>
      <c r="AK962" s="66"/>
      <c r="AL962" s="66"/>
      <c r="AM962" s="66"/>
      <c r="AN962" s="66"/>
      <c r="AO962" s="66"/>
      <c r="AP962" s="66"/>
      <c r="AQ962" s="20"/>
      <c r="AR962" s="20"/>
      <c r="AS962" s="20"/>
      <c r="AT962" s="20"/>
      <c r="AU962" s="20"/>
      <c r="AV962" s="20"/>
      <c r="AW962" s="20"/>
      <c r="AX962" s="20"/>
      <c r="AY962" s="41" t="str">
        <f t="shared" si="299"/>
        <v>Incomplete</v>
      </c>
      <c r="AZ962" s="66"/>
      <c r="BA962" s="20" t="str">
        <f t="shared" si="300"/>
        <v>Incomplete</v>
      </c>
      <c r="BB962" s="66"/>
      <c r="BC962" s="20" t="str">
        <f t="shared" si="301"/>
        <v>Incomplete</v>
      </c>
      <c r="BD962" s="66"/>
      <c r="BE962" s="20" t="str">
        <f t="shared" si="302"/>
        <v>Incomplete</v>
      </c>
      <c r="BF962" s="66"/>
      <c r="BG962" s="66">
        <v>9</v>
      </c>
      <c r="BH962" s="20">
        <v>30</v>
      </c>
      <c r="BI962" s="20" t="e">
        <f>IF(OR(ISBLANK(#REF!), ISBLANK(#REF!)),"Incomplete",(SUM(#REF!-#REF!)))</f>
        <v>#REF!</v>
      </c>
      <c r="BJ962" s="66"/>
      <c r="BK962" s="66"/>
      <c r="BL962" s="66"/>
      <c r="BM962" s="20"/>
      <c r="BN962" s="66"/>
      <c r="BO962" s="66"/>
      <c r="BP962" s="66"/>
      <c r="BQ962" s="66"/>
      <c r="BR962" s="66"/>
      <c r="BS962" s="66"/>
      <c r="BT962" s="66"/>
      <c r="BU962" s="66"/>
      <c r="BV962" s="66"/>
      <c r="BW962" s="91" t="str">
        <f t="shared" si="296"/>
        <v>Incomplete</v>
      </c>
      <c r="BX962" s="91" t="str">
        <f>_xlfn.XLOOKUP(BW962,'Normative data'!$V$3:$V$6,'Normative data'!$W$3:$W$6,"Not Found",-1)</f>
        <v>Very low risk</v>
      </c>
      <c r="BY962" s="91" t="str">
        <f t="shared" si="297"/>
        <v>Incomplete</v>
      </c>
      <c r="BZ962" s="91" t="str">
        <f>_xlfn.XLOOKUP(BY962,'Normative data'!$V$3:$V$6,'Normative data'!$W$3:$W$6,"Not Found",-1)</f>
        <v>Very low risk</v>
      </c>
      <c r="CA962" s="66"/>
      <c r="CB962" s="66"/>
      <c r="CC962" s="20"/>
      <c r="CD962" s="66"/>
      <c r="CE962" s="66">
        <v>7</v>
      </c>
      <c r="CF962" s="66"/>
      <c r="CG962" s="66"/>
      <c r="CH962" s="20" t="str">
        <f>_xlfn.XLOOKUP(CG962, 'Normative data'!$S$9:$S$15,'Normative data'!$T$9:$T$15, "Not Found", -1)</f>
        <v>not completed</v>
      </c>
      <c r="CI962" s="66"/>
      <c r="CJ962" s="20" t="str">
        <f>_xlfn.XLOOKUP(CI962, 'Normative data'!$S$9:$S$15, 'Normative data'!$T$9:$T$15, "Not Found", -1)</f>
        <v>not completed</v>
      </c>
      <c r="CK962" s="106">
        <v>2.2799999999999998</v>
      </c>
      <c r="CL962" s="106">
        <v>4.3899999999999997</v>
      </c>
      <c r="CM962" s="106"/>
      <c r="CN962" s="106">
        <v>6.98</v>
      </c>
      <c r="CO962" s="106">
        <v>7.16</v>
      </c>
      <c r="CP962" s="110"/>
      <c r="CQ962" s="68"/>
      <c r="CR962" s="20" t="str" cm="1">
        <f t="array" ref="CR962">IF(OR(ISBLANK(E962),ISBLANK(CQ962)),"Incomplete",_xlfn.XLOOKUP(CQ962,_xlfn.XLOOKUP(E962,'Normative data'!$Y$3:$Y$6,'Normative data'!$Z$3:$AG$6,,-1),'Normative data'!$Z$2:$AG$2,"Not Found",-1))</f>
        <v>Incomplete</v>
      </c>
      <c r="CS962" s="68"/>
      <c r="CT962" s="66"/>
      <c r="CU962" s="20" t="str" cm="1">
        <f t="array" ref="CU962">_xlfn.XLOOKUP(CS962&amp;CT962,(VLOOKUP!$A$3:$A$250)&amp;(VLOOKUP!$B$3:$B$250),VLOOKUP!$C$3:$C$250,"Incomplete",-1)</f>
        <v>Incomplete</v>
      </c>
      <c r="CV962" s="20" t="str" cm="1">
        <f t="array" ref="CV962">_xlfn.XLOOKUP(CU962, _xlfn.XLOOKUP(E962, 'Normative data'!$Y$11:$Y$14, 'Normative data'!$Z$11:$AG$14, ,-1), 'Normative data'!$Z$10:$AG$10, "Not Found", -1)</f>
        <v>Excellent</v>
      </c>
      <c r="CW962" s="20" t="str" cm="1">
        <f t="array" ref="CW962">IF(OR(ISBLANK(CS962),ISBLANK(CT962)),"Incomplete",_xlfn.XLOOKUP(CS962&amp;CT962,VLOOKUP!$A$4:$A$250&amp;VLOOKUP!$B$4:$B$250,VLOOKUP!$D$4:$D$250,"0"))</f>
        <v>Incomplete</v>
      </c>
    </row>
    <row r="963" spans="1:101">
      <c r="A963" s="64" t="s">
        <v>275</v>
      </c>
      <c r="B963" s="64" t="s">
        <v>274</v>
      </c>
      <c r="C963" s="64" t="s">
        <v>86</v>
      </c>
      <c r="D963" s="65">
        <v>39589</v>
      </c>
      <c r="E963" s="64">
        <v>18.100000000000001</v>
      </c>
      <c r="F963" s="66">
        <v>12</v>
      </c>
      <c r="G963" s="64">
        <v>2026</v>
      </c>
      <c r="H963" s="66"/>
      <c r="I963" s="66">
        <v>2</v>
      </c>
      <c r="J963" s="66" t="s">
        <v>122</v>
      </c>
      <c r="K963" s="66" t="s">
        <v>101</v>
      </c>
      <c r="L963" s="66" t="s">
        <v>224</v>
      </c>
      <c r="M963" s="64"/>
      <c r="N963" s="64"/>
      <c r="O963" s="64"/>
      <c r="P963" s="64"/>
      <c r="Q963" s="64"/>
      <c r="R963" s="64"/>
      <c r="S963" s="66">
        <v>81.7</v>
      </c>
      <c r="T963" s="66">
        <v>162.80000000000001</v>
      </c>
      <c r="U963" s="64">
        <v>53.8</v>
      </c>
      <c r="V963" s="64">
        <v>30.5</v>
      </c>
      <c r="W963" s="64">
        <v>12</v>
      </c>
      <c r="X963" s="64">
        <v>41.8</v>
      </c>
      <c r="Y963" s="64">
        <v>22.9</v>
      </c>
      <c r="Z963" s="64">
        <v>20.3</v>
      </c>
      <c r="AA963" s="64">
        <v>22.3</v>
      </c>
      <c r="AB963" s="64">
        <v>6.47</v>
      </c>
      <c r="AC963" s="64">
        <v>104</v>
      </c>
      <c r="AD963" s="64">
        <v>6.43</v>
      </c>
      <c r="AE963" s="64">
        <v>103.4</v>
      </c>
      <c r="AF963" s="64">
        <v>2</v>
      </c>
      <c r="AG963" s="64">
        <v>85.9</v>
      </c>
      <c r="AH963" s="64">
        <v>2</v>
      </c>
      <c r="AI963" s="64">
        <v>85.3</v>
      </c>
      <c r="AJ963" s="64">
        <v>319.2</v>
      </c>
      <c r="AK963" s="64">
        <v>322</v>
      </c>
      <c r="AL963" s="64">
        <v>279.39999999999998</v>
      </c>
      <c r="AM963" s="64">
        <v>284.3</v>
      </c>
      <c r="AN963" s="64">
        <v>78</v>
      </c>
      <c r="AO963" s="64"/>
      <c r="AP963" s="64"/>
      <c r="AQ963" s="64">
        <v>34.299999999999997</v>
      </c>
      <c r="AR963" s="64">
        <v>0.52900000000000003</v>
      </c>
      <c r="AS963" s="64">
        <v>33.1</v>
      </c>
      <c r="AT963" s="64">
        <v>0.52</v>
      </c>
      <c r="AU963" s="64">
        <v>19.8</v>
      </c>
      <c r="AV963" s="64">
        <v>0.40200000000000002</v>
      </c>
      <c r="AW963" s="64">
        <v>22</v>
      </c>
      <c r="AX963" s="64">
        <v>0.42399999999999999</v>
      </c>
      <c r="AY963" s="41">
        <f t="shared" si="299"/>
        <v>2464.1499999999996</v>
      </c>
      <c r="AZ963" s="64"/>
      <c r="BA963" s="20">
        <f t="shared" si="300"/>
        <v>2391.3099999999995</v>
      </c>
      <c r="BB963" s="64"/>
      <c r="BC963" s="20">
        <f t="shared" si="301"/>
        <v>1584</v>
      </c>
      <c r="BD963" s="64"/>
      <c r="BE963" s="20">
        <f t="shared" si="302"/>
        <v>1717.54</v>
      </c>
      <c r="BF963" s="64"/>
      <c r="BG963" s="64">
        <v>12.1</v>
      </c>
      <c r="BH963" s="64">
        <v>43.2</v>
      </c>
      <c r="BI963" s="20">
        <f t="shared" ref="BI963:BI972" si="303">IF(OR(ISBLANK(BG963), ISBLANK(BH963)),"Incomplete",(SUM(BH963-BG963)))</f>
        <v>31.1</v>
      </c>
      <c r="BJ963" s="66"/>
      <c r="BK963" s="64">
        <v>10.9</v>
      </c>
      <c r="BL963" s="66"/>
      <c r="BM963" s="64">
        <v>12.6</v>
      </c>
      <c r="BN963" s="66"/>
      <c r="BO963" s="64">
        <v>48</v>
      </c>
      <c r="BP963" s="64">
        <v>48.5</v>
      </c>
      <c r="BQ963" s="64">
        <v>78.5</v>
      </c>
      <c r="BR963" s="64">
        <v>85</v>
      </c>
      <c r="BS963" s="64">
        <v>81</v>
      </c>
      <c r="BT963" s="64">
        <v>87</v>
      </c>
      <c r="BU963" s="64">
        <v>85</v>
      </c>
      <c r="BV963" s="64">
        <v>77</v>
      </c>
      <c r="BW963" s="91">
        <f t="shared" si="296"/>
        <v>100.4932182490752</v>
      </c>
      <c r="BX963" s="91" t="str">
        <f>_xlfn.XLOOKUP(BW963,'Normative data'!$V$3:$V$6,'Normative data'!$W$3:$W$6,"Not Found",-1)</f>
        <v>Low risk</v>
      </c>
      <c r="BY963" s="91">
        <f t="shared" si="297"/>
        <v>102.34278668310728</v>
      </c>
      <c r="BZ963" s="91" t="str">
        <f>_xlfn.XLOOKUP(BY963,'Normative data'!$V$3:$V$6,'Normative data'!$W$3:$W$6,"Not Found",-1)</f>
        <v>Low risk</v>
      </c>
      <c r="CA963" s="66"/>
      <c r="CB963" s="66"/>
      <c r="CC963" s="20"/>
      <c r="CD963" s="66"/>
      <c r="CE963" s="66"/>
      <c r="CF963" s="66"/>
      <c r="CG963" s="66"/>
      <c r="CH963" s="20" t="str">
        <f>_xlfn.XLOOKUP(CG963, 'Normative data'!$S$9:$S$15,'Normative data'!$T$9:$T$15, "Not Found", -1)</f>
        <v>not completed</v>
      </c>
      <c r="CI963" s="66"/>
      <c r="CJ963" s="20" t="str">
        <f>_xlfn.XLOOKUP(CI963, 'Normative data'!$S$9:$S$15, 'Normative data'!$T$9:$T$15, "Not Found", -1)</f>
        <v>not completed</v>
      </c>
      <c r="CK963" s="105"/>
      <c r="CL963" s="105"/>
      <c r="CM963" s="105"/>
      <c r="CN963" s="105"/>
      <c r="CO963" s="105"/>
      <c r="CP963" s="68"/>
      <c r="CQ963" s="67"/>
      <c r="CR963" s="20" t="str" cm="1">
        <f t="array" ref="CR963">IF(OR(ISBLANK(E963),ISBLANK(CQ963)),"Incomplete",_xlfn.XLOOKUP(CQ963,_xlfn.XLOOKUP(E963,'Normative data'!$Y$3:$Y$6,'Normative data'!$Z$3:$AG$6,,-1),'Normative data'!$Z$2:$AG$2,"Not Found",-1))</f>
        <v>Incomplete</v>
      </c>
      <c r="CS963" s="68"/>
      <c r="CT963" s="66"/>
      <c r="CU963" s="20" t="str" cm="1">
        <f t="array" ref="CU963">_xlfn.XLOOKUP(CS963&amp;CT963,(VLOOKUP!$A$3:$A$250)&amp;(VLOOKUP!$B$3:$B$250),VLOOKUP!$C$3:$C$250,"Incomplete",-1)</f>
        <v>Incomplete</v>
      </c>
      <c r="CV963" s="20" t="str" cm="1">
        <f t="array" ref="CV963">_xlfn.XLOOKUP(CU963, _xlfn.XLOOKUP(E963, 'Normative data'!$Y$11:$Y$14, 'Normative data'!$Z$11:$AG$14, ,-1), 'Normative data'!$Z$10:$AG$10, "Not Found", -1)</f>
        <v>Excellent</v>
      </c>
      <c r="CW963" s="20" t="str" cm="1">
        <f t="array" ref="CW963">IF(OR(ISBLANK(CS963),ISBLANK(CT963)),"Incomplete",_xlfn.XLOOKUP(CS963&amp;CT963,VLOOKUP!$A$4:$A$250&amp;VLOOKUP!$B$4:$B$250,VLOOKUP!$D$4:$D$250,"0"))</f>
        <v>Incomplete</v>
      </c>
    </row>
    <row r="964" spans="1:101">
      <c r="A964" s="64" t="s">
        <v>400</v>
      </c>
      <c r="B964" s="64" t="s">
        <v>274</v>
      </c>
      <c r="C964" s="64" t="s">
        <v>86</v>
      </c>
      <c r="D964" s="65"/>
      <c r="E964" s="64"/>
      <c r="F964" s="66">
        <v>12</v>
      </c>
      <c r="G964" s="64">
        <v>2026</v>
      </c>
      <c r="H964" s="66"/>
      <c r="I964" s="66">
        <v>2</v>
      </c>
      <c r="J964" s="66" t="s">
        <v>100</v>
      </c>
      <c r="K964" s="66" t="s">
        <v>228</v>
      </c>
      <c r="L964" s="66"/>
      <c r="M964" s="64"/>
      <c r="N964" s="64"/>
      <c r="O964" s="64"/>
      <c r="P964" s="64"/>
      <c r="Q964" s="64"/>
      <c r="R964" s="64"/>
      <c r="S964" s="66"/>
      <c r="T964" s="66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  <c r="AF964" s="64"/>
      <c r="AG964" s="64"/>
      <c r="AH964" s="64"/>
      <c r="AI964" s="64"/>
      <c r="AJ964" s="64"/>
      <c r="AK964" s="64"/>
      <c r="AL964" s="64"/>
      <c r="AM964" s="64"/>
      <c r="AN964" s="64"/>
      <c r="AO964" s="64"/>
      <c r="AP964" s="64"/>
      <c r="AQ964" s="20"/>
      <c r="AR964" s="20"/>
      <c r="AS964" s="20"/>
      <c r="AT964" s="20"/>
      <c r="AU964" s="20"/>
      <c r="AV964" s="20"/>
      <c r="AW964" s="20"/>
      <c r="AX964" s="20"/>
      <c r="AY964" s="41" t="str">
        <f t="shared" si="299"/>
        <v>Incomplete</v>
      </c>
      <c r="AZ964" s="64"/>
      <c r="BA964" s="20" t="str">
        <f t="shared" si="300"/>
        <v>Incomplete</v>
      </c>
      <c r="BB964" s="64"/>
      <c r="BC964" s="20" t="str">
        <f t="shared" si="301"/>
        <v>Incomplete</v>
      </c>
      <c r="BD964" s="64"/>
      <c r="BE964" s="20" t="str">
        <f t="shared" si="302"/>
        <v>Incomplete</v>
      </c>
      <c r="BF964" s="64"/>
      <c r="BG964" s="64"/>
      <c r="BH964" s="20"/>
      <c r="BI964" s="20" t="str">
        <f t="shared" si="303"/>
        <v>Incomplete</v>
      </c>
      <c r="BJ964" s="66"/>
      <c r="BK964" s="64"/>
      <c r="BL964" s="66"/>
      <c r="BM964" s="20"/>
      <c r="BN964" s="66"/>
      <c r="BO964" s="64"/>
      <c r="BP964" s="64"/>
      <c r="BQ964" s="64"/>
      <c r="BR964" s="64"/>
      <c r="BS964" s="64"/>
      <c r="BT964" s="64"/>
      <c r="BU964" s="64"/>
      <c r="BV964" s="64"/>
      <c r="BW964" s="91" t="str">
        <f t="shared" si="296"/>
        <v>Incomplete</v>
      </c>
      <c r="BX964" s="91" t="str">
        <f>_xlfn.XLOOKUP(BW964,'Normative data'!$V$3:$V$6,'Normative data'!$W$3:$W$6,"Not Found",-1)</f>
        <v>Very low risk</v>
      </c>
      <c r="BY964" s="91" t="str">
        <f t="shared" si="297"/>
        <v>Incomplete</v>
      </c>
      <c r="BZ964" s="91" t="str">
        <f>_xlfn.XLOOKUP(BY964,'Normative data'!$V$3:$V$6,'Normative data'!$W$3:$W$6,"Not Found",-1)</f>
        <v>Very low risk</v>
      </c>
      <c r="CA964" s="66"/>
      <c r="CB964" s="66"/>
      <c r="CC964" s="20"/>
      <c r="CD964" s="66"/>
      <c r="CE964" s="66"/>
      <c r="CF964" s="66"/>
      <c r="CG964" s="66"/>
      <c r="CH964" s="20" t="str">
        <f>_xlfn.XLOOKUP(CG964, 'Normative data'!$S$9:$S$15,'Normative data'!$T$9:$T$15, "Not Found", -1)</f>
        <v>not completed</v>
      </c>
      <c r="CI964" s="66"/>
      <c r="CJ964" s="20" t="str">
        <f>_xlfn.XLOOKUP(CI964, 'Normative data'!$S$9:$S$15, 'Normative data'!$T$9:$T$15, "Not Found", -1)</f>
        <v>not completed</v>
      </c>
      <c r="CK964" s="105"/>
      <c r="CL964" s="105"/>
      <c r="CM964" s="105"/>
      <c r="CN964" s="105"/>
      <c r="CO964" s="105"/>
      <c r="CP964" s="68"/>
      <c r="CQ964" s="67">
        <v>7.1</v>
      </c>
      <c r="CR964" s="20" t="str" cm="1">
        <f t="array" ref="CR964">IF(OR(ISBLANK(E964),ISBLANK(CQ964)),"Incomplete",_xlfn.XLOOKUP(CQ964,_xlfn.XLOOKUP(E964,'Normative data'!$Y$3:$Y$6,'Normative data'!$Z$3:$AG$6,,-1),'Normative data'!$Z$2:$AG$2,"Not Found",-1))</f>
        <v>Incomplete</v>
      </c>
      <c r="CS964" s="68">
        <v>7</v>
      </c>
      <c r="CT964" s="66">
        <v>1</v>
      </c>
      <c r="CU964" s="20" cm="1">
        <f t="array" ref="CU964">_xlfn.XLOOKUP(CS964&amp;CT964,(VLOOKUP!$A$3:$A$250)&amp;(VLOOKUP!$B$3:$B$250),VLOOKUP!$C$3:$C$250,"Incomplete",-1)</f>
        <v>1040</v>
      </c>
      <c r="CV964" s="20" t="str" cm="1">
        <f t="array" ref="CV964">_xlfn.XLOOKUP(CU964, _xlfn.XLOOKUP(E964, 'Normative data'!$Y$11:$Y$14, 'Normative data'!$Z$11:$AG$14, ,-1), 'Normative data'!$Z$10:$AG$10, "Not Found", -1)</f>
        <v xml:space="preserve">Fair </v>
      </c>
      <c r="CW964" s="20" cm="1">
        <f t="array" ref="CW964">IF(OR(ISBLANK(CS964),ISBLANK(CT964)),"Incomplete",_xlfn.XLOOKUP(CS964&amp;CT964,VLOOKUP!$A$4:$A$250&amp;VLOOKUP!$B$4:$B$250,VLOOKUP!$D$4:$D$250,"0"))</f>
        <v>37</v>
      </c>
    </row>
    <row r="965" spans="1:101">
      <c r="A965" s="64" t="s">
        <v>829</v>
      </c>
      <c r="B965" s="64" t="s">
        <v>274</v>
      </c>
      <c r="C965" s="64" t="s">
        <v>86</v>
      </c>
      <c r="D965" s="65"/>
      <c r="E965" s="64"/>
      <c r="F965" s="66" t="s">
        <v>92</v>
      </c>
      <c r="G965" s="64">
        <v>2026</v>
      </c>
      <c r="H965" s="66"/>
      <c r="I965" s="66">
        <v>2</v>
      </c>
      <c r="J965" s="66"/>
      <c r="K965" s="66"/>
      <c r="L965" s="66"/>
      <c r="M965" s="64"/>
      <c r="N965" s="64"/>
      <c r="O965" s="64"/>
      <c r="P965" s="64"/>
      <c r="Q965" s="64"/>
      <c r="R965" s="64"/>
      <c r="S965" s="66"/>
      <c r="T965" s="66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  <c r="AF965" s="64"/>
      <c r="AG965" s="64"/>
      <c r="AH965" s="64"/>
      <c r="AI965" s="64"/>
      <c r="AJ965" s="64"/>
      <c r="AK965" s="64"/>
      <c r="AL965" s="64"/>
      <c r="AM965" s="64"/>
      <c r="AN965" s="64"/>
      <c r="AO965" s="64"/>
      <c r="AP965" s="64"/>
      <c r="AQ965" s="66"/>
      <c r="AR965" s="66"/>
      <c r="AS965" s="66"/>
      <c r="AT965" s="66"/>
      <c r="AU965" s="66"/>
      <c r="AV965" s="66"/>
      <c r="AW965" s="66"/>
      <c r="AX965" s="66"/>
      <c r="AY965" s="41" t="str">
        <f t="shared" si="299"/>
        <v>Incomplete</v>
      </c>
      <c r="AZ965" s="64"/>
      <c r="BA965" s="20" t="str">
        <f t="shared" si="300"/>
        <v>Incomplete</v>
      </c>
      <c r="BB965" s="64"/>
      <c r="BC965" s="20" t="str">
        <f t="shared" si="301"/>
        <v>Incomplete</v>
      </c>
      <c r="BD965" s="64"/>
      <c r="BE965" s="20" t="str">
        <f t="shared" si="302"/>
        <v>Incomplete</v>
      </c>
      <c r="BF965" s="64"/>
      <c r="BG965" s="64">
        <v>20.5</v>
      </c>
      <c r="BH965" s="64">
        <v>42</v>
      </c>
      <c r="BI965" s="20">
        <f t="shared" si="303"/>
        <v>21.5</v>
      </c>
      <c r="BJ965" s="66"/>
      <c r="BK965" s="64">
        <v>9</v>
      </c>
      <c r="BL965" s="66"/>
      <c r="BM965" s="64">
        <v>9</v>
      </c>
      <c r="BN965" s="66"/>
      <c r="BO965" s="64">
        <v>48.3</v>
      </c>
      <c r="BP965" s="64">
        <v>48.3</v>
      </c>
      <c r="BQ965" s="64">
        <v>74</v>
      </c>
      <c r="BR965" s="64">
        <v>76</v>
      </c>
      <c r="BS965" s="64">
        <v>76</v>
      </c>
      <c r="BT965" s="64">
        <v>77</v>
      </c>
      <c r="BU965" s="64">
        <v>77</v>
      </c>
      <c r="BV965" s="64">
        <v>72</v>
      </c>
      <c r="BW965" s="91" t="str">
        <f t="shared" si="296"/>
        <v>Incomplete</v>
      </c>
      <c r="BX965" s="91" t="str">
        <f>_xlfn.XLOOKUP(BW965,'Normative data'!$V$3:$V$6,'Normative data'!$W$3:$W$6,"Not Found",-1)</f>
        <v>Very low risk</v>
      </c>
      <c r="BY965" s="91" t="str">
        <f t="shared" si="297"/>
        <v>Incomplete</v>
      </c>
      <c r="BZ965" s="91" t="str">
        <f>_xlfn.XLOOKUP(BY965,'Normative data'!$V$3:$V$6,'Normative data'!$W$3:$W$6,"Not Found",-1)</f>
        <v>Very low risk</v>
      </c>
      <c r="CA965" s="64">
        <v>13</v>
      </c>
      <c r="CB965" s="66"/>
      <c r="CC965" s="20"/>
      <c r="CD965" s="66"/>
      <c r="CE965" s="64"/>
      <c r="CF965" s="66"/>
      <c r="CG965" s="64"/>
      <c r="CH965" s="20" t="str">
        <f>_xlfn.XLOOKUP(CG965, 'Normative data'!$S$9:$S$15,'Normative data'!$T$9:$T$15, "Not Found", -1)</f>
        <v>not completed</v>
      </c>
      <c r="CI965" s="64">
        <v>20.149999999999999</v>
      </c>
      <c r="CJ965" s="20" t="str">
        <f>_xlfn.XLOOKUP(CI965, 'Normative data'!$S$9:$S$15, 'Normative data'!$T$9:$T$15, "Not Found", -1)</f>
        <v>Average</v>
      </c>
      <c r="CK965" s="64">
        <v>2.2999999999999998</v>
      </c>
      <c r="CL965" s="64">
        <v>4.3499999999999996</v>
      </c>
      <c r="CM965" s="66"/>
      <c r="CN965" s="64">
        <v>7.54</v>
      </c>
      <c r="CO965" s="64">
        <v>6.63</v>
      </c>
      <c r="CP965" s="68"/>
      <c r="CQ965" s="67">
        <v>3.6</v>
      </c>
      <c r="CR965" s="20" t="str" cm="1">
        <f t="array" ref="CR965">IF(OR(ISBLANK(E965),ISBLANK(CQ965)),"Incomplete",_xlfn.XLOOKUP(CQ965,_xlfn.XLOOKUP(E965,'Normative data'!$Y$3:$Y$6,'Normative data'!$Z$3:$AG$6,,-1),'Normative data'!$Z$2:$AG$2,"Not Found",-1))</f>
        <v>Incomplete</v>
      </c>
      <c r="CS965" s="68">
        <v>3</v>
      </c>
      <c r="CT965" s="66">
        <v>6</v>
      </c>
      <c r="CU965" s="20" cm="1">
        <f t="array" ref="CU965">_xlfn.XLOOKUP(CS965&amp;CT965,(VLOOKUP!$A$3:$A$250)&amp;(VLOOKUP!$B$3:$B$250),VLOOKUP!$C$3:$C$250,"Incomplete",-1)</f>
        <v>420</v>
      </c>
      <c r="CV965" s="20" t="str" cm="1">
        <f t="array" ref="CV965">_xlfn.XLOOKUP(CU965, _xlfn.XLOOKUP(E965, 'Normative data'!$Y$11:$Y$14, 'Normative data'!$Z$11:$AG$14, ,-1), 'Normative data'!$Z$10:$AG$10, "Not Found", -1)</f>
        <v xml:space="preserve">Very poor </v>
      </c>
      <c r="CW965" s="20" cm="1">
        <f t="array" ref="CW965">IF(OR(ISBLANK(CS965),ISBLANK(CT965)),"Incomplete",_xlfn.XLOOKUP(CS965&amp;CT965,VLOOKUP!$A$4:$A$250&amp;VLOOKUP!$B$4:$B$250,VLOOKUP!$D$4:$D$250,"0"))</f>
        <v>25</v>
      </c>
    </row>
    <row r="966" spans="1:101">
      <c r="A966" s="64" t="s">
        <v>1634</v>
      </c>
      <c r="B966" s="64" t="s">
        <v>274</v>
      </c>
      <c r="C966" s="64" t="s">
        <v>86</v>
      </c>
      <c r="D966" s="65"/>
      <c r="E966" s="64"/>
      <c r="F966" s="66" t="s">
        <v>235</v>
      </c>
      <c r="G966" s="64">
        <v>2026</v>
      </c>
      <c r="H966" s="66"/>
      <c r="I966" s="66">
        <v>2</v>
      </c>
      <c r="J966" s="66"/>
      <c r="K966" s="66"/>
      <c r="L966" s="66"/>
      <c r="M966" s="64"/>
      <c r="N966" s="64"/>
      <c r="O966" s="64"/>
      <c r="P966" s="64"/>
      <c r="Q966" s="64"/>
      <c r="R966" s="64"/>
      <c r="S966" s="66">
        <v>79.2</v>
      </c>
      <c r="T966" s="66">
        <v>154.30000000000001</v>
      </c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  <c r="AF966" s="64"/>
      <c r="AG966" s="64"/>
      <c r="AH966" s="64"/>
      <c r="AI966" s="64"/>
      <c r="AJ966" s="64"/>
      <c r="AK966" s="64"/>
      <c r="AL966" s="64"/>
      <c r="AM966" s="64"/>
      <c r="AN966" s="64"/>
      <c r="AO966" s="64"/>
      <c r="AP966" s="64"/>
      <c r="AQ966" s="20"/>
      <c r="AR966" s="20"/>
      <c r="AS966" s="20"/>
      <c r="AT966" s="20"/>
      <c r="AU966" s="20"/>
      <c r="AV966" s="20"/>
      <c r="AW966" s="20"/>
      <c r="AX966" s="20"/>
      <c r="AY966" s="41" t="str">
        <f t="shared" si="299"/>
        <v>Incomplete</v>
      </c>
      <c r="AZ966" s="64"/>
      <c r="BA966" s="20" t="str">
        <f t="shared" si="300"/>
        <v>Incomplete</v>
      </c>
      <c r="BB966" s="64"/>
      <c r="BC966" s="20" t="str">
        <f t="shared" si="301"/>
        <v>Incomplete</v>
      </c>
      <c r="BD966" s="64"/>
      <c r="BE966" s="20" t="str">
        <f t="shared" si="302"/>
        <v>Incomplete</v>
      </c>
      <c r="BF966" s="64"/>
      <c r="BG966" s="64"/>
      <c r="BH966" s="64">
        <v>44.7</v>
      </c>
      <c r="BI966" s="20" t="str">
        <f t="shared" si="303"/>
        <v>Incomplete</v>
      </c>
      <c r="BJ966" s="66"/>
      <c r="BK966" s="64">
        <v>8.5</v>
      </c>
      <c r="BL966" s="66"/>
      <c r="BM966" s="17">
        <v>7.5</v>
      </c>
      <c r="BN966" s="66"/>
      <c r="BO966" s="64"/>
      <c r="BP966" s="64"/>
      <c r="BQ966" s="64"/>
      <c r="BR966" s="64"/>
      <c r="BS966" s="64"/>
      <c r="BT966" s="64"/>
      <c r="BU966" s="64"/>
      <c r="BV966" s="64"/>
      <c r="BW966" s="91">
        <f t="shared" si="296"/>
        <v>0</v>
      </c>
      <c r="BX966" s="91" t="str">
        <f>_xlfn.XLOOKUP(BW966,'Normative data'!$V$3:$V$6,'Normative data'!$W$3:$W$6,"Not Found",-1)</f>
        <v>Not completed</v>
      </c>
      <c r="BY966" s="91">
        <f t="shared" si="297"/>
        <v>0</v>
      </c>
      <c r="BZ966" s="91" t="str">
        <f>_xlfn.XLOOKUP(BY966,'Normative data'!$V$3:$V$6,'Normative data'!$W$3:$W$6,"Not Found",-1)</f>
        <v>Not completed</v>
      </c>
      <c r="CA966" s="66"/>
      <c r="CB966" s="66"/>
      <c r="CC966" s="66"/>
      <c r="CD966" s="66"/>
      <c r="CE966" s="64">
        <v>16</v>
      </c>
      <c r="CF966" s="66"/>
      <c r="CH966" s="20" t="str">
        <f>_xlfn.XLOOKUP(CG966, 'Normative data'!$S$9:$S$15,'Normative data'!$T$9:$T$15, "Not Found", -1)</f>
        <v>not completed</v>
      </c>
      <c r="CI966" s="17">
        <v>18.22</v>
      </c>
      <c r="CJ966" s="20" t="str">
        <f>_xlfn.XLOOKUP(CI966, 'Normative data'!$S$9:$S$15, 'Normative data'!$T$9:$T$15, "Not Found", -1)</f>
        <v>Average</v>
      </c>
      <c r="CK966" s="17">
        <v>2</v>
      </c>
      <c r="CL966" s="17">
        <v>5</v>
      </c>
      <c r="CN966" s="17">
        <v>6.69</v>
      </c>
      <c r="CO966" s="17">
        <v>7.47</v>
      </c>
      <c r="CP966" s="68"/>
      <c r="CQ966" s="67">
        <v>6.2</v>
      </c>
      <c r="CR966" s="20" t="str" cm="1">
        <f t="array" ref="CR966">IF(OR(ISBLANK(E966),ISBLANK(CQ966)),"Incomplete",_xlfn.XLOOKUP(CQ966,_xlfn.XLOOKUP(E966,'Normative data'!$Y$3:$Y$6,'Normative data'!$Z$3:$AG$6,,-1),'Normative data'!$Z$2:$AG$2,"Not Found",-1))</f>
        <v>Incomplete</v>
      </c>
      <c r="CS966" s="68">
        <v>6</v>
      </c>
      <c r="CT966" s="66">
        <v>2</v>
      </c>
      <c r="CU966" s="20" cm="1">
        <f t="array" ref="CU966">_xlfn.XLOOKUP(CS966&amp;CT966,(VLOOKUP!$A$3:$A$250)&amp;(VLOOKUP!$B$3:$B$250),VLOOKUP!$C$3:$C$250,"Incomplete",-1)</f>
        <v>860</v>
      </c>
      <c r="CV966" s="20" t="str" cm="1">
        <f t="array" ref="CV966">_xlfn.XLOOKUP(CU966, _xlfn.XLOOKUP(E966, 'Normative data'!$Y$11:$Y$14, 'Normative data'!$Z$11:$AG$14, ,-1), 'Normative data'!$Z$10:$AG$10, "Not Found", -1)</f>
        <v xml:space="preserve">Fair </v>
      </c>
      <c r="CW966" s="20" cm="1">
        <f t="array" ref="CW966">IF(OR(ISBLANK(CS966),ISBLANK(CT966)),"Incomplete",_xlfn.XLOOKUP(CS966&amp;CT966,VLOOKUP!$A$4:$A$250&amp;VLOOKUP!$B$4:$B$250,VLOOKUP!$D$4:$D$250,"0"))</f>
        <v>34</v>
      </c>
    </row>
    <row r="967" spans="1:101">
      <c r="A967" s="64" t="s">
        <v>1136</v>
      </c>
      <c r="B967" s="64" t="s">
        <v>274</v>
      </c>
      <c r="C967" s="64" t="s">
        <v>86</v>
      </c>
      <c r="D967" s="65">
        <v>40258</v>
      </c>
      <c r="E967" s="64">
        <v>16.100000000000001</v>
      </c>
      <c r="F967" s="66" t="s">
        <v>162</v>
      </c>
      <c r="G967" s="64">
        <v>2026</v>
      </c>
      <c r="H967" s="66"/>
      <c r="I967" s="66">
        <v>2</v>
      </c>
      <c r="J967" s="66" t="s">
        <v>100</v>
      </c>
      <c r="K967" s="66" t="s">
        <v>297</v>
      </c>
      <c r="L967" s="66" t="s">
        <v>102</v>
      </c>
      <c r="M967" s="64"/>
      <c r="N967" s="64"/>
      <c r="O967" s="64"/>
      <c r="P967" s="64"/>
      <c r="Q967" s="64"/>
      <c r="R967" s="64"/>
      <c r="S967" s="66">
        <v>87.5</v>
      </c>
      <c r="T967" s="66">
        <v>166.6</v>
      </c>
      <c r="U967" s="64">
        <v>61.7</v>
      </c>
      <c r="V967" s="64">
        <v>35.299999999999997</v>
      </c>
      <c r="W967" s="64">
        <v>13.3</v>
      </c>
      <c r="X967" s="64">
        <v>48.4</v>
      </c>
      <c r="Y967" s="64">
        <v>26.8</v>
      </c>
      <c r="Z967" s="64">
        <v>22.2</v>
      </c>
      <c r="AA967" s="64">
        <v>21.5</v>
      </c>
      <c r="AB967" s="64">
        <v>7.41</v>
      </c>
      <c r="AC967" s="64">
        <v>106.4</v>
      </c>
      <c r="AD967" s="64">
        <v>7.33</v>
      </c>
      <c r="AE967" s="64">
        <v>105.2</v>
      </c>
      <c r="AF967" s="64">
        <v>2.2000000000000002</v>
      </c>
      <c r="AG967" s="64">
        <v>85.3</v>
      </c>
      <c r="AH967" s="64">
        <v>2.1</v>
      </c>
      <c r="AI967" s="64">
        <v>84.1</v>
      </c>
      <c r="AJ967" s="64">
        <v>274</v>
      </c>
      <c r="AK967" s="64">
        <v>277.8</v>
      </c>
      <c r="AL967" s="64">
        <v>239.7</v>
      </c>
      <c r="AM967" s="64">
        <v>245.9</v>
      </c>
      <c r="AN967" s="64">
        <v>110</v>
      </c>
      <c r="AO967" s="64">
        <v>0.81</v>
      </c>
      <c r="AP967" s="64">
        <v>7</v>
      </c>
      <c r="AQ967" s="64">
        <v>31.6</v>
      </c>
      <c r="AR967" s="64">
        <v>0.50800000000000001</v>
      </c>
      <c r="AS967" s="64">
        <v>33.9</v>
      </c>
      <c r="AT967" s="64">
        <v>0.52600000000000002</v>
      </c>
      <c r="AU967" s="64">
        <v>17.399999999999999</v>
      </c>
      <c r="AV967" s="64">
        <v>0.377</v>
      </c>
      <c r="AW967" s="64">
        <v>19.2</v>
      </c>
      <c r="AX967" s="64">
        <v>0.39600000000000002</v>
      </c>
      <c r="AY967" s="41">
        <f t="shared" si="299"/>
        <v>2658.13</v>
      </c>
      <c r="AZ967" s="64"/>
      <c r="BA967" s="20">
        <f t="shared" si="300"/>
        <v>2797.74</v>
      </c>
      <c r="BB967" s="64"/>
      <c r="BC967" s="20">
        <f t="shared" si="301"/>
        <v>1796.1899999999996</v>
      </c>
      <c r="BD967" s="64"/>
      <c r="BE967" s="20">
        <f t="shared" si="302"/>
        <v>1905.4499999999998</v>
      </c>
      <c r="BF967" s="64"/>
      <c r="BG967" s="64">
        <v>15.5</v>
      </c>
      <c r="BH967" s="64">
        <v>52</v>
      </c>
      <c r="BI967" s="20">
        <f t="shared" si="303"/>
        <v>36.5</v>
      </c>
      <c r="BJ967" s="66"/>
      <c r="BK967" s="64">
        <v>13</v>
      </c>
      <c r="BL967" s="66"/>
      <c r="BM967" s="64">
        <v>14</v>
      </c>
      <c r="BN967" s="66"/>
      <c r="BO967" s="64">
        <v>51</v>
      </c>
      <c r="BP967" s="64">
        <v>50.5</v>
      </c>
      <c r="BQ967" s="64">
        <v>82</v>
      </c>
      <c r="BR967" s="64">
        <v>88</v>
      </c>
      <c r="BS967" s="64">
        <v>79</v>
      </c>
      <c r="BT967" s="64">
        <v>90</v>
      </c>
      <c r="BU967" s="64">
        <v>91</v>
      </c>
      <c r="BV967" s="64">
        <v>78</v>
      </c>
      <c r="BW967" s="91">
        <f t="shared" si="296"/>
        <v>104.93046776232617</v>
      </c>
      <c r="BX967" s="91" t="str">
        <f>_xlfn.XLOOKUP(BW967,'Normative data'!$V$3:$V$6,'Normative data'!$W$3:$W$6,"Not Found",-1)</f>
        <v>Low risk</v>
      </c>
      <c r="BY967" s="91">
        <f t="shared" si="297"/>
        <v>109.14454277286137</v>
      </c>
      <c r="BZ967" s="91" t="str">
        <f>_xlfn.XLOOKUP(BY967,'Normative data'!$V$3:$V$6,'Normative data'!$W$3:$W$6,"Not Found",-1)</f>
        <v>Low risk</v>
      </c>
      <c r="CA967" s="64">
        <v>41</v>
      </c>
      <c r="CB967" s="66"/>
      <c r="CC967" s="20"/>
      <c r="CD967" s="66"/>
      <c r="CE967" s="64">
        <v>25</v>
      </c>
      <c r="CF967" s="66"/>
      <c r="CG967" s="64">
        <v>17.420000000000002</v>
      </c>
      <c r="CH967" s="20" t="str">
        <f>_xlfn.XLOOKUP(CG967, 'Normative data'!$S$9:$S$15,'Normative data'!$T$9:$T$15, "Not Found", -1)</f>
        <v>Above Average</v>
      </c>
      <c r="CI967" s="64">
        <v>17.420000000000002</v>
      </c>
      <c r="CJ967" s="20" t="str">
        <f>_xlfn.XLOOKUP(CI967, 'Normative data'!$S$9:$S$15, 'Normative data'!$T$9:$T$15, "Not Found", -1)</f>
        <v>Above Average</v>
      </c>
      <c r="CK967" s="17">
        <v>2.14</v>
      </c>
      <c r="CL967" s="17">
        <v>4.67</v>
      </c>
      <c r="CN967" s="17">
        <v>6.36</v>
      </c>
      <c r="CO967" s="17">
        <v>7.86</v>
      </c>
      <c r="CP967" s="68"/>
      <c r="CQ967" s="67">
        <v>8.1999999999999993</v>
      </c>
      <c r="CR967" s="20" t="str" cm="1">
        <f t="array" ref="CR967">IF(OR(ISBLANK(E967),ISBLANK(CQ967)),"Incomplete",_xlfn.XLOOKUP(CQ967,_xlfn.XLOOKUP(E967,'Normative data'!$Y$3:$Y$6,'Normative data'!$Z$3:$AG$6,,-1),'Normative data'!$Z$2:$AG$2,"Not Found",-1))</f>
        <v>Average</v>
      </c>
      <c r="CS967" s="68">
        <v>8</v>
      </c>
      <c r="CT967" s="66">
        <v>2</v>
      </c>
      <c r="CU967" s="20" cm="1">
        <f t="array" ref="CU967">_xlfn.XLOOKUP(CS967&amp;CT967,(VLOOKUP!$A$3:$A$250)&amp;(VLOOKUP!$B$3:$B$250),VLOOKUP!$C$3:$C$250,"Incomplete",-1)</f>
        <v>1260</v>
      </c>
      <c r="CV967" s="20" t="str" cm="1">
        <f t="array" ref="CV967">_xlfn.XLOOKUP(CU967, _xlfn.XLOOKUP(E967, 'Normative data'!$Y$11:$Y$14, 'Normative data'!$Z$11:$AG$14, ,-1), 'Normative data'!$Z$10:$AG$10, "Not Found", -1)</f>
        <v>Average</v>
      </c>
      <c r="CW967" s="20" cm="1">
        <f t="array" ref="CW967">IF(OR(ISBLANK(CS967),ISBLANK(CT967)),"Incomplete",_xlfn.XLOOKUP(CS967&amp;CT967,VLOOKUP!$A$4:$A$250&amp;VLOOKUP!$B$4:$B$250,VLOOKUP!$D$4:$D$250,"0"))</f>
        <v>41</v>
      </c>
    </row>
    <row r="968" spans="1:101">
      <c r="A968" s="64" t="s">
        <v>1439</v>
      </c>
      <c r="B968" s="64" t="s">
        <v>274</v>
      </c>
      <c r="C968" s="64" t="s">
        <v>86</v>
      </c>
      <c r="D968" s="65"/>
      <c r="E968" s="64"/>
      <c r="F968" s="66" t="s">
        <v>104</v>
      </c>
      <c r="G968" s="64">
        <v>2026</v>
      </c>
      <c r="H968" s="66"/>
      <c r="I968" s="66">
        <v>2</v>
      </c>
      <c r="J968" s="66" t="s">
        <v>88</v>
      </c>
      <c r="K968" s="66" t="s">
        <v>218</v>
      </c>
      <c r="L968" s="66"/>
      <c r="M968" s="64"/>
      <c r="N968" s="64"/>
      <c r="O968" s="64"/>
      <c r="P968" s="64"/>
      <c r="Q968" s="64"/>
      <c r="R968" s="64"/>
      <c r="S968" s="66">
        <v>84.9</v>
      </c>
      <c r="T968" s="66">
        <v>166.3</v>
      </c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  <c r="AF968" s="64"/>
      <c r="AG968" s="64"/>
      <c r="AH968" s="64"/>
      <c r="AI968" s="64"/>
      <c r="AJ968" s="64"/>
      <c r="AK968" s="64"/>
      <c r="AL968" s="64"/>
      <c r="AM968" s="64"/>
      <c r="AN968" s="64"/>
      <c r="AO968" s="64"/>
      <c r="AP968" s="64"/>
      <c r="AQ968" s="20"/>
      <c r="AR968" s="20"/>
      <c r="AS968" s="20"/>
      <c r="AT968" s="20"/>
      <c r="AU968" s="20"/>
      <c r="AV968" s="20"/>
      <c r="AW968" s="20"/>
      <c r="AX968" s="20"/>
      <c r="AY968" s="41" t="str">
        <f t="shared" si="299"/>
        <v>Incomplete</v>
      </c>
      <c r="AZ968" s="64"/>
      <c r="BA968" s="20" t="str">
        <f t="shared" si="300"/>
        <v>Incomplete</v>
      </c>
      <c r="BB968" s="64"/>
      <c r="BC968" s="20" t="str">
        <f t="shared" si="301"/>
        <v>Incomplete</v>
      </c>
      <c r="BD968" s="64"/>
      <c r="BE968" s="20" t="str">
        <f t="shared" si="302"/>
        <v>Incomplete</v>
      </c>
      <c r="BF968" s="64"/>
      <c r="BG968" s="64">
        <v>14.2</v>
      </c>
      <c r="BH968" s="64">
        <v>39</v>
      </c>
      <c r="BI968" s="20">
        <f t="shared" si="303"/>
        <v>24.8</v>
      </c>
      <c r="BJ968" s="66"/>
      <c r="BK968" s="64">
        <v>13</v>
      </c>
      <c r="BL968" s="66"/>
      <c r="BM968" s="17">
        <v>13</v>
      </c>
      <c r="BN968" s="66"/>
      <c r="BO968" s="64">
        <v>52</v>
      </c>
      <c r="BP968" s="64">
        <v>54</v>
      </c>
      <c r="BQ968" s="64">
        <v>88</v>
      </c>
      <c r="BR968" s="64">
        <v>91</v>
      </c>
      <c r="BS968" s="64">
        <v>82</v>
      </c>
      <c r="BT968" s="64">
        <v>83</v>
      </c>
      <c r="BU968" s="64">
        <v>88</v>
      </c>
      <c r="BV968" s="64">
        <v>74</v>
      </c>
      <c r="BW968" s="91">
        <f t="shared" si="296"/>
        <v>106.87960687960687</v>
      </c>
      <c r="BX968" s="91" t="str">
        <f>_xlfn.XLOOKUP(BW968,'Normative data'!$V$3:$V$6,'Normative data'!$W$3:$W$6,"Not Found",-1)</f>
        <v>Low risk</v>
      </c>
      <c r="BY968" s="91">
        <f t="shared" si="297"/>
        <v>100.32760032760034</v>
      </c>
      <c r="BZ968" s="91" t="str">
        <f>_xlfn.XLOOKUP(BY968,'Normative data'!$V$3:$V$6,'Normative data'!$W$3:$W$6,"Not Found",-1)</f>
        <v>Low risk</v>
      </c>
      <c r="CA968" s="64">
        <v>24</v>
      </c>
      <c r="CB968" s="66"/>
      <c r="CC968" s="66"/>
      <c r="CD968" s="66"/>
      <c r="CE968" s="64">
        <v>4</v>
      </c>
      <c r="CF968" s="66"/>
      <c r="CG968" s="64">
        <v>18.02</v>
      </c>
      <c r="CH968" s="20" t="str">
        <f>_xlfn.XLOOKUP(CG968, 'Normative data'!$S$9:$S$15,'Normative data'!$T$9:$T$15, "Not Found", -1)</f>
        <v>Average</v>
      </c>
      <c r="CI968" s="64">
        <v>18.11</v>
      </c>
      <c r="CJ968" s="20" t="str">
        <f>_xlfn.XLOOKUP(CI968, 'Normative data'!$S$9:$S$15, 'Normative data'!$T$9:$T$15, "Not Found", -1)</f>
        <v>Average</v>
      </c>
      <c r="CK968" s="17">
        <v>2.08</v>
      </c>
      <c r="CL968" s="17">
        <v>4.8099999999999996</v>
      </c>
      <c r="CN968" s="17">
        <v>6.79</v>
      </c>
      <c r="CO968" s="17">
        <v>7.36</v>
      </c>
      <c r="CP968" s="68"/>
      <c r="CQ968" s="67"/>
      <c r="CR968" s="20" t="str" cm="1">
        <f t="array" ref="CR968">IF(OR(ISBLANK(E968),ISBLANK(CQ968)),"Incomplete",_xlfn.XLOOKUP(CQ968,_xlfn.XLOOKUP(E968,'Normative data'!$Y$3:$Y$6,'Normative data'!$Z$3:$AG$6,,-1),'Normative data'!$Z$2:$AG$2,"Not Found",-1))</f>
        <v>Incomplete</v>
      </c>
      <c r="CS968" s="68"/>
      <c r="CT968" s="66"/>
      <c r="CU968" s="20" t="str" cm="1">
        <f t="array" ref="CU968">_xlfn.XLOOKUP(CS968&amp;CT968,(VLOOKUP!$A$3:$A$250)&amp;(VLOOKUP!$B$3:$B$250),VLOOKUP!$C$3:$C$250,"Incomplete",-1)</f>
        <v>Incomplete</v>
      </c>
      <c r="CV968" s="20" t="str" cm="1">
        <f t="array" ref="CV968">_xlfn.XLOOKUP(CU968, _xlfn.XLOOKUP(E968, 'Normative data'!$Y$11:$Y$14, 'Normative data'!$Z$11:$AG$14, ,-1), 'Normative data'!$Z$10:$AG$10, "Not Found", -1)</f>
        <v>Excellent</v>
      </c>
      <c r="CW968" s="20" t="str" cm="1">
        <f t="array" ref="CW968">IF(OR(ISBLANK(CS968),ISBLANK(CT968)),"Incomplete",_xlfn.XLOOKUP(CS968&amp;CT968,VLOOKUP!$A$4:$A$250&amp;VLOOKUP!$B$4:$B$250,VLOOKUP!$D$4:$D$250,"0"))</f>
        <v>Incomplete</v>
      </c>
    </row>
    <row r="969" spans="1:101">
      <c r="A969" s="64" t="s">
        <v>1280</v>
      </c>
      <c r="B969" s="64" t="s">
        <v>1635</v>
      </c>
      <c r="C969" s="64" t="s">
        <v>86</v>
      </c>
      <c r="D969" s="65">
        <v>40466</v>
      </c>
      <c r="E969" s="64">
        <v>15.6</v>
      </c>
      <c r="F969" s="66" t="s">
        <v>99</v>
      </c>
      <c r="G969" s="64">
        <v>2026</v>
      </c>
      <c r="H969" s="66"/>
      <c r="I969" s="66">
        <v>2</v>
      </c>
      <c r="J969" s="66" t="s">
        <v>88</v>
      </c>
      <c r="K969" s="66" t="s">
        <v>297</v>
      </c>
      <c r="L969" s="66"/>
      <c r="M969" s="64"/>
      <c r="N969" s="64"/>
      <c r="O969" s="64"/>
      <c r="P969" s="64"/>
      <c r="Q969" s="64"/>
      <c r="R969" s="64"/>
      <c r="S969" s="66">
        <v>87</v>
      </c>
      <c r="T969" s="66">
        <v>170.6</v>
      </c>
      <c r="U969" s="64">
        <v>61.4</v>
      </c>
      <c r="V969" s="64">
        <v>33.200000000000003</v>
      </c>
      <c r="W969" s="64">
        <v>16</v>
      </c>
      <c r="X969" s="64">
        <v>45.4</v>
      </c>
      <c r="Y969" s="64">
        <v>25</v>
      </c>
      <c r="Z969" s="64">
        <v>21</v>
      </c>
      <c r="AA969" s="64">
        <v>26.1</v>
      </c>
      <c r="AB969" s="64">
        <v>7.41</v>
      </c>
      <c r="AC969" s="64">
        <v>104.4</v>
      </c>
      <c r="AD969" s="64">
        <v>7.36</v>
      </c>
      <c r="AE969" s="64">
        <v>103.7</v>
      </c>
      <c r="AF969" s="64">
        <v>2.6</v>
      </c>
      <c r="AG969" s="64">
        <v>95.6</v>
      </c>
      <c r="AH969" s="64">
        <v>2.6</v>
      </c>
      <c r="AI969" s="64">
        <v>95.6</v>
      </c>
      <c r="AJ969" s="64">
        <v>309.7</v>
      </c>
      <c r="AK969" s="64">
        <v>314.89999999999998</v>
      </c>
      <c r="AL969" s="64">
        <v>278.5</v>
      </c>
      <c r="AM969" s="64">
        <v>281.60000000000002</v>
      </c>
      <c r="AN969" s="64">
        <v>105</v>
      </c>
      <c r="AO969" s="64">
        <v>0.86</v>
      </c>
      <c r="AP969" s="64">
        <v>6.5</v>
      </c>
      <c r="AQ969" s="20"/>
      <c r="AR969" s="20"/>
      <c r="AS969" s="20"/>
      <c r="AT969" s="20"/>
      <c r="AU969" s="20"/>
      <c r="AV969" s="20"/>
      <c r="AW969" s="20"/>
      <c r="AX969" s="20"/>
      <c r="AY969" s="41" t="str">
        <f t="shared" si="299"/>
        <v>Incomplete</v>
      </c>
      <c r="AZ969" s="64"/>
      <c r="BA969" s="20" t="str">
        <f t="shared" si="300"/>
        <v>Incomplete</v>
      </c>
      <c r="BB969" s="64"/>
      <c r="BC969" s="20" t="str">
        <f t="shared" si="301"/>
        <v>Incomplete</v>
      </c>
      <c r="BD969" s="64"/>
      <c r="BE969" s="20" t="str">
        <f t="shared" si="302"/>
        <v>Incomplete</v>
      </c>
      <c r="BF969" s="64"/>
      <c r="BG969" s="64">
        <v>8.5</v>
      </c>
      <c r="BH969" s="17">
        <v>45</v>
      </c>
      <c r="BI969" s="20">
        <f t="shared" si="303"/>
        <v>36.5</v>
      </c>
      <c r="BJ969" s="66"/>
      <c r="BK969" s="64"/>
      <c r="BL969" s="66"/>
      <c r="BM969" s="20"/>
      <c r="BN969" s="66"/>
      <c r="BO969" s="64"/>
      <c r="BP969" s="64"/>
      <c r="BQ969" s="64">
        <v>79</v>
      </c>
      <c r="BR969" s="64">
        <v>84</v>
      </c>
      <c r="BS969" s="64">
        <v>75</v>
      </c>
      <c r="BT969" s="64">
        <v>68</v>
      </c>
      <c r="BU969" s="64">
        <v>82</v>
      </c>
      <c r="BV969" s="64">
        <v>77</v>
      </c>
      <c r="BW969" s="91">
        <f t="shared" si="296"/>
        <v>94.896331738437013</v>
      </c>
      <c r="BX969" s="91" t="str">
        <f>_xlfn.XLOOKUP(BW969,'Normative data'!$V$3:$V$6,'Normative data'!$W$3:$W$6,"Not Found",-1)</f>
        <v>High risk</v>
      </c>
      <c r="BY969" s="91">
        <f t="shared" si="297"/>
        <v>90.510366826156314</v>
      </c>
      <c r="BZ969" s="91" t="str">
        <f>_xlfn.XLOOKUP(BY969,'Normative data'!$V$3:$V$6,'Normative data'!$W$3:$W$6,"Not Found",-1)</f>
        <v>High risk</v>
      </c>
      <c r="CA969" s="64">
        <v>31</v>
      </c>
      <c r="CB969" s="66"/>
      <c r="CC969" s="20"/>
      <c r="CD969" s="66"/>
      <c r="CE969" s="64">
        <v>8</v>
      </c>
      <c r="CF969" s="66"/>
      <c r="CG969" s="17">
        <v>17.7</v>
      </c>
      <c r="CH969" s="20" t="str">
        <f>_xlfn.XLOOKUP(CG969, 'Normative data'!$S$9:$S$15,'Normative data'!$T$9:$T$15, "Not Found", -1)</f>
        <v>Above Average</v>
      </c>
      <c r="CI969" s="17">
        <v>17.66</v>
      </c>
      <c r="CJ969" s="20" t="str">
        <f>_xlfn.XLOOKUP(CI969, 'Normative data'!$S$9:$S$15, 'Normative data'!$T$9:$T$15, "Not Found", -1)</f>
        <v>Above Average</v>
      </c>
      <c r="CK969" s="64">
        <v>2.33</v>
      </c>
      <c r="CL969" s="64">
        <v>4.29</v>
      </c>
      <c r="CM969" s="66"/>
      <c r="CN969" s="64">
        <v>7.03</v>
      </c>
      <c r="CO969" s="64">
        <v>7.11</v>
      </c>
      <c r="CP969" s="68"/>
      <c r="CQ969" s="67"/>
      <c r="CR969" s="20" t="str" cm="1">
        <f t="array" ref="CR969">IF(OR(ISBLANK(E969),ISBLANK(CQ969)),"Incomplete",_xlfn.XLOOKUP(CQ969,_xlfn.XLOOKUP(E969,'Normative data'!$Y$3:$Y$6,'Normative data'!$Z$3:$AG$6,,-1),'Normative data'!$Z$2:$AG$2,"Not Found",-1))</f>
        <v>Incomplete</v>
      </c>
      <c r="CS969" s="68"/>
      <c r="CT969" s="66"/>
      <c r="CU969" s="20" t="str" cm="1">
        <f t="array" ref="CU969">_xlfn.XLOOKUP(CS969&amp;CT969,(VLOOKUP!$A$3:$A$250)&amp;(VLOOKUP!$B$3:$B$250),VLOOKUP!$C$3:$C$250,"Incomplete",-1)</f>
        <v>Incomplete</v>
      </c>
      <c r="CV969" s="20" t="str" cm="1">
        <f t="array" ref="CV969">_xlfn.XLOOKUP(CU969, _xlfn.XLOOKUP(E969, 'Normative data'!$Y$11:$Y$14, 'Normative data'!$Z$11:$AG$14, ,-1), 'Normative data'!$Z$10:$AG$10, "Not Found", -1)</f>
        <v>Excellent</v>
      </c>
      <c r="CW969" s="20" t="str" cm="1">
        <f t="array" ref="CW969">IF(OR(ISBLANK(CS969),ISBLANK(CT969)),"Incomplete",_xlfn.XLOOKUP(CS969&amp;CT969,VLOOKUP!$A$4:$A$250&amp;VLOOKUP!$B$4:$B$250,VLOOKUP!$D$4:$D$250,"0"))</f>
        <v>Incomplete</v>
      </c>
    </row>
    <row r="970" spans="1:101">
      <c r="A970" s="64" t="s">
        <v>1063</v>
      </c>
      <c r="B970" s="64" t="s">
        <v>1636</v>
      </c>
      <c r="C970" s="64" t="s">
        <v>86</v>
      </c>
      <c r="D970" s="65"/>
      <c r="E970" s="64"/>
      <c r="F970" s="66" t="s">
        <v>251</v>
      </c>
      <c r="G970" s="64">
        <v>2026</v>
      </c>
      <c r="H970" s="66"/>
      <c r="I970" s="66">
        <v>2</v>
      </c>
      <c r="J970" s="66" t="s">
        <v>88</v>
      </c>
      <c r="K970" s="66" t="s">
        <v>196</v>
      </c>
      <c r="L970" s="66"/>
      <c r="M970" s="64"/>
      <c r="N970" s="64"/>
      <c r="O970" s="64"/>
      <c r="P970" s="64"/>
      <c r="Q970" s="64"/>
      <c r="R970" s="64"/>
      <c r="S970" s="66">
        <v>83</v>
      </c>
      <c r="T970" s="66">
        <v>160.80000000000001</v>
      </c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  <c r="AF970" s="64"/>
      <c r="AG970" s="64"/>
      <c r="AH970" s="64"/>
      <c r="AI970" s="64"/>
      <c r="AJ970" s="64"/>
      <c r="AK970" s="64"/>
      <c r="AL970" s="64"/>
      <c r="AM970" s="64"/>
      <c r="AN970" s="64"/>
      <c r="AO970" s="64"/>
      <c r="AP970" s="64"/>
      <c r="AQ970" s="20"/>
      <c r="AR970" s="20"/>
      <c r="AS970" s="20"/>
      <c r="AT970" s="20"/>
      <c r="AU970" s="20"/>
      <c r="AV970" s="20"/>
      <c r="AW970" s="20"/>
      <c r="AX970" s="20"/>
      <c r="AY970" s="41" t="str">
        <f t="shared" si="299"/>
        <v>Incomplete</v>
      </c>
      <c r="AZ970" s="64"/>
      <c r="BA970" s="20" t="str">
        <f t="shared" si="300"/>
        <v>Incomplete</v>
      </c>
      <c r="BB970" s="64"/>
      <c r="BC970" s="20" t="str">
        <f t="shared" si="301"/>
        <v>Incomplete</v>
      </c>
      <c r="BD970" s="64"/>
      <c r="BE970" s="20" t="str">
        <f t="shared" si="302"/>
        <v>Incomplete</v>
      </c>
      <c r="BF970" s="64"/>
      <c r="BG970" s="64"/>
      <c r="BH970" s="17">
        <v>44.3</v>
      </c>
      <c r="BI970" s="20" t="str">
        <f t="shared" si="303"/>
        <v>Incomplete</v>
      </c>
      <c r="BJ970" s="66"/>
      <c r="BK970" s="64">
        <v>10</v>
      </c>
      <c r="BL970" s="66"/>
      <c r="BM970" s="17">
        <v>8</v>
      </c>
      <c r="BN970" s="66"/>
      <c r="BO970" s="64"/>
      <c r="BP970" s="64"/>
      <c r="BQ970" s="64"/>
      <c r="BR970" s="64"/>
      <c r="BS970" s="64"/>
      <c r="BT970" s="64"/>
      <c r="BU970" s="64"/>
      <c r="BV970" s="64"/>
      <c r="BW970" s="91">
        <f t="shared" si="296"/>
        <v>0</v>
      </c>
      <c r="BX970" s="91" t="str">
        <f>_xlfn.XLOOKUP(BW970,'Normative data'!$V$3:$V$6,'Normative data'!$W$3:$W$6,"Not Found",-1)</f>
        <v>Not completed</v>
      </c>
      <c r="BY970" s="91">
        <f t="shared" si="297"/>
        <v>0</v>
      </c>
      <c r="BZ970" s="91" t="str">
        <f>_xlfn.XLOOKUP(BY970,'Normative data'!$V$3:$V$6,'Normative data'!$W$3:$W$6,"Not Found",-1)</f>
        <v>Not completed</v>
      </c>
      <c r="CA970" s="64"/>
      <c r="CB970" s="66"/>
      <c r="CD970" s="66"/>
      <c r="CE970" s="64"/>
      <c r="CF970" s="66"/>
      <c r="CG970" s="66"/>
      <c r="CH970" s="20" t="str">
        <f>_xlfn.XLOOKUP(CG970, 'Normative data'!$S$9:$S$15,'Normative data'!$T$9:$T$15, "Not Found", -1)</f>
        <v>not completed</v>
      </c>
      <c r="CI970" s="66"/>
      <c r="CJ970" s="20" t="str">
        <f>_xlfn.XLOOKUP(CI970, 'Normative data'!$S$9:$S$15, 'Normative data'!$T$9:$T$15, "Not Found", -1)</f>
        <v>not completed</v>
      </c>
      <c r="CK970" s="64">
        <v>2.19</v>
      </c>
      <c r="CL970" s="64">
        <v>4.57</v>
      </c>
      <c r="CM970" s="66"/>
      <c r="CN970" s="64">
        <v>6.77</v>
      </c>
      <c r="CO970" s="64">
        <v>7.39</v>
      </c>
      <c r="CP970" s="68"/>
      <c r="CQ970" s="67">
        <v>4.3</v>
      </c>
      <c r="CR970" s="20" t="str" cm="1">
        <f t="array" ref="CR970">IF(OR(ISBLANK(E970),ISBLANK(CQ970)),"Incomplete",_xlfn.XLOOKUP(CQ970,_xlfn.XLOOKUP(E970,'Normative data'!$Y$3:$Y$6,'Normative data'!$Z$3:$AG$6,,-1),'Normative data'!$Z$2:$AG$2,"Not Found",-1))</f>
        <v>Incomplete</v>
      </c>
      <c r="CS970" s="68">
        <v>4</v>
      </c>
      <c r="CT970" s="66">
        <v>3</v>
      </c>
      <c r="CU970" s="20" cm="1">
        <f t="array" ref="CU970">_xlfn.XLOOKUP(CS970&amp;CT970,(VLOOKUP!$A$3:$A$250)&amp;(VLOOKUP!$B$3:$B$250),VLOOKUP!$C$3:$C$250,"Incomplete",-1)</f>
        <v>520</v>
      </c>
      <c r="CV970" s="20" t="str" cm="1">
        <f t="array" ref="CV970">_xlfn.XLOOKUP(CU970, _xlfn.XLOOKUP(E970, 'Normative data'!$Y$11:$Y$14, 'Normative data'!$Z$11:$AG$14, ,-1), 'Normative data'!$Z$10:$AG$10, "Not Found", -1)</f>
        <v xml:space="preserve">Very poor </v>
      </c>
      <c r="CW970" s="20" cm="1">
        <f t="array" ref="CW970">IF(OR(ISBLANK(CS970),ISBLANK(CT970)),"Incomplete",_xlfn.XLOOKUP(CS970&amp;CT970,VLOOKUP!$A$4:$A$250&amp;VLOOKUP!$B$4:$B$250,VLOOKUP!$D$4:$D$250,"0"))</f>
        <v>27</v>
      </c>
    </row>
    <row r="971" spans="1:101">
      <c r="A971" s="64" t="s">
        <v>1637</v>
      </c>
      <c r="B971" s="64" t="s">
        <v>1638</v>
      </c>
      <c r="C971" s="64" t="s">
        <v>86</v>
      </c>
      <c r="D971" s="65">
        <v>40759</v>
      </c>
      <c r="E971" s="64">
        <v>15.1</v>
      </c>
      <c r="F971" s="66" t="s">
        <v>154</v>
      </c>
      <c r="G971" s="64">
        <v>2026</v>
      </c>
      <c r="H971" s="66"/>
      <c r="I971" s="66">
        <v>2</v>
      </c>
      <c r="J971" s="66" t="s">
        <v>88</v>
      </c>
      <c r="K971" s="66" t="s">
        <v>1639</v>
      </c>
      <c r="L971" s="66"/>
      <c r="M971" s="64"/>
      <c r="N971" s="64"/>
      <c r="O971" s="64"/>
      <c r="P971" s="64"/>
      <c r="Q971" s="64"/>
      <c r="R971" s="64"/>
      <c r="S971" s="66">
        <v>82.8</v>
      </c>
      <c r="T971" s="66">
        <v>158</v>
      </c>
      <c r="U971" s="64">
        <v>57.4</v>
      </c>
      <c r="V971" s="64">
        <v>29.4</v>
      </c>
      <c r="W971" s="64">
        <v>17.2</v>
      </c>
      <c r="X971" s="64">
        <v>40.200000000000003</v>
      </c>
      <c r="Y971" s="64">
        <v>22.1</v>
      </c>
      <c r="Z971" s="64">
        <v>23</v>
      </c>
      <c r="AA971" s="64">
        <v>29.9</v>
      </c>
      <c r="AB971" s="64">
        <v>6.26</v>
      </c>
      <c r="AC971" s="64">
        <v>106</v>
      </c>
      <c r="AD971" s="64">
        <v>6.36</v>
      </c>
      <c r="AE971" s="64">
        <v>107.7</v>
      </c>
      <c r="AF971" s="64">
        <v>2.9</v>
      </c>
      <c r="AG971" s="64">
        <v>138.30000000000001</v>
      </c>
      <c r="AH971" s="64">
        <v>2.9</v>
      </c>
      <c r="AI971" s="64">
        <v>138.6</v>
      </c>
      <c r="AJ971" s="64">
        <v>291.5</v>
      </c>
      <c r="AK971" s="64">
        <v>280.7</v>
      </c>
      <c r="AL971" s="64">
        <v>255.8</v>
      </c>
      <c r="AM971" s="64">
        <v>246.4</v>
      </c>
      <c r="AN971" s="64">
        <v>85</v>
      </c>
      <c r="AO971" s="64">
        <v>0.82</v>
      </c>
      <c r="AP971" s="64">
        <v>6.6</v>
      </c>
      <c r="AQ971" s="64">
        <v>22.2</v>
      </c>
      <c r="AR971" s="64">
        <v>0.42599999999999999</v>
      </c>
      <c r="AS971" s="64">
        <v>24.3</v>
      </c>
      <c r="AT971" s="64">
        <v>0.44500000000000001</v>
      </c>
      <c r="AU971" s="64">
        <v>11.9</v>
      </c>
      <c r="AV971" s="64">
        <v>0.311</v>
      </c>
      <c r="AW971" s="64">
        <v>12.2</v>
      </c>
      <c r="AX971" s="64">
        <v>0.315</v>
      </c>
      <c r="AY971" s="41">
        <f t="shared" si="299"/>
        <v>1892.7599999999998</v>
      </c>
      <c r="AZ971" s="64"/>
      <c r="BA971" s="20">
        <f t="shared" si="300"/>
        <v>2020.23</v>
      </c>
      <c r="BB971" s="64"/>
      <c r="BC971" s="20">
        <f t="shared" si="301"/>
        <v>1267.5499999999997</v>
      </c>
      <c r="BD971" s="64"/>
      <c r="BE971" s="20">
        <f t="shared" si="302"/>
        <v>1285.7599999999998</v>
      </c>
      <c r="BF971" s="64"/>
      <c r="BG971" s="64">
        <v>14</v>
      </c>
      <c r="BH971" s="64">
        <v>39</v>
      </c>
      <c r="BI971" s="20">
        <f t="shared" si="303"/>
        <v>25</v>
      </c>
      <c r="BJ971" s="66"/>
      <c r="BK971" s="64">
        <v>12.9</v>
      </c>
      <c r="BL971" s="66"/>
      <c r="BM971" s="64">
        <v>10</v>
      </c>
      <c r="BN971" s="66"/>
      <c r="BO971" s="64">
        <v>45.7</v>
      </c>
      <c r="BP971" s="64">
        <v>48.3</v>
      </c>
      <c r="BQ971" s="64">
        <v>83</v>
      </c>
      <c r="BR971" s="64">
        <v>77</v>
      </c>
      <c r="BS971" s="64">
        <v>74</v>
      </c>
      <c r="BT971" s="64">
        <v>70</v>
      </c>
      <c r="BU971" s="64">
        <v>72</v>
      </c>
      <c r="BV971" s="64">
        <v>68</v>
      </c>
      <c r="BW971" s="91">
        <f t="shared" ref="BW971:BW1002" si="304">IFERROR(SUM(BQ971+BR971+BS971)/(3*(T971-S971))*100, "Incomplete")</f>
        <v>103.72340425531914</v>
      </c>
      <c r="BX971" s="91" t="str">
        <f>_xlfn.XLOOKUP(BW971,'Normative data'!$V$3:$V$6,'Normative data'!$W$3:$W$6,"Not Found",-1)</f>
        <v>Low risk</v>
      </c>
      <c r="BY971" s="91">
        <f t="shared" ref="BY971:BY1002" si="305">IFERROR(SUM(BT971+BU971+BV971)/(3*(T971-S971))*100, "Incomplete")</f>
        <v>93.085106382978708</v>
      </c>
      <c r="BZ971" s="91" t="str">
        <f>_xlfn.XLOOKUP(BY971,'Normative data'!$V$3:$V$6,'Normative data'!$W$3:$W$6,"Not Found",-1)</f>
        <v>High risk</v>
      </c>
      <c r="CA971" s="64">
        <v>29</v>
      </c>
      <c r="CB971" s="66"/>
      <c r="CC971" s="20"/>
      <c r="CD971" s="66"/>
      <c r="CE971" s="64">
        <v>24</v>
      </c>
      <c r="CF971" s="66"/>
      <c r="CG971" s="64">
        <v>18.05</v>
      </c>
      <c r="CH971" s="20" t="str">
        <f>_xlfn.XLOOKUP(CG971, 'Normative data'!$S$9:$S$15,'Normative data'!$T$9:$T$15, "Not Found", -1)</f>
        <v>Average</v>
      </c>
      <c r="CI971" s="64">
        <v>17.88</v>
      </c>
      <c r="CJ971" s="20" t="str">
        <f>_xlfn.XLOOKUP(CI971, 'Normative data'!$S$9:$S$15, 'Normative data'!$T$9:$T$15, "Not Found", -1)</f>
        <v>Above Average</v>
      </c>
      <c r="CK971" s="64">
        <v>2.2799999999999998</v>
      </c>
      <c r="CL971" s="64">
        <v>4.3899999999999997</v>
      </c>
      <c r="CM971" s="66"/>
      <c r="CN971" s="64">
        <v>6.74</v>
      </c>
      <c r="CO971" s="64">
        <v>7.42</v>
      </c>
      <c r="CP971" s="68"/>
      <c r="CQ971" s="67">
        <v>8.1</v>
      </c>
      <c r="CR971" s="20" t="str" cm="1">
        <f t="array" ref="CR971">IF(OR(ISBLANK(E971),ISBLANK(CQ971)),"Incomplete",_xlfn.XLOOKUP(CQ971,_xlfn.XLOOKUP(E971,'Normative data'!$Y$3:$Y$6,'Normative data'!$Z$3:$AG$6,,-1),'Normative data'!$Z$2:$AG$2,"Not Found",-1))</f>
        <v>Good</v>
      </c>
      <c r="CS971" s="68">
        <v>8</v>
      </c>
      <c r="CT971" s="66">
        <v>1</v>
      </c>
      <c r="CU971" s="20" cm="1">
        <f t="array" ref="CU971">_xlfn.XLOOKUP(CS971&amp;CT971,(VLOOKUP!$A$3:$A$250)&amp;(VLOOKUP!$B$3:$B$250),VLOOKUP!$C$3:$C$250,"Incomplete",-1)</f>
        <v>1240</v>
      </c>
      <c r="CV971" s="20" t="str" cm="1">
        <f t="array" ref="CV971">_xlfn.XLOOKUP(CU971, _xlfn.XLOOKUP(E971, 'Normative data'!$Y$11:$Y$14, 'Normative data'!$Z$11:$AG$14, ,-1), 'Normative data'!$Z$10:$AG$10, "Not Found", -1)</f>
        <v>Average</v>
      </c>
      <c r="CW971" s="20" cm="1">
        <f t="array" ref="CW971">IF(OR(ISBLANK(CS971),ISBLANK(CT971)),"Incomplete",_xlfn.XLOOKUP(CS971&amp;CT971,VLOOKUP!$A$4:$A$250&amp;VLOOKUP!$B$4:$B$250,VLOOKUP!$D$4:$D$250,"0"))</f>
        <v>40</v>
      </c>
    </row>
    <row r="972" spans="1:101">
      <c r="A972" s="64" t="s">
        <v>916</v>
      </c>
      <c r="B972" s="64" t="s">
        <v>915</v>
      </c>
      <c r="C972" s="64" t="s">
        <v>86</v>
      </c>
      <c r="D972" s="65">
        <v>40718</v>
      </c>
      <c r="E972" s="64"/>
      <c r="F972" s="66" t="s">
        <v>217</v>
      </c>
      <c r="G972" s="64">
        <v>2026</v>
      </c>
      <c r="H972" s="66"/>
      <c r="I972" s="66">
        <v>2</v>
      </c>
      <c r="J972" s="66" t="s">
        <v>122</v>
      </c>
      <c r="K972" s="66" t="s">
        <v>556</v>
      </c>
      <c r="L972" s="66"/>
      <c r="M972" s="64"/>
      <c r="N972" s="64"/>
      <c r="O972" s="64"/>
      <c r="P972" s="64"/>
      <c r="Q972" s="64"/>
      <c r="R972" s="64"/>
      <c r="S972" s="66">
        <v>78</v>
      </c>
      <c r="T972" s="66">
        <v>162.6</v>
      </c>
      <c r="U972" s="64">
        <v>47.3</v>
      </c>
      <c r="V972" s="64">
        <v>27.1</v>
      </c>
      <c r="W972" s="64">
        <v>10.199999999999999</v>
      </c>
      <c r="X972" s="64">
        <v>37.1</v>
      </c>
      <c r="Y972" s="64">
        <v>19.8</v>
      </c>
      <c r="Z972" s="64"/>
      <c r="AA972" s="64">
        <v>21.6</v>
      </c>
      <c r="AB972" s="64">
        <v>5.58</v>
      </c>
      <c r="AC972" s="64">
        <v>102.1</v>
      </c>
      <c r="AD972" s="64">
        <v>5.66</v>
      </c>
      <c r="AE972" s="64">
        <v>103.6</v>
      </c>
      <c r="AF972" s="64">
        <v>1.8</v>
      </c>
      <c r="AG972" s="64">
        <v>75.099999999999994</v>
      </c>
      <c r="AH972" s="64">
        <v>1.8</v>
      </c>
      <c r="AI972" s="64">
        <v>75.3</v>
      </c>
      <c r="AJ972" s="64">
        <v>348.6</v>
      </c>
      <c r="AK972" s="64">
        <v>337.7</v>
      </c>
      <c r="AL972" s="64">
        <v>313.10000000000002</v>
      </c>
      <c r="AM972" s="64">
        <v>304.5</v>
      </c>
      <c r="AN972" s="64">
        <v>93</v>
      </c>
      <c r="AO972" s="64"/>
      <c r="AP972" s="64"/>
      <c r="AQ972" s="66"/>
      <c r="AR972" s="66"/>
      <c r="AS972" s="66"/>
      <c r="AT972" s="66"/>
      <c r="AU972" s="66"/>
      <c r="AV972" s="66"/>
      <c r="AW972" s="66"/>
      <c r="AX972" s="66"/>
      <c r="AY972" s="41" t="str">
        <f t="shared" si="299"/>
        <v>Incomplete</v>
      </c>
      <c r="AZ972" s="64"/>
      <c r="BA972" s="20" t="str">
        <f t="shared" si="300"/>
        <v>Incomplete</v>
      </c>
      <c r="BB972" s="64"/>
      <c r="BC972" s="20" t="str">
        <f t="shared" si="301"/>
        <v>Incomplete</v>
      </c>
      <c r="BD972" s="64"/>
      <c r="BE972" s="20" t="str">
        <f t="shared" si="302"/>
        <v>Incomplete</v>
      </c>
      <c r="BF972" s="64"/>
      <c r="BG972" s="64">
        <v>9</v>
      </c>
      <c r="BH972" s="64">
        <v>34</v>
      </c>
      <c r="BI972" s="20">
        <f t="shared" si="303"/>
        <v>25</v>
      </c>
      <c r="BJ972" s="66"/>
      <c r="BK972" s="64">
        <v>14</v>
      </c>
      <c r="BL972" s="66"/>
      <c r="BM972" s="64">
        <v>16</v>
      </c>
      <c r="BN972" s="66"/>
      <c r="BO972" s="64">
        <v>41</v>
      </c>
      <c r="BP972" s="64">
        <v>42</v>
      </c>
      <c r="BQ972" s="64">
        <v>81</v>
      </c>
      <c r="BR972" s="64">
        <v>81</v>
      </c>
      <c r="BS972" s="64">
        <v>74</v>
      </c>
      <c r="BT972" s="64">
        <v>75</v>
      </c>
      <c r="BU972" s="64">
        <v>89</v>
      </c>
      <c r="BV972" s="64">
        <v>74</v>
      </c>
      <c r="BW972" s="91">
        <f t="shared" si="304"/>
        <v>92.986603624901505</v>
      </c>
      <c r="BX972" s="91" t="str">
        <f>_xlfn.XLOOKUP(BW972,'Normative data'!$V$3:$V$6,'Normative data'!$W$3:$W$6,"Not Found",-1)</f>
        <v>High risk</v>
      </c>
      <c r="BY972" s="91">
        <f t="shared" si="305"/>
        <v>93.774625689519311</v>
      </c>
      <c r="BZ972" s="91" t="str">
        <f>_xlfn.XLOOKUP(BY972,'Normative data'!$V$3:$V$6,'Normative data'!$W$3:$W$6,"Not Found",-1)</f>
        <v>High risk</v>
      </c>
      <c r="CA972" s="64">
        <v>28</v>
      </c>
      <c r="CB972" s="66"/>
      <c r="CC972" s="20"/>
      <c r="CD972" s="66"/>
      <c r="CE972" s="64">
        <v>4</v>
      </c>
      <c r="CF972" s="66"/>
      <c r="CG972" s="66"/>
      <c r="CH972" s="20" t="str">
        <f>_xlfn.XLOOKUP(CG972, 'Normative data'!$S$9:$S$15,'Normative data'!$T$9:$T$15, "Not Found", -1)</f>
        <v>not completed</v>
      </c>
      <c r="CI972" s="66"/>
      <c r="CJ972" s="20" t="str">
        <f>_xlfn.XLOOKUP(CI972, 'Normative data'!$S$9:$S$15, 'Normative data'!$T$9:$T$15, "Not Found", -1)</f>
        <v>not completed</v>
      </c>
      <c r="CK972" s="64">
        <v>2.2999999999999998</v>
      </c>
      <c r="CL972" s="64">
        <v>4.3499999999999996</v>
      </c>
      <c r="CM972" s="66"/>
      <c r="CN972" s="64">
        <v>7.14</v>
      </c>
      <c r="CO972" s="64">
        <v>7</v>
      </c>
      <c r="CP972" s="68"/>
      <c r="CQ972" s="67">
        <v>4.9000000000000004</v>
      </c>
      <c r="CR972" s="20" t="str" cm="1">
        <f t="array" ref="CR972">IF(OR(ISBLANK(E972),ISBLANK(CQ972)),"Incomplete",_xlfn.XLOOKUP(CQ972,_xlfn.XLOOKUP(E972,'Normative data'!$Y$3:$Y$6,'Normative data'!$Z$3:$AG$6,,-1),'Normative data'!$Z$2:$AG$2,"Not Found",-1))</f>
        <v>Incomplete</v>
      </c>
      <c r="CS972" s="68">
        <v>4</v>
      </c>
      <c r="CT972" s="66">
        <v>9</v>
      </c>
      <c r="CU972" s="20" cm="1">
        <f t="array" ref="CU972">_xlfn.XLOOKUP(CS972&amp;CT972,(VLOOKUP!$A$3:$A$250)&amp;(VLOOKUP!$B$3:$B$250),VLOOKUP!$C$3:$C$250,"Incomplete",-1)</f>
        <v>640</v>
      </c>
      <c r="CV972" s="20" t="str" cm="1">
        <f t="array" ref="CV972">_xlfn.XLOOKUP(CU972, _xlfn.XLOOKUP(E972, 'Normative data'!$Y$11:$Y$14, 'Normative data'!$Z$11:$AG$14, ,-1), 'Normative data'!$Z$10:$AG$10, "Not Found", -1)</f>
        <v xml:space="preserve">Poor </v>
      </c>
      <c r="CW972" s="20" cm="1">
        <f t="array" ref="CW972">IF(OR(ISBLANK(CS972),ISBLANK(CT972)),"Incomplete",_xlfn.XLOOKUP(CS972&amp;CT972,VLOOKUP!$A$4:$A$250&amp;VLOOKUP!$B$4:$B$250,VLOOKUP!$D$4:$D$250,"0"))</f>
        <v>30</v>
      </c>
    </row>
    <row r="973" spans="1:101">
      <c r="A973" s="93" t="s">
        <v>913</v>
      </c>
      <c r="B973" s="93" t="s">
        <v>1034</v>
      </c>
      <c r="C973" s="64" t="s">
        <v>86</v>
      </c>
      <c r="D973" s="96">
        <v>40305</v>
      </c>
      <c r="E973" s="64"/>
      <c r="F973" s="64">
        <v>9</v>
      </c>
      <c r="G973" s="64">
        <v>2025</v>
      </c>
      <c r="H973" s="66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  <c r="AD973" s="66"/>
      <c r="AE973" s="66"/>
      <c r="AF973" s="66"/>
      <c r="AG973" s="66"/>
      <c r="AH973" s="66"/>
      <c r="AI973" s="66"/>
      <c r="AJ973" s="66"/>
      <c r="AK973" s="66"/>
      <c r="AL973" s="66"/>
      <c r="AM973" s="66"/>
      <c r="AN973" s="66"/>
      <c r="AO973" s="66"/>
      <c r="AP973" s="66"/>
      <c r="AQ973" s="66"/>
      <c r="AR973" s="66"/>
      <c r="AS973" s="66"/>
      <c r="AT973" s="66"/>
      <c r="AU973" s="66"/>
      <c r="AV973" s="66"/>
      <c r="AW973" s="66"/>
      <c r="AX973" s="66"/>
      <c r="AY973" s="41" t="str">
        <f t="shared" si="299"/>
        <v>Incomplete</v>
      </c>
      <c r="AZ973" s="66"/>
      <c r="BA973" s="20" t="str">
        <f t="shared" si="300"/>
        <v>Incomplete</v>
      </c>
      <c r="BB973" s="66"/>
      <c r="BC973" s="20" t="str">
        <f t="shared" si="301"/>
        <v>Incomplete</v>
      </c>
      <c r="BD973" s="66"/>
      <c r="BE973" s="20" t="str">
        <f t="shared" si="302"/>
        <v>Incomplete</v>
      </c>
      <c r="BF973" s="66"/>
      <c r="BG973" s="66">
        <v>17</v>
      </c>
      <c r="BH973" s="66">
        <v>27.8</v>
      </c>
      <c r="BI973" s="20" t="e">
        <f>IF(OR(ISBLANK(#REF!), ISBLANK(#REF!)),"Incomplete",(SUM(#REF!-#REF!)))</f>
        <v>#REF!</v>
      </c>
      <c r="BJ973" s="66"/>
      <c r="BK973" s="66"/>
      <c r="BL973" s="66"/>
      <c r="BM973" s="66"/>
      <c r="BN973" s="66"/>
      <c r="BO973" s="66"/>
      <c r="BP973" s="66"/>
      <c r="BQ973" s="66"/>
      <c r="BR973" s="66"/>
      <c r="BS973" s="66"/>
      <c r="BT973" s="66"/>
      <c r="BU973" s="66"/>
      <c r="BV973" s="66"/>
      <c r="BW973" s="91" t="str">
        <f t="shared" si="304"/>
        <v>Incomplete</v>
      </c>
      <c r="BX973" s="91" t="str">
        <f>_xlfn.XLOOKUP(BW973,'Normative data'!$V$3:$V$6,'Normative data'!$W$3:$W$6,"Not Found",-1)</f>
        <v>Very low risk</v>
      </c>
      <c r="BY973" s="91" t="str">
        <f t="shared" si="305"/>
        <v>Incomplete</v>
      </c>
      <c r="BZ973" s="91" t="str">
        <f>_xlfn.XLOOKUP(BY973,'Normative data'!$V$3:$V$6,'Normative data'!$W$3:$W$6,"Not Found",-1)</f>
        <v>Very low risk</v>
      </c>
      <c r="CA973" s="66"/>
      <c r="CB973" s="66"/>
      <c r="CC973" s="20"/>
      <c r="CD973" s="66"/>
      <c r="CE973" s="66"/>
      <c r="CF973" s="66"/>
      <c r="CG973" s="66"/>
      <c r="CH973" s="20" t="str">
        <f>_xlfn.XLOOKUP(CG973, 'Normative data'!$S$9:$S$15,'Normative data'!$T$9:$T$15, "Not Found", -1)</f>
        <v>not completed</v>
      </c>
      <c r="CI973" s="66"/>
      <c r="CJ973" s="20" t="str">
        <f>_xlfn.XLOOKUP(CI973, 'Normative data'!$S$9:$S$15, 'Normative data'!$T$9:$T$15, "Not Found", -1)</f>
        <v>not completed</v>
      </c>
      <c r="CK973" s="21">
        <v>2.25</v>
      </c>
      <c r="CL973" s="21">
        <v>4.4400000000000004</v>
      </c>
      <c r="CM973" s="21"/>
      <c r="CN973" s="21">
        <v>7.27</v>
      </c>
      <c r="CO973" s="21">
        <v>6.88</v>
      </c>
      <c r="CP973" s="109"/>
      <c r="CQ973" s="68"/>
      <c r="CR973" s="20" t="str" cm="1">
        <f t="array" ref="CR973">IF(OR(ISBLANK(E973),ISBLANK(CQ973)),"Incomplete",_xlfn.XLOOKUP(CQ973,_xlfn.XLOOKUP(E973,'Normative data'!$Y$3:$Y$6,'Normative data'!$Z$3:$AG$6,,-1),'Normative data'!$Z$2:$AG$2,"Not Found",-1))</f>
        <v>Incomplete</v>
      </c>
      <c r="CS973" s="68"/>
      <c r="CT973" s="66"/>
      <c r="CU973" s="20" t="str" cm="1">
        <f t="array" ref="CU973">_xlfn.XLOOKUP(CS973&amp;CT973,(VLOOKUP!$A$3:$A$250)&amp;(VLOOKUP!$B$3:$B$250),VLOOKUP!$C$3:$C$250,"Incomplete",-1)</f>
        <v>Incomplete</v>
      </c>
      <c r="CV973" s="20" t="str" cm="1">
        <f t="array" ref="CV973">_xlfn.XLOOKUP(CU973, _xlfn.XLOOKUP(E973, 'Normative data'!$Y$11:$Y$14, 'Normative data'!$Z$11:$AG$14, ,-1), 'Normative data'!$Z$10:$AG$10, "Not Found", -1)</f>
        <v>Excellent</v>
      </c>
      <c r="CW973" s="20" t="str" cm="1">
        <f t="array" ref="CW973">IF(OR(ISBLANK(CS973),ISBLANK(CT973)),"Incomplete",_xlfn.XLOOKUP(CS973&amp;CT973,VLOOKUP!$A$4:$A$250&amp;VLOOKUP!$B$4:$B$250,VLOOKUP!$D$4:$D$250,"0"))</f>
        <v>Incomplete</v>
      </c>
    </row>
    <row r="974" spans="1:101">
      <c r="A974" s="64" t="s">
        <v>879</v>
      </c>
      <c r="B974" s="64" t="s">
        <v>1034</v>
      </c>
      <c r="C974" s="64" t="s">
        <v>86</v>
      </c>
      <c r="D974" s="96">
        <v>40305</v>
      </c>
      <c r="E974" s="64"/>
      <c r="F974" s="64">
        <v>9</v>
      </c>
      <c r="G974" s="64">
        <v>2025</v>
      </c>
      <c r="H974" s="66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  <c r="AD974" s="66"/>
      <c r="AE974" s="66"/>
      <c r="AF974" s="66"/>
      <c r="AG974" s="66"/>
      <c r="AH974" s="66"/>
      <c r="AI974" s="66"/>
      <c r="AJ974" s="66"/>
      <c r="AK974" s="66"/>
      <c r="AL974" s="66"/>
      <c r="AM974" s="66"/>
      <c r="AN974" s="66"/>
      <c r="AO974" s="66"/>
      <c r="AP974" s="66"/>
      <c r="AQ974" s="20"/>
      <c r="AR974" s="20"/>
      <c r="AS974" s="20"/>
      <c r="AT974" s="20"/>
      <c r="AU974" s="20"/>
      <c r="AV974" s="20"/>
      <c r="AW974" s="20"/>
      <c r="AX974" s="20"/>
      <c r="AY974" s="41" t="str">
        <f t="shared" si="299"/>
        <v>Incomplete</v>
      </c>
      <c r="AZ974" s="66"/>
      <c r="BA974" s="20" t="str">
        <f t="shared" si="300"/>
        <v>Incomplete</v>
      </c>
      <c r="BB974" s="66"/>
      <c r="BC974" s="20" t="str">
        <f t="shared" si="301"/>
        <v>Incomplete</v>
      </c>
      <c r="BD974" s="66"/>
      <c r="BE974" s="20" t="str">
        <f t="shared" si="302"/>
        <v>Incomplete</v>
      </c>
      <c r="BF974" s="66"/>
      <c r="BG974" s="66"/>
      <c r="BH974" s="66"/>
      <c r="BI974" s="20" t="str">
        <f t="shared" ref="BI974:BI981" si="306">IF(OR(ISBLANK(BG974), ISBLANK(BH974)),"Incomplete",(SUM(BH974-BG974)))</f>
        <v>Incomplete</v>
      </c>
      <c r="BJ974" s="66"/>
      <c r="BK974" s="66"/>
      <c r="BL974" s="66"/>
      <c r="BM974" s="20"/>
      <c r="BN974" s="66"/>
      <c r="BO974" s="66"/>
      <c r="BP974" s="66"/>
      <c r="BQ974" s="66"/>
      <c r="BR974" s="66"/>
      <c r="BS974" s="66"/>
      <c r="BT974" s="66"/>
      <c r="BU974" s="66"/>
      <c r="BV974" s="66"/>
      <c r="BW974" s="91" t="str">
        <f t="shared" si="304"/>
        <v>Incomplete</v>
      </c>
      <c r="BX974" s="91" t="str">
        <f>_xlfn.XLOOKUP(BW974,'Normative data'!$V$3:$V$6,'Normative data'!$W$3:$W$6,"Not Found",-1)</f>
        <v>Very low risk</v>
      </c>
      <c r="BY974" s="91" t="str">
        <f t="shared" si="305"/>
        <v>Incomplete</v>
      </c>
      <c r="BZ974" s="91" t="str">
        <f>_xlfn.XLOOKUP(BY974,'Normative data'!$V$3:$V$6,'Normative data'!$W$3:$W$6,"Not Found",-1)</f>
        <v>Very low risk</v>
      </c>
      <c r="CA974" s="66"/>
      <c r="CB974" s="66"/>
      <c r="CC974" s="20"/>
      <c r="CD974" s="66"/>
      <c r="CE974" s="66"/>
      <c r="CF974" s="66"/>
      <c r="CG974" s="66"/>
      <c r="CH974" s="20" t="str">
        <f>_xlfn.XLOOKUP(CG974, 'Normative data'!$S$9:$S$15,'Normative data'!$T$9:$T$15, "Not Found", -1)</f>
        <v>not completed</v>
      </c>
      <c r="CI974" s="66"/>
      <c r="CJ974" s="20" t="str">
        <f>_xlfn.XLOOKUP(CI974, 'Normative data'!$S$9:$S$15, 'Normative data'!$T$9:$T$15, "Not Found", -1)</f>
        <v>not completed</v>
      </c>
      <c r="CK974" s="66" t="s">
        <v>116</v>
      </c>
      <c r="CL974" s="66" t="s">
        <v>117</v>
      </c>
      <c r="CM974" s="66"/>
      <c r="CN974" s="66" t="s">
        <v>1189</v>
      </c>
      <c r="CO974" s="66" t="s">
        <v>1188</v>
      </c>
      <c r="CP974" s="68"/>
      <c r="CQ974" s="68"/>
      <c r="CR974" s="20" t="str" cm="1">
        <f t="array" ref="CR974">IF(OR(ISBLANK(E974),ISBLANK(CQ974)),"Incomplete",_xlfn.XLOOKUP(CQ974,_xlfn.XLOOKUP(E974,'Normative data'!$Y$3:$Y$6,'Normative data'!$Z$3:$AG$6,,-1),'Normative data'!$Z$2:$AG$2,"Not Found",-1))</f>
        <v>Incomplete</v>
      </c>
      <c r="CS974" s="68"/>
      <c r="CT974" s="66"/>
      <c r="CU974" s="20" t="str" cm="1">
        <f t="array" ref="CU974">_xlfn.XLOOKUP(CS974&amp;CT974,(VLOOKUP!$A$3:$A$250)&amp;(VLOOKUP!$B$3:$B$250),VLOOKUP!$C$3:$C$250,"Incomplete",-1)</f>
        <v>Incomplete</v>
      </c>
      <c r="CV974" s="20" t="str" cm="1">
        <f t="array" ref="CV974">_xlfn.XLOOKUP(CU974, _xlfn.XLOOKUP(E974, 'Normative data'!$Y$11:$Y$14, 'Normative data'!$Z$11:$AG$14, ,-1), 'Normative data'!$Z$10:$AG$10, "Not Found", -1)</f>
        <v>Excellent</v>
      </c>
      <c r="CW974" s="20" t="str" cm="1">
        <f t="array" ref="CW974">IF(OR(ISBLANK(CS974),ISBLANK(CT974)),"Incomplete",_xlfn.XLOOKUP(CS974&amp;CT974,VLOOKUP!$A$4:$A$250&amp;VLOOKUP!$B$4:$B$250,VLOOKUP!$D$4:$D$250,"0"))</f>
        <v>Incomplete</v>
      </c>
    </row>
    <row r="975" spans="1:101">
      <c r="A975" s="64" t="s">
        <v>1640</v>
      </c>
      <c r="B975" s="64" t="s">
        <v>1641</v>
      </c>
      <c r="C975" s="64" t="s">
        <v>86</v>
      </c>
      <c r="D975" s="65"/>
      <c r="E975" s="64"/>
      <c r="F975" s="66" t="s">
        <v>110</v>
      </c>
      <c r="G975" s="64">
        <v>2026</v>
      </c>
      <c r="H975" s="66"/>
      <c r="I975" s="66">
        <v>2</v>
      </c>
      <c r="J975" s="66"/>
      <c r="K975" s="66"/>
      <c r="L975" s="66"/>
      <c r="M975" s="64"/>
      <c r="N975" s="64"/>
      <c r="O975" s="64"/>
      <c r="P975" s="64"/>
      <c r="Q975" s="64"/>
      <c r="R975" s="64"/>
      <c r="S975" s="66"/>
      <c r="T975" s="66"/>
      <c r="U975" s="64"/>
      <c r="V975" s="69"/>
      <c r="W975" s="69"/>
      <c r="X975" s="69"/>
      <c r="Y975" s="69"/>
      <c r="Z975" s="69"/>
      <c r="AA975" s="69"/>
      <c r="AB975" s="69"/>
      <c r="AC975" s="69"/>
      <c r="AD975" s="69"/>
      <c r="AE975" s="69"/>
      <c r="AF975" s="69"/>
      <c r="AG975" s="69"/>
      <c r="AH975" s="69"/>
      <c r="AI975" s="69"/>
      <c r="AJ975" s="69"/>
      <c r="AK975" s="69"/>
      <c r="AL975" s="69"/>
      <c r="AM975" s="69"/>
      <c r="AN975" s="69"/>
      <c r="AO975" s="69"/>
      <c r="AP975" s="69"/>
      <c r="AY975" s="41" t="str">
        <f t="shared" si="299"/>
        <v>Incomplete</v>
      </c>
      <c r="AZ975" s="64"/>
      <c r="BA975" s="20" t="str">
        <f t="shared" si="300"/>
        <v>Incomplete</v>
      </c>
      <c r="BB975" s="64"/>
      <c r="BC975" s="20" t="str">
        <f t="shared" si="301"/>
        <v>Incomplete</v>
      </c>
      <c r="BD975" s="64"/>
      <c r="BE975" s="20" t="str">
        <f t="shared" si="302"/>
        <v>Incomplete</v>
      </c>
      <c r="BF975" s="64"/>
      <c r="BG975" s="64"/>
      <c r="BH975" s="66"/>
      <c r="BI975" s="20" t="str">
        <f t="shared" si="306"/>
        <v>Incomplete</v>
      </c>
      <c r="BJ975" s="66"/>
      <c r="BK975" s="64"/>
      <c r="BL975" s="66"/>
      <c r="BM975" s="64"/>
      <c r="BN975" s="66"/>
      <c r="BO975" s="64"/>
      <c r="BP975" s="64"/>
      <c r="BQ975" s="64">
        <v>79</v>
      </c>
      <c r="BR975" s="64">
        <v>81</v>
      </c>
      <c r="BS975" s="64">
        <v>74</v>
      </c>
      <c r="BT975" s="64">
        <v>76</v>
      </c>
      <c r="BU975" s="64">
        <v>78</v>
      </c>
      <c r="BV975" s="64">
        <v>78</v>
      </c>
      <c r="BW975" s="91" t="str">
        <f t="shared" si="304"/>
        <v>Incomplete</v>
      </c>
      <c r="BX975" s="91" t="str">
        <f>_xlfn.XLOOKUP(BW975,'Normative data'!$V$3:$V$6,'Normative data'!$W$3:$W$6,"Not Found",-1)</f>
        <v>Very low risk</v>
      </c>
      <c r="BY975" s="91" t="str">
        <f t="shared" si="305"/>
        <v>Incomplete</v>
      </c>
      <c r="BZ975" s="91" t="str">
        <f>_xlfn.XLOOKUP(BY975,'Normative data'!$V$3:$V$6,'Normative data'!$W$3:$W$6,"Not Found",-1)</f>
        <v>Very low risk</v>
      </c>
      <c r="CA975" s="64"/>
      <c r="CB975" s="66"/>
      <c r="CC975" s="64"/>
      <c r="CD975" s="66"/>
      <c r="CE975" s="64"/>
      <c r="CF975" s="66"/>
      <c r="CG975" s="17">
        <v>18.809999999999999</v>
      </c>
      <c r="CH975" s="20" t="str">
        <f>_xlfn.XLOOKUP(CG975, 'Normative data'!$S$9:$S$15,'Normative data'!$T$9:$T$15, "Not Found", -1)</f>
        <v>Average</v>
      </c>
      <c r="CI975" s="17">
        <v>19.22</v>
      </c>
      <c r="CJ975" s="20" t="str">
        <f>_xlfn.XLOOKUP(CI975, 'Normative data'!$S$9:$S$15, 'Normative data'!$T$9:$T$15, "Not Found", -1)</f>
        <v>Average</v>
      </c>
      <c r="CK975" s="21"/>
      <c r="CL975" s="21"/>
      <c r="CM975" s="21"/>
      <c r="CN975" s="21"/>
      <c r="CO975" s="21"/>
      <c r="CP975" s="68"/>
      <c r="CQ975" s="67"/>
      <c r="CR975" s="20" t="str" cm="1">
        <f t="array" ref="CR975">IF(OR(ISBLANK(E975),ISBLANK(CQ975)),"Incomplete",_xlfn.XLOOKUP(CQ975,_xlfn.XLOOKUP(E975,'Normative data'!$Y$3:$Y$6,'Normative data'!$Z$3:$AG$6,,-1),'Normative data'!$Z$2:$AG$2,"Not Found",-1))</f>
        <v>Incomplete</v>
      </c>
      <c r="CS975" s="68"/>
      <c r="CT975" s="66"/>
      <c r="CU975" s="20" t="str" cm="1">
        <f t="array" ref="CU975">_xlfn.XLOOKUP(CS975&amp;CT975,(VLOOKUP!$A$3:$A$250)&amp;(VLOOKUP!$B$3:$B$250),VLOOKUP!$C$3:$C$250,"Incomplete",-1)</f>
        <v>Incomplete</v>
      </c>
      <c r="CV975" s="20" t="str" cm="1">
        <f t="array" ref="CV975">_xlfn.XLOOKUP(CU975, _xlfn.XLOOKUP(E975, 'Normative data'!$Y$11:$Y$14, 'Normative data'!$Z$11:$AG$14, ,-1), 'Normative data'!$Z$10:$AG$10, "Not Found", -1)</f>
        <v>Excellent</v>
      </c>
      <c r="CW975" s="20" t="str" cm="1">
        <f t="array" ref="CW975">IF(OR(ISBLANK(CS975),ISBLANK(CT975)),"Incomplete",_xlfn.XLOOKUP(CS975&amp;CT975,VLOOKUP!$A$4:$A$250&amp;VLOOKUP!$B$4:$B$250,VLOOKUP!$D$4:$D$250,"0"))</f>
        <v>Incomplete</v>
      </c>
    </row>
    <row r="976" spans="1:101">
      <c r="A976" s="64" t="s">
        <v>143</v>
      </c>
      <c r="B976" s="64" t="s">
        <v>1642</v>
      </c>
      <c r="C976" s="64" t="s">
        <v>86</v>
      </c>
      <c r="D976" s="65"/>
      <c r="E976" s="64"/>
      <c r="F976" s="64">
        <v>10</v>
      </c>
      <c r="G976" s="64">
        <v>2025</v>
      </c>
      <c r="H976" s="66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6"/>
      <c r="T976" s="66"/>
      <c r="U976" s="68"/>
      <c r="V976" s="68"/>
      <c r="W976" s="66"/>
      <c r="X976" s="66"/>
      <c r="Y976" s="66"/>
      <c r="Z976" s="66"/>
      <c r="AA976" s="66"/>
      <c r="AB976" s="66"/>
      <c r="AC976" s="66"/>
      <c r="AD976" s="66"/>
      <c r="AE976" s="66"/>
      <c r="AF976" s="66"/>
      <c r="AG976" s="66"/>
      <c r="AH976" s="66"/>
      <c r="AI976" s="66"/>
      <c r="AJ976" s="66"/>
      <c r="AK976" s="66"/>
      <c r="AL976" s="66"/>
      <c r="AM976" s="66"/>
      <c r="AN976" s="66"/>
      <c r="AO976" s="66"/>
      <c r="AP976" s="66"/>
      <c r="AQ976" s="20"/>
      <c r="AR976" s="20"/>
      <c r="AS976" s="20"/>
      <c r="AT976" s="20"/>
      <c r="AU976" s="20"/>
      <c r="AV976" s="20"/>
      <c r="AW976" s="20"/>
      <c r="AX976" s="20"/>
      <c r="AY976" s="41" t="str">
        <f t="shared" si="299"/>
        <v>Incomplete</v>
      </c>
      <c r="AZ976" s="66"/>
      <c r="BA976" s="20" t="str">
        <f t="shared" si="300"/>
        <v>Incomplete</v>
      </c>
      <c r="BB976" s="66"/>
      <c r="BC976" s="20" t="str">
        <f t="shared" si="301"/>
        <v>Incomplete</v>
      </c>
      <c r="BD976" s="66"/>
      <c r="BE976" s="20" t="str">
        <f t="shared" si="302"/>
        <v>Incomplete</v>
      </c>
      <c r="BF976" s="66"/>
      <c r="BG976" s="66"/>
      <c r="BH976" s="66"/>
      <c r="BI976" s="20" t="str">
        <f t="shared" si="306"/>
        <v>Incomplete</v>
      </c>
      <c r="BJ976" s="66"/>
      <c r="BK976" s="66"/>
      <c r="BL976" s="66"/>
      <c r="BM976" s="66"/>
      <c r="BN976" s="66"/>
      <c r="BO976" s="66"/>
      <c r="BP976" s="66"/>
      <c r="BQ976" s="66"/>
      <c r="BR976" s="66"/>
      <c r="BS976" s="66"/>
      <c r="BT976" s="66"/>
      <c r="BU976" s="66"/>
      <c r="BV976" s="66"/>
      <c r="BW976" s="91" t="str">
        <f t="shared" si="304"/>
        <v>Incomplete</v>
      </c>
      <c r="BX976" s="91" t="str">
        <f>_xlfn.XLOOKUP(BW976,'Normative data'!$V$3:$V$6,'Normative data'!$W$3:$W$6,"Not Found",-1)</f>
        <v>Very low risk</v>
      </c>
      <c r="BY976" s="91" t="str">
        <f t="shared" si="305"/>
        <v>Incomplete</v>
      </c>
      <c r="BZ976" s="91" t="str">
        <f>_xlfn.XLOOKUP(BY976,'Normative data'!$V$3:$V$6,'Normative data'!$W$3:$W$6,"Not Found",-1)</f>
        <v>Very low risk</v>
      </c>
      <c r="CA976" s="66"/>
      <c r="CB976" s="66"/>
      <c r="CC976" s="66"/>
      <c r="CD976" s="66"/>
      <c r="CE976" s="66">
        <v>1</v>
      </c>
      <c r="CF976" s="66"/>
      <c r="CG976" s="66"/>
      <c r="CH976" s="20" t="str">
        <f>_xlfn.XLOOKUP(CG976, 'Normative data'!$S$9:$S$15,'Normative data'!$T$9:$T$15, "Not Found", -1)</f>
        <v>not completed</v>
      </c>
      <c r="CI976" s="66"/>
      <c r="CJ976" s="20" t="str">
        <f>_xlfn.XLOOKUP(CI976, 'Normative data'!$S$9:$S$15, 'Normative data'!$T$9:$T$15, "Not Found", -1)</f>
        <v>not completed</v>
      </c>
      <c r="CK976" s="20" t="s">
        <v>205</v>
      </c>
      <c r="CL976" s="20" t="s">
        <v>354</v>
      </c>
      <c r="CN976" s="20" t="s">
        <v>1643</v>
      </c>
      <c r="CO976" s="20" t="s">
        <v>1644</v>
      </c>
      <c r="CP976" s="68"/>
      <c r="CQ976" s="68"/>
      <c r="CR976" s="20" t="str" cm="1">
        <f t="array" ref="CR976">IF(OR(ISBLANK(E976),ISBLANK(CQ976)),"Incomplete",_xlfn.XLOOKUP(CQ976,_xlfn.XLOOKUP(E976,'Normative data'!$Y$3:$Y$6,'Normative data'!$Z$3:$AG$6,,-1),'Normative data'!$Z$2:$AG$2,"Not Found",-1))</f>
        <v>Incomplete</v>
      </c>
      <c r="CS976" s="68"/>
      <c r="CT976" s="66"/>
      <c r="CU976" s="20" t="str" cm="1">
        <f t="array" ref="CU976">_xlfn.XLOOKUP(CS976&amp;CT976,(VLOOKUP!$A$3:$A$250)&amp;(VLOOKUP!$B$3:$B$250),VLOOKUP!$C$3:$C$250,"Incomplete",-1)</f>
        <v>Incomplete</v>
      </c>
      <c r="CV976" s="20" t="str" cm="1">
        <f t="array" ref="CV976">_xlfn.XLOOKUP(CU976, _xlfn.XLOOKUP(E976, 'Normative data'!$Y$11:$Y$14, 'Normative data'!$Z$11:$AG$14, ,-1), 'Normative data'!$Z$10:$AG$10, "Not Found", -1)</f>
        <v>Excellent</v>
      </c>
      <c r="CW976" s="20" t="str" cm="1">
        <f t="array" ref="CW976">IF(OR(ISBLANK(CS976),ISBLANK(CT976)),"Incomplete",_xlfn.XLOOKUP(CS976&amp;CT976,VLOOKUP!$A$4:$A$250&amp;VLOOKUP!$B$4:$B$250,VLOOKUP!$D$4:$D$250,"0"))</f>
        <v>Incomplete</v>
      </c>
    </row>
    <row r="977" spans="1:101">
      <c r="A977" s="93" t="s">
        <v>143</v>
      </c>
      <c r="B977" s="93" t="s">
        <v>1645</v>
      </c>
      <c r="C977" s="64" t="s">
        <v>86</v>
      </c>
      <c r="D977" s="96">
        <v>40090</v>
      </c>
      <c r="E977" s="64"/>
      <c r="F977" s="64">
        <v>10</v>
      </c>
      <c r="G977" s="64">
        <v>2025</v>
      </c>
      <c r="H977" s="66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6"/>
      <c r="T977" s="66"/>
      <c r="U977" s="66"/>
      <c r="V977" s="61"/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  <c r="AH977" s="61"/>
      <c r="AI977" s="61"/>
      <c r="AJ977" s="61"/>
      <c r="AK977" s="61"/>
      <c r="AL977" s="61"/>
      <c r="AM977" s="61"/>
      <c r="AN977" s="61"/>
      <c r="AO977" s="61"/>
      <c r="AP977" s="61"/>
      <c r="AQ977" s="20"/>
      <c r="AR977" s="20"/>
      <c r="AS977" s="20"/>
      <c r="AT977" s="20"/>
      <c r="AU977" s="20"/>
      <c r="AV977" s="20"/>
      <c r="AW977" s="20"/>
      <c r="AX977" s="20"/>
      <c r="AY977" s="41" t="str">
        <f t="shared" si="299"/>
        <v>Incomplete</v>
      </c>
      <c r="AZ977" s="66"/>
      <c r="BA977" s="20" t="str">
        <f t="shared" si="300"/>
        <v>Incomplete</v>
      </c>
      <c r="BB977" s="66"/>
      <c r="BC977" s="20" t="str">
        <f t="shared" si="301"/>
        <v>Incomplete</v>
      </c>
      <c r="BD977" s="66"/>
      <c r="BE977" s="20" t="str">
        <f t="shared" si="302"/>
        <v>Incomplete</v>
      </c>
      <c r="BF977" s="66"/>
      <c r="BG977" s="66"/>
      <c r="BH977" s="66"/>
      <c r="BI977" s="20" t="str">
        <f t="shared" si="306"/>
        <v>Incomplete</v>
      </c>
      <c r="BJ977" s="66"/>
      <c r="BK977" s="66"/>
      <c r="BL977" s="66"/>
      <c r="BM977" s="66"/>
      <c r="BN977" s="66"/>
      <c r="BO977" s="66"/>
      <c r="BP977" s="66"/>
      <c r="BQ977" s="66"/>
      <c r="BR977" s="66"/>
      <c r="BS977" s="66"/>
      <c r="BT977" s="66"/>
      <c r="BU977" s="66"/>
      <c r="BV977" s="66"/>
      <c r="BW977" s="91" t="str">
        <f t="shared" si="304"/>
        <v>Incomplete</v>
      </c>
      <c r="BX977" s="91" t="str">
        <f>_xlfn.XLOOKUP(BW977,'Normative data'!$V$3:$V$6,'Normative data'!$W$3:$W$6,"Not Found",-1)</f>
        <v>Very low risk</v>
      </c>
      <c r="BY977" s="91" t="str">
        <f t="shared" si="305"/>
        <v>Incomplete</v>
      </c>
      <c r="BZ977" s="91" t="str">
        <f>_xlfn.XLOOKUP(BY977,'Normative data'!$V$3:$V$6,'Normative data'!$W$3:$W$6,"Not Found",-1)</f>
        <v>Very low risk</v>
      </c>
      <c r="CA977" s="66"/>
      <c r="CB977" s="66"/>
      <c r="CC977" s="20"/>
      <c r="CD977" s="66"/>
      <c r="CE977" s="66"/>
      <c r="CF977" s="66"/>
      <c r="CG977" s="20"/>
      <c r="CH977" s="20" t="str">
        <f>_xlfn.XLOOKUP(CG977, 'Normative data'!$S$9:$S$15,'Normative data'!$T$9:$T$15, "Not Found", -1)</f>
        <v>not completed</v>
      </c>
      <c r="CI977" s="20"/>
      <c r="CJ977" s="20" t="str">
        <f>_xlfn.XLOOKUP(CI977, 'Normative data'!$S$9:$S$15, 'Normative data'!$T$9:$T$15, "Not Found", -1)</f>
        <v>not completed</v>
      </c>
      <c r="CK977" s="105">
        <v>2.13</v>
      </c>
      <c r="CL977" s="105">
        <v>4.6900000000000004</v>
      </c>
      <c r="CM977" s="105"/>
      <c r="CN977" s="105">
        <v>6.37</v>
      </c>
      <c r="CO977" s="105">
        <v>7.85</v>
      </c>
      <c r="CP977" s="109"/>
      <c r="CQ977" s="68"/>
      <c r="CR977" s="20" t="str" cm="1">
        <f t="array" ref="CR977">IF(OR(ISBLANK(E977),ISBLANK(CQ977)),"Incomplete",_xlfn.XLOOKUP(CQ977,_xlfn.XLOOKUP(E977,'Normative data'!$Y$3:$Y$6,'Normative data'!$Z$3:$AG$6,,-1),'Normative data'!$Z$2:$AG$2,"Not Found",-1))</f>
        <v>Incomplete</v>
      </c>
      <c r="CS977" s="68"/>
      <c r="CT977" s="66"/>
      <c r="CU977" s="20" t="str" cm="1">
        <f t="array" ref="CU977">_xlfn.XLOOKUP(CS977&amp;CT977,(VLOOKUP!$A$3:$A$250)&amp;(VLOOKUP!$B$3:$B$250),VLOOKUP!$C$3:$C$250,"Incomplete",-1)</f>
        <v>Incomplete</v>
      </c>
      <c r="CV977" s="20" t="str" cm="1">
        <f t="array" ref="CV977">_xlfn.XLOOKUP(CU977, _xlfn.XLOOKUP(E977, 'Normative data'!$Y$11:$Y$14, 'Normative data'!$Z$11:$AG$14, ,-1), 'Normative data'!$Z$10:$AG$10, "Not Found", -1)</f>
        <v>Excellent</v>
      </c>
      <c r="CW977" s="20" t="str" cm="1">
        <f t="array" ref="CW977">IF(OR(ISBLANK(CS977),ISBLANK(CT977)),"Incomplete",_xlfn.XLOOKUP(CS977&amp;CT977,VLOOKUP!$A$4:$A$250&amp;VLOOKUP!$B$4:$B$250,VLOOKUP!$D$4:$D$250,"0"))</f>
        <v>Incomplete</v>
      </c>
    </row>
    <row r="978" spans="1:101">
      <c r="A978" s="94" t="s">
        <v>645</v>
      </c>
      <c r="B978" s="94" t="s">
        <v>1646</v>
      </c>
      <c r="C978" s="64" t="s">
        <v>86</v>
      </c>
      <c r="D978" s="97">
        <v>40274</v>
      </c>
      <c r="E978" s="64"/>
      <c r="F978" s="64">
        <v>9</v>
      </c>
      <c r="G978" s="64">
        <v>2025</v>
      </c>
      <c r="H978" s="66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  <c r="AD978" s="66"/>
      <c r="AE978" s="66"/>
      <c r="AF978" s="66"/>
      <c r="AG978" s="66"/>
      <c r="AH978" s="66"/>
      <c r="AI978" s="66"/>
      <c r="AJ978" s="66"/>
      <c r="AK978" s="66"/>
      <c r="AL978" s="66"/>
      <c r="AM978" s="66"/>
      <c r="AN978" s="66"/>
      <c r="AO978" s="66"/>
      <c r="AP978" s="66"/>
      <c r="AQ978" s="20"/>
      <c r="AR978" s="20"/>
      <c r="AS978" s="20"/>
      <c r="AT978" s="20"/>
      <c r="AU978" s="20"/>
      <c r="AV978" s="20"/>
      <c r="AW978" s="20"/>
      <c r="AX978" s="20"/>
      <c r="AY978" s="41" t="str">
        <f t="shared" si="299"/>
        <v>Incomplete</v>
      </c>
      <c r="AZ978" s="66"/>
      <c r="BA978" s="20" t="str">
        <f t="shared" si="300"/>
        <v>Incomplete</v>
      </c>
      <c r="BB978" s="66"/>
      <c r="BC978" s="20" t="str">
        <f t="shared" si="301"/>
        <v>Incomplete</v>
      </c>
      <c r="BD978" s="66"/>
      <c r="BE978" s="20" t="str">
        <f t="shared" si="302"/>
        <v>Incomplete</v>
      </c>
      <c r="BF978" s="66"/>
      <c r="BG978" s="66">
        <v>16</v>
      </c>
      <c r="BH978" s="20">
        <v>40.200000000000003</v>
      </c>
      <c r="BI978" s="20">
        <f t="shared" si="306"/>
        <v>24.200000000000003</v>
      </c>
      <c r="BJ978" s="66"/>
      <c r="BK978" s="66">
        <v>10</v>
      </c>
      <c r="BL978" s="66"/>
      <c r="BM978" s="20">
        <v>12</v>
      </c>
      <c r="BN978" s="66"/>
      <c r="BO978" s="66"/>
      <c r="BP978" s="66"/>
      <c r="BQ978" s="66"/>
      <c r="BR978" s="66"/>
      <c r="BS978" s="66"/>
      <c r="BT978" s="66"/>
      <c r="BU978" s="66"/>
      <c r="BV978" s="66"/>
      <c r="BW978" s="91" t="str">
        <f t="shared" si="304"/>
        <v>Incomplete</v>
      </c>
      <c r="BX978" s="91" t="str">
        <f>_xlfn.XLOOKUP(BW978,'Normative data'!$V$3:$V$6,'Normative data'!$W$3:$W$6,"Not Found",-1)</f>
        <v>Very low risk</v>
      </c>
      <c r="BY978" s="91" t="str">
        <f t="shared" si="305"/>
        <v>Incomplete</v>
      </c>
      <c r="BZ978" s="91" t="str">
        <f>_xlfn.XLOOKUP(BY978,'Normative data'!$V$3:$V$6,'Normative data'!$W$3:$W$6,"Not Found",-1)</f>
        <v>Very low risk</v>
      </c>
      <c r="CA978" s="20"/>
      <c r="CB978" s="66"/>
      <c r="CC978" s="20"/>
      <c r="CD978" s="66"/>
      <c r="CE978" s="66">
        <v>13</v>
      </c>
      <c r="CF978" s="66"/>
      <c r="CG978" s="66"/>
      <c r="CH978" s="20" t="str">
        <f>_xlfn.XLOOKUP(CG978, 'Normative data'!$S$9:$S$15,'Normative data'!$T$9:$T$15, "Not Found", -1)</f>
        <v>not completed</v>
      </c>
      <c r="CI978" s="66"/>
      <c r="CJ978" s="20" t="str">
        <f>_xlfn.XLOOKUP(CI978, 'Normative data'!$S$9:$S$15, 'Normative data'!$T$9:$T$15, "Not Found", -1)</f>
        <v>not completed</v>
      </c>
      <c r="CK978" s="106">
        <v>2.16</v>
      </c>
      <c r="CL978" s="106">
        <v>4.63</v>
      </c>
      <c r="CM978" s="105"/>
      <c r="CN978" s="106">
        <v>6.73</v>
      </c>
      <c r="CO978" s="106">
        <v>7.43</v>
      </c>
      <c r="CP978" s="110"/>
      <c r="CQ978" s="68"/>
      <c r="CR978" s="20" t="str" cm="1">
        <f t="array" ref="CR978">IF(OR(ISBLANK(E978),ISBLANK(CQ978)),"Incomplete",_xlfn.XLOOKUP(CQ978,_xlfn.XLOOKUP(E978,'Normative data'!$Y$3:$Y$6,'Normative data'!$Z$3:$AG$6,,-1),'Normative data'!$Z$2:$AG$2,"Not Found",-1))</f>
        <v>Incomplete</v>
      </c>
      <c r="CS978" s="68"/>
      <c r="CT978" s="66"/>
      <c r="CU978" s="20" t="str" cm="1">
        <f t="array" ref="CU978">_xlfn.XLOOKUP(CS978&amp;CT978,(VLOOKUP!$A$3:$A$250)&amp;(VLOOKUP!$B$3:$B$250),VLOOKUP!$C$3:$C$250,"Incomplete",-1)</f>
        <v>Incomplete</v>
      </c>
      <c r="CV978" s="20" t="str" cm="1">
        <f t="array" ref="CV978">_xlfn.XLOOKUP(CU978, _xlfn.XLOOKUP(E978, 'Normative data'!$Y$11:$Y$14, 'Normative data'!$Z$11:$AG$14, ,-1), 'Normative data'!$Z$10:$AG$10, "Not Found", -1)</f>
        <v>Excellent</v>
      </c>
      <c r="CW978" s="20" t="str" cm="1">
        <f t="array" ref="CW978">IF(OR(ISBLANK(CS978),ISBLANK(CT978)),"Incomplete",_xlfn.XLOOKUP(CS978&amp;CT978,VLOOKUP!$A$4:$A$250&amp;VLOOKUP!$B$4:$B$250,VLOOKUP!$D$4:$D$250,"0"))</f>
        <v>Incomplete</v>
      </c>
    </row>
    <row r="979" spans="1:101">
      <c r="A979" s="94" t="s">
        <v>645</v>
      </c>
      <c r="B979" s="94" t="s">
        <v>1646</v>
      </c>
      <c r="C979" s="64" t="s">
        <v>86</v>
      </c>
      <c r="D979" s="97">
        <v>40274</v>
      </c>
      <c r="E979" s="64"/>
      <c r="F979" s="64">
        <v>9</v>
      </c>
      <c r="G979" s="64">
        <v>2025</v>
      </c>
      <c r="H979" s="66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  <c r="AD979" s="66"/>
      <c r="AE979" s="66"/>
      <c r="AF979" s="66"/>
      <c r="AG979" s="66"/>
      <c r="AH979" s="66"/>
      <c r="AI979" s="66"/>
      <c r="AJ979" s="66"/>
      <c r="AK979" s="66"/>
      <c r="AL979" s="66"/>
      <c r="AM979" s="66"/>
      <c r="AN979" s="66"/>
      <c r="AO979" s="66"/>
      <c r="AP979" s="66"/>
      <c r="AQ979" s="20"/>
      <c r="AR979" s="20"/>
      <c r="AS979" s="20"/>
      <c r="AT979" s="20"/>
      <c r="AU979" s="20"/>
      <c r="AV979" s="20"/>
      <c r="AW979" s="20"/>
      <c r="AX979" s="20"/>
      <c r="AY979" s="41" t="str">
        <f t="shared" si="299"/>
        <v>Incomplete</v>
      </c>
      <c r="AZ979" s="66"/>
      <c r="BA979" s="20" t="str">
        <f t="shared" si="300"/>
        <v>Incomplete</v>
      </c>
      <c r="BB979" s="66"/>
      <c r="BC979" s="20" t="str">
        <f t="shared" si="301"/>
        <v>Incomplete</v>
      </c>
      <c r="BD979" s="66"/>
      <c r="BE979" s="20" t="str">
        <f t="shared" si="302"/>
        <v>Incomplete</v>
      </c>
      <c r="BF979" s="66"/>
      <c r="BG979" s="66"/>
      <c r="BH979" s="20"/>
      <c r="BI979" s="20" t="str">
        <f t="shared" si="306"/>
        <v>Incomplete</v>
      </c>
      <c r="BJ979" s="66"/>
      <c r="BK979" s="66"/>
      <c r="BL979" s="66"/>
      <c r="BM979" s="20"/>
      <c r="BN979" s="66"/>
      <c r="BO979" s="66"/>
      <c r="BP979" s="66"/>
      <c r="BQ979" s="66"/>
      <c r="BR979" s="66"/>
      <c r="BS979" s="66"/>
      <c r="BT979" s="66"/>
      <c r="BU979" s="66"/>
      <c r="BV979" s="66"/>
      <c r="BW979" s="91" t="str">
        <f t="shared" si="304"/>
        <v>Incomplete</v>
      </c>
      <c r="BX979" s="91" t="str">
        <f>_xlfn.XLOOKUP(BW979,'Normative data'!$V$3:$V$6,'Normative data'!$W$3:$W$6,"Not Found",-1)</f>
        <v>Very low risk</v>
      </c>
      <c r="BY979" s="91" t="str">
        <f t="shared" si="305"/>
        <v>Incomplete</v>
      </c>
      <c r="BZ979" s="91" t="str">
        <f>_xlfn.XLOOKUP(BY979,'Normative data'!$V$3:$V$6,'Normative data'!$W$3:$W$6,"Not Found",-1)</f>
        <v>Very low risk</v>
      </c>
      <c r="CA979" s="66"/>
      <c r="CB979" s="66"/>
      <c r="CC979" s="20"/>
      <c r="CD979" s="66"/>
      <c r="CE979" s="66"/>
      <c r="CF979" s="66"/>
      <c r="CG979" s="66"/>
      <c r="CH979" s="20" t="str">
        <f>_xlfn.XLOOKUP(CG979, 'Normative data'!$S$9:$S$15,'Normative data'!$T$9:$T$15, "Not Found", -1)</f>
        <v>not completed</v>
      </c>
      <c r="CI979" s="66"/>
      <c r="CJ979" s="20" t="str">
        <f>_xlfn.XLOOKUP(CI979, 'Normative data'!$S$9:$S$15, 'Normative data'!$T$9:$T$15, "Not Found", -1)</f>
        <v>not completed</v>
      </c>
      <c r="CK979" s="66" t="s">
        <v>1647</v>
      </c>
      <c r="CL979" s="66" t="s">
        <v>134</v>
      </c>
      <c r="CM979" s="105"/>
      <c r="CN979" s="66" t="s">
        <v>520</v>
      </c>
      <c r="CO979" s="66" t="s">
        <v>521</v>
      </c>
      <c r="CP979" s="110"/>
      <c r="CQ979" s="68"/>
      <c r="CR979" s="20" t="str" cm="1">
        <f t="array" ref="CR979">IF(OR(ISBLANK(E979),ISBLANK(CQ979)),"Incomplete",_xlfn.XLOOKUP(CQ979,_xlfn.XLOOKUP(E979,'Normative data'!$Y$3:$Y$6,'Normative data'!$Z$3:$AG$6,,-1),'Normative data'!$Z$2:$AG$2,"Not Found",-1))</f>
        <v>Incomplete</v>
      </c>
      <c r="CS979" s="68"/>
      <c r="CT979" s="66"/>
      <c r="CU979" s="20" t="str" cm="1">
        <f t="array" ref="CU979">_xlfn.XLOOKUP(CS979&amp;CT979,(VLOOKUP!$A$3:$A$250)&amp;(VLOOKUP!$B$3:$B$250),VLOOKUP!$C$3:$C$250,"Incomplete",-1)</f>
        <v>Incomplete</v>
      </c>
      <c r="CV979" s="20" t="str" cm="1">
        <f t="array" ref="CV979">_xlfn.XLOOKUP(CU979, _xlfn.XLOOKUP(E979, 'Normative data'!$Y$11:$Y$14, 'Normative data'!$Z$11:$AG$14, ,-1), 'Normative data'!$Z$10:$AG$10, "Not Found", -1)</f>
        <v>Excellent</v>
      </c>
      <c r="CW979" s="20" t="str" cm="1">
        <f t="array" ref="CW979">IF(OR(ISBLANK(CS979),ISBLANK(CT979)),"Incomplete",_xlfn.XLOOKUP(CS979&amp;CT979,VLOOKUP!$A$4:$A$250&amp;VLOOKUP!$B$4:$B$250,VLOOKUP!$D$4:$D$250,"0"))</f>
        <v>Incomplete</v>
      </c>
    </row>
    <row r="980" spans="1:101">
      <c r="A980" s="93" t="s">
        <v>1216</v>
      </c>
      <c r="B980" s="93" t="s">
        <v>1215</v>
      </c>
      <c r="C980" s="64" t="s">
        <v>86</v>
      </c>
      <c r="D980" s="96"/>
      <c r="E980" s="64"/>
      <c r="F980" s="64">
        <v>10</v>
      </c>
      <c r="G980" s="64">
        <v>2025</v>
      </c>
      <c r="H980" s="66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  <c r="AD980" s="66"/>
      <c r="AE980" s="66"/>
      <c r="AF980" s="66"/>
      <c r="AG980" s="66"/>
      <c r="AH980" s="66"/>
      <c r="AI980" s="66"/>
      <c r="AJ980" s="66"/>
      <c r="AK980" s="66"/>
      <c r="AL980" s="66"/>
      <c r="AM980" s="66"/>
      <c r="AN980" s="66"/>
      <c r="AO980" s="66"/>
      <c r="AP980" s="66"/>
      <c r="AQ980" s="66"/>
      <c r="AR980" s="66"/>
      <c r="AS980" s="66"/>
      <c r="AT980" s="66"/>
      <c r="AU980" s="66"/>
      <c r="AV980" s="66"/>
      <c r="AW980" s="66"/>
      <c r="AX980" s="66"/>
      <c r="AY980" s="41" t="str">
        <f t="shared" si="299"/>
        <v>Incomplete</v>
      </c>
      <c r="AZ980" s="66"/>
      <c r="BA980" s="20" t="str">
        <f t="shared" si="300"/>
        <v>Incomplete</v>
      </c>
      <c r="BB980" s="66"/>
      <c r="BC980" s="20" t="str">
        <f t="shared" si="301"/>
        <v>Incomplete</v>
      </c>
      <c r="BD980" s="66"/>
      <c r="BE980" s="20" t="str">
        <f t="shared" si="302"/>
        <v>Incomplete</v>
      </c>
      <c r="BF980" s="66"/>
      <c r="BG980" s="66">
        <v>11</v>
      </c>
      <c r="BH980" s="66">
        <v>28.5</v>
      </c>
      <c r="BI980" s="20">
        <f t="shared" si="306"/>
        <v>17.5</v>
      </c>
      <c r="BJ980" s="66"/>
      <c r="BK980" s="66"/>
      <c r="BL980" s="66"/>
      <c r="BM980" s="66"/>
      <c r="BN980" s="66"/>
      <c r="BO980" s="66"/>
      <c r="BP980" s="66"/>
      <c r="BQ980" s="66"/>
      <c r="BR980" s="66"/>
      <c r="BS980" s="66"/>
      <c r="BT980" s="66"/>
      <c r="BU980" s="66"/>
      <c r="BV980" s="66"/>
      <c r="BW980" s="91" t="str">
        <f t="shared" si="304"/>
        <v>Incomplete</v>
      </c>
      <c r="BX980" s="91" t="str">
        <f>_xlfn.XLOOKUP(BW980,'Normative data'!$V$3:$V$6,'Normative data'!$W$3:$W$6,"Not Found",-1)</f>
        <v>Very low risk</v>
      </c>
      <c r="BY980" s="91" t="str">
        <f t="shared" si="305"/>
        <v>Incomplete</v>
      </c>
      <c r="BZ980" s="91" t="str">
        <f>_xlfn.XLOOKUP(BY980,'Normative data'!$V$3:$V$6,'Normative data'!$W$3:$W$6,"Not Found",-1)</f>
        <v>Very low risk</v>
      </c>
      <c r="CA980" s="66"/>
      <c r="CB980" s="66"/>
      <c r="CC980" s="20"/>
      <c r="CD980" s="66"/>
      <c r="CE980" s="66"/>
      <c r="CF980" s="66"/>
      <c r="CG980" s="66"/>
      <c r="CH980" s="20" t="str">
        <f>_xlfn.XLOOKUP(CG980, 'Normative data'!$S$9:$S$15,'Normative data'!$T$9:$T$15, "Not Found", -1)</f>
        <v>not completed</v>
      </c>
      <c r="CI980" s="66"/>
      <c r="CJ980" s="20" t="str">
        <f>_xlfn.XLOOKUP(CI980, 'Normative data'!$S$9:$S$15, 'Normative data'!$T$9:$T$15, "Not Found", -1)</f>
        <v>not completed</v>
      </c>
      <c r="CK980" s="105"/>
      <c r="CL980" s="105"/>
      <c r="CM980" s="105"/>
      <c r="CN980" s="105"/>
      <c r="CO980" s="105"/>
      <c r="CP980" s="109"/>
      <c r="CQ980" s="68"/>
      <c r="CR980" s="20" t="str" cm="1">
        <f t="array" ref="CR980">IF(OR(ISBLANK(E980),ISBLANK(CQ980)),"Incomplete",_xlfn.XLOOKUP(CQ980,_xlfn.XLOOKUP(E980,'Normative data'!$Y$3:$Y$6,'Normative data'!$Z$3:$AG$6,,-1),'Normative data'!$Z$2:$AG$2,"Not Found",-1))</f>
        <v>Incomplete</v>
      </c>
      <c r="CS980" s="68"/>
      <c r="CT980" s="66"/>
      <c r="CU980" s="20" t="str" cm="1">
        <f t="array" ref="CU980">_xlfn.XLOOKUP(CS980&amp;CT980,(VLOOKUP!$A$3:$A$250)&amp;(VLOOKUP!$B$3:$B$250),VLOOKUP!$C$3:$C$250,"Incomplete",-1)</f>
        <v>Incomplete</v>
      </c>
      <c r="CV980" s="20" t="str" cm="1">
        <f t="array" ref="CV980">_xlfn.XLOOKUP(CU980, _xlfn.XLOOKUP(E980, 'Normative data'!$Y$11:$Y$14, 'Normative data'!$Z$11:$AG$14, ,-1), 'Normative data'!$Z$10:$AG$10, "Not Found", -1)</f>
        <v>Excellent</v>
      </c>
      <c r="CW980" s="20" t="str" cm="1">
        <f t="array" ref="CW980">IF(OR(ISBLANK(CS980),ISBLANK(CT980)),"Incomplete",_xlfn.XLOOKUP(CS980&amp;CT980,VLOOKUP!$A$4:$A$250&amp;VLOOKUP!$B$4:$B$250,VLOOKUP!$D$4:$D$250,"0"))</f>
        <v>Incomplete</v>
      </c>
    </row>
    <row r="981" spans="1:101">
      <c r="A981" s="64" t="s">
        <v>822</v>
      </c>
      <c r="B981" s="64" t="s">
        <v>828</v>
      </c>
      <c r="C981" s="64" t="s">
        <v>86</v>
      </c>
      <c r="D981" s="65"/>
      <c r="E981" s="64"/>
      <c r="F981" s="66" t="s">
        <v>178</v>
      </c>
      <c r="G981" s="64">
        <v>2026</v>
      </c>
      <c r="H981" s="66"/>
      <c r="I981" s="66">
        <v>2</v>
      </c>
      <c r="J981" s="66" t="s">
        <v>100</v>
      </c>
      <c r="K981" s="66" t="s">
        <v>556</v>
      </c>
      <c r="L981" s="66"/>
      <c r="M981" s="64"/>
      <c r="N981" s="64"/>
      <c r="O981" s="64"/>
      <c r="P981" s="64"/>
      <c r="Q981" s="64"/>
      <c r="R981" s="64"/>
      <c r="S981" s="66">
        <v>87</v>
      </c>
      <c r="T981" s="66">
        <v>168.1</v>
      </c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  <c r="AF981" s="64"/>
      <c r="AG981" s="64"/>
      <c r="AH981" s="64"/>
      <c r="AI981" s="64"/>
      <c r="AJ981" s="64"/>
      <c r="AK981" s="64"/>
      <c r="AL981" s="64"/>
      <c r="AM981" s="64"/>
      <c r="AN981" s="64"/>
      <c r="AO981" s="64"/>
      <c r="AP981" s="64"/>
      <c r="AQ981" s="66"/>
      <c r="AR981" s="66"/>
      <c r="AS981" s="66"/>
      <c r="AT981" s="66"/>
      <c r="AU981" s="66"/>
      <c r="AV981" s="66"/>
      <c r="AW981" s="66"/>
      <c r="AX981" s="66"/>
      <c r="AY981" s="41" t="str">
        <f t="shared" si="299"/>
        <v>Incomplete</v>
      </c>
      <c r="AZ981" s="64"/>
      <c r="BA981" s="20" t="str">
        <f t="shared" si="300"/>
        <v>Incomplete</v>
      </c>
      <c r="BB981" s="64"/>
      <c r="BC981" s="20" t="str">
        <f t="shared" si="301"/>
        <v>Incomplete</v>
      </c>
      <c r="BD981" s="64"/>
      <c r="BE981" s="20" t="str">
        <f t="shared" si="302"/>
        <v>Incomplete</v>
      </c>
      <c r="BF981" s="64"/>
      <c r="BG981" s="64">
        <v>11.5</v>
      </c>
      <c r="BH981" s="64">
        <v>35.5</v>
      </c>
      <c r="BI981" s="20">
        <f t="shared" si="306"/>
        <v>24</v>
      </c>
      <c r="BJ981" s="66"/>
      <c r="BK981" s="64"/>
      <c r="BL981" s="66"/>
      <c r="BM981" s="66"/>
      <c r="BN981" s="66"/>
      <c r="BO981" s="64"/>
      <c r="BP981" s="64"/>
      <c r="BQ981" s="64">
        <v>70</v>
      </c>
      <c r="BR981" s="64">
        <v>78</v>
      </c>
      <c r="BS981" s="64">
        <v>80</v>
      </c>
      <c r="BT981" s="64">
        <v>72</v>
      </c>
      <c r="BU981" s="64">
        <v>79</v>
      </c>
      <c r="BV981" s="64">
        <v>81</v>
      </c>
      <c r="BW981" s="91">
        <f t="shared" si="304"/>
        <v>93.711467324291007</v>
      </c>
      <c r="BX981" s="91" t="str">
        <f>_xlfn.XLOOKUP(BW981,'Normative data'!$V$3:$V$6,'Normative data'!$W$3:$W$6,"Not Found",-1)</f>
        <v>High risk</v>
      </c>
      <c r="BY981" s="91">
        <f t="shared" si="305"/>
        <v>95.35552815454173</v>
      </c>
      <c r="BZ981" s="91" t="str">
        <f>_xlfn.XLOOKUP(BY981,'Normative data'!$V$3:$V$6,'Normative data'!$W$3:$W$6,"Not Found",-1)</f>
        <v>High risk</v>
      </c>
      <c r="CA981" s="64"/>
      <c r="CB981" s="66"/>
      <c r="CD981" s="66"/>
      <c r="CE981" s="64"/>
      <c r="CF981" s="66"/>
      <c r="CG981" s="64">
        <v>18.21</v>
      </c>
      <c r="CH981" s="20" t="str">
        <f>_xlfn.XLOOKUP(CG981, 'Normative data'!$S$9:$S$15,'Normative data'!$T$9:$T$15, "Not Found", -1)</f>
        <v>Average</v>
      </c>
      <c r="CI981" s="64">
        <v>18.22</v>
      </c>
      <c r="CJ981" s="20" t="str">
        <f>_xlfn.XLOOKUP(CI981, 'Normative data'!$S$9:$S$15, 'Normative data'!$T$9:$T$15, "Not Found", -1)</f>
        <v>Average</v>
      </c>
      <c r="CK981" s="105"/>
      <c r="CL981" s="105"/>
      <c r="CM981" s="105"/>
      <c r="CN981" s="105"/>
      <c r="CO981" s="105"/>
      <c r="CP981" s="68"/>
      <c r="CQ981" s="67"/>
      <c r="CR981" s="20" t="str" cm="1">
        <f t="array" ref="CR981">IF(OR(ISBLANK(E981),ISBLANK(CQ981)),"Incomplete",_xlfn.XLOOKUP(CQ981,_xlfn.XLOOKUP(E981,'Normative data'!$Y$3:$Y$6,'Normative data'!$Z$3:$AG$6,,-1),'Normative data'!$Z$2:$AG$2,"Not Found",-1))</f>
        <v>Incomplete</v>
      </c>
      <c r="CS981" s="68"/>
      <c r="CT981" s="66"/>
      <c r="CU981" s="20" t="str" cm="1">
        <f t="array" ref="CU981">_xlfn.XLOOKUP(CS981&amp;CT981,(VLOOKUP!$A$3:$A$250)&amp;(VLOOKUP!$B$3:$B$250),VLOOKUP!$C$3:$C$250,"Incomplete",-1)</f>
        <v>Incomplete</v>
      </c>
      <c r="CV981" s="20" t="str" cm="1">
        <f t="array" ref="CV981">_xlfn.XLOOKUP(CU981, _xlfn.XLOOKUP(E981, 'Normative data'!$Y$11:$Y$14, 'Normative data'!$Z$11:$AG$14, ,-1), 'Normative data'!$Z$10:$AG$10, "Not Found", -1)</f>
        <v>Excellent</v>
      </c>
      <c r="CW981" s="20" t="str" cm="1">
        <f t="array" ref="CW981">IF(OR(ISBLANK(CS981),ISBLANK(CT981)),"Incomplete",_xlfn.XLOOKUP(CS981&amp;CT981,VLOOKUP!$A$4:$A$250&amp;VLOOKUP!$B$4:$B$250,VLOOKUP!$D$4:$D$250,"0"))</f>
        <v>Incomplete</v>
      </c>
    </row>
    <row r="982" spans="1:101">
      <c r="A982" s="93" t="s">
        <v>1350</v>
      </c>
      <c r="B982" s="93" t="s">
        <v>1349</v>
      </c>
      <c r="C982" s="64" t="s">
        <v>86</v>
      </c>
      <c r="D982" s="96">
        <v>39979</v>
      </c>
      <c r="E982" s="64"/>
      <c r="F982" s="64">
        <v>10</v>
      </c>
      <c r="G982" s="64">
        <v>2025</v>
      </c>
      <c r="H982" s="66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  <c r="AD982" s="66"/>
      <c r="AE982" s="66"/>
      <c r="AF982" s="66"/>
      <c r="AG982" s="66"/>
      <c r="AH982" s="66"/>
      <c r="AI982" s="66"/>
      <c r="AJ982" s="66"/>
      <c r="AK982" s="66"/>
      <c r="AL982" s="66"/>
      <c r="AM982" s="66"/>
      <c r="AN982" s="66"/>
      <c r="AO982" s="66"/>
      <c r="AP982" s="66"/>
      <c r="AQ982" s="20"/>
      <c r="AR982" s="20"/>
      <c r="AS982" s="20"/>
      <c r="AT982" s="20"/>
      <c r="AU982" s="20"/>
      <c r="AV982" s="20"/>
      <c r="AW982" s="20"/>
      <c r="AX982" s="20"/>
      <c r="AY982" s="41" t="str">
        <f t="shared" si="299"/>
        <v>Incomplete</v>
      </c>
      <c r="AZ982" s="66"/>
      <c r="BA982" s="20" t="str">
        <f t="shared" si="300"/>
        <v>Incomplete</v>
      </c>
      <c r="BB982" s="66"/>
      <c r="BC982" s="20" t="str">
        <f t="shared" si="301"/>
        <v>Incomplete</v>
      </c>
      <c r="BD982" s="66"/>
      <c r="BE982" s="20" t="str">
        <f t="shared" si="302"/>
        <v>Incomplete</v>
      </c>
      <c r="BF982" s="66"/>
      <c r="BG982" s="66">
        <v>14</v>
      </c>
      <c r="BH982" s="20">
        <v>29.7</v>
      </c>
      <c r="BI982" s="20" t="e">
        <f>IF(OR(ISBLANK(#REF!), ISBLANK(#REF!)),"Incomplete",(SUM(#REF!-#REF!)))</f>
        <v>#REF!</v>
      </c>
      <c r="BJ982" s="66"/>
      <c r="BK982" s="66"/>
      <c r="BL982" s="66"/>
      <c r="BM982" s="20"/>
      <c r="BN982" s="66"/>
      <c r="BO982" s="66"/>
      <c r="BP982" s="66"/>
      <c r="BQ982" s="66"/>
      <c r="BR982" s="66"/>
      <c r="BS982" s="66"/>
      <c r="BT982" s="66"/>
      <c r="BU982" s="66"/>
      <c r="BV982" s="66"/>
      <c r="BW982" s="91" t="str">
        <f t="shared" si="304"/>
        <v>Incomplete</v>
      </c>
      <c r="BX982" s="91" t="str">
        <f>_xlfn.XLOOKUP(BW982,'Normative data'!$V$3:$V$6,'Normative data'!$W$3:$W$6,"Not Found",-1)</f>
        <v>Very low risk</v>
      </c>
      <c r="BY982" s="91" t="str">
        <f t="shared" si="305"/>
        <v>Incomplete</v>
      </c>
      <c r="BZ982" s="91" t="str">
        <f>_xlfn.XLOOKUP(BY982,'Normative data'!$V$3:$V$6,'Normative data'!$W$3:$W$6,"Not Found",-1)</f>
        <v>Very low risk</v>
      </c>
      <c r="CA982" s="66"/>
      <c r="CB982" s="66"/>
      <c r="CC982" s="20"/>
      <c r="CD982" s="66"/>
      <c r="CE982" s="66"/>
      <c r="CF982" s="66"/>
      <c r="CG982" s="20"/>
      <c r="CH982" s="20" t="str">
        <f>_xlfn.XLOOKUP(CG982, 'Normative data'!$S$9:$S$15,'Normative data'!$T$9:$T$15, "Not Found", -1)</f>
        <v>not completed</v>
      </c>
      <c r="CI982" s="20"/>
      <c r="CJ982" s="20" t="str">
        <f>_xlfn.XLOOKUP(CI982, 'Normative data'!$S$9:$S$15, 'Normative data'!$T$9:$T$15, "Not Found", -1)</f>
        <v>not completed</v>
      </c>
      <c r="CK982" s="105">
        <v>2.27</v>
      </c>
      <c r="CL982" s="105">
        <v>4.41</v>
      </c>
      <c r="CM982" s="105"/>
      <c r="CN982" s="105">
        <v>7.08</v>
      </c>
      <c r="CO982" s="105">
        <v>7.06</v>
      </c>
      <c r="CP982" s="109"/>
      <c r="CQ982" s="68"/>
      <c r="CR982" s="20" t="str" cm="1">
        <f t="array" ref="CR982">IF(OR(ISBLANK(E982),ISBLANK(CQ982)),"Incomplete",_xlfn.XLOOKUP(CQ982,_xlfn.XLOOKUP(E982,'Normative data'!$Y$3:$Y$6,'Normative data'!$Z$3:$AG$6,,-1),'Normative data'!$Z$2:$AG$2,"Not Found",-1))</f>
        <v>Incomplete</v>
      </c>
      <c r="CS982" s="68"/>
      <c r="CT982" s="66"/>
      <c r="CU982" s="20" t="str" cm="1">
        <f t="array" ref="CU982">_xlfn.XLOOKUP(CS982&amp;CT982,(VLOOKUP!$A$3:$A$250)&amp;(VLOOKUP!$B$3:$B$250),VLOOKUP!$C$3:$C$250,"Incomplete",-1)</f>
        <v>Incomplete</v>
      </c>
      <c r="CV982" s="20" t="str" cm="1">
        <f t="array" ref="CV982">_xlfn.XLOOKUP(CU982, _xlfn.XLOOKUP(E982, 'Normative data'!$Y$11:$Y$14, 'Normative data'!$Z$11:$AG$14, ,-1), 'Normative data'!$Z$10:$AG$10, "Not Found", -1)</f>
        <v>Excellent</v>
      </c>
      <c r="CW982" s="20" t="str" cm="1">
        <f t="array" ref="CW982">IF(OR(ISBLANK(CS982),ISBLANK(CT982)),"Incomplete",_xlfn.XLOOKUP(CS982&amp;CT982,VLOOKUP!$A$4:$A$250&amp;VLOOKUP!$B$4:$B$250,VLOOKUP!$D$4:$D$250,"0"))</f>
        <v>Incomplete</v>
      </c>
    </row>
    <row r="983" spans="1:101">
      <c r="A983" s="64" t="s">
        <v>1350</v>
      </c>
      <c r="B983" s="64" t="s">
        <v>1349</v>
      </c>
      <c r="C983" s="64" t="s">
        <v>86</v>
      </c>
      <c r="D983" s="96">
        <v>39979</v>
      </c>
      <c r="E983" s="64"/>
      <c r="F983" s="64">
        <v>10</v>
      </c>
      <c r="G983" s="64">
        <v>2025</v>
      </c>
      <c r="H983" s="66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  <c r="AD983" s="66"/>
      <c r="AE983" s="66"/>
      <c r="AF983" s="66"/>
      <c r="AG983" s="66"/>
      <c r="AH983" s="66"/>
      <c r="AI983" s="66"/>
      <c r="AJ983" s="66"/>
      <c r="AK983" s="66"/>
      <c r="AL983" s="66"/>
      <c r="AM983" s="66"/>
      <c r="AN983" s="66"/>
      <c r="AO983" s="66"/>
      <c r="AP983" s="66"/>
      <c r="AQ983" s="66"/>
      <c r="AR983" s="66"/>
      <c r="AS983" s="66"/>
      <c r="AT983" s="66"/>
      <c r="AU983" s="66"/>
      <c r="AV983" s="66"/>
      <c r="AW983" s="66"/>
      <c r="AX983" s="66"/>
      <c r="AY983" s="41" t="str">
        <f t="shared" si="299"/>
        <v>Incomplete</v>
      </c>
      <c r="AZ983" s="66"/>
      <c r="BA983" s="20" t="str">
        <f t="shared" si="300"/>
        <v>Incomplete</v>
      </c>
      <c r="BB983" s="66"/>
      <c r="BC983" s="20" t="str">
        <f t="shared" si="301"/>
        <v>Incomplete</v>
      </c>
      <c r="BD983" s="66"/>
      <c r="BE983" s="20" t="str">
        <f t="shared" si="302"/>
        <v>Incomplete</v>
      </c>
      <c r="BF983" s="66"/>
      <c r="BG983" s="66"/>
      <c r="BH983" s="66"/>
      <c r="BI983" s="20" t="str">
        <f>IF(OR(ISBLANK(BG983), ISBLANK(BH983)),"Incomplete",(SUM(BH983-BG983)))</f>
        <v>Incomplete</v>
      </c>
      <c r="BJ983" s="66"/>
      <c r="BK983" s="66"/>
      <c r="BL983" s="66"/>
      <c r="BM983" s="66"/>
      <c r="BN983" s="66"/>
      <c r="BO983" s="66"/>
      <c r="BP983" s="66"/>
      <c r="BQ983" s="66"/>
      <c r="BR983" s="66"/>
      <c r="BS983" s="66"/>
      <c r="BT983" s="66"/>
      <c r="BU983" s="66"/>
      <c r="BV983" s="66"/>
      <c r="BW983" s="91" t="str">
        <f t="shared" si="304"/>
        <v>Incomplete</v>
      </c>
      <c r="BX983" s="91" t="str">
        <f>_xlfn.XLOOKUP(BW983,'Normative data'!$V$3:$V$6,'Normative data'!$W$3:$W$6,"Not Found",-1)</f>
        <v>Very low risk</v>
      </c>
      <c r="BY983" s="91" t="str">
        <f t="shared" si="305"/>
        <v>Incomplete</v>
      </c>
      <c r="BZ983" s="91" t="str">
        <f>_xlfn.XLOOKUP(BY983,'Normative data'!$V$3:$V$6,'Normative data'!$W$3:$W$6,"Not Found",-1)</f>
        <v>Very low risk</v>
      </c>
      <c r="CA983" s="66"/>
      <c r="CB983" s="66"/>
      <c r="CC983" s="20"/>
      <c r="CD983" s="66"/>
      <c r="CE983" s="66"/>
      <c r="CF983" s="66"/>
      <c r="CG983" s="66"/>
      <c r="CH983" s="20" t="str">
        <f>_xlfn.XLOOKUP(CG983, 'Normative data'!$S$9:$S$15,'Normative data'!$T$9:$T$15, "Not Found", -1)</f>
        <v>not completed</v>
      </c>
      <c r="CI983" s="66"/>
      <c r="CJ983" s="20" t="str">
        <f>_xlfn.XLOOKUP(CI983, 'Normative data'!$S$9:$S$15, 'Normative data'!$T$9:$T$15, "Not Found", -1)</f>
        <v>not completed</v>
      </c>
      <c r="CK983" s="66" t="s">
        <v>971</v>
      </c>
      <c r="CL983" s="66" t="s">
        <v>972</v>
      </c>
      <c r="CM983" s="66"/>
      <c r="CN983" s="66" t="s">
        <v>999</v>
      </c>
      <c r="CO983" s="66" t="s">
        <v>329</v>
      </c>
      <c r="CP983" s="68"/>
      <c r="CQ983" s="68"/>
      <c r="CR983" s="20" t="str" cm="1">
        <f t="array" ref="CR983">IF(OR(ISBLANK(E983),ISBLANK(CQ983)),"Incomplete",_xlfn.XLOOKUP(CQ983,_xlfn.XLOOKUP(E983,'Normative data'!$Y$3:$Y$6,'Normative data'!$Z$3:$AG$6,,-1),'Normative data'!$Z$2:$AG$2,"Not Found",-1))</f>
        <v>Incomplete</v>
      </c>
      <c r="CS983" s="68"/>
      <c r="CT983" s="66"/>
      <c r="CU983" s="20" t="str" cm="1">
        <f t="array" ref="CU983">_xlfn.XLOOKUP(CS983&amp;CT983,(VLOOKUP!$A$3:$A$250)&amp;(VLOOKUP!$B$3:$B$250),VLOOKUP!$C$3:$C$250,"Incomplete",-1)</f>
        <v>Incomplete</v>
      </c>
      <c r="CV983" s="20" t="str" cm="1">
        <f t="array" ref="CV983">_xlfn.XLOOKUP(CU983, _xlfn.XLOOKUP(E983, 'Normative data'!$Y$11:$Y$14, 'Normative data'!$Z$11:$AG$14, ,-1), 'Normative data'!$Z$10:$AG$10, "Not Found", -1)</f>
        <v>Excellent</v>
      </c>
      <c r="CW983" s="20" t="str" cm="1">
        <f t="array" ref="CW983">IF(OR(ISBLANK(CS983),ISBLANK(CT983)),"Incomplete",_xlfn.XLOOKUP(CS983&amp;CT983,VLOOKUP!$A$4:$A$250&amp;VLOOKUP!$B$4:$B$250,VLOOKUP!$D$4:$D$250,"0"))</f>
        <v>Incomplete</v>
      </c>
    </row>
    <row r="984" spans="1:101">
      <c r="A984" s="94" t="s">
        <v>1648</v>
      </c>
      <c r="B984" s="94" t="s">
        <v>1649</v>
      </c>
      <c r="C984" s="64" t="s">
        <v>86</v>
      </c>
      <c r="D984" s="97" t="s">
        <v>1650</v>
      </c>
      <c r="E984" s="64"/>
      <c r="F984" s="64">
        <v>9</v>
      </c>
      <c r="G984" s="64">
        <v>2025</v>
      </c>
      <c r="H984" s="66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  <c r="AD984" s="66"/>
      <c r="AE984" s="66"/>
      <c r="AF984" s="66"/>
      <c r="AG984" s="66"/>
      <c r="AH984" s="66"/>
      <c r="AI984" s="66"/>
      <c r="AJ984" s="66"/>
      <c r="AK984" s="66"/>
      <c r="AL984" s="66"/>
      <c r="AM984" s="66"/>
      <c r="AN984" s="66"/>
      <c r="AO984" s="66"/>
      <c r="AP984" s="66"/>
      <c r="AQ984" s="20"/>
      <c r="AR984" s="20"/>
      <c r="AS984" s="20"/>
      <c r="AT984" s="20"/>
      <c r="AU984" s="20"/>
      <c r="AV984" s="20"/>
      <c r="AW984" s="20"/>
      <c r="AX984" s="20"/>
      <c r="AY984" s="41" t="str">
        <f t="shared" si="299"/>
        <v>Incomplete</v>
      </c>
      <c r="AZ984" s="66"/>
      <c r="BA984" s="20" t="str">
        <f t="shared" si="300"/>
        <v>Incomplete</v>
      </c>
      <c r="BB984" s="66"/>
      <c r="BC984" s="20" t="str">
        <f t="shared" si="301"/>
        <v>Incomplete</v>
      </c>
      <c r="BD984" s="66"/>
      <c r="BE984" s="20" t="str">
        <f t="shared" si="302"/>
        <v>Incomplete</v>
      </c>
      <c r="BF984" s="66"/>
      <c r="BG984" s="66">
        <v>14.1</v>
      </c>
      <c r="BH984" s="20">
        <v>42</v>
      </c>
      <c r="BI984" s="20" t="e">
        <f>IF(OR(ISBLANK(#REF!), ISBLANK(#REF!)),"Incomplete",(SUM(#REF!-#REF!)))</f>
        <v>#REF!</v>
      </c>
      <c r="BJ984" s="66"/>
      <c r="BK984" s="66"/>
      <c r="BL984" s="66"/>
      <c r="BM984" s="20"/>
      <c r="BN984" s="66"/>
      <c r="BO984" s="66"/>
      <c r="BP984" s="66"/>
      <c r="BQ984" s="66"/>
      <c r="BR984" s="66"/>
      <c r="BS984" s="66"/>
      <c r="BT984" s="66"/>
      <c r="BU984" s="66"/>
      <c r="BV984" s="66"/>
      <c r="BW984" s="91" t="str">
        <f t="shared" si="304"/>
        <v>Incomplete</v>
      </c>
      <c r="BX984" s="91" t="str">
        <f>_xlfn.XLOOKUP(BW984,'Normative data'!$V$3:$V$6,'Normative data'!$W$3:$W$6,"Not Found",-1)</f>
        <v>Very low risk</v>
      </c>
      <c r="BY984" s="91" t="str">
        <f t="shared" si="305"/>
        <v>Incomplete</v>
      </c>
      <c r="BZ984" s="91" t="str">
        <f>_xlfn.XLOOKUP(BY984,'Normative data'!$V$3:$V$6,'Normative data'!$W$3:$W$6,"Not Found",-1)</f>
        <v>Very low risk</v>
      </c>
      <c r="CA984" s="66"/>
      <c r="CB984" s="66"/>
      <c r="CC984" s="20"/>
      <c r="CD984" s="66"/>
      <c r="CE984" s="66">
        <v>21</v>
      </c>
      <c r="CF984" s="66"/>
      <c r="CG984" s="66"/>
      <c r="CH984" s="20" t="str">
        <f>_xlfn.XLOOKUP(CG984, 'Normative data'!$S$9:$S$15,'Normative data'!$T$9:$T$15, "Not Found", -1)</f>
        <v>not completed</v>
      </c>
      <c r="CI984" s="66"/>
      <c r="CJ984" s="20" t="str">
        <f>_xlfn.XLOOKUP(CI984, 'Normative data'!$S$9:$S$15, 'Normative data'!$T$9:$T$15, "Not Found", -1)</f>
        <v>not completed</v>
      </c>
      <c r="CK984" s="106">
        <v>2.48</v>
      </c>
      <c r="CL984" s="106">
        <v>4.03</v>
      </c>
      <c r="CM984" s="106"/>
      <c r="CN984" s="106">
        <v>7.63</v>
      </c>
      <c r="CO984" s="106">
        <v>6.55</v>
      </c>
      <c r="CP984" s="110"/>
      <c r="CQ984" s="68"/>
      <c r="CR984" s="20" t="str" cm="1">
        <f t="array" ref="CR984">IF(OR(ISBLANK(E984),ISBLANK(CQ984)),"Incomplete",_xlfn.XLOOKUP(CQ984,_xlfn.XLOOKUP(E984,'Normative data'!$Y$3:$Y$6,'Normative data'!$Z$3:$AG$6,,-1),'Normative data'!$Z$2:$AG$2,"Not Found",-1))</f>
        <v>Incomplete</v>
      </c>
      <c r="CS984" s="68"/>
      <c r="CT984" s="66"/>
      <c r="CU984" s="20" t="str" cm="1">
        <f t="array" ref="CU984">_xlfn.XLOOKUP(CS984&amp;CT984,(VLOOKUP!$A$3:$A$250)&amp;(VLOOKUP!$B$3:$B$250),VLOOKUP!$C$3:$C$250,"Incomplete",-1)</f>
        <v>Incomplete</v>
      </c>
      <c r="CV984" s="20" t="str" cm="1">
        <f t="array" ref="CV984">_xlfn.XLOOKUP(CU984, _xlfn.XLOOKUP(E984, 'Normative data'!$Y$11:$Y$14, 'Normative data'!$Z$11:$AG$14, ,-1), 'Normative data'!$Z$10:$AG$10, "Not Found", -1)</f>
        <v>Excellent</v>
      </c>
      <c r="CW984" s="20" t="str" cm="1">
        <f t="array" ref="CW984">IF(OR(ISBLANK(CS984),ISBLANK(CT984)),"Incomplete",_xlfn.XLOOKUP(CS984&amp;CT984,VLOOKUP!$A$4:$A$250&amp;VLOOKUP!$B$4:$B$250,VLOOKUP!$D$4:$D$250,"0"))</f>
        <v>Incomplete</v>
      </c>
    </row>
    <row r="985" spans="1:101">
      <c r="A985" s="64" t="s">
        <v>1648</v>
      </c>
      <c r="B985" s="64" t="s">
        <v>1649</v>
      </c>
      <c r="C985" s="64" t="s">
        <v>86</v>
      </c>
      <c r="D985" s="97" t="s">
        <v>1650</v>
      </c>
      <c r="E985" s="64"/>
      <c r="F985" s="64">
        <v>9</v>
      </c>
      <c r="G985" s="64">
        <v>2025</v>
      </c>
      <c r="H985" s="66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  <c r="AD985" s="66"/>
      <c r="AE985" s="66"/>
      <c r="AF985" s="66"/>
      <c r="AG985" s="66"/>
      <c r="AH985" s="66"/>
      <c r="AI985" s="66"/>
      <c r="AJ985" s="66"/>
      <c r="AK985" s="66"/>
      <c r="AL985" s="66"/>
      <c r="AM985" s="66"/>
      <c r="AN985" s="66"/>
      <c r="AO985" s="66"/>
      <c r="AP985" s="66"/>
      <c r="AQ985" s="20"/>
      <c r="AR985" s="20"/>
      <c r="AS985" s="20"/>
      <c r="AT985" s="20"/>
      <c r="AU985" s="20"/>
      <c r="AV985" s="20"/>
      <c r="AW985" s="20"/>
      <c r="AX985" s="20"/>
      <c r="AY985" s="41" t="str">
        <f t="shared" si="299"/>
        <v>Incomplete</v>
      </c>
      <c r="AZ985" s="66"/>
      <c r="BA985" s="20" t="str">
        <f t="shared" si="300"/>
        <v>Incomplete</v>
      </c>
      <c r="BB985" s="66"/>
      <c r="BC985" s="20" t="str">
        <f t="shared" si="301"/>
        <v>Incomplete</v>
      </c>
      <c r="BD985" s="66"/>
      <c r="BE985" s="20" t="str">
        <f t="shared" si="302"/>
        <v>Incomplete</v>
      </c>
      <c r="BF985" s="66"/>
      <c r="BG985" s="66"/>
      <c r="BH985" s="20"/>
      <c r="BI985" s="20" t="str">
        <f>IF(OR(ISBLANK(BG985), ISBLANK(BH985)),"Incomplete",(SUM(BH985-BG985)))</f>
        <v>Incomplete</v>
      </c>
      <c r="BJ985" s="66"/>
      <c r="BK985" s="66"/>
      <c r="BL985" s="66"/>
      <c r="BM985" s="20"/>
      <c r="BN985" s="66"/>
      <c r="BO985" s="66"/>
      <c r="BP985" s="66"/>
      <c r="BQ985" s="66"/>
      <c r="BR985" s="66"/>
      <c r="BS985" s="66"/>
      <c r="BT985" s="66"/>
      <c r="BU985" s="66"/>
      <c r="BV985" s="66"/>
      <c r="BW985" s="91" t="str">
        <f t="shared" si="304"/>
        <v>Incomplete</v>
      </c>
      <c r="BX985" s="91" t="str">
        <f>_xlfn.XLOOKUP(BW985,'Normative data'!$V$3:$V$6,'Normative data'!$W$3:$W$6,"Not Found",-1)</f>
        <v>Very low risk</v>
      </c>
      <c r="BY985" s="91" t="str">
        <f t="shared" si="305"/>
        <v>Incomplete</v>
      </c>
      <c r="BZ985" s="91" t="str">
        <f>_xlfn.XLOOKUP(BY985,'Normative data'!$V$3:$V$6,'Normative data'!$W$3:$W$6,"Not Found",-1)</f>
        <v>Very low risk</v>
      </c>
      <c r="CA985" s="66"/>
      <c r="CB985" s="66"/>
      <c r="CC985" s="66"/>
      <c r="CD985" s="66"/>
      <c r="CE985" s="66"/>
      <c r="CF985" s="66"/>
      <c r="CG985" s="20"/>
      <c r="CH985" s="20" t="str">
        <f>_xlfn.XLOOKUP(CG985, 'Normative data'!$S$9:$S$15,'Normative data'!$T$9:$T$15, "Not Found", -1)</f>
        <v>not completed</v>
      </c>
      <c r="CI985" s="20"/>
      <c r="CJ985" s="20" t="str">
        <f>_xlfn.XLOOKUP(CI985, 'Normative data'!$S$9:$S$15, 'Normative data'!$T$9:$T$15, "Not Found", -1)</f>
        <v>not completed</v>
      </c>
      <c r="CK985" s="20" t="s">
        <v>245</v>
      </c>
      <c r="CL985" s="20" t="s">
        <v>246</v>
      </c>
      <c r="CN985" s="20" t="s">
        <v>1651</v>
      </c>
      <c r="CO985" s="20" t="s">
        <v>1652</v>
      </c>
      <c r="CP985" s="68"/>
      <c r="CQ985" s="68"/>
      <c r="CR985" s="20" t="str" cm="1">
        <f t="array" ref="CR985">IF(OR(ISBLANK(E985),ISBLANK(CQ985)),"Incomplete",_xlfn.XLOOKUP(CQ985,_xlfn.XLOOKUP(E985,'Normative data'!$Y$3:$Y$6,'Normative data'!$Z$3:$AG$6,,-1),'Normative data'!$Z$2:$AG$2,"Not Found",-1))</f>
        <v>Incomplete</v>
      </c>
      <c r="CS985" s="68"/>
      <c r="CT985" s="66"/>
      <c r="CU985" s="20" t="str" cm="1">
        <f t="array" ref="CU985">_xlfn.XLOOKUP(CS985&amp;CT985,(VLOOKUP!$A$3:$A$250)&amp;(VLOOKUP!$B$3:$B$250),VLOOKUP!$C$3:$C$250,"Incomplete",-1)</f>
        <v>Incomplete</v>
      </c>
      <c r="CV985" s="20" t="str" cm="1">
        <f t="array" ref="CV985">_xlfn.XLOOKUP(CU985, _xlfn.XLOOKUP(E985, 'Normative data'!$Y$11:$Y$14, 'Normative data'!$Z$11:$AG$14, ,-1), 'Normative data'!$Z$10:$AG$10, "Not Found", -1)</f>
        <v>Excellent</v>
      </c>
      <c r="CW985" s="20" t="str" cm="1">
        <f t="array" ref="CW985">IF(OR(ISBLANK(CS985),ISBLANK(CT985)),"Incomplete",_xlfn.XLOOKUP(CS985&amp;CT985,VLOOKUP!$A$4:$A$250&amp;VLOOKUP!$B$4:$B$250,VLOOKUP!$D$4:$D$250,"0"))</f>
        <v>Incomplete</v>
      </c>
    </row>
    <row r="986" spans="1:101">
      <c r="A986" s="93" t="s">
        <v>216</v>
      </c>
      <c r="B986" s="93" t="s">
        <v>223</v>
      </c>
      <c r="C986" s="64" t="s">
        <v>86</v>
      </c>
      <c r="D986" s="96">
        <v>40141</v>
      </c>
      <c r="E986" s="64"/>
      <c r="F986" s="64">
        <v>10</v>
      </c>
      <c r="G986" s="64">
        <v>2025</v>
      </c>
      <c r="H986" s="66"/>
      <c r="I986" s="64"/>
      <c r="J986" s="64" t="s">
        <v>122</v>
      </c>
      <c r="K986" s="64"/>
      <c r="L986" s="64"/>
      <c r="M986" s="64"/>
      <c r="N986" s="64"/>
      <c r="O986" s="64"/>
      <c r="P986" s="64"/>
      <c r="Q986" s="64"/>
      <c r="R986" s="64"/>
      <c r="S986" s="66"/>
      <c r="T986" s="66">
        <v>164.3</v>
      </c>
      <c r="U986" s="66">
        <v>51</v>
      </c>
      <c r="V986" s="66"/>
      <c r="W986" s="66">
        <v>5.2</v>
      </c>
      <c r="X986" s="66">
        <f>SUM(T986-W986)</f>
        <v>159.10000000000002</v>
      </c>
      <c r="Y986" s="66">
        <v>25.4</v>
      </c>
      <c r="Z986" s="66">
        <v>18.899999999999999</v>
      </c>
      <c r="AA986" s="66">
        <v>10.199999999999999</v>
      </c>
      <c r="AB986" s="66"/>
      <c r="AC986" s="66"/>
      <c r="AD986" s="66"/>
      <c r="AE986" s="66"/>
      <c r="AF986" s="66"/>
      <c r="AG986" s="66"/>
      <c r="AH986" s="66"/>
      <c r="AI986" s="66"/>
      <c r="AJ986" s="66"/>
      <c r="AK986" s="66"/>
      <c r="AL986" s="66"/>
      <c r="AM986" s="66"/>
      <c r="AN986" s="66"/>
      <c r="AO986" s="66"/>
      <c r="AP986" s="66"/>
      <c r="AQ986" s="20">
        <v>26.1</v>
      </c>
      <c r="AR986" s="20">
        <v>0.46200000000000002</v>
      </c>
      <c r="AS986" s="20">
        <v>28.5</v>
      </c>
      <c r="AT986" s="20">
        <v>0.48199999999999998</v>
      </c>
      <c r="AU986" s="20">
        <v>11.6</v>
      </c>
      <c r="AV986" s="20">
        <v>0.308</v>
      </c>
      <c r="AW986" s="20">
        <v>13.2</v>
      </c>
      <c r="AX986" s="20">
        <v>0.32800000000000001</v>
      </c>
      <c r="AY986" s="41">
        <f t="shared" si="299"/>
        <v>1839.5699999999997</v>
      </c>
      <c r="AZ986" s="66"/>
      <c r="BA986" s="20">
        <f t="shared" si="300"/>
        <v>1985.25</v>
      </c>
      <c r="BB986" s="66"/>
      <c r="BC986" s="20">
        <f t="shared" si="301"/>
        <v>959.41999999999962</v>
      </c>
      <c r="BD986" s="66"/>
      <c r="BE986" s="20">
        <f t="shared" si="302"/>
        <v>1056.54</v>
      </c>
      <c r="BF986" s="66"/>
      <c r="BG986" s="66">
        <v>16</v>
      </c>
      <c r="BH986" s="20">
        <v>31</v>
      </c>
      <c r="BI986" s="20" t="e">
        <f>IF(OR(ISBLANK(#REF!), ISBLANK(#REF!)),"Incomplete",(SUM(#REF!-#REF!)))</f>
        <v>#REF!</v>
      </c>
      <c r="BJ986" s="66"/>
      <c r="BK986" s="66"/>
      <c r="BL986" s="66"/>
      <c r="BM986" s="20"/>
      <c r="BN986" s="66"/>
      <c r="BO986" s="66"/>
      <c r="BP986" s="66"/>
      <c r="BQ986" s="66"/>
      <c r="BR986" s="66"/>
      <c r="BS986" s="66"/>
      <c r="BT986" s="66"/>
      <c r="BU986" s="66"/>
      <c r="BV986" s="66"/>
      <c r="BW986" s="91">
        <f t="shared" si="304"/>
        <v>0</v>
      </c>
      <c r="BX986" s="91" t="str">
        <f>_xlfn.XLOOKUP(BW986,'Normative data'!$V$3:$V$6,'Normative data'!$W$3:$W$6,"Not Found",-1)</f>
        <v>Not completed</v>
      </c>
      <c r="BY986" s="91">
        <f t="shared" si="305"/>
        <v>0</v>
      </c>
      <c r="BZ986" s="91" t="str">
        <f>_xlfn.XLOOKUP(BY986,'Normative data'!$V$3:$V$6,'Normative data'!$W$3:$W$6,"Not Found",-1)</f>
        <v>Not completed</v>
      </c>
      <c r="CA986" s="66"/>
      <c r="CB986" s="66"/>
      <c r="CC986" s="66"/>
      <c r="CD986" s="66"/>
      <c r="CE986" s="66">
        <v>3</v>
      </c>
      <c r="CF986" s="66"/>
      <c r="CG986" s="20">
        <v>16.63</v>
      </c>
      <c r="CH986" s="20" t="e">
        <f>_xlfn.XLOOKUP(#REF!, 'Normative data'!$S$9:$S$15,'Normative data'!$T$9:$T$15, "Not Found", -1)</f>
        <v>#REF!</v>
      </c>
      <c r="CI986" s="20">
        <v>17.809999999999999</v>
      </c>
      <c r="CJ986" s="20" t="e">
        <f>_xlfn.XLOOKUP(#REF!, 'Normative data'!$S$9:$S$15, 'Normative data'!$T$9:$T$15, "Not Found", -1)</f>
        <v>#REF!</v>
      </c>
      <c r="CK986" s="21">
        <v>2.16</v>
      </c>
      <c r="CL986" s="21">
        <v>4.63</v>
      </c>
      <c r="CM986" s="21"/>
      <c r="CN986" s="21">
        <v>6.47</v>
      </c>
      <c r="CO986" s="21">
        <v>7.73</v>
      </c>
      <c r="CP986" s="68"/>
      <c r="CQ986" s="68"/>
      <c r="CR986" s="20" t="str" cm="1">
        <f t="array" ref="CR986">IF(OR(ISBLANK(E986),ISBLANK(CQ986)),"Incomplete",_xlfn.XLOOKUP(CQ986,_xlfn.XLOOKUP(E986,'Normative data'!$Y$3:$Y$6,'Normative data'!$Z$3:$AG$6,,-1),'Normative data'!$Z$2:$AG$2,"Not Found",-1))</f>
        <v>Incomplete</v>
      </c>
      <c r="CS986" s="68"/>
      <c r="CT986" s="66"/>
      <c r="CU986" s="20" t="str" cm="1">
        <f t="array" ref="CU986">_xlfn.XLOOKUP(CS986&amp;CT986,(VLOOKUP!$A$3:$A$250)&amp;(VLOOKUP!$B$3:$B$250),VLOOKUP!$C$3:$C$250,"Incomplete",-1)</f>
        <v>Incomplete</v>
      </c>
      <c r="CV986" s="20" t="str" cm="1">
        <f t="array" ref="CV986">_xlfn.XLOOKUP(CU986, _xlfn.XLOOKUP(E986, 'Normative data'!$Y$11:$Y$14, 'Normative data'!$Z$11:$AG$14, ,-1), 'Normative data'!$Z$10:$AG$10, "Not Found", -1)</f>
        <v>Excellent</v>
      </c>
      <c r="CW986" s="20" t="str" cm="1">
        <f t="array" ref="CW986">IF(OR(ISBLANK(CS986),ISBLANK(CT986)),"Incomplete",_xlfn.XLOOKUP(CS986&amp;CT986,VLOOKUP!$A$4:$A$250&amp;VLOOKUP!$B$4:$B$250,VLOOKUP!$D$4:$D$250,"0"))</f>
        <v>Incomplete</v>
      </c>
    </row>
    <row r="987" spans="1:101">
      <c r="A987" s="64" t="s">
        <v>422</v>
      </c>
      <c r="B987" s="64" t="s">
        <v>223</v>
      </c>
      <c r="C987" s="64" t="s">
        <v>86</v>
      </c>
      <c r="D987" s="96">
        <v>40141</v>
      </c>
      <c r="E987" s="64"/>
      <c r="F987" s="64"/>
      <c r="G987" s="64">
        <v>2025</v>
      </c>
      <c r="H987" s="66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6"/>
      <c r="T987" s="66" t="s">
        <v>1351</v>
      </c>
      <c r="U987" s="66" t="s">
        <v>1653</v>
      </c>
      <c r="V987" s="66"/>
      <c r="W987" s="66"/>
      <c r="X987" s="66"/>
      <c r="Y987" s="66"/>
      <c r="Z987" s="66"/>
      <c r="AA987" s="66"/>
      <c r="AB987" s="66"/>
      <c r="AC987" s="66"/>
      <c r="AD987" s="66"/>
      <c r="AE987" s="66"/>
      <c r="AF987" s="66"/>
      <c r="AG987" s="66"/>
      <c r="AH987" s="66"/>
      <c r="AI987" s="66"/>
      <c r="AJ987" s="66"/>
      <c r="AK987" s="66"/>
      <c r="AL987" s="66"/>
      <c r="AM987" s="66"/>
      <c r="AN987" s="66"/>
      <c r="AO987" s="66"/>
      <c r="AP987" s="66"/>
      <c r="AQ987" s="20">
        <v>19.399999999999999</v>
      </c>
      <c r="AR987" s="20">
        <v>0.39800000000000002</v>
      </c>
      <c r="AS987" s="20">
        <v>24.6</v>
      </c>
      <c r="AT987" s="20">
        <v>0.44800000000000001</v>
      </c>
      <c r="AU987" s="20">
        <v>12.8</v>
      </c>
      <c r="AV987" s="20">
        <v>0.32300000000000001</v>
      </c>
      <c r="AW987" s="20">
        <v>13.5</v>
      </c>
      <c r="AX987" s="20">
        <v>0.33200000000000002</v>
      </c>
      <c r="AY987" s="41" t="e">
        <f>IF(OR(ISBLANK(U987), ISBLANK(#REF!)), "Incomplete", (60.7*#REF!)+(45.3*U987)-2055)</f>
        <v>#REF!</v>
      </c>
      <c r="AZ987" s="66"/>
      <c r="BA987" s="20" t="e">
        <f>IF(OR(ISBLANK(U987), ISBLANK(#REF!)), "Incomplete", (60.7*#REF!)+(45.3*U987)-2055)</f>
        <v>#REF!</v>
      </c>
      <c r="BB987" s="66"/>
      <c r="BC987" s="20" t="e">
        <f>IF(OR(ISBLANK(U987), ISBLANK(#REF!)), "Incomplete", (60.7*#REF!)+(45.3*U987)-2055)</f>
        <v>#REF!</v>
      </c>
      <c r="BD987" s="66"/>
      <c r="BE987" s="20" t="e">
        <f>IF(OR(ISBLANK(U987), ISBLANK(#REF!)), "Incomplete", (60.7*#REF!)+(45.3*U987)-2055)</f>
        <v>#REF!</v>
      </c>
      <c r="BF987" s="66"/>
      <c r="BG987" s="66"/>
      <c r="BH987" s="20"/>
      <c r="BI987" s="20" t="str">
        <f t="shared" ref="BI987:BI992" si="307">IF(OR(ISBLANK(BG987), ISBLANK(BH987)),"Incomplete",(SUM(BH987-BG987)))</f>
        <v>Incomplete</v>
      </c>
      <c r="BJ987" s="66"/>
      <c r="BK987" s="66"/>
      <c r="BL987" s="66"/>
      <c r="BM987" s="20"/>
      <c r="BN987" s="66"/>
      <c r="BO987" s="66"/>
      <c r="BP987" s="66"/>
      <c r="BQ987" s="66"/>
      <c r="BR987" s="66"/>
      <c r="BS987" s="66"/>
      <c r="BT987" s="66"/>
      <c r="BU987" s="66"/>
      <c r="BV987" s="66"/>
      <c r="BW987" s="91" t="str">
        <f t="shared" si="304"/>
        <v>Incomplete</v>
      </c>
      <c r="BX987" s="91" t="str">
        <f>_xlfn.XLOOKUP(BW987,'Normative data'!$V$3:$V$6,'Normative data'!$W$3:$W$6,"Not Found",-1)</f>
        <v>Very low risk</v>
      </c>
      <c r="BY987" s="91" t="str">
        <f t="shared" si="305"/>
        <v>Incomplete</v>
      </c>
      <c r="BZ987" s="91" t="str">
        <f>_xlfn.XLOOKUP(BY987,'Normative data'!$V$3:$V$6,'Normative data'!$W$3:$W$6,"Not Found",-1)</f>
        <v>Very low risk</v>
      </c>
      <c r="CA987" s="20"/>
      <c r="CB987" s="66"/>
      <c r="CC987" s="20"/>
      <c r="CD987" s="66"/>
      <c r="CE987" s="66"/>
      <c r="CF987" s="66"/>
      <c r="CG987" s="66">
        <v>17.07</v>
      </c>
      <c r="CH987" s="20" t="e">
        <f>_xlfn.XLOOKUP(#REF!, 'Normative data'!$S$9:$S$15,'Normative data'!$T$9:$T$15, "Not Found", -1)</f>
        <v>#REF!</v>
      </c>
      <c r="CI987" s="66">
        <v>17.22</v>
      </c>
      <c r="CJ987" s="20" t="e">
        <f>_xlfn.XLOOKUP(#REF!, 'Normative data'!$S$9:$S$15, 'Normative data'!$T$9:$T$15, "Not Found", -1)</f>
        <v>#REF!</v>
      </c>
      <c r="CK987" s="66" t="s">
        <v>335</v>
      </c>
      <c r="CL987" s="66" t="s">
        <v>336</v>
      </c>
      <c r="CM987" s="105"/>
      <c r="CN987" s="66" t="s">
        <v>1654</v>
      </c>
      <c r="CO987" s="66" t="s">
        <v>1655</v>
      </c>
      <c r="CP987" s="68"/>
      <c r="CQ987" s="68"/>
      <c r="CR987" s="20" t="str" cm="1">
        <f t="array" ref="CR987">IF(OR(ISBLANK(E987),ISBLANK(CQ987)),"Incomplete",_xlfn.XLOOKUP(CQ987,_xlfn.XLOOKUP(E987,'Normative data'!$Y$3:$Y$6,'Normative data'!$Z$3:$AG$6,,-1),'Normative data'!$Z$2:$AG$2,"Not Found",-1))</f>
        <v>Incomplete</v>
      </c>
      <c r="CS987" s="68"/>
      <c r="CT987" s="66"/>
      <c r="CU987" s="20" t="str" cm="1">
        <f t="array" ref="CU987">_xlfn.XLOOKUP(CS987&amp;CT987,(VLOOKUP!$A$3:$A$250)&amp;(VLOOKUP!$B$3:$B$250),VLOOKUP!$C$3:$C$250,"Incomplete",-1)</f>
        <v>Incomplete</v>
      </c>
      <c r="CV987" s="20" t="str" cm="1">
        <f t="array" ref="CV987">_xlfn.XLOOKUP(CU987, _xlfn.XLOOKUP(E987, 'Normative data'!$Y$11:$Y$14, 'Normative data'!$Z$11:$AG$14, ,-1), 'Normative data'!$Z$10:$AG$10, "Not Found", -1)</f>
        <v>Excellent</v>
      </c>
      <c r="CW987" s="20" t="str" cm="1">
        <f t="array" ref="CW987">IF(OR(ISBLANK(CS987),ISBLANK(CT987)),"Incomplete",_xlfn.XLOOKUP(CS987&amp;CT987,VLOOKUP!$A$4:$A$250&amp;VLOOKUP!$B$4:$B$250,VLOOKUP!$D$4:$D$250,"0"))</f>
        <v>Incomplete</v>
      </c>
    </row>
    <row r="988" spans="1:101">
      <c r="A988" s="64" t="s">
        <v>422</v>
      </c>
      <c r="B988" s="64" t="s">
        <v>223</v>
      </c>
      <c r="C988" s="64" t="s">
        <v>86</v>
      </c>
      <c r="D988" s="96">
        <v>40141</v>
      </c>
      <c r="E988" s="64"/>
      <c r="F988" s="64"/>
      <c r="G988" s="64">
        <v>2026</v>
      </c>
      <c r="H988" s="66" t="s">
        <v>114</v>
      </c>
      <c r="I988" s="64">
        <v>1</v>
      </c>
      <c r="J988" s="64"/>
      <c r="K988" s="64"/>
      <c r="L988" s="64"/>
      <c r="M988" s="64"/>
      <c r="N988" s="64"/>
      <c r="O988" s="64"/>
      <c r="P988" s="64"/>
      <c r="Q988" s="64"/>
      <c r="R988" s="64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  <c r="AD988" s="66"/>
      <c r="AE988" s="66"/>
      <c r="AF988" s="66"/>
      <c r="AG988" s="66"/>
      <c r="AH988" s="66"/>
      <c r="AI988" s="66"/>
      <c r="AJ988" s="66"/>
      <c r="AK988" s="66"/>
      <c r="AL988" s="66"/>
      <c r="AM988" s="66"/>
      <c r="AN988" s="66"/>
      <c r="AO988" s="66"/>
      <c r="AP988" s="66"/>
      <c r="AQ988" s="30">
        <v>19.600000000000001</v>
      </c>
      <c r="AR988" s="30" t="s">
        <v>1656</v>
      </c>
      <c r="AS988" s="30">
        <v>27.1</v>
      </c>
      <c r="AT988" s="30" t="s">
        <v>1657</v>
      </c>
      <c r="AU988" s="30">
        <v>11.5</v>
      </c>
      <c r="AV988" s="30">
        <v>0.30599999999999999</v>
      </c>
      <c r="AW988" s="30">
        <v>10.7</v>
      </c>
      <c r="AX988" s="30">
        <v>0.29599999999999999</v>
      </c>
      <c r="AY988" s="41" t="str">
        <f t="shared" ref="AY988:AY1009" si="308">IF(OR(ISBLANK(U988), ISBLANK(AQ988)), "Incomplete", (60.7*AQ988)+(45.3*U988)-2055)</f>
        <v>Incomplete</v>
      </c>
      <c r="AZ988" s="66"/>
      <c r="BA988" s="20" t="str">
        <f t="shared" ref="BA988:BA1009" si="309">IF(OR(ISBLANK(U988), ISBLANK(AS988)), "Incomplete", (60.7*AS988)+(45.3*U988)-2055)</f>
        <v>Incomplete</v>
      </c>
      <c r="BB988" s="66"/>
      <c r="BC988" s="20" t="str">
        <f t="shared" ref="BC988:BC1009" si="310">IF(OR(ISBLANK(U988), ISBLANK(AU988)), "Incomplete", (60.7*AU988)+(45.3*U988)-2055)</f>
        <v>Incomplete</v>
      </c>
      <c r="BD988" s="66"/>
      <c r="BE988" s="20" t="str">
        <f t="shared" ref="BE988:BE1009" si="311">IF(OR(ISBLANK(U988), ISBLANK(AW988)), "Incomplete", (60.7*AW988)+(45.3*U988)-2055)</f>
        <v>Incomplete</v>
      </c>
      <c r="BF988" s="66"/>
      <c r="BG988" s="104">
        <v>13</v>
      </c>
      <c r="BH988" s="104">
        <v>33</v>
      </c>
      <c r="BI988" s="20">
        <f t="shared" si="307"/>
        <v>20</v>
      </c>
      <c r="BJ988" s="66"/>
      <c r="BK988" s="66"/>
      <c r="BL988" s="66"/>
      <c r="BM988" s="66"/>
      <c r="BN988" s="66"/>
      <c r="BO988" s="66"/>
      <c r="BP988" s="66"/>
      <c r="BQ988" s="66"/>
      <c r="BR988" s="66"/>
      <c r="BS988" s="66"/>
      <c r="BT988" s="66"/>
      <c r="BU988" s="66"/>
      <c r="BV988" s="66"/>
      <c r="BW988" s="91" t="str">
        <f t="shared" si="304"/>
        <v>Incomplete</v>
      </c>
      <c r="BX988" s="91" t="str">
        <f>_xlfn.XLOOKUP(BW988,'Normative data'!$V$3:$V$6,'Normative data'!$W$3:$W$6,"Not Found",-1)</f>
        <v>Very low risk</v>
      </c>
      <c r="BY988" s="91" t="str">
        <f t="shared" si="305"/>
        <v>Incomplete</v>
      </c>
      <c r="BZ988" s="91" t="str">
        <f>_xlfn.XLOOKUP(BY988,'Normative data'!$V$3:$V$6,'Normative data'!$W$3:$W$6,"Not Found",-1)</f>
        <v>Very low risk</v>
      </c>
      <c r="CA988" s="66"/>
      <c r="CB988" s="66"/>
      <c r="CC988" s="30">
        <v>48</v>
      </c>
      <c r="CD988" s="104"/>
      <c r="CE988" s="104">
        <v>39</v>
      </c>
      <c r="CF988" s="104"/>
      <c r="CG988" s="104">
        <v>16.95</v>
      </c>
      <c r="CH988" s="20" t="str">
        <f>_xlfn.XLOOKUP(CG988, 'Normative data'!$S$9:$S$15,'Normative data'!$T$9:$T$15, "Not Found", -1)</f>
        <v>Above Average</v>
      </c>
      <c r="CI988" s="104">
        <v>17.43</v>
      </c>
      <c r="CJ988" s="20" t="str">
        <f>_xlfn.XLOOKUP(CI988, 'Normative data'!$S$9:$S$15, 'Normative data'!$T$9:$T$15, "Not Found", -1)</f>
        <v>Above Average</v>
      </c>
      <c r="CK988" s="104" t="s">
        <v>335</v>
      </c>
      <c r="CL988" s="104" t="s">
        <v>336</v>
      </c>
      <c r="CM988" s="104"/>
      <c r="CN988" s="104" t="s">
        <v>1658</v>
      </c>
      <c r="CO988" s="104" t="s">
        <v>1659</v>
      </c>
      <c r="CP988" s="112"/>
      <c r="CQ988" s="112" t="s">
        <v>1660</v>
      </c>
      <c r="CR988" s="20" t="str" cm="1">
        <f t="array" ref="CR988">IF(OR(ISBLANK(E988),ISBLANK(CQ988)),"Incomplete",_xlfn.XLOOKUP(CQ988,_xlfn.XLOOKUP(E988,'Normative data'!$Y$3:$Y$6,'Normative data'!$Z$3:$AG$6,,-1),'Normative data'!$Z$2:$AG$2,"Not Found",-1))</f>
        <v>Incomplete</v>
      </c>
      <c r="CS988" s="68">
        <v>14</v>
      </c>
      <c r="CT988" s="66">
        <v>1</v>
      </c>
      <c r="CU988" s="20" cm="1">
        <f t="array" ref="CU988">_xlfn.XLOOKUP(CS988&amp;CT988,(VLOOKUP!$A$3:$A$250)&amp;(VLOOKUP!$B$3:$B$250),VLOOKUP!$C$3:$C$250,"Incomplete",-1)</f>
        <v>2640</v>
      </c>
      <c r="CV988" s="20" t="str" cm="1">
        <f t="array" ref="CV988">_xlfn.XLOOKUP(CU988, _xlfn.XLOOKUP(E988, 'Normative data'!$Y$11:$Y$14, 'Normative data'!$Z$11:$AG$14, ,-1), 'Normative data'!$Z$10:$AG$10, "Not Found", -1)</f>
        <v>Excellent</v>
      </c>
      <c r="CW988" s="20" cm="1">
        <f t="array" ref="CW988">IF(OR(ISBLANK(CS988),ISBLANK(CT988)),"Incomplete",_xlfn.XLOOKUP(CS988&amp;CT988,VLOOKUP!$A$4:$A$250&amp;VLOOKUP!$B$4:$B$250,VLOOKUP!$D$4:$D$250,"0"))</f>
        <v>61</v>
      </c>
    </row>
    <row r="989" spans="1:101">
      <c r="A989" s="64" t="s">
        <v>1661</v>
      </c>
      <c r="B989" s="64" t="s">
        <v>1662</v>
      </c>
      <c r="C989" s="64" t="s">
        <v>86</v>
      </c>
      <c r="D989" s="65"/>
      <c r="E989" s="64"/>
      <c r="F989" s="66" t="s">
        <v>251</v>
      </c>
      <c r="G989" s="64">
        <v>2026</v>
      </c>
      <c r="H989" s="66"/>
      <c r="I989" s="66">
        <v>2</v>
      </c>
      <c r="J989" s="66"/>
      <c r="K989" s="66"/>
      <c r="L989" s="66"/>
      <c r="M989" s="64"/>
      <c r="N989" s="64"/>
      <c r="O989" s="64"/>
      <c r="P989" s="64"/>
      <c r="Q989" s="64"/>
      <c r="R989" s="64"/>
      <c r="S989" s="66"/>
      <c r="T989" s="66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  <c r="AF989" s="64"/>
      <c r="AG989" s="64"/>
      <c r="AH989" s="64"/>
      <c r="AI989" s="64"/>
      <c r="AJ989" s="64"/>
      <c r="AK989" s="64"/>
      <c r="AL989" s="64"/>
      <c r="AM989" s="64"/>
      <c r="AN989" s="64"/>
      <c r="AO989" s="64"/>
      <c r="AP989" s="64"/>
      <c r="AQ989" s="20"/>
      <c r="AR989" s="20"/>
      <c r="AS989" s="20"/>
      <c r="AT989" s="20"/>
      <c r="AU989" s="20"/>
      <c r="AV989" s="20"/>
      <c r="AW989" s="20"/>
      <c r="AX989" s="20"/>
      <c r="AY989" s="41" t="str">
        <f t="shared" si="308"/>
        <v>Incomplete</v>
      </c>
      <c r="AZ989" s="64"/>
      <c r="BA989" s="20" t="str">
        <f t="shared" si="309"/>
        <v>Incomplete</v>
      </c>
      <c r="BB989" s="64"/>
      <c r="BC989" s="20" t="str">
        <f t="shared" si="310"/>
        <v>Incomplete</v>
      </c>
      <c r="BD989" s="64"/>
      <c r="BE989" s="20" t="str">
        <f t="shared" si="311"/>
        <v>Incomplete</v>
      </c>
      <c r="BF989" s="64"/>
      <c r="BG989" s="64"/>
      <c r="BH989" s="64">
        <v>24</v>
      </c>
      <c r="BI989" s="20" t="str">
        <f t="shared" si="307"/>
        <v>Incomplete</v>
      </c>
      <c r="BJ989" s="66"/>
      <c r="BK989" s="64">
        <v>10.5</v>
      </c>
      <c r="BL989" s="66"/>
      <c r="BM989" s="17">
        <v>10.5</v>
      </c>
      <c r="BN989" s="66"/>
      <c r="BO989" s="64"/>
      <c r="BP989" s="64"/>
      <c r="BQ989" s="64"/>
      <c r="BR989" s="64"/>
      <c r="BS989" s="64"/>
      <c r="BT989" s="64"/>
      <c r="BU989" s="64"/>
      <c r="BV989" s="64"/>
      <c r="BW989" s="91" t="str">
        <f t="shared" si="304"/>
        <v>Incomplete</v>
      </c>
      <c r="BX989" s="91" t="str">
        <f>_xlfn.XLOOKUP(BW989,'Normative data'!$V$3:$V$6,'Normative data'!$W$3:$W$6,"Not Found",-1)</f>
        <v>Very low risk</v>
      </c>
      <c r="BY989" s="91" t="str">
        <f t="shared" si="305"/>
        <v>Incomplete</v>
      </c>
      <c r="BZ989" s="91" t="str">
        <f>_xlfn.XLOOKUP(BY989,'Normative data'!$V$3:$V$6,'Normative data'!$W$3:$W$6,"Not Found",-1)</f>
        <v>Very low risk</v>
      </c>
      <c r="CA989" s="64"/>
      <c r="CB989" s="66"/>
      <c r="CD989" s="66"/>
      <c r="CE989" s="64"/>
      <c r="CF989" s="66"/>
      <c r="CG989" s="64">
        <v>19.510000000000002</v>
      </c>
      <c r="CH989" s="20" t="str">
        <f>_xlfn.XLOOKUP(CG989, 'Normative data'!$S$9:$S$15,'Normative data'!$T$9:$T$15, "Not Found", -1)</f>
        <v>Average</v>
      </c>
      <c r="CI989" s="64">
        <v>19.97</v>
      </c>
      <c r="CJ989" s="20" t="str">
        <f>_xlfn.XLOOKUP(CI989, 'Normative data'!$S$9:$S$15, 'Normative data'!$T$9:$T$15, "Not Found", -1)</f>
        <v>Average</v>
      </c>
      <c r="CK989" s="105"/>
      <c r="CL989" s="105"/>
      <c r="CM989" s="105"/>
      <c r="CN989" s="105"/>
      <c r="CO989" s="105"/>
      <c r="CP989" s="68"/>
      <c r="CQ989" s="67">
        <v>2.7</v>
      </c>
      <c r="CR989" s="20" t="str" cm="1">
        <f t="array" ref="CR989">IF(OR(ISBLANK(E989),ISBLANK(CQ989)),"Incomplete",_xlfn.XLOOKUP(CQ989,_xlfn.XLOOKUP(E989,'Normative data'!$Y$3:$Y$6,'Normative data'!$Z$3:$AG$6,,-1),'Normative data'!$Z$2:$AG$2,"Not Found",-1))</f>
        <v>Incomplete</v>
      </c>
      <c r="CS989" s="68">
        <v>2</v>
      </c>
      <c r="CT989" s="66">
        <v>7</v>
      </c>
      <c r="CU989" s="20" cm="1">
        <f t="array" ref="CU989">_xlfn.XLOOKUP(CS989&amp;CT989,(VLOOKUP!$A$3:$A$250)&amp;(VLOOKUP!$B$3:$B$250),VLOOKUP!$C$3:$C$250,"Incomplete",-1)</f>
        <v>280</v>
      </c>
      <c r="CV989" s="20" t="str" cm="1">
        <f t="array" ref="CV989">_xlfn.XLOOKUP(CU989, _xlfn.XLOOKUP(E989, 'Normative data'!$Y$11:$Y$14, 'Normative data'!$Z$11:$AG$14, ,-1), 'Normative data'!$Z$10:$AG$10, "Not Found", -1)</f>
        <v xml:space="preserve">Very poor </v>
      </c>
      <c r="CW989" s="20" cm="1">
        <f t="array" ref="CW989">IF(OR(ISBLANK(CS989),ISBLANK(CT989)),"Incomplete",_xlfn.XLOOKUP(CS989&amp;CT989,VLOOKUP!$A$4:$A$250&amp;VLOOKUP!$B$4:$B$250,VLOOKUP!$D$4:$D$250,"0"))</f>
        <v>22</v>
      </c>
    </row>
    <row r="990" spans="1:101">
      <c r="A990" s="94" t="s">
        <v>1663</v>
      </c>
      <c r="B990" s="94" t="s">
        <v>1023</v>
      </c>
      <c r="C990" s="64" t="s">
        <v>86</v>
      </c>
      <c r="D990" s="97"/>
      <c r="E990" s="64"/>
      <c r="F990" s="64">
        <v>10</v>
      </c>
      <c r="G990" s="64">
        <v>2025</v>
      </c>
      <c r="H990" s="66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  <c r="AD990" s="66"/>
      <c r="AE990" s="66"/>
      <c r="AF990" s="66"/>
      <c r="AG990" s="66"/>
      <c r="AH990" s="66"/>
      <c r="AI990" s="66"/>
      <c r="AJ990" s="66"/>
      <c r="AK990" s="66"/>
      <c r="AL990" s="66"/>
      <c r="AM990" s="66"/>
      <c r="AN990" s="66"/>
      <c r="AO990" s="66"/>
      <c r="AP990" s="66"/>
      <c r="AQ990" s="66"/>
      <c r="AR990" s="66"/>
      <c r="AS990" s="66"/>
      <c r="AT990" s="66"/>
      <c r="AU990" s="66"/>
      <c r="AV990" s="66"/>
      <c r="AW990" s="66"/>
      <c r="AX990" s="66"/>
      <c r="AY990" s="41" t="str">
        <f t="shared" si="308"/>
        <v>Incomplete</v>
      </c>
      <c r="AZ990" s="66"/>
      <c r="BA990" s="20" t="str">
        <f t="shared" si="309"/>
        <v>Incomplete</v>
      </c>
      <c r="BB990" s="66"/>
      <c r="BC990" s="20" t="str">
        <f t="shared" si="310"/>
        <v>Incomplete</v>
      </c>
      <c r="BD990" s="66"/>
      <c r="BE990" s="20" t="str">
        <f t="shared" si="311"/>
        <v>Incomplete</v>
      </c>
      <c r="BF990" s="66"/>
      <c r="BG990" s="66">
        <v>18</v>
      </c>
      <c r="BH990" s="66">
        <v>41</v>
      </c>
      <c r="BI990" s="20">
        <f t="shared" si="307"/>
        <v>23</v>
      </c>
      <c r="BJ990" s="66"/>
      <c r="BK990" s="66">
        <v>5</v>
      </c>
      <c r="BL990" s="66"/>
      <c r="BM990" s="66">
        <v>4</v>
      </c>
      <c r="BN990" s="66"/>
      <c r="BO990" s="66"/>
      <c r="BP990" s="66"/>
      <c r="BQ990" s="66"/>
      <c r="BR990" s="66"/>
      <c r="BS990" s="66"/>
      <c r="BT990" s="66"/>
      <c r="BU990" s="66"/>
      <c r="BV990" s="66"/>
      <c r="BW990" s="91" t="str">
        <f t="shared" si="304"/>
        <v>Incomplete</v>
      </c>
      <c r="BX990" s="91" t="str">
        <f>_xlfn.XLOOKUP(BW990,'Normative data'!$V$3:$V$6,'Normative data'!$W$3:$W$6,"Not Found",-1)</f>
        <v>Very low risk</v>
      </c>
      <c r="BY990" s="91" t="str">
        <f t="shared" si="305"/>
        <v>Incomplete</v>
      </c>
      <c r="BZ990" s="91" t="str">
        <f>_xlfn.XLOOKUP(BY990,'Normative data'!$V$3:$V$6,'Normative data'!$W$3:$W$6,"Not Found",-1)</f>
        <v>Very low risk</v>
      </c>
      <c r="CA990" s="66"/>
      <c r="CB990" s="66"/>
      <c r="CC990" s="20"/>
      <c r="CD990" s="66"/>
      <c r="CE990" s="66"/>
      <c r="CF990" s="66"/>
      <c r="CG990" s="66"/>
      <c r="CH990" s="20" t="str">
        <f>_xlfn.XLOOKUP(CG990, 'Normative data'!$S$9:$S$15,'Normative data'!$T$9:$T$15, "Not Found", -1)</f>
        <v>not completed</v>
      </c>
      <c r="CI990" s="66"/>
      <c r="CJ990" s="20" t="str">
        <f>_xlfn.XLOOKUP(CI990, 'Normative data'!$S$9:$S$15, 'Normative data'!$T$9:$T$15, "Not Found", -1)</f>
        <v>not completed</v>
      </c>
      <c r="CK990" s="24">
        <v>2.42</v>
      </c>
      <c r="CL990" s="24">
        <v>4.13</v>
      </c>
      <c r="CM990" s="21"/>
      <c r="CN990" s="24">
        <v>8.07</v>
      </c>
      <c r="CO990" s="24">
        <v>6.2</v>
      </c>
      <c r="CP990" s="110"/>
      <c r="CQ990" s="68"/>
      <c r="CR990" s="20" t="str" cm="1">
        <f t="array" ref="CR990">IF(OR(ISBLANK(E990),ISBLANK(CQ990)),"Incomplete",_xlfn.XLOOKUP(CQ990,_xlfn.XLOOKUP(E990,'Normative data'!$Y$3:$Y$6,'Normative data'!$Z$3:$AG$6,,-1),'Normative data'!$Z$2:$AG$2,"Not Found",-1))</f>
        <v>Incomplete</v>
      </c>
      <c r="CS990" s="68"/>
      <c r="CT990" s="66"/>
      <c r="CU990" s="20" t="str" cm="1">
        <f t="array" ref="CU990">_xlfn.XLOOKUP(CS990&amp;CT990,(VLOOKUP!$A$3:$A$250)&amp;(VLOOKUP!$B$3:$B$250),VLOOKUP!$C$3:$C$250,"Incomplete",-1)</f>
        <v>Incomplete</v>
      </c>
      <c r="CV990" s="20" t="str" cm="1">
        <f t="array" ref="CV990">_xlfn.XLOOKUP(CU990, _xlfn.XLOOKUP(E990, 'Normative data'!$Y$11:$Y$14, 'Normative data'!$Z$11:$AG$14, ,-1), 'Normative data'!$Z$10:$AG$10, "Not Found", -1)</f>
        <v>Excellent</v>
      </c>
      <c r="CW990" s="20" t="str" cm="1">
        <f t="array" ref="CW990">IF(OR(ISBLANK(CS990),ISBLANK(CT990)),"Incomplete",_xlfn.XLOOKUP(CS990&amp;CT990,VLOOKUP!$A$4:$A$250&amp;VLOOKUP!$B$4:$B$250,VLOOKUP!$D$4:$D$250,"0"))</f>
        <v>Incomplete</v>
      </c>
    </row>
    <row r="991" spans="1:101">
      <c r="A991" s="64" t="s">
        <v>1663</v>
      </c>
      <c r="B991" s="64" t="s">
        <v>1023</v>
      </c>
      <c r="C991" s="64" t="s">
        <v>86</v>
      </c>
      <c r="D991" s="65"/>
      <c r="E991" s="64"/>
      <c r="F991" s="64">
        <v>10</v>
      </c>
      <c r="G991" s="64">
        <v>2025</v>
      </c>
      <c r="H991" s="66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  <c r="AD991" s="66"/>
      <c r="AE991" s="66"/>
      <c r="AF991" s="66"/>
      <c r="AG991" s="66"/>
      <c r="AH991" s="66"/>
      <c r="AI991" s="66"/>
      <c r="AJ991" s="66"/>
      <c r="AK991" s="66"/>
      <c r="AL991" s="66"/>
      <c r="AM991" s="66"/>
      <c r="AN991" s="66"/>
      <c r="AO991" s="66"/>
      <c r="AP991" s="66"/>
      <c r="AQ991" s="66"/>
      <c r="AR991" s="66"/>
      <c r="AS991" s="66"/>
      <c r="AT991" s="66"/>
      <c r="AU991" s="66"/>
      <c r="AV991" s="66"/>
      <c r="AW991" s="66"/>
      <c r="AX991" s="66"/>
      <c r="AY991" s="41" t="str">
        <f t="shared" si="308"/>
        <v>Incomplete</v>
      </c>
      <c r="AZ991" s="66"/>
      <c r="BA991" s="20" t="str">
        <f t="shared" si="309"/>
        <v>Incomplete</v>
      </c>
      <c r="BB991" s="66"/>
      <c r="BC991" s="20" t="str">
        <f t="shared" si="310"/>
        <v>Incomplete</v>
      </c>
      <c r="BD991" s="66"/>
      <c r="BE991" s="20" t="str">
        <f t="shared" si="311"/>
        <v>Incomplete</v>
      </c>
      <c r="BF991" s="66"/>
      <c r="BG991" s="66"/>
      <c r="BH991" s="66"/>
      <c r="BI991" s="20" t="str">
        <f t="shared" si="307"/>
        <v>Incomplete</v>
      </c>
      <c r="BJ991" s="66"/>
      <c r="BK991" s="66"/>
      <c r="BL991" s="66"/>
      <c r="BM991" s="66"/>
      <c r="BN991" s="66"/>
      <c r="BO991" s="66"/>
      <c r="BP991" s="66"/>
      <c r="BQ991" s="66"/>
      <c r="BR991" s="66"/>
      <c r="BS991" s="66"/>
      <c r="BT991" s="66"/>
      <c r="BU991" s="66"/>
      <c r="BV991" s="66"/>
      <c r="BW991" s="91" t="str">
        <f t="shared" si="304"/>
        <v>Incomplete</v>
      </c>
      <c r="BX991" s="91" t="str">
        <f>_xlfn.XLOOKUP(BW991,'Normative data'!$V$3:$V$6,'Normative data'!$W$3:$W$6,"Not Found",-1)</f>
        <v>Very low risk</v>
      </c>
      <c r="BY991" s="91" t="str">
        <f t="shared" si="305"/>
        <v>Incomplete</v>
      </c>
      <c r="BZ991" s="91" t="str">
        <f>_xlfn.XLOOKUP(BY991,'Normative data'!$V$3:$V$6,'Normative data'!$W$3:$W$6,"Not Found",-1)</f>
        <v>Very low risk</v>
      </c>
      <c r="CA991" s="66"/>
      <c r="CB991" s="66"/>
      <c r="CC991" s="20"/>
      <c r="CD991" s="66"/>
      <c r="CE991" s="66"/>
      <c r="CF991" s="66"/>
      <c r="CG991" s="66"/>
      <c r="CH991" s="20" t="str">
        <f>_xlfn.XLOOKUP(CG991, 'Normative data'!$S$9:$S$15,'Normative data'!$T$9:$T$15, "Not Found", -1)</f>
        <v>not completed</v>
      </c>
      <c r="CI991" s="66"/>
      <c r="CJ991" s="20" t="str">
        <f>_xlfn.XLOOKUP(CI991, 'Normative data'!$S$9:$S$15, 'Normative data'!$T$9:$T$15, "Not Found", -1)</f>
        <v>not completed</v>
      </c>
      <c r="CK991" s="66" t="s">
        <v>990</v>
      </c>
      <c r="CL991" s="66" t="s">
        <v>991</v>
      </c>
      <c r="CM991" s="66"/>
      <c r="CN991" s="66" t="s">
        <v>1664</v>
      </c>
      <c r="CO991" s="66" t="s">
        <v>1665</v>
      </c>
      <c r="CP991" s="68"/>
      <c r="CQ991" s="68"/>
      <c r="CR991" s="20" t="str" cm="1">
        <f t="array" ref="CR991">IF(OR(ISBLANK(E991),ISBLANK(CQ991)),"Incomplete",_xlfn.XLOOKUP(CQ991,_xlfn.XLOOKUP(E991,'Normative data'!$Y$3:$Y$6,'Normative data'!$Z$3:$AG$6,,-1),'Normative data'!$Z$2:$AG$2,"Not Found",-1))</f>
        <v>Incomplete</v>
      </c>
      <c r="CS991" s="68"/>
      <c r="CT991" s="66"/>
      <c r="CU991" s="20" t="str" cm="1">
        <f t="array" ref="CU991">_xlfn.XLOOKUP(CS991&amp;CT991,(VLOOKUP!$A$3:$A$250)&amp;(VLOOKUP!$B$3:$B$250),VLOOKUP!$C$3:$C$250,"Incomplete",-1)</f>
        <v>Incomplete</v>
      </c>
      <c r="CV991" s="20" t="str" cm="1">
        <f t="array" ref="CV991">_xlfn.XLOOKUP(CU991, _xlfn.XLOOKUP(E991, 'Normative data'!$Y$11:$Y$14, 'Normative data'!$Z$11:$AG$14, ,-1), 'Normative data'!$Z$10:$AG$10, "Not Found", -1)</f>
        <v>Excellent</v>
      </c>
      <c r="CW991" s="20" t="str" cm="1">
        <f t="array" ref="CW991">IF(OR(ISBLANK(CS991),ISBLANK(CT991)),"Incomplete",_xlfn.XLOOKUP(CS991&amp;CT991,VLOOKUP!$A$4:$A$250&amp;VLOOKUP!$B$4:$B$250,VLOOKUP!$D$4:$D$250,"0"))</f>
        <v>Incomplete</v>
      </c>
    </row>
    <row r="992" spans="1:101">
      <c r="A992" s="64" t="s">
        <v>410</v>
      </c>
      <c r="B992" s="64" t="s">
        <v>409</v>
      </c>
      <c r="C992" s="64" t="s">
        <v>86</v>
      </c>
      <c r="D992" s="65">
        <v>39834</v>
      </c>
      <c r="E992" s="64">
        <v>17.3</v>
      </c>
      <c r="F992" s="66" t="s">
        <v>192</v>
      </c>
      <c r="G992" s="64">
        <v>2026</v>
      </c>
      <c r="H992" s="66"/>
      <c r="I992" s="66">
        <v>2</v>
      </c>
      <c r="J992" s="66" t="s">
        <v>88</v>
      </c>
      <c r="K992" s="66" t="s">
        <v>111</v>
      </c>
      <c r="L992" s="66"/>
      <c r="M992" s="64"/>
      <c r="N992" s="64"/>
      <c r="O992" s="64"/>
      <c r="P992" s="64"/>
      <c r="Q992" s="64"/>
      <c r="R992" s="64"/>
      <c r="S992" s="66">
        <v>86.1</v>
      </c>
      <c r="T992" s="66">
        <v>171.7</v>
      </c>
      <c r="U992" s="64">
        <v>66.099999999999994</v>
      </c>
      <c r="V992" s="64">
        <v>34.299999999999997</v>
      </c>
      <c r="W992" s="64">
        <v>19</v>
      </c>
      <c r="X992" s="64">
        <v>47.1</v>
      </c>
      <c r="Y992" s="64">
        <v>26</v>
      </c>
      <c r="Z992" s="64">
        <v>22.4</v>
      </c>
      <c r="AA992" s="64">
        <v>28.8</v>
      </c>
      <c r="AB992" s="64">
        <v>7.62</v>
      </c>
      <c r="AC992" s="64">
        <v>102.7</v>
      </c>
      <c r="AD992" s="64">
        <v>7.59</v>
      </c>
      <c r="AE992" s="64">
        <v>102.2</v>
      </c>
      <c r="AF992" s="64">
        <v>3</v>
      </c>
      <c r="AG992" s="64">
        <v>111.2</v>
      </c>
      <c r="AH992" s="64">
        <v>3</v>
      </c>
      <c r="AI992" s="64">
        <v>110.5</v>
      </c>
      <c r="AJ992" s="64">
        <v>326.3</v>
      </c>
      <c r="AK992" s="64">
        <v>328.3</v>
      </c>
      <c r="AL992" s="64">
        <v>287.5</v>
      </c>
      <c r="AM992" s="64">
        <v>291.8</v>
      </c>
      <c r="AN992" s="64">
        <v>99</v>
      </c>
      <c r="AO992" s="64">
        <v>0.88</v>
      </c>
      <c r="AP992" s="64">
        <v>6.7</v>
      </c>
      <c r="AQ992" s="64">
        <v>19.100000000000001</v>
      </c>
      <c r="AR992" s="64">
        <v>0.39500000000000002</v>
      </c>
      <c r="AS992" s="64">
        <v>27.2</v>
      </c>
      <c r="AT992" s="64">
        <v>0.47099999999999997</v>
      </c>
      <c r="AU992" s="64">
        <v>13.8</v>
      </c>
      <c r="AV992" s="64">
        <v>0.33500000000000002</v>
      </c>
      <c r="AW992" s="64">
        <v>14.5</v>
      </c>
      <c r="AX992" s="64">
        <v>0.34399999999999997</v>
      </c>
      <c r="AY992" s="41">
        <f t="shared" si="308"/>
        <v>2098.6999999999998</v>
      </c>
      <c r="AZ992" s="64"/>
      <c r="BA992" s="20">
        <f t="shared" si="309"/>
        <v>2590.369999999999</v>
      </c>
      <c r="BB992" s="64"/>
      <c r="BC992" s="20">
        <f t="shared" si="310"/>
        <v>1776.9899999999998</v>
      </c>
      <c r="BD992" s="64"/>
      <c r="BE992" s="20">
        <f t="shared" si="311"/>
        <v>1819.4799999999996</v>
      </c>
      <c r="BF992" s="64"/>
      <c r="BG992" s="64">
        <v>8</v>
      </c>
      <c r="BH992" s="64">
        <v>42.6</v>
      </c>
      <c r="BI992" s="20">
        <f t="shared" si="307"/>
        <v>34.6</v>
      </c>
      <c r="BJ992" s="66"/>
      <c r="BK992" s="64">
        <v>11.5</v>
      </c>
      <c r="BL992" s="66"/>
      <c r="BM992" s="64">
        <v>11</v>
      </c>
      <c r="BN992" s="66"/>
      <c r="BO992" s="64">
        <v>45.5</v>
      </c>
      <c r="BP992" s="64">
        <v>47</v>
      </c>
      <c r="BQ992" s="64">
        <v>76</v>
      </c>
      <c r="BR992" s="64">
        <v>67</v>
      </c>
      <c r="BS992" s="64">
        <v>63</v>
      </c>
      <c r="BT992" s="64">
        <v>79</v>
      </c>
      <c r="BU992" s="64">
        <v>70</v>
      </c>
      <c r="BV992" s="64">
        <v>60</v>
      </c>
      <c r="BW992" s="91">
        <f t="shared" si="304"/>
        <v>80.218068535825566</v>
      </c>
      <c r="BX992" s="91" t="str">
        <f>_xlfn.XLOOKUP(BW992,'Normative data'!$V$3:$V$6,'Normative data'!$W$3:$W$6,"Not Found",-1)</f>
        <v>High risk</v>
      </c>
      <c r="BY992" s="91">
        <f t="shared" si="305"/>
        <v>81.38629283489098</v>
      </c>
      <c r="BZ992" s="91" t="str">
        <f>_xlfn.XLOOKUP(BY992,'Normative data'!$V$3:$V$6,'Normative data'!$W$3:$W$6,"Not Found",-1)</f>
        <v>High risk</v>
      </c>
      <c r="CA992" s="64">
        <v>19</v>
      </c>
      <c r="CB992" s="66"/>
      <c r="CC992" s="66"/>
      <c r="CD992" s="66"/>
      <c r="CE992" s="64">
        <v>12</v>
      </c>
      <c r="CF992" s="66"/>
      <c r="CG992" s="64">
        <v>18.41</v>
      </c>
      <c r="CH992" s="20" t="str">
        <f>_xlfn.XLOOKUP(CG992, 'Normative data'!$S$9:$S$15,'Normative data'!$T$9:$T$15, "Not Found", -1)</f>
        <v>Average</v>
      </c>
      <c r="CI992" s="64">
        <v>18.920000000000002</v>
      </c>
      <c r="CJ992" s="20" t="str">
        <f>_xlfn.XLOOKUP(CI992, 'Normative data'!$S$9:$S$15, 'Normative data'!$T$9:$T$15, "Not Found", -1)</f>
        <v>Average</v>
      </c>
      <c r="CK992" s="105"/>
      <c r="CL992" s="105"/>
      <c r="CM992" s="105"/>
      <c r="CN992" s="105"/>
      <c r="CO992" s="105"/>
      <c r="CP992" s="68"/>
      <c r="CQ992" s="67">
        <v>4.5999999999999996</v>
      </c>
      <c r="CR992" s="20" t="str" cm="1">
        <f t="array" ref="CR992">IF(OR(ISBLANK(E992),ISBLANK(CQ992)),"Incomplete",_xlfn.XLOOKUP(CQ992,_xlfn.XLOOKUP(E992,'Normative data'!$Y$3:$Y$6,'Normative data'!$Z$3:$AG$6,,-1),'Normative data'!$Z$2:$AG$2,"Not Found",-1))</f>
        <v>Poor</v>
      </c>
      <c r="CS992" s="68">
        <v>10</v>
      </c>
      <c r="CT992" s="66">
        <v>1</v>
      </c>
      <c r="CU992" s="20" cm="1">
        <f t="array" ref="CU992">_xlfn.XLOOKUP(CS992&amp;CT992,(VLOOKUP!$A$3:$A$250)&amp;(VLOOKUP!$B$3:$B$250),VLOOKUP!$C$3:$C$250,"Incomplete",-1)</f>
        <v>1680</v>
      </c>
      <c r="CV992" s="20" t="str" cm="1">
        <f t="array" ref="CV992">_xlfn.XLOOKUP(CU992, _xlfn.XLOOKUP(E992, 'Normative data'!$Y$11:$Y$14, 'Normative data'!$Z$11:$AG$14, ,-1), 'Normative data'!$Z$10:$AG$10, "Not Found", -1)</f>
        <v xml:space="preserve">Good </v>
      </c>
      <c r="CW992" s="20" cm="1">
        <f t="array" ref="CW992">IF(OR(ISBLANK(CS992),ISBLANK(CT992)),"Incomplete",_xlfn.XLOOKUP(CS992&amp;CT992,VLOOKUP!$A$4:$A$250&amp;VLOOKUP!$B$4:$B$250,VLOOKUP!$D$4:$D$250,"0"))</f>
        <v>47</v>
      </c>
    </row>
    <row r="993" spans="1:101">
      <c r="A993" s="94" t="s">
        <v>1666</v>
      </c>
      <c r="B993" s="94" t="s">
        <v>1270</v>
      </c>
      <c r="C993" s="64" t="s">
        <v>86</v>
      </c>
      <c r="D993" s="97">
        <v>40592</v>
      </c>
      <c r="E993" s="64"/>
      <c r="F993" s="64">
        <v>8</v>
      </c>
      <c r="G993" s="64">
        <v>2025</v>
      </c>
      <c r="H993" s="66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  <c r="AD993" s="66"/>
      <c r="AE993" s="66"/>
      <c r="AF993" s="66"/>
      <c r="AG993" s="66"/>
      <c r="AH993" s="66"/>
      <c r="AI993" s="66"/>
      <c r="AJ993" s="66"/>
      <c r="AK993" s="66"/>
      <c r="AL993" s="66"/>
      <c r="AM993" s="66"/>
      <c r="AN993" s="66"/>
      <c r="AO993" s="66"/>
      <c r="AP993" s="66"/>
      <c r="AQ993" s="66"/>
      <c r="AR993" s="66"/>
      <c r="AS993" s="66"/>
      <c r="AT993" s="66"/>
      <c r="AU993" s="66"/>
      <c r="AV993" s="66"/>
      <c r="AW993" s="66"/>
      <c r="AX993" s="66"/>
      <c r="AY993" s="41" t="str">
        <f t="shared" si="308"/>
        <v>Incomplete</v>
      </c>
      <c r="AZ993" s="66"/>
      <c r="BA993" s="20" t="str">
        <f t="shared" si="309"/>
        <v>Incomplete</v>
      </c>
      <c r="BB993" s="66"/>
      <c r="BC993" s="20" t="str">
        <f t="shared" si="310"/>
        <v>Incomplete</v>
      </c>
      <c r="BD993" s="66"/>
      <c r="BE993" s="20" t="str">
        <f t="shared" si="311"/>
        <v>Incomplete</v>
      </c>
      <c r="BF993" s="66"/>
      <c r="BG993" s="66">
        <v>13</v>
      </c>
      <c r="BH993" s="66">
        <v>29.3</v>
      </c>
      <c r="BI993" s="20" t="e">
        <f>IF(OR(ISBLANK(#REF!), ISBLANK(#REF!)),"Incomplete",(SUM(#REF!-#REF!)))</f>
        <v>#REF!</v>
      </c>
      <c r="BJ993" s="66"/>
      <c r="BK993" s="66"/>
      <c r="BL993" s="66"/>
      <c r="BM993" s="66"/>
      <c r="BN993" s="66"/>
      <c r="BO993" s="66"/>
      <c r="BP993" s="66"/>
      <c r="BQ993" s="66"/>
      <c r="BR993" s="66"/>
      <c r="BS993" s="66"/>
      <c r="BT993" s="66"/>
      <c r="BU993" s="66"/>
      <c r="BV993" s="66"/>
      <c r="BW993" s="91" t="str">
        <f t="shared" si="304"/>
        <v>Incomplete</v>
      </c>
      <c r="BX993" s="91" t="str">
        <f>_xlfn.XLOOKUP(BW993,'Normative data'!$V$3:$V$6,'Normative data'!$W$3:$W$6,"Not Found",-1)</f>
        <v>Very low risk</v>
      </c>
      <c r="BY993" s="91" t="str">
        <f t="shared" si="305"/>
        <v>Incomplete</v>
      </c>
      <c r="BZ993" s="91" t="str">
        <f>_xlfn.XLOOKUP(BY993,'Normative data'!$V$3:$V$6,'Normative data'!$W$3:$W$6,"Not Found",-1)</f>
        <v>Very low risk</v>
      </c>
      <c r="CA993" s="66"/>
      <c r="CB993" s="66"/>
      <c r="CC993" s="20"/>
      <c r="CD993" s="66"/>
      <c r="CE993" s="66"/>
      <c r="CF993" s="66"/>
      <c r="CG993" s="66"/>
      <c r="CH993" s="20" t="str">
        <f>_xlfn.XLOOKUP(CG993, 'Normative data'!$S$9:$S$15,'Normative data'!$T$9:$T$15, "Not Found", -1)</f>
        <v>not completed</v>
      </c>
      <c r="CI993" s="66"/>
      <c r="CJ993" s="20" t="str">
        <f>_xlfn.XLOOKUP(CI993, 'Normative data'!$S$9:$S$15, 'Normative data'!$T$9:$T$15, "Not Found", -1)</f>
        <v>not completed</v>
      </c>
      <c r="CK993" s="24">
        <v>2.38</v>
      </c>
      <c r="CL993" s="24">
        <v>4.2</v>
      </c>
      <c r="CM993" s="24"/>
      <c r="CN993" s="24">
        <v>7.65</v>
      </c>
      <c r="CO993" s="24">
        <v>6.54</v>
      </c>
      <c r="CP993" s="110"/>
      <c r="CQ993" s="68"/>
      <c r="CR993" s="20" t="str" cm="1">
        <f t="array" ref="CR993">IF(OR(ISBLANK(E993),ISBLANK(CQ993)),"Incomplete",_xlfn.XLOOKUP(CQ993,_xlfn.XLOOKUP(E993,'Normative data'!$Y$3:$Y$6,'Normative data'!$Z$3:$AG$6,,-1),'Normative data'!$Z$2:$AG$2,"Not Found",-1))</f>
        <v>Incomplete</v>
      </c>
      <c r="CS993" s="68"/>
      <c r="CT993" s="66"/>
      <c r="CU993" s="20" t="str" cm="1">
        <f t="array" ref="CU993">_xlfn.XLOOKUP(CS993&amp;CT993,(VLOOKUP!$A$3:$A$250)&amp;(VLOOKUP!$B$3:$B$250),VLOOKUP!$C$3:$C$250,"Incomplete",-1)</f>
        <v>Incomplete</v>
      </c>
      <c r="CV993" s="20" t="str" cm="1">
        <f t="array" ref="CV993">_xlfn.XLOOKUP(CU993, _xlfn.XLOOKUP(E993, 'Normative data'!$Y$11:$Y$14, 'Normative data'!$Z$11:$AG$14, ,-1), 'Normative data'!$Z$10:$AG$10, "Not Found", -1)</f>
        <v>Excellent</v>
      </c>
      <c r="CW993" s="20" t="str" cm="1">
        <f t="array" ref="CW993">IF(OR(ISBLANK(CS993),ISBLANK(CT993)),"Incomplete",_xlfn.XLOOKUP(CS993&amp;CT993,VLOOKUP!$A$4:$A$250&amp;VLOOKUP!$B$4:$B$250,VLOOKUP!$D$4:$D$250,"0"))</f>
        <v>Incomplete</v>
      </c>
    </row>
    <row r="994" spans="1:101">
      <c r="A994" s="64" t="s">
        <v>1637</v>
      </c>
      <c r="B994" s="64" t="s">
        <v>1667</v>
      </c>
      <c r="C994" s="64" t="s">
        <v>86</v>
      </c>
      <c r="D994" s="65">
        <v>40759</v>
      </c>
      <c r="E994" s="64">
        <v>15.1</v>
      </c>
      <c r="F994" s="66" t="s">
        <v>87</v>
      </c>
      <c r="G994" s="64">
        <v>2026</v>
      </c>
      <c r="H994" s="66"/>
      <c r="I994" s="66">
        <v>2</v>
      </c>
      <c r="J994" s="66" t="s">
        <v>88</v>
      </c>
      <c r="K994" s="66" t="s">
        <v>194</v>
      </c>
      <c r="L994" s="66"/>
      <c r="M994" s="64"/>
      <c r="N994" s="64"/>
      <c r="O994" s="64"/>
      <c r="P994" s="64"/>
      <c r="Q994" s="64"/>
      <c r="R994" s="64"/>
      <c r="S994" s="66">
        <v>157.1</v>
      </c>
      <c r="T994" s="66">
        <v>80.3</v>
      </c>
      <c r="U994" s="64">
        <v>58.4</v>
      </c>
      <c r="V994" s="64">
        <v>31</v>
      </c>
      <c r="W994" s="64">
        <v>16</v>
      </c>
      <c r="X994" s="64">
        <v>42.4</v>
      </c>
      <c r="Y994" s="64">
        <v>23.3</v>
      </c>
      <c r="Z994" s="64">
        <v>23.7</v>
      </c>
      <c r="AA994" s="64">
        <v>27.5</v>
      </c>
      <c r="AB994" s="64">
        <v>6.26</v>
      </c>
      <c r="AC994" s="64">
        <v>105.7</v>
      </c>
      <c r="AD994" s="64">
        <v>6.38</v>
      </c>
      <c r="AE994" s="64">
        <v>107.7</v>
      </c>
      <c r="AF994" s="64">
        <v>2.6</v>
      </c>
      <c r="AG994" s="64">
        <v>134.19999999999999</v>
      </c>
      <c r="AH994" s="64">
        <v>2.6</v>
      </c>
      <c r="AI994" s="64">
        <v>134.6</v>
      </c>
      <c r="AJ994" s="64">
        <v>296.89999999999998</v>
      </c>
      <c r="AK994" s="64">
        <v>284</v>
      </c>
      <c r="AL994" s="64">
        <v>259.3</v>
      </c>
      <c r="AM994" s="64">
        <v>248.1</v>
      </c>
      <c r="AN994" s="64">
        <v>85</v>
      </c>
      <c r="AO994" s="64">
        <v>0.82</v>
      </c>
      <c r="AP994" s="64">
        <v>6.8</v>
      </c>
      <c r="AQ994" s="17">
        <v>21.8</v>
      </c>
      <c r="AR994" s="17">
        <v>0.42199999999999999</v>
      </c>
      <c r="AS994" s="17">
        <v>23.2</v>
      </c>
      <c r="AT994" s="17">
        <v>0.435</v>
      </c>
      <c r="AU994" s="17">
        <v>11</v>
      </c>
      <c r="AV994" s="17">
        <v>0.29899999999999999</v>
      </c>
      <c r="AW994" s="17">
        <v>10.1</v>
      </c>
      <c r="AX994" s="17">
        <v>0.28699999999999998</v>
      </c>
      <c r="AY994" s="41">
        <f t="shared" si="308"/>
        <v>1913.7800000000002</v>
      </c>
      <c r="AZ994" s="64"/>
      <c r="BA994" s="20">
        <f t="shared" si="309"/>
        <v>1998.7600000000002</v>
      </c>
      <c r="BB994" s="64"/>
      <c r="BC994" s="20">
        <f t="shared" si="310"/>
        <v>1258.2200000000003</v>
      </c>
      <c r="BD994" s="64"/>
      <c r="BE994" s="20">
        <f t="shared" si="311"/>
        <v>1203.5900000000001</v>
      </c>
      <c r="BF994" s="64"/>
      <c r="BG994" s="64">
        <v>16</v>
      </c>
      <c r="BH994" s="17">
        <v>47</v>
      </c>
      <c r="BI994" s="20">
        <f t="shared" ref="BI994:BI1000" si="312">IF(OR(ISBLANK(BG994), ISBLANK(BH994)),"Incomplete",(SUM(BH994-BG994)))</f>
        <v>31</v>
      </c>
      <c r="BJ994" s="66"/>
      <c r="BK994" s="64">
        <v>11.9</v>
      </c>
      <c r="BL994" s="66"/>
      <c r="BM994" s="17">
        <v>8.5</v>
      </c>
      <c r="BN994" s="66"/>
      <c r="BO994" s="64">
        <v>52</v>
      </c>
      <c r="BP994" s="64">
        <v>50</v>
      </c>
      <c r="BQ994" s="64">
        <v>76</v>
      </c>
      <c r="BR994" s="64">
        <v>80</v>
      </c>
      <c r="BS994" s="64">
        <v>76</v>
      </c>
      <c r="BT994" s="64">
        <v>75</v>
      </c>
      <c r="BU994" s="64">
        <v>78</v>
      </c>
      <c r="BV994" s="64">
        <v>81</v>
      </c>
      <c r="BW994" s="91">
        <f t="shared" si="304"/>
        <v>-100.69444444444446</v>
      </c>
      <c r="BX994" s="91" t="str">
        <f>_xlfn.XLOOKUP(BW994,'Normative data'!$V$3:$V$6,'Normative data'!$W$3:$W$6,"Not Found",-1)</f>
        <v>Not Found</v>
      </c>
      <c r="BY994" s="91">
        <f t="shared" si="305"/>
        <v>-101.5625</v>
      </c>
      <c r="BZ994" s="91" t="str">
        <f>_xlfn.XLOOKUP(BY994,'Normative data'!$V$3:$V$6,'Normative data'!$W$3:$W$6,"Not Found",-1)</f>
        <v>Not Found</v>
      </c>
      <c r="CA994" s="64">
        <v>32</v>
      </c>
      <c r="CB994" s="66"/>
      <c r="CC994" s="20"/>
      <c r="CD994" s="66"/>
      <c r="CE994" s="64">
        <v>21</v>
      </c>
      <c r="CF994" s="66"/>
      <c r="CG994" s="17">
        <v>17.66</v>
      </c>
      <c r="CH994" s="20" t="str">
        <f>_xlfn.XLOOKUP(CG994, 'Normative data'!$S$9:$S$15,'Normative data'!$T$9:$T$15, "Not Found", -1)</f>
        <v>Above Average</v>
      </c>
      <c r="CI994" s="17">
        <v>18.12</v>
      </c>
      <c r="CJ994" s="20" t="str">
        <f>_xlfn.XLOOKUP(CI994, 'Normative data'!$S$9:$S$15, 'Normative data'!$T$9:$T$15, "Not Found", -1)</f>
        <v>Average</v>
      </c>
      <c r="CK994" s="64">
        <v>2.1800000000000002</v>
      </c>
      <c r="CL994" s="64">
        <v>4.59</v>
      </c>
      <c r="CM994" s="66"/>
      <c r="CN994" s="64">
        <v>6.58</v>
      </c>
      <c r="CO994" s="64">
        <v>7.6</v>
      </c>
      <c r="CP994" s="68"/>
      <c r="CQ994" s="67">
        <v>8.6</v>
      </c>
      <c r="CR994" s="20" t="str" cm="1">
        <f t="array" ref="CR994">IF(OR(ISBLANK(E994),ISBLANK(CQ994)),"Incomplete",_xlfn.XLOOKUP(CQ994,_xlfn.XLOOKUP(E994,'Normative data'!$Y$3:$Y$6,'Normative data'!$Z$3:$AG$6,,-1),'Normative data'!$Z$2:$AG$2,"Not Found",-1))</f>
        <v>Good</v>
      </c>
      <c r="CS994" s="68">
        <v>8</v>
      </c>
      <c r="CT994" s="66">
        <v>6</v>
      </c>
      <c r="CU994" s="20" cm="1">
        <f t="array" ref="CU994">_xlfn.XLOOKUP(CS994&amp;CT994,(VLOOKUP!$A$3:$A$250)&amp;(VLOOKUP!$B$3:$B$250),VLOOKUP!$C$3:$C$250,"Incomplete",-1)</f>
        <v>1340</v>
      </c>
      <c r="CV994" s="20" t="str" cm="1">
        <f t="array" ref="CV994">_xlfn.XLOOKUP(CU994, _xlfn.XLOOKUP(E994, 'Normative data'!$Y$11:$Y$14, 'Normative data'!$Z$11:$AG$14, ,-1), 'Normative data'!$Z$10:$AG$10, "Not Found", -1)</f>
        <v>Average</v>
      </c>
      <c r="CW994" s="20" cm="1">
        <f t="array" ref="CW994">IF(OR(ISBLANK(CS994),ISBLANK(CT994)),"Incomplete",_xlfn.XLOOKUP(CS994&amp;CT994,VLOOKUP!$A$4:$A$250&amp;VLOOKUP!$B$4:$B$250,VLOOKUP!$D$4:$D$250,"0"))</f>
        <v>42</v>
      </c>
    </row>
    <row r="995" spans="1:101">
      <c r="A995" s="64" t="s">
        <v>144</v>
      </c>
      <c r="B995" s="64" t="s">
        <v>143</v>
      </c>
      <c r="C995" s="64" t="s">
        <v>86</v>
      </c>
      <c r="D995" s="65">
        <v>40259</v>
      </c>
      <c r="E995" s="64">
        <v>16.100000000000001</v>
      </c>
      <c r="F995" s="66" t="s">
        <v>178</v>
      </c>
      <c r="G995" s="64">
        <v>2026</v>
      </c>
      <c r="H995" s="66"/>
      <c r="I995" s="66">
        <v>2</v>
      </c>
      <c r="J995" s="66" t="s">
        <v>100</v>
      </c>
      <c r="K995" s="66" t="s">
        <v>105</v>
      </c>
      <c r="L995" s="66"/>
      <c r="M995" s="64"/>
      <c r="N995" s="64"/>
      <c r="O995" s="64"/>
      <c r="P995" s="64"/>
      <c r="Q995" s="64"/>
      <c r="R995" s="64"/>
      <c r="S995" s="66">
        <v>93.6</v>
      </c>
      <c r="T995" s="66">
        <v>176.1</v>
      </c>
      <c r="U995" s="64">
        <v>62.6</v>
      </c>
      <c r="V995" s="64">
        <v>36.299999999999997</v>
      </c>
      <c r="W995" s="64">
        <v>13</v>
      </c>
      <c r="X995" s="64">
        <v>49.6</v>
      </c>
      <c r="Y995" s="64">
        <v>27.3</v>
      </c>
      <c r="Z995" s="64">
        <v>20.2</v>
      </c>
      <c r="AA995" s="64">
        <v>20.8</v>
      </c>
      <c r="AB995" s="64">
        <v>8.1300000000000008</v>
      </c>
      <c r="AC995" s="64">
        <v>112.3</v>
      </c>
      <c r="AD995" s="64">
        <v>8.07</v>
      </c>
      <c r="AE995" s="64">
        <v>111.5</v>
      </c>
      <c r="AF995" s="64">
        <v>2.1</v>
      </c>
      <c r="AG995" s="64">
        <v>74.099999999999994</v>
      </c>
      <c r="AH995" s="64">
        <v>2.1</v>
      </c>
      <c r="AI995" s="64">
        <v>73.5</v>
      </c>
      <c r="AJ995" s="64">
        <v>301.2</v>
      </c>
      <c r="AK995" s="64">
        <v>304.5</v>
      </c>
      <c r="AL995" s="64">
        <v>268.39999999999998</v>
      </c>
      <c r="AM995" s="64">
        <v>273.2</v>
      </c>
      <c r="AN995" s="64">
        <v>107</v>
      </c>
      <c r="AO995" s="64">
        <v>0.84</v>
      </c>
      <c r="AP995" s="64">
        <v>6.8</v>
      </c>
      <c r="AQ995" s="20"/>
      <c r="AR995" s="20"/>
      <c r="AS995" s="20"/>
      <c r="AT995" s="20"/>
      <c r="AU995" s="20"/>
      <c r="AV995" s="20"/>
      <c r="AW995" s="20"/>
      <c r="AX995" s="20"/>
      <c r="AY995" s="41" t="str">
        <f t="shared" si="308"/>
        <v>Incomplete</v>
      </c>
      <c r="AZ995" s="64"/>
      <c r="BA995" s="20" t="str">
        <f t="shared" si="309"/>
        <v>Incomplete</v>
      </c>
      <c r="BB995" s="64"/>
      <c r="BC995" s="20" t="str">
        <f t="shared" si="310"/>
        <v>Incomplete</v>
      </c>
      <c r="BD995" s="64"/>
      <c r="BE995" s="20" t="str">
        <f t="shared" si="311"/>
        <v>Incomplete</v>
      </c>
      <c r="BF995" s="64"/>
      <c r="BG995" s="64"/>
      <c r="BH995" s="66"/>
      <c r="BI995" s="20" t="str">
        <f t="shared" si="312"/>
        <v>Incomplete</v>
      </c>
      <c r="BJ995" s="66"/>
      <c r="BK995" s="64">
        <v>10.3</v>
      </c>
      <c r="BL995" s="66"/>
      <c r="BM995" s="17">
        <v>13.5</v>
      </c>
      <c r="BN995" s="66"/>
      <c r="BO995" s="66"/>
      <c r="BP995" s="66"/>
      <c r="BQ995" s="66"/>
      <c r="BR995" s="66"/>
      <c r="BS995" s="66"/>
      <c r="BT995" s="66"/>
      <c r="BU995" s="66"/>
      <c r="BV995" s="66"/>
      <c r="BW995" s="91">
        <f t="shared" si="304"/>
        <v>0</v>
      </c>
      <c r="BX995" s="91" t="str">
        <f>_xlfn.XLOOKUP(BW995,'Normative data'!$V$3:$V$6,'Normative data'!$W$3:$W$6,"Not Found",-1)</f>
        <v>Not completed</v>
      </c>
      <c r="BY995" s="91">
        <f t="shared" si="305"/>
        <v>0</v>
      </c>
      <c r="BZ995" s="91" t="str">
        <f>_xlfn.XLOOKUP(BY995,'Normative data'!$V$3:$V$6,'Normative data'!$W$3:$W$6,"Not Found",-1)</f>
        <v>Not completed</v>
      </c>
      <c r="CA995" s="66"/>
      <c r="CB995" s="66"/>
      <c r="CC995" s="20"/>
      <c r="CD995" s="66"/>
      <c r="CE995" s="64">
        <v>20</v>
      </c>
      <c r="CF995" s="66"/>
      <c r="CG995" s="64">
        <v>17.57</v>
      </c>
      <c r="CH995" s="20" t="str">
        <f>_xlfn.XLOOKUP(CG995, 'Normative data'!$S$9:$S$15,'Normative data'!$T$9:$T$15, "Not Found", -1)</f>
        <v>Above Average</v>
      </c>
      <c r="CI995" s="64">
        <v>18.13</v>
      </c>
      <c r="CJ995" s="20" t="str">
        <f>_xlfn.XLOOKUP(CI995, 'Normative data'!$S$9:$S$15, 'Normative data'!$T$9:$T$15, "Not Found", -1)</f>
        <v>Average</v>
      </c>
      <c r="CK995" s="64">
        <v>2.2599999999999998</v>
      </c>
      <c r="CL995" s="64">
        <v>4.42</v>
      </c>
      <c r="CM995" s="66"/>
      <c r="CN995" s="64">
        <v>7.03</v>
      </c>
      <c r="CO995" s="64">
        <v>7.11</v>
      </c>
      <c r="CP995" s="68"/>
      <c r="CQ995" s="67"/>
      <c r="CR995" s="20" t="str" cm="1">
        <f t="array" ref="CR995">IF(OR(ISBLANK(E995),ISBLANK(CQ995)),"Incomplete",_xlfn.XLOOKUP(CQ995,_xlfn.XLOOKUP(E995,'Normative data'!$Y$3:$Y$6,'Normative data'!$Z$3:$AG$6,,-1),'Normative data'!$Z$2:$AG$2,"Not Found",-1))</f>
        <v>Incomplete</v>
      </c>
      <c r="CS995" s="68"/>
      <c r="CT995" s="66"/>
      <c r="CU995" s="20" t="str" cm="1">
        <f t="array" ref="CU995">_xlfn.XLOOKUP(CS995&amp;CT995,(VLOOKUP!$A$3:$A$250)&amp;(VLOOKUP!$B$3:$B$250),VLOOKUP!$C$3:$C$250,"Incomplete",-1)</f>
        <v>Incomplete</v>
      </c>
      <c r="CV995" s="20" t="str" cm="1">
        <f t="array" ref="CV995">_xlfn.XLOOKUP(CU995, _xlfn.XLOOKUP(E995, 'Normative data'!$Y$11:$Y$14, 'Normative data'!$Z$11:$AG$14, ,-1), 'Normative data'!$Z$10:$AG$10, "Not Found", -1)</f>
        <v>Excellent</v>
      </c>
      <c r="CW995" s="20" t="str" cm="1">
        <f t="array" ref="CW995">IF(OR(ISBLANK(CS995),ISBLANK(CT995)),"Incomplete",_xlfn.XLOOKUP(CS995&amp;CT995,VLOOKUP!$A$4:$A$250&amp;VLOOKUP!$B$4:$B$250,VLOOKUP!$D$4:$D$250,"0"))</f>
        <v>Incomplete</v>
      </c>
    </row>
    <row r="996" spans="1:101">
      <c r="A996" s="64" t="s">
        <v>683</v>
      </c>
      <c r="B996" s="64" t="s">
        <v>143</v>
      </c>
      <c r="C996" s="64" t="s">
        <v>86</v>
      </c>
      <c r="D996" s="65">
        <v>40959</v>
      </c>
      <c r="E996" s="64">
        <v>14.3</v>
      </c>
      <c r="F996" s="66" t="s">
        <v>251</v>
      </c>
      <c r="G996" s="64">
        <v>2026</v>
      </c>
      <c r="H996" s="66"/>
      <c r="I996" s="66">
        <v>2</v>
      </c>
      <c r="J996" s="66" t="s">
        <v>88</v>
      </c>
      <c r="K996" s="66" t="s">
        <v>170</v>
      </c>
      <c r="L996" s="66"/>
      <c r="M996" s="64"/>
      <c r="N996" s="64"/>
      <c r="O996" s="64"/>
      <c r="P996" s="64"/>
      <c r="Q996" s="64"/>
      <c r="R996" s="64"/>
      <c r="S996" s="66">
        <v>81.900000000000006</v>
      </c>
      <c r="T996" s="66">
        <v>158.4</v>
      </c>
      <c r="U996" s="64">
        <v>53.7</v>
      </c>
      <c r="V996" s="64">
        <v>27.2</v>
      </c>
      <c r="W996" s="64">
        <v>16.600000000000001</v>
      </c>
      <c r="X996" s="64">
        <v>37.1</v>
      </c>
      <c r="Y996" s="64">
        <v>20.100000000000001</v>
      </c>
      <c r="Z996" s="64">
        <v>21.4</v>
      </c>
      <c r="AA996" s="64">
        <v>30.9</v>
      </c>
      <c r="AB996" s="64">
        <v>5.46</v>
      </c>
      <c r="AC996" s="64">
        <v>94.2</v>
      </c>
      <c r="AD996" s="64">
        <v>5.44</v>
      </c>
      <c r="AE996" s="64">
        <v>93.9</v>
      </c>
      <c r="AF996" s="64">
        <v>2.5</v>
      </c>
      <c r="AG996" s="64">
        <v>120.5</v>
      </c>
      <c r="AH996" s="64">
        <v>2.5</v>
      </c>
      <c r="AI996" s="64">
        <v>120</v>
      </c>
      <c r="AJ996" s="64">
        <v>328.9</v>
      </c>
      <c r="AK996" s="64">
        <v>330</v>
      </c>
      <c r="AL996" s="64">
        <v>292.5</v>
      </c>
      <c r="AM996" s="64">
        <v>295.2</v>
      </c>
      <c r="AN996" s="64">
        <v>85</v>
      </c>
      <c r="AO996" s="64">
        <v>0.89</v>
      </c>
      <c r="AP996" s="64">
        <v>5.7</v>
      </c>
      <c r="AQ996" s="17">
        <v>21.5</v>
      </c>
      <c r="AR996" s="17">
        <v>0.41899999999999998</v>
      </c>
      <c r="AS996" s="17">
        <v>26.5</v>
      </c>
      <c r="AT996" s="17">
        <v>0.46500000000000002</v>
      </c>
      <c r="AU996" s="17">
        <v>10.8</v>
      </c>
      <c r="AV996" s="17">
        <v>0.29699999999999999</v>
      </c>
      <c r="AW996" s="17">
        <v>11.7</v>
      </c>
      <c r="AX996" s="17">
        <v>0.309</v>
      </c>
      <c r="AY996" s="41">
        <f t="shared" si="308"/>
        <v>1682.6599999999999</v>
      </c>
      <c r="AZ996" s="64"/>
      <c r="BA996" s="20">
        <f t="shared" si="309"/>
        <v>1986.1600000000003</v>
      </c>
      <c r="BB996" s="64"/>
      <c r="BC996" s="20">
        <f t="shared" si="310"/>
        <v>1033.17</v>
      </c>
      <c r="BD996" s="64"/>
      <c r="BE996" s="20">
        <f t="shared" si="311"/>
        <v>1087.8000000000002</v>
      </c>
      <c r="BF996" s="64"/>
      <c r="BG996" s="64">
        <v>18.100000000000001</v>
      </c>
      <c r="BH996" s="64">
        <v>44.1</v>
      </c>
      <c r="BI996" s="20">
        <f t="shared" si="312"/>
        <v>26</v>
      </c>
      <c r="BJ996" s="66"/>
      <c r="BK996" s="64">
        <v>6.3</v>
      </c>
      <c r="BL996" s="66"/>
      <c r="BM996" s="64">
        <v>6</v>
      </c>
      <c r="BN996" s="66"/>
      <c r="BO996" s="64">
        <v>47.5</v>
      </c>
      <c r="BP996" s="64">
        <v>47</v>
      </c>
      <c r="BQ996" s="64">
        <v>74</v>
      </c>
      <c r="BR996" s="64">
        <v>75</v>
      </c>
      <c r="BS996" s="64">
        <v>68</v>
      </c>
      <c r="BT996" s="64">
        <v>70</v>
      </c>
      <c r="BU996" s="64">
        <v>70</v>
      </c>
      <c r="BV996" s="64">
        <v>60</v>
      </c>
      <c r="BW996" s="91">
        <f t="shared" si="304"/>
        <v>94.553376906318093</v>
      </c>
      <c r="BX996" s="91" t="str">
        <f>_xlfn.XLOOKUP(BW996,'Normative data'!$V$3:$V$6,'Normative data'!$W$3:$W$6,"Not Found",-1)</f>
        <v>High risk</v>
      </c>
      <c r="BY996" s="91">
        <f t="shared" si="305"/>
        <v>87.145969498910674</v>
      </c>
      <c r="BZ996" s="91" t="str">
        <f>_xlfn.XLOOKUP(BY996,'Normative data'!$V$3:$V$6,'Normative data'!$W$3:$W$6,"Not Found",-1)</f>
        <v>High risk</v>
      </c>
      <c r="CA996" s="64">
        <v>36</v>
      </c>
      <c r="CB996" s="66"/>
      <c r="CC996" s="20"/>
      <c r="CD996" s="66"/>
      <c r="CE996" s="64">
        <v>2</v>
      </c>
      <c r="CF996" s="66"/>
      <c r="CG996" s="17">
        <v>17.010000000000002</v>
      </c>
      <c r="CH996" s="20" t="str">
        <f>_xlfn.XLOOKUP(CG996, 'Normative data'!$S$9:$S$15,'Normative data'!$T$9:$T$15, "Not Found", -1)</f>
        <v>Above Average</v>
      </c>
      <c r="CI996" s="17">
        <v>16.91</v>
      </c>
      <c r="CJ996" s="20" t="str">
        <f>_xlfn.XLOOKUP(CI996, 'Normative data'!$S$9:$S$15, 'Normative data'!$T$9:$T$15, "Not Found", -1)</f>
        <v>Above Average</v>
      </c>
      <c r="CK996" s="64">
        <v>2.08</v>
      </c>
      <c r="CL996" s="64">
        <v>4.8099999999999996</v>
      </c>
      <c r="CM996" s="66"/>
      <c r="CN996" s="64">
        <v>6.62</v>
      </c>
      <c r="CO996" s="64">
        <v>7.55</v>
      </c>
      <c r="CP996" s="68"/>
      <c r="CQ996" s="67">
        <v>7.1</v>
      </c>
      <c r="CR996" s="20" t="str" cm="1">
        <f t="array" ref="CR996">IF(OR(ISBLANK(E996),ISBLANK(CQ996)),"Incomplete",_xlfn.XLOOKUP(CQ996,_xlfn.XLOOKUP(E996,'Normative data'!$Y$3:$Y$6,'Normative data'!$Z$3:$AG$6,,-1),'Normative data'!$Z$2:$AG$2,"Not Found",-1))</f>
        <v>Average</v>
      </c>
      <c r="CS996" s="68">
        <v>7</v>
      </c>
      <c r="CT996" s="66">
        <v>1</v>
      </c>
      <c r="CU996" s="20" cm="1">
        <f t="array" ref="CU996">_xlfn.XLOOKUP(CS996&amp;CT996,(VLOOKUP!$A$3:$A$250)&amp;(VLOOKUP!$B$3:$B$250),VLOOKUP!$C$3:$C$250,"Incomplete",-1)</f>
        <v>1040</v>
      </c>
      <c r="CV996" s="20" t="str" cm="1">
        <f t="array" ref="CV996">_xlfn.XLOOKUP(CU996, _xlfn.XLOOKUP(E996, 'Normative data'!$Y$11:$Y$14, 'Normative data'!$Z$11:$AG$14, ,-1), 'Normative data'!$Z$10:$AG$10, "Not Found", -1)</f>
        <v>Average</v>
      </c>
      <c r="CW996" s="20" cm="1">
        <f t="array" ref="CW996">IF(OR(ISBLANK(CS996),ISBLANK(CT996)),"Incomplete",_xlfn.XLOOKUP(CS996&amp;CT996,VLOOKUP!$A$4:$A$250&amp;VLOOKUP!$B$4:$B$250,VLOOKUP!$D$4:$D$250,"0"))</f>
        <v>37</v>
      </c>
    </row>
    <row r="997" spans="1:101">
      <c r="A997" s="64" t="s">
        <v>1668</v>
      </c>
      <c r="B997" s="64" t="s">
        <v>143</v>
      </c>
      <c r="C997" s="64" t="s">
        <v>86</v>
      </c>
      <c r="D997" s="65">
        <v>40261</v>
      </c>
      <c r="E997" s="64">
        <v>16.3</v>
      </c>
      <c r="F997" s="66" t="s">
        <v>99</v>
      </c>
      <c r="G997" s="64">
        <v>2026</v>
      </c>
      <c r="H997" s="66"/>
      <c r="I997" s="66">
        <v>2</v>
      </c>
      <c r="J997" s="66" t="s">
        <v>100</v>
      </c>
      <c r="K997" s="66" t="s">
        <v>556</v>
      </c>
      <c r="L997" s="66"/>
      <c r="M997" s="64"/>
      <c r="N997" s="64"/>
      <c r="O997" s="64"/>
      <c r="P997" s="64"/>
      <c r="Q997" s="64"/>
      <c r="R997" s="64"/>
      <c r="S997" s="66">
        <v>88.4</v>
      </c>
      <c r="T997" s="66">
        <v>169.2</v>
      </c>
      <c r="U997" s="64">
        <v>80.2</v>
      </c>
      <c r="V997" s="64">
        <v>38.1</v>
      </c>
      <c r="W997" s="64">
        <v>28</v>
      </c>
      <c r="X997" s="64">
        <v>52.2</v>
      </c>
      <c r="Y997" s="64">
        <v>29.1</v>
      </c>
      <c r="Z997" s="64">
        <v>28</v>
      </c>
      <c r="AA997" s="64">
        <v>34.9</v>
      </c>
      <c r="AB997" s="64">
        <v>8</v>
      </c>
      <c r="AC997" s="64">
        <v>103</v>
      </c>
      <c r="AD997" s="64">
        <v>8.0399999999999991</v>
      </c>
      <c r="AE997" s="64">
        <v>103.5</v>
      </c>
      <c r="AF997" s="64">
        <v>4</v>
      </c>
      <c r="AG997" s="64">
        <v>151.9</v>
      </c>
      <c r="AH997" s="64">
        <v>4</v>
      </c>
      <c r="AI997" s="64">
        <v>152.19999999999999</v>
      </c>
      <c r="AJ997" s="64">
        <v>271.60000000000002</v>
      </c>
      <c r="AK997" s="64">
        <v>267.8</v>
      </c>
      <c r="AL997" s="64">
        <v>239.4</v>
      </c>
      <c r="AM997" s="64">
        <v>234.8</v>
      </c>
      <c r="AN997" s="64">
        <v>79</v>
      </c>
      <c r="AO997" s="64"/>
      <c r="AP997" s="64"/>
      <c r="AQ997" s="64">
        <v>11.2</v>
      </c>
      <c r="AR997" s="64">
        <v>0.30199999999999999</v>
      </c>
      <c r="AS997" s="64">
        <v>12.7</v>
      </c>
      <c r="AT997" s="64">
        <v>0.32200000000000001</v>
      </c>
      <c r="AU997" s="64">
        <v>6</v>
      </c>
      <c r="AV997" s="64">
        <v>0.222</v>
      </c>
      <c r="AW997" s="64">
        <v>4.2</v>
      </c>
      <c r="AX997" s="64">
        <v>0.184</v>
      </c>
      <c r="AY997" s="41">
        <f t="shared" si="308"/>
        <v>2257.8999999999996</v>
      </c>
      <c r="AZ997" s="64"/>
      <c r="BA997" s="20">
        <f t="shared" si="309"/>
        <v>2348.9499999999998</v>
      </c>
      <c r="BB997" s="64"/>
      <c r="BC997" s="20">
        <f t="shared" si="310"/>
        <v>1942.2600000000002</v>
      </c>
      <c r="BD997" s="64"/>
      <c r="BE997" s="20">
        <f t="shared" si="311"/>
        <v>1833</v>
      </c>
      <c r="BF997" s="64"/>
      <c r="BG997" s="64">
        <v>9.3000000000000007</v>
      </c>
      <c r="BH997" s="64">
        <v>39.5</v>
      </c>
      <c r="BI997" s="20">
        <f t="shared" si="312"/>
        <v>30.2</v>
      </c>
      <c r="BJ997" s="66"/>
      <c r="BK997" s="64">
        <v>7</v>
      </c>
      <c r="BL997" s="66"/>
      <c r="BM997" s="17">
        <v>6</v>
      </c>
      <c r="BN997" s="66"/>
      <c r="BO997" s="64">
        <v>60.5</v>
      </c>
      <c r="BP997" s="64">
        <v>57.5</v>
      </c>
      <c r="BQ997" s="64">
        <v>70</v>
      </c>
      <c r="BR997" s="64">
        <v>80</v>
      </c>
      <c r="BS997" s="64">
        <v>88</v>
      </c>
      <c r="BT997" s="64">
        <v>68</v>
      </c>
      <c r="BU997" s="64">
        <v>84</v>
      </c>
      <c r="BV997" s="64">
        <v>85</v>
      </c>
      <c r="BW997" s="91">
        <f t="shared" si="304"/>
        <v>98.184818481848197</v>
      </c>
      <c r="BX997" s="91" t="str">
        <f>_xlfn.XLOOKUP(BW997,'Normative data'!$V$3:$V$6,'Normative data'!$W$3:$W$6,"Not Found",-1)</f>
        <v>Low risk</v>
      </c>
      <c r="BY997" s="91">
        <f t="shared" si="305"/>
        <v>97.772277227722796</v>
      </c>
      <c r="BZ997" s="91" t="str">
        <f>_xlfn.XLOOKUP(BY997,'Normative data'!$V$3:$V$6,'Normative data'!$W$3:$W$6,"Not Found",-1)</f>
        <v>Low risk</v>
      </c>
      <c r="CA997" s="64">
        <v>26</v>
      </c>
      <c r="CB997" s="66"/>
      <c r="CC997" s="20"/>
      <c r="CD997" s="66"/>
      <c r="CE997" s="64"/>
      <c r="CF997" s="66"/>
      <c r="CG997" s="64"/>
      <c r="CH997" s="20" t="str">
        <f>_xlfn.XLOOKUP(CG997, 'Normative data'!$S$9:$S$15,'Normative data'!$T$9:$T$15, "Not Found", -1)</f>
        <v>not completed</v>
      </c>
      <c r="CI997" s="64">
        <v>18.79</v>
      </c>
      <c r="CJ997" s="20" t="str">
        <f>_xlfn.XLOOKUP(CI997, 'Normative data'!$S$9:$S$15, 'Normative data'!$T$9:$T$15, "Not Found", -1)</f>
        <v>Average</v>
      </c>
      <c r="CK997" s="64">
        <v>2.48</v>
      </c>
      <c r="CL997" s="64">
        <v>4.03</v>
      </c>
      <c r="CM997" s="66"/>
      <c r="CN997" s="64">
        <v>7.56</v>
      </c>
      <c r="CO997" s="64">
        <v>6.61</v>
      </c>
      <c r="CP997" s="68"/>
      <c r="CQ997" s="67">
        <v>4.5</v>
      </c>
      <c r="CR997" s="20" t="str" cm="1">
        <f t="array" ref="CR997">IF(OR(ISBLANK(E997),ISBLANK(CQ997)),"Incomplete",_xlfn.XLOOKUP(CQ997,_xlfn.XLOOKUP(E997,'Normative data'!$Y$3:$Y$6,'Normative data'!$Z$3:$AG$6,,-1),'Normative data'!$Z$2:$AG$2,"Not Found",-1))</f>
        <v>Poor</v>
      </c>
      <c r="CS997" s="68">
        <v>4</v>
      </c>
      <c r="CT997" s="66">
        <v>5</v>
      </c>
      <c r="CU997" s="20" cm="1">
        <f t="array" ref="CU997">_xlfn.XLOOKUP(CS997&amp;CT997,(VLOOKUP!$A$3:$A$250)&amp;(VLOOKUP!$B$3:$B$250),VLOOKUP!$C$3:$C$250,"Incomplete",-1)</f>
        <v>560</v>
      </c>
      <c r="CV997" s="20" t="str" cm="1">
        <f t="array" ref="CV997">_xlfn.XLOOKUP(CU997, _xlfn.XLOOKUP(E997, 'Normative data'!$Y$11:$Y$14, 'Normative data'!$Z$11:$AG$14, ,-1), 'Normative data'!$Z$10:$AG$10, "Not Found", -1)</f>
        <v xml:space="preserve">Poor </v>
      </c>
      <c r="CW997" s="20" cm="1">
        <f t="array" ref="CW997">IF(OR(ISBLANK(CS997),ISBLANK(CT997)),"Incomplete",_xlfn.XLOOKUP(CS997&amp;CT997,VLOOKUP!$A$4:$A$250&amp;VLOOKUP!$B$4:$B$250,VLOOKUP!$D$4:$D$250,"0"))</f>
        <v>28</v>
      </c>
    </row>
    <row r="998" spans="1:101">
      <c r="A998" s="64" t="s">
        <v>1135</v>
      </c>
      <c r="B998" s="64" t="s">
        <v>143</v>
      </c>
      <c r="C998" s="64" t="s">
        <v>86</v>
      </c>
      <c r="D998" s="65">
        <v>41233</v>
      </c>
      <c r="E998" s="64">
        <v>13.4</v>
      </c>
      <c r="F998" s="66" t="s">
        <v>107</v>
      </c>
      <c r="G998" s="64">
        <v>2026</v>
      </c>
      <c r="H998" s="66"/>
      <c r="I998" s="66">
        <v>2</v>
      </c>
      <c r="J998" s="66" t="s">
        <v>100</v>
      </c>
      <c r="K998" s="66" t="s">
        <v>158</v>
      </c>
      <c r="L998" s="66"/>
      <c r="M998" s="64"/>
      <c r="N998" s="64"/>
      <c r="O998" s="64"/>
      <c r="P998" s="64"/>
      <c r="Q998" s="64"/>
      <c r="R998" s="64"/>
      <c r="S998" s="66">
        <v>75</v>
      </c>
      <c r="T998" s="66">
        <v>155.80000000000001</v>
      </c>
      <c r="U998" s="64">
        <v>46.2</v>
      </c>
      <c r="V998" s="64">
        <v>24.2</v>
      </c>
      <c r="W998" s="64">
        <v>13</v>
      </c>
      <c r="X998" s="64">
        <v>33.200000000000003</v>
      </c>
      <c r="Y998" s="64">
        <v>17.399999999999999</v>
      </c>
      <c r="Z998" s="64">
        <v>19</v>
      </c>
      <c r="AA998" s="64">
        <v>28.2</v>
      </c>
      <c r="AB998" s="64">
        <v>4.7699999999999996</v>
      </c>
      <c r="AC998" s="64">
        <v>88.9</v>
      </c>
      <c r="AD998" s="64">
        <v>4.74</v>
      </c>
      <c r="AE998" s="64">
        <v>88.4</v>
      </c>
      <c r="AF998" s="64">
        <v>2.2000000000000002</v>
      </c>
      <c r="AG998" s="64">
        <v>117.8</v>
      </c>
      <c r="AH998" s="64">
        <v>2.2000000000000002</v>
      </c>
      <c r="AI998" s="64">
        <v>117.1</v>
      </c>
      <c r="AJ998" s="64">
        <v>330.4</v>
      </c>
      <c r="AK998" s="64">
        <v>332.3</v>
      </c>
      <c r="AL998" s="64">
        <v>300.8</v>
      </c>
      <c r="AM998" s="64">
        <v>305.39999999999998</v>
      </c>
      <c r="AN998" s="64">
        <v>93</v>
      </c>
      <c r="AO998" s="64">
        <v>0.81</v>
      </c>
      <c r="AP998" s="64">
        <v>5</v>
      </c>
      <c r="AQ998" s="17">
        <v>15.5</v>
      </c>
      <c r="AR998" s="17">
        <v>0.35599999999999998</v>
      </c>
      <c r="AS998" s="17">
        <v>18.7</v>
      </c>
      <c r="AT998" s="17">
        <v>0.39100000000000001</v>
      </c>
      <c r="AU998" s="17">
        <v>6.7</v>
      </c>
      <c r="AV998" s="17">
        <v>0.23400000000000001</v>
      </c>
      <c r="AW998" s="17">
        <v>5</v>
      </c>
      <c r="AX998" s="17">
        <v>0.20100000000000001</v>
      </c>
      <c r="AY998" s="41">
        <f t="shared" si="308"/>
        <v>978.71</v>
      </c>
      <c r="AZ998" s="64"/>
      <c r="BA998" s="20">
        <f t="shared" si="309"/>
        <v>1172.9499999999998</v>
      </c>
      <c r="BB998" s="64"/>
      <c r="BC998" s="20">
        <f t="shared" si="310"/>
        <v>444.55000000000018</v>
      </c>
      <c r="BD998" s="64"/>
      <c r="BE998" s="20">
        <f t="shared" si="311"/>
        <v>341.36000000000013</v>
      </c>
      <c r="BF998" s="64"/>
      <c r="BG998" s="64">
        <v>20</v>
      </c>
      <c r="BH998" s="17">
        <v>42</v>
      </c>
      <c r="BI998" s="20">
        <f t="shared" si="312"/>
        <v>22</v>
      </c>
      <c r="BJ998" s="66"/>
      <c r="BK998" s="64">
        <v>16.100000000000001</v>
      </c>
      <c r="BL998" s="66"/>
      <c r="BM998" s="17">
        <v>15.1</v>
      </c>
      <c r="BN998" s="66"/>
      <c r="BO998" s="64">
        <v>41.5</v>
      </c>
      <c r="BP998" s="64">
        <v>42</v>
      </c>
      <c r="BQ998" s="64">
        <v>81</v>
      </c>
      <c r="BR998" s="64">
        <v>68</v>
      </c>
      <c r="BS998" s="64">
        <v>71</v>
      </c>
      <c r="BT998" s="64">
        <v>90</v>
      </c>
      <c r="BU998" s="64">
        <v>83</v>
      </c>
      <c r="BV998" s="64">
        <v>71</v>
      </c>
      <c r="BW998" s="91">
        <f t="shared" si="304"/>
        <v>90.759075907590741</v>
      </c>
      <c r="BX998" s="91" t="str">
        <f>_xlfn.XLOOKUP(BW998,'Normative data'!$V$3:$V$6,'Normative data'!$W$3:$W$6,"Not Found",-1)</f>
        <v>High risk</v>
      </c>
      <c r="BY998" s="91">
        <f t="shared" si="305"/>
        <v>100.66006600660064</v>
      </c>
      <c r="BZ998" s="91" t="str">
        <f>_xlfn.XLOOKUP(BY998,'Normative data'!$V$3:$V$6,'Normative data'!$W$3:$W$6,"Not Found",-1)</f>
        <v>Low risk</v>
      </c>
      <c r="CA998" s="64">
        <v>25</v>
      </c>
      <c r="CB998" s="66"/>
      <c r="CC998" s="66"/>
      <c r="CD998" s="66"/>
      <c r="CE998" s="64">
        <v>12</v>
      </c>
      <c r="CF998" s="66"/>
      <c r="CG998" s="17">
        <v>20.100000000000001</v>
      </c>
      <c r="CH998" s="20" t="str">
        <f>_xlfn.XLOOKUP(CG998, 'Normative data'!$S$9:$S$15,'Normative data'!$T$9:$T$15, "Not Found", -1)</f>
        <v>Average</v>
      </c>
      <c r="CI998" s="17">
        <v>20.23</v>
      </c>
      <c r="CJ998" s="20" t="str">
        <f>_xlfn.XLOOKUP(CI998, 'Normative data'!$S$9:$S$15, 'Normative data'!$T$9:$T$15, "Not Found", -1)</f>
        <v>Average</v>
      </c>
      <c r="CK998" s="17">
        <v>2.54</v>
      </c>
      <c r="CL998" s="17">
        <v>3.94</v>
      </c>
      <c r="CN998" s="17">
        <v>7.87</v>
      </c>
      <c r="CO998" s="17">
        <v>6.35</v>
      </c>
      <c r="CP998" s="68"/>
      <c r="CQ998" s="67">
        <v>6.3</v>
      </c>
      <c r="CR998" s="20" t="str" cm="1">
        <f t="array" ref="CR998">IF(OR(ISBLANK(E998),ISBLANK(CQ998)),"Incomplete",_xlfn.XLOOKUP(CQ998,_xlfn.XLOOKUP(E998,'Normative data'!$Y$3:$Y$6,'Normative data'!$Z$3:$AG$6,,-1),'Normative data'!$Z$2:$AG$2,"Not Found",-1))</f>
        <v>Good</v>
      </c>
      <c r="CS998" s="68">
        <v>6</v>
      </c>
      <c r="CT998" s="66">
        <v>3</v>
      </c>
      <c r="CU998" s="20" cm="1">
        <f t="array" ref="CU998">_xlfn.XLOOKUP(CS998&amp;CT998,(VLOOKUP!$A$3:$A$250)&amp;(VLOOKUP!$B$3:$B$250),VLOOKUP!$C$3:$C$250,"Incomplete",-1)</f>
        <v>880</v>
      </c>
      <c r="CV998" s="20" t="str" cm="1">
        <f t="array" ref="CV998">_xlfn.XLOOKUP(CU998, _xlfn.XLOOKUP(E998, 'Normative data'!$Y$11:$Y$14, 'Normative data'!$Z$11:$AG$14, ,-1), 'Normative data'!$Z$10:$AG$10, "Not Found", -1)</f>
        <v xml:space="preserve">Good </v>
      </c>
      <c r="CW998" s="20" cm="1">
        <f t="array" ref="CW998">IF(OR(ISBLANK(CS998),ISBLANK(CT998)),"Incomplete",_xlfn.XLOOKUP(CS998&amp;CT998,VLOOKUP!$A$4:$A$250&amp;VLOOKUP!$B$4:$B$250,VLOOKUP!$D$4:$D$250,"0"))</f>
        <v>34</v>
      </c>
    </row>
    <row r="999" spans="1:101">
      <c r="A999" s="64" t="s">
        <v>1069</v>
      </c>
      <c r="B999" s="64" t="s">
        <v>143</v>
      </c>
      <c r="C999" s="64" t="s">
        <v>86</v>
      </c>
      <c r="D999" s="65">
        <v>40808</v>
      </c>
      <c r="E999" s="64">
        <v>14.6</v>
      </c>
      <c r="F999" s="66" t="s">
        <v>92</v>
      </c>
      <c r="G999" s="64">
        <v>2026</v>
      </c>
      <c r="H999" s="66"/>
      <c r="I999" s="66">
        <v>2</v>
      </c>
      <c r="J999" s="66" t="s">
        <v>88</v>
      </c>
      <c r="K999" s="66" t="s">
        <v>765</v>
      </c>
      <c r="L999" s="66"/>
      <c r="M999" s="64"/>
      <c r="N999" s="64"/>
      <c r="O999" s="64"/>
      <c r="P999" s="64"/>
      <c r="Q999" s="64"/>
      <c r="R999" s="64"/>
      <c r="S999" s="66">
        <v>93.5</v>
      </c>
      <c r="T999" s="66">
        <v>180.9</v>
      </c>
      <c r="U999" s="64">
        <v>70.599999999999994</v>
      </c>
      <c r="V999" s="64">
        <v>39.1</v>
      </c>
      <c r="W999" s="64">
        <v>17.100000000000001</v>
      </c>
      <c r="X999" s="64">
        <v>53.5</v>
      </c>
      <c r="Y999" s="64">
        <v>29.6</v>
      </c>
      <c r="Z999" s="64">
        <v>21.6</v>
      </c>
      <c r="AA999" s="64">
        <v>24.2</v>
      </c>
      <c r="AB999" s="64">
        <v>8.93</v>
      </c>
      <c r="AC999" s="64">
        <v>109.7</v>
      </c>
      <c r="AD999" s="64">
        <v>8.9600000000000009</v>
      </c>
      <c r="AE999" s="64">
        <v>110</v>
      </c>
      <c r="AF999" s="64">
        <v>2.7</v>
      </c>
      <c r="AG999" s="64">
        <v>89.4</v>
      </c>
      <c r="AH999" s="64">
        <v>2.7</v>
      </c>
      <c r="AI999" s="64">
        <v>89.5</v>
      </c>
      <c r="AJ999" s="64">
        <v>289</v>
      </c>
      <c r="AK999" s="64">
        <v>286.39999999999998</v>
      </c>
      <c r="AL999" s="64">
        <v>260.3</v>
      </c>
      <c r="AM999" s="64">
        <v>257.5</v>
      </c>
      <c r="AN999" s="64">
        <v>115</v>
      </c>
      <c r="AO999" s="64">
        <v>0.87</v>
      </c>
      <c r="AP999" s="64">
        <v>7.1</v>
      </c>
      <c r="AQ999" s="17">
        <v>16.8</v>
      </c>
      <c r="AR999" s="17">
        <v>0.37</v>
      </c>
      <c r="AS999" s="17">
        <v>22.5</v>
      </c>
      <c r="AT999" s="17">
        <v>0.42799999999999999</v>
      </c>
      <c r="AU999" s="17">
        <v>11.2</v>
      </c>
      <c r="AV999" s="17">
        <v>0.30199999999999999</v>
      </c>
      <c r="AW999" s="17">
        <v>10.5</v>
      </c>
      <c r="AX999" s="17">
        <v>0.29199999999999998</v>
      </c>
      <c r="AY999" s="41">
        <f t="shared" si="308"/>
        <v>2162.9399999999996</v>
      </c>
      <c r="AZ999" s="64"/>
      <c r="BA999" s="20">
        <f t="shared" si="309"/>
        <v>2508.9299999999994</v>
      </c>
      <c r="BB999" s="64"/>
      <c r="BC999" s="20">
        <f t="shared" si="310"/>
        <v>1823.0199999999995</v>
      </c>
      <c r="BD999" s="64"/>
      <c r="BE999" s="20">
        <f t="shared" si="311"/>
        <v>1780.5299999999993</v>
      </c>
      <c r="BF999" s="64"/>
      <c r="BG999" s="64">
        <v>10.5</v>
      </c>
      <c r="BH999" s="64">
        <v>56</v>
      </c>
      <c r="BI999" s="20">
        <f t="shared" si="312"/>
        <v>45.5</v>
      </c>
      <c r="BJ999" s="66"/>
      <c r="BK999" s="64">
        <v>11</v>
      </c>
      <c r="BL999" s="66"/>
      <c r="BM999" s="17">
        <v>9</v>
      </c>
      <c r="BN999" s="66"/>
      <c r="BO999" s="64">
        <v>48.3</v>
      </c>
      <c r="BP999" s="64">
        <v>47</v>
      </c>
      <c r="BQ999" s="64">
        <v>80</v>
      </c>
      <c r="BR999" s="64">
        <v>75</v>
      </c>
      <c r="BS999" s="64">
        <v>75</v>
      </c>
      <c r="BT999" s="64">
        <v>80</v>
      </c>
      <c r="BU999" s="64">
        <v>75</v>
      </c>
      <c r="BV999" s="64">
        <v>79</v>
      </c>
      <c r="BW999" s="91">
        <f t="shared" si="304"/>
        <v>87.719298245614013</v>
      </c>
      <c r="BX999" s="91" t="str">
        <f>_xlfn.XLOOKUP(BW999,'Normative data'!$V$3:$V$6,'Normative data'!$W$3:$W$6,"Not Found",-1)</f>
        <v>High risk</v>
      </c>
      <c r="BY999" s="91">
        <f t="shared" si="305"/>
        <v>89.244851258581221</v>
      </c>
      <c r="BZ999" s="91" t="str">
        <f>_xlfn.XLOOKUP(BY999,'Normative data'!$V$3:$V$6,'Normative data'!$W$3:$W$6,"Not Found",-1)</f>
        <v>High risk</v>
      </c>
      <c r="CA999" s="64">
        <v>30</v>
      </c>
      <c r="CB999" s="66"/>
      <c r="CC999" s="20"/>
      <c r="CD999" s="66"/>
      <c r="CE999" s="64">
        <v>7</v>
      </c>
      <c r="CF999" s="66"/>
      <c r="CG999" s="64">
        <v>19.600000000000001</v>
      </c>
      <c r="CH999" s="20" t="str">
        <f>_xlfn.XLOOKUP(CG999, 'Normative data'!$S$9:$S$15,'Normative data'!$T$9:$T$15, "Not Found", -1)</f>
        <v>Average</v>
      </c>
      <c r="CI999" s="64">
        <v>18.41</v>
      </c>
      <c r="CJ999" s="20" t="str">
        <f>_xlfn.XLOOKUP(CI999, 'Normative data'!$S$9:$S$15, 'Normative data'!$T$9:$T$15, "Not Found", -1)</f>
        <v>Average</v>
      </c>
      <c r="CK999" s="64">
        <v>2.23</v>
      </c>
      <c r="CL999" s="64">
        <v>4.4800000000000004</v>
      </c>
      <c r="CM999" s="66"/>
      <c r="CN999" s="64">
        <v>6.97</v>
      </c>
      <c r="CO999" s="64">
        <v>7.17</v>
      </c>
      <c r="CP999" s="68"/>
      <c r="CQ999" s="67">
        <v>6.1</v>
      </c>
      <c r="CR999" s="20" t="str" cm="1">
        <f t="array" ref="CR999">IF(OR(ISBLANK(E999),ISBLANK(CQ999)),"Incomplete",_xlfn.XLOOKUP(CQ999,_xlfn.XLOOKUP(E999,'Normative data'!$Y$3:$Y$6,'Normative data'!$Z$3:$AG$6,,-1),'Normative data'!$Z$2:$AG$2,"Not Found",-1))</f>
        <v>Fair</v>
      </c>
      <c r="CS999" s="68">
        <v>6</v>
      </c>
      <c r="CT999" s="66">
        <v>1</v>
      </c>
      <c r="CU999" s="20" cm="1">
        <f t="array" ref="CU999">_xlfn.XLOOKUP(CS999&amp;CT999,(VLOOKUP!$A$3:$A$250)&amp;(VLOOKUP!$B$3:$B$250),VLOOKUP!$C$3:$C$250,"Incomplete",-1)</f>
        <v>840</v>
      </c>
      <c r="CV999" s="20" t="str" cm="1">
        <f t="array" ref="CV999">_xlfn.XLOOKUP(CU999, _xlfn.XLOOKUP(E999, 'Normative data'!$Y$11:$Y$14, 'Normative data'!$Z$11:$AG$14, ,-1), 'Normative data'!$Z$10:$AG$10, "Not Found", -1)</f>
        <v xml:space="preserve">Fair </v>
      </c>
      <c r="CW999" s="20" cm="1">
        <f t="array" ref="CW999">IF(OR(ISBLANK(CS999),ISBLANK(CT999)),"Incomplete",_xlfn.XLOOKUP(CS999&amp;CT999,VLOOKUP!$A$4:$A$250&amp;VLOOKUP!$B$4:$B$250,VLOOKUP!$D$4:$D$250,"0"))</f>
        <v>33</v>
      </c>
    </row>
    <row r="1000" spans="1:101">
      <c r="A1000" s="64" t="s">
        <v>1669</v>
      </c>
      <c r="B1000" s="64" t="s">
        <v>692</v>
      </c>
      <c r="C1000" s="64" t="s">
        <v>86</v>
      </c>
      <c r="D1000" s="65"/>
      <c r="E1000" s="64"/>
      <c r="F1000" s="66">
        <v>12</v>
      </c>
      <c r="G1000" s="64">
        <v>2026</v>
      </c>
      <c r="H1000" s="66"/>
      <c r="I1000" s="66">
        <v>2</v>
      </c>
      <c r="J1000" s="66" t="s">
        <v>88</v>
      </c>
      <c r="K1000" s="66" t="s">
        <v>101</v>
      </c>
      <c r="L1000" s="66"/>
      <c r="M1000" s="64"/>
      <c r="N1000" s="64"/>
      <c r="O1000" s="64"/>
      <c r="P1000" s="64"/>
      <c r="Q1000" s="64"/>
      <c r="R1000" s="64"/>
      <c r="S1000" s="66">
        <v>85.1</v>
      </c>
      <c r="T1000" s="66">
        <v>174.4</v>
      </c>
      <c r="U1000" s="64">
        <v>54.6</v>
      </c>
      <c r="V1000" s="64"/>
      <c r="W1000" s="64"/>
      <c r="X1000" s="64"/>
      <c r="Y1000" s="64"/>
      <c r="Z1000" s="64"/>
      <c r="AA1000" s="64"/>
      <c r="AB1000" s="64"/>
      <c r="AC1000" s="64"/>
      <c r="AD1000" s="64"/>
      <c r="AE1000" s="64"/>
      <c r="AF1000" s="64"/>
      <c r="AG1000" s="64"/>
      <c r="AH1000" s="64"/>
      <c r="AI1000" s="64"/>
      <c r="AJ1000" s="64"/>
      <c r="AK1000" s="64"/>
      <c r="AL1000" s="64"/>
      <c r="AM1000" s="64"/>
      <c r="AN1000" s="64"/>
      <c r="AO1000" s="64"/>
      <c r="AP1000" s="64"/>
      <c r="AQ1000" s="64">
        <v>39.5</v>
      </c>
      <c r="AR1000" s="64">
        <v>0.56799999999999995</v>
      </c>
      <c r="AS1000" s="64">
        <v>43.7</v>
      </c>
      <c r="AT1000" s="64">
        <v>0.59699999999999998</v>
      </c>
      <c r="AU1000" s="64">
        <v>21.6</v>
      </c>
      <c r="AV1000" s="64">
        <v>0.42</v>
      </c>
      <c r="AW1000" s="64">
        <v>25.9</v>
      </c>
      <c r="AX1000" s="64">
        <v>0.46</v>
      </c>
      <c r="AY1000" s="41">
        <f t="shared" si="308"/>
        <v>2816.0300000000007</v>
      </c>
      <c r="AZ1000" s="64"/>
      <c r="BA1000" s="20">
        <f t="shared" si="309"/>
        <v>3070.9700000000003</v>
      </c>
      <c r="BB1000" s="64"/>
      <c r="BC1000" s="20">
        <f t="shared" si="310"/>
        <v>1729.5</v>
      </c>
      <c r="BD1000" s="64"/>
      <c r="BE1000" s="20">
        <f t="shared" si="311"/>
        <v>1990.5100000000002</v>
      </c>
      <c r="BF1000" s="64"/>
      <c r="BG1000" s="64">
        <v>15.5</v>
      </c>
      <c r="BH1000" s="64">
        <v>49</v>
      </c>
      <c r="BI1000" s="20">
        <f t="shared" si="312"/>
        <v>33.5</v>
      </c>
      <c r="BJ1000" s="66"/>
      <c r="BK1000" s="64">
        <v>8</v>
      </c>
      <c r="BL1000" s="66"/>
      <c r="BM1000" s="64">
        <v>7</v>
      </c>
      <c r="BN1000" s="66"/>
      <c r="BO1000" s="64">
        <v>48</v>
      </c>
      <c r="BP1000" s="64">
        <v>46</v>
      </c>
      <c r="BQ1000" s="64">
        <v>70</v>
      </c>
      <c r="BR1000" s="64">
        <v>80</v>
      </c>
      <c r="BS1000" s="64">
        <v>70</v>
      </c>
      <c r="BT1000" s="64">
        <v>75</v>
      </c>
      <c r="BU1000" s="64">
        <v>78</v>
      </c>
      <c r="BV1000" s="64">
        <v>78</v>
      </c>
      <c r="BW1000" s="91">
        <f t="shared" si="304"/>
        <v>82.120194102276955</v>
      </c>
      <c r="BX1000" s="91" t="str">
        <f>_xlfn.XLOOKUP(BW1000,'Normative data'!$V$3:$V$6,'Normative data'!$W$3:$W$6,"Not Found",-1)</f>
        <v>High risk</v>
      </c>
      <c r="BY1000" s="91">
        <f t="shared" si="305"/>
        <v>86.226203807390817</v>
      </c>
      <c r="BZ1000" s="91" t="str">
        <f>_xlfn.XLOOKUP(BY1000,'Normative data'!$V$3:$V$6,'Normative data'!$W$3:$W$6,"Not Found",-1)</f>
        <v>High risk</v>
      </c>
      <c r="CA1000" s="64">
        <v>31</v>
      </c>
      <c r="CB1000" s="66"/>
      <c r="CC1000" s="20"/>
      <c r="CD1000" s="66"/>
      <c r="CE1000" s="64">
        <v>26</v>
      </c>
      <c r="CF1000" s="66"/>
      <c r="CG1000" s="64">
        <v>16.71</v>
      </c>
      <c r="CH1000" s="20" t="str">
        <f>_xlfn.XLOOKUP(CG1000, 'Normative data'!$S$9:$S$15,'Normative data'!$T$9:$T$15, "Not Found", -1)</f>
        <v>Excellent</v>
      </c>
      <c r="CI1000" s="64">
        <v>16.37</v>
      </c>
      <c r="CJ1000" s="20" t="str">
        <f>_xlfn.XLOOKUP(CI1000, 'Normative data'!$S$9:$S$15, 'Normative data'!$T$9:$T$15, "Not Found", -1)</f>
        <v>Excellent</v>
      </c>
      <c r="CK1000" s="105"/>
      <c r="CL1000" s="105"/>
      <c r="CM1000" s="105"/>
      <c r="CN1000" s="105"/>
      <c r="CO1000" s="105"/>
      <c r="CP1000" s="68"/>
      <c r="CQ1000" s="67"/>
      <c r="CR1000" s="20" t="str" cm="1">
        <f t="array" ref="CR1000">IF(OR(ISBLANK(E1000),ISBLANK(CQ1000)),"Incomplete",_xlfn.XLOOKUP(CQ1000,_xlfn.XLOOKUP(E1000,'Normative data'!$Y$3:$Y$6,'Normative data'!$Z$3:$AG$6,,-1),'Normative data'!$Z$2:$AG$2,"Not Found",-1))</f>
        <v>Incomplete</v>
      </c>
      <c r="CS1000" s="68"/>
      <c r="CT1000" s="66"/>
      <c r="CU1000" s="20" t="str" cm="1">
        <f t="array" ref="CU1000">_xlfn.XLOOKUP(CS1000&amp;CT1000,(VLOOKUP!$A$3:$A$250)&amp;(VLOOKUP!$B$3:$B$250),VLOOKUP!$C$3:$C$250,"Incomplete",-1)</f>
        <v>Incomplete</v>
      </c>
      <c r="CV1000" s="20" t="str" cm="1">
        <f t="array" ref="CV1000">_xlfn.XLOOKUP(CU1000, _xlfn.XLOOKUP(E1000, 'Normative data'!$Y$11:$Y$14, 'Normative data'!$Z$11:$AG$14, ,-1), 'Normative data'!$Z$10:$AG$10, "Not Found", -1)</f>
        <v>Excellent</v>
      </c>
      <c r="CW1000" s="20" t="str" cm="1">
        <f t="array" ref="CW1000">IF(OR(ISBLANK(CS1000),ISBLANK(CT1000)),"Incomplete",_xlfn.XLOOKUP(CS1000&amp;CT1000,VLOOKUP!$A$4:$A$250&amp;VLOOKUP!$B$4:$B$250,VLOOKUP!$D$4:$D$250,"0"))</f>
        <v>Incomplete</v>
      </c>
    </row>
    <row r="1001" spans="1:101">
      <c r="A1001" s="94" t="s">
        <v>1631</v>
      </c>
      <c r="B1001" s="94" t="s">
        <v>1630</v>
      </c>
      <c r="C1001" s="64" t="s">
        <v>86</v>
      </c>
      <c r="D1001" s="97">
        <v>39570</v>
      </c>
      <c r="E1001" s="64"/>
      <c r="F1001" s="64">
        <v>9</v>
      </c>
      <c r="G1001" s="64">
        <v>2025</v>
      </c>
      <c r="H1001" s="66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6"/>
      <c r="T1001" s="66"/>
      <c r="U1001" s="66"/>
      <c r="V1001" s="66"/>
      <c r="W1001" s="66"/>
      <c r="X1001" s="66"/>
      <c r="Y1001" s="66"/>
      <c r="Z1001" s="66"/>
      <c r="AA1001" s="66"/>
      <c r="AB1001" s="66"/>
      <c r="AC1001" s="66"/>
      <c r="AD1001" s="66"/>
      <c r="AE1001" s="66"/>
      <c r="AF1001" s="66"/>
      <c r="AG1001" s="66"/>
      <c r="AH1001" s="66"/>
      <c r="AI1001" s="66"/>
      <c r="AJ1001" s="66"/>
      <c r="AK1001" s="66"/>
      <c r="AL1001" s="66"/>
      <c r="AM1001" s="66"/>
      <c r="AN1001" s="66"/>
      <c r="AO1001" s="66"/>
      <c r="AP1001" s="66"/>
      <c r="AQ1001" s="20"/>
      <c r="AR1001" s="20"/>
      <c r="AS1001" s="20"/>
      <c r="AT1001" s="20"/>
      <c r="AU1001" s="20"/>
      <c r="AV1001" s="20"/>
      <c r="AW1001" s="20"/>
      <c r="AX1001" s="20"/>
      <c r="AY1001" s="41" t="str">
        <f t="shared" si="308"/>
        <v>Incomplete</v>
      </c>
      <c r="AZ1001" s="66"/>
      <c r="BA1001" s="20" t="str">
        <f t="shared" si="309"/>
        <v>Incomplete</v>
      </c>
      <c r="BB1001" s="66"/>
      <c r="BC1001" s="20" t="str">
        <f t="shared" si="310"/>
        <v>Incomplete</v>
      </c>
      <c r="BD1001" s="66"/>
      <c r="BE1001" s="20" t="str">
        <f t="shared" si="311"/>
        <v>Incomplete</v>
      </c>
      <c r="BF1001" s="66"/>
      <c r="BG1001" s="66">
        <v>15</v>
      </c>
      <c r="BH1001" s="66">
        <v>33.700000000000003</v>
      </c>
      <c r="BI1001" s="20" t="e">
        <f>IF(OR(ISBLANK(#REF!), ISBLANK(#REF!)),"Incomplete",(SUM(#REF!-#REF!)))</f>
        <v>#REF!</v>
      </c>
      <c r="BJ1001" s="66"/>
      <c r="BK1001" s="66"/>
      <c r="BL1001" s="66"/>
      <c r="BM1001" s="20"/>
      <c r="BN1001" s="66"/>
      <c r="BO1001" s="66"/>
      <c r="BP1001" s="66"/>
      <c r="BQ1001" s="66"/>
      <c r="BR1001" s="66"/>
      <c r="BS1001" s="66"/>
      <c r="BT1001" s="66"/>
      <c r="BU1001" s="66"/>
      <c r="BV1001" s="66"/>
      <c r="BW1001" s="91" t="str">
        <f t="shared" si="304"/>
        <v>Incomplete</v>
      </c>
      <c r="BX1001" s="91" t="str">
        <f>_xlfn.XLOOKUP(BW1001,'Normative data'!$V$3:$V$6,'Normative data'!$W$3:$W$6,"Not Found",-1)</f>
        <v>Very low risk</v>
      </c>
      <c r="BY1001" s="91" t="str">
        <f t="shared" si="305"/>
        <v>Incomplete</v>
      </c>
      <c r="BZ1001" s="91" t="str">
        <f>_xlfn.XLOOKUP(BY1001,'Normative data'!$V$3:$V$6,'Normative data'!$W$3:$W$6,"Not Found",-1)</f>
        <v>Very low risk</v>
      </c>
      <c r="CA1001" s="66"/>
      <c r="CB1001" s="66"/>
      <c r="CC1001" s="66"/>
      <c r="CD1001" s="66"/>
      <c r="CE1001" s="66">
        <v>6</v>
      </c>
      <c r="CF1001" s="66"/>
      <c r="CG1001" s="66"/>
      <c r="CH1001" s="20" t="str">
        <f>_xlfn.XLOOKUP(CG1001, 'Normative data'!$S$9:$S$15,'Normative data'!$T$9:$T$15, "Not Found", -1)</f>
        <v>not completed</v>
      </c>
      <c r="CI1001" s="66"/>
      <c r="CJ1001" s="20" t="str">
        <f>_xlfn.XLOOKUP(CI1001, 'Normative data'!$S$9:$S$15, 'Normative data'!$T$9:$T$15, "Not Found", -1)</f>
        <v>not completed</v>
      </c>
      <c r="CK1001" s="24">
        <v>2.2400000000000002</v>
      </c>
      <c r="CL1001" s="24">
        <v>4.46</v>
      </c>
      <c r="CM1001" s="24"/>
      <c r="CN1001" s="24">
        <v>6.94</v>
      </c>
      <c r="CO1001" s="24">
        <v>7.2</v>
      </c>
      <c r="CP1001" s="110"/>
      <c r="CQ1001" s="68"/>
      <c r="CR1001" s="20" t="str" cm="1">
        <f t="array" ref="CR1001">IF(OR(ISBLANK(E1001),ISBLANK(CQ1001)),"Incomplete",_xlfn.XLOOKUP(CQ1001,_xlfn.XLOOKUP(E1001,'Normative data'!$Y$3:$Y$6,'Normative data'!$Z$3:$AG$6,,-1),'Normative data'!$Z$2:$AG$2,"Not Found",-1))</f>
        <v>Incomplete</v>
      </c>
      <c r="CS1001" s="68"/>
      <c r="CT1001" s="66"/>
      <c r="CU1001" s="20" t="str" cm="1">
        <f t="array" ref="CU1001">_xlfn.XLOOKUP(CS1001&amp;CT1001,(VLOOKUP!$A$3:$A$250)&amp;(VLOOKUP!$B$3:$B$250),VLOOKUP!$C$3:$C$250,"Incomplete",-1)</f>
        <v>Incomplete</v>
      </c>
      <c r="CV1001" s="20" t="str" cm="1">
        <f t="array" ref="CV1001">_xlfn.XLOOKUP(CU1001, _xlfn.XLOOKUP(E1001, 'Normative data'!$Y$11:$Y$14, 'Normative data'!$Z$11:$AG$14, ,-1), 'Normative data'!$Z$10:$AG$10, "Not Found", -1)</f>
        <v>Excellent</v>
      </c>
      <c r="CW1001" s="20" t="str" cm="1">
        <f t="array" ref="CW1001">IF(OR(ISBLANK(CS1001),ISBLANK(CT1001)),"Incomplete",_xlfn.XLOOKUP(CS1001&amp;CT1001,VLOOKUP!$A$4:$A$250&amp;VLOOKUP!$B$4:$B$250,VLOOKUP!$D$4:$D$250,"0"))</f>
        <v>Incomplete</v>
      </c>
    </row>
    <row r="1002" spans="1:101">
      <c r="A1002" s="64" t="s">
        <v>1670</v>
      </c>
      <c r="B1002" s="64" t="s">
        <v>1671</v>
      </c>
      <c r="C1002" s="64" t="s">
        <v>86</v>
      </c>
      <c r="D1002" s="97">
        <v>39570</v>
      </c>
      <c r="E1002" s="64"/>
      <c r="F1002" s="64">
        <v>9</v>
      </c>
      <c r="G1002" s="64">
        <v>2025</v>
      </c>
      <c r="H1002" s="66"/>
      <c r="I1002" s="64"/>
      <c r="J1002" s="64"/>
      <c r="K1002" s="64"/>
      <c r="L1002" s="64"/>
      <c r="M1002" s="64"/>
      <c r="N1002" s="64"/>
      <c r="O1002" s="64"/>
      <c r="P1002" s="64"/>
      <c r="Q1002" s="64"/>
      <c r="R1002" s="64"/>
      <c r="S1002" s="66"/>
      <c r="T1002" s="66"/>
      <c r="U1002" s="66"/>
      <c r="V1002" s="66"/>
      <c r="W1002" s="66"/>
      <c r="X1002" s="66"/>
      <c r="Y1002" s="66"/>
      <c r="Z1002" s="66"/>
      <c r="AA1002" s="66"/>
      <c r="AB1002" s="66"/>
      <c r="AC1002" s="66"/>
      <c r="AD1002" s="66"/>
      <c r="AE1002" s="66"/>
      <c r="AF1002" s="66"/>
      <c r="AG1002" s="66"/>
      <c r="AH1002" s="66"/>
      <c r="AI1002" s="66"/>
      <c r="AJ1002" s="66"/>
      <c r="AK1002" s="66"/>
      <c r="AL1002" s="66"/>
      <c r="AM1002" s="66"/>
      <c r="AN1002" s="66"/>
      <c r="AO1002" s="66"/>
      <c r="AP1002" s="66"/>
      <c r="AQ1002" s="20"/>
      <c r="AR1002" s="20"/>
      <c r="AS1002" s="20"/>
      <c r="AT1002" s="20"/>
      <c r="AU1002" s="20"/>
      <c r="AV1002" s="20"/>
      <c r="AW1002" s="20"/>
      <c r="AX1002" s="20"/>
      <c r="AY1002" s="41" t="str">
        <f t="shared" si="308"/>
        <v>Incomplete</v>
      </c>
      <c r="AZ1002" s="66"/>
      <c r="BA1002" s="20" t="str">
        <f t="shared" si="309"/>
        <v>Incomplete</v>
      </c>
      <c r="BB1002" s="66"/>
      <c r="BC1002" s="20" t="str">
        <f t="shared" si="310"/>
        <v>Incomplete</v>
      </c>
      <c r="BD1002" s="66"/>
      <c r="BE1002" s="20" t="str">
        <f t="shared" si="311"/>
        <v>Incomplete</v>
      </c>
      <c r="BF1002" s="66"/>
      <c r="BG1002" s="66"/>
      <c r="BH1002" s="20"/>
      <c r="BI1002" s="20" t="str">
        <f t="shared" ref="BI1002:BI1012" si="313">IF(OR(ISBLANK(BG1002), ISBLANK(BH1002)),"Incomplete",(SUM(BH1002-BG1002)))</f>
        <v>Incomplete</v>
      </c>
      <c r="BJ1002" s="66"/>
      <c r="BK1002" s="66"/>
      <c r="BL1002" s="66"/>
      <c r="BM1002" s="20"/>
      <c r="BN1002" s="66"/>
      <c r="BO1002" s="66"/>
      <c r="BP1002" s="66"/>
      <c r="BQ1002" s="66"/>
      <c r="BR1002" s="66"/>
      <c r="BS1002" s="66"/>
      <c r="BT1002" s="66"/>
      <c r="BU1002" s="66"/>
      <c r="BV1002" s="66"/>
      <c r="BW1002" s="91" t="str">
        <f t="shared" si="304"/>
        <v>Incomplete</v>
      </c>
      <c r="BX1002" s="91" t="str">
        <f>_xlfn.XLOOKUP(BW1002,'Normative data'!$V$3:$V$6,'Normative data'!$W$3:$W$6,"Not Found",-1)</f>
        <v>Very low risk</v>
      </c>
      <c r="BY1002" s="91" t="str">
        <f t="shared" si="305"/>
        <v>Incomplete</v>
      </c>
      <c r="BZ1002" s="91" t="str">
        <f>_xlfn.XLOOKUP(BY1002,'Normative data'!$V$3:$V$6,'Normative data'!$W$3:$W$6,"Not Found",-1)</f>
        <v>Very low risk</v>
      </c>
      <c r="CA1002" s="20"/>
      <c r="CB1002" s="66"/>
      <c r="CC1002" s="20"/>
      <c r="CD1002" s="66"/>
      <c r="CE1002" s="66"/>
      <c r="CF1002" s="66"/>
      <c r="CG1002" s="66"/>
      <c r="CH1002" s="20" t="str">
        <f>_xlfn.XLOOKUP(CG1002, 'Normative data'!$S$9:$S$15,'Normative data'!$T$9:$T$15, "Not Found", -1)</f>
        <v>not completed</v>
      </c>
      <c r="CI1002" s="66"/>
      <c r="CJ1002" s="20" t="str">
        <f>_xlfn.XLOOKUP(CI1002, 'Normative data'!$S$9:$S$15, 'Normative data'!$T$9:$T$15, "Not Found", -1)</f>
        <v>not completed</v>
      </c>
      <c r="CK1002" s="66" t="s">
        <v>1291</v>
      </c>
      <c r="CL1002" s="66" t="s">
        <v>1292</v>
      </c>
      <c r="CM1002" s="66"/>
      <c r="CN1002" s="66" t="s">
        <v>306</v>
      </c>
      <c r="CO1002" s="66" t="s">
        <v>305</v>
      </c>
      <c r="CP1002" s="68"/>
      <c r="CQ1002" s="68"/>
      <c r="CR1002" s="20" t="str" cm="1">
        <f t="array" ref="CR1002">IF(OR(ISBLANK(E1002),ISBLANK(CQ1002)),"Incomplete",_xlfn.XLOOKUP(CQ1002,_xlfn.XLOOKUP(E1002,'Normative data'!$Y$3:$Y$6,'Normative data'!$Z$3:$AG$6,,-1),'Normative data'!$Z$2:$AG$2,"Not Found",-1))</f>
        <v>Incomplete</v>
      </c>
      <c r="CS1002" s="68"/>
      <c r="CT1002" s="66"/>
      <c r="CU1002" s="20" t="str" cm="1">
        <f t="array" ref="CU1002">_xlfn.XLOOKUP(CS1002&amp;CT1002,(VLOOKUP!$A$3:$A$250)&amp;(VLOOKUP!$B$3:$B$250),VLOOKUP!$C$3:$C$250,"Incomplete",-1)</f>
        <v>Incomplete</v>
      </c>
      <c r="CV1002" s="20" t="str" cm="1">
        <f t="array" ref="CV1002">_xlfn.XLOOKUP(CU1002, _xlfn.XLOOKUP(E1002, 'Normative data'!$Y$11:$Y$14, 'Normative data'!$Z$11:$AG$14, ,-1), 'Normative data'!$Z$10:$AG$10, "Not Found", -1)</f>
        <v>Excellent</v>
      </c>
      <c r="CW1002" s="20" t="str" cm="1">
        <f t="array" ref="CW1002">IF(OR(ISBLANK(CS1002),ISBLANK(CT1002)),"Incomplete",_xlfn.XLOOKUP(CS1002&amp;CT1002,VLOOKUP!$A$4:$A$250&amp;VLOOKUP!$B$4:$B$250,VLOOKUP!$D$4:$D$250,"0"))</f>
        <v>Incomplete</v>
      </c>
    </row>
    <row r="1003" spans="1:101">
      <c r="A1003" s="64" t="s">
        <v>1532</v>
      </c>
      <c r="B1003" s="64" t="s">
        <v>1672</v>
      </c>
      <c r="C1003" s="64" t="s">
        <v>86</v>
      </c>
      <c r="D1003" s="65">
        <v>40067</v>
      </c>
      <c r="E1003" s="64">
        <v>16.399999999999999</v>
      </c>
      <c r="F1003" s="66" t="s">
        <v>162</v>
      </c>
      <c r="G1003" s="64">
        <v>2026</v>
      </c>
      <c r="H1003" s="66"/>
      <c r="I1003" s="66">
        <v>2</v>
      </c>
      <c r="J1003" s="66" t="s">
        <v>88</v>
      </c>
      <c r="K1003" s="66" t="s">
        <v>95</v>
      </c>
      <c r="L1003" s="66"/>
      <c r="M1003" s="64"/>
      <c r="N1003" s="64"/>
      <c r="O1003" s="64"/>
      <c r="P1003" s="64"/>
      <c r="Q1003" s="64"/>
      <c r="R1003" s="64"/>
      <c r="S1003" s="66">
        <v>84.6</v>
      </c>
      <c r="T1003" s="66">
        <v>166.6</v>
      </c>
      <c r="U1003" s="64">
        <v>52.5</v>
      </c>
      <c r="V1003" s="64">
        <v>30.9</v>
      </c>
      <c r="W1003" s="64">
        <v>10.3</v>
      </c>
      <c r="X1003" s="64">
        <v>42.2</v>
      </c>
      <c r="Y1003" s="64">
        <v>23</v>
      </c>
      <c r="Z1003" s="64">
        <v>18.899999999999999</v>
      </c>
      <c r="AA1003" s="64">
        <v>19.7</v>
      </c>
      <c r="AB1003" s="64">
        <v>6.36</v>
      </c>
      <c r="AC1003" s="64">
        <v>104.8</v>
      </c>
      <c r="AD1003" s="64">
        <v>6.45</v>
      </c>
      <c r="AE1003" s="64">
        <v>106.3</v>
      </c>
      <c r="AF1003" s="64">
        <v>1.7</v>
      </c>
      <c r="AG1003" s="64">
        <v>65.400000000000006</v>
      </c>
      <c r="AH1003" s="64">
        <v>1.7</v>
      </c>
      <c r="AI1003" s="64">
        <v>65.599999999999994</v>
      </c>
      <c r="AJ1003" s="64">
        <v>338.8</v>
      </c>
      <c r="AK1003" s="64">
        <v>327.5</v>
      </c>
      <c r="AL1003" s="64">
        <v>303.7</v>
      </c>
      <c r="AM1003" s="64">
        <v>295.3</v>
      </c>
      <c r="AN1003" s="64">
        <v>98</v>
      </c>
      <c r="AO1003" s="64">
        <v>0.85</v>
      </c>
      <c r="AP1003" s="64">
        <v>6.1</v>
      </c>
      <c r="AQ1003" s="17">
        <v>13.4</v>
      </c>
      <c r="AR1003" s="17">
        <v>0.33100000000000002</v>
      </c>
      <c r="AS1003" s="17">
        <v>23.4</v>
      </c>
      <c r="AT1003" s="17">
        <v>0.437</v>
      </c>
      <c r="AU1003" s="17">
        <v>11</v>
      </c>
      <c r="AV1003" s="17">
        <v>0.29899999999999999</v>
      </c>
      <c r="AW1003" s="17">
        <v>9.3000000000000007</v>
      </c>
      <c r="AX1003" s="17">
        <v>0.27500000000000002</v>
      </c>
      <c r="AY1003" s="41">
        <f t="shared" si="308"/>
        <v>1136.6300000000001</v>
      </c>
      <c r="AZ1003" s="64"/>
      <c r="BA1003" s="20">
        <f t="shared" si="309"/>
        <v>1743.63</v>
      </c>
      <c r="BB1003" s="64"/>
      <c r="BC1003" s="20">
        <f t="shared" si="310"/>
        <v>990.94999999999982</v>
      </c>
      <c r="BD1003" s="64"/>
      <c r="BE1003" s="20">
        <f t="shared" si="311"/>
        <v>887.76000000000022</v>
      </c>
      <c r="BF1003" s="64"/>
      <c r="BG1003" s="64">
        <v>23.5</v>
      </c>
      <c r="BH1003" s="64">
        <v>50</v>
      </c>
      <c r="BI1003" s="20">
        <f t="shared" si="313"/>
        <v>26.5</v>
      </c>
      <c r="BJ1003" s="66"/>
      <c r="BK1003" s="64">
        <v>13</v>
      </c>
      <c r="BL1003" s="66"/>
      <c r="BM1003" s="64">
        <v>9</v>
      </c>
      <c r="BN1003" s="66"/>
      <c r="BO1003" s="64">
        <v>42.5</v>
      </c>
      <c r="BP1003" s="64">
        <v>42</v>
      </c>
      <c r="BQ1003" s="64">
        <v>90</v>
      </c>
      <c r="BR1003" s="64">
        <v>75</v>
      </c>
      <c r="BS1003" s="64">
        <v>74</v>
      </c>
      <c r="BT1003" s="64">
        <v>80</v>
      </c>
      <c r="BU1003" s="64">
        <v>73</v>
      </c>
      <c r="BV1003" s="64">
        <v>71</v>
      </c>
      <c r="BW1003" s="91">
        <f t="shared" ref="BW1003:BW1009" si="314">IFERROR(SUM(BQ1003+BR1003+BS1003)/(3*(T1003-S1003))*100, "Incomplete")</f>
        <v>97.154471544715449</v>
      </c>
      <c r="BX1003" s="91" t="str">
        <f>_xlfn.XLOOKUP(BW1003,'Normative data'!$V$3:$V$6,'Normative data'!$W$3:$W$6,"Not Found",-1)</f>
        <v>Low risk</v>
      </c>
      <c r="BY1003" s="91">
        <f t="shared" ref="BY1003:BY1009" si="315">IFERROR(SUM(BT1003+BU1003+BV1003)/(3*(T1003-S1003))*100, "Incomplete")</f>
        <v>91.056910569105682</v>
      </c>
      <c r="BZ1003" s="91" t="str">
        <f>_xlfn.XLOOKUP(BY1003,'Normative data'!$V$3:$V$6,'Normative data'!$W$3:$W$6,"Not Found",-1)</f>
        <v>High risk</v>
      </c>
      <c r="CA1003" s="64">
        <v>28</v>
      </c>
      <c r="CB1003" s="66"/>
      <c r="CC1003" s="20"/>
      <c r="CD1003" s="66"/>
      <c r="CE1003" s="64">
        <v>8</v>
      </c>
      <c r="CF1003" s="66"/>
      <c r="CG1003" s="17">
        <v>18.2</v>
      </c>
      <c r="CH1003" s="20" t="str">
        <f>_xlfn.XLOOKUP(CG1003, 'Normative data'!$S$9:$S$15,'Normative data'!$T$9:$T$15, "Not Found", -1)</f>
        <v>Average</v>
      </c>
      <c r="CI1003" s="17">
        <v>18.73</v>
      </c>
      <c r="CJ1003" s="20" t="str">
        <f>_xlfn.XLOOKUP(CI1003, 'Normative data'!$S$9:$S$15, 'Normative data'!$T$9:$T$15, "Not Found", -1)</f>
        <v>Average</v>
      </c>
      <c r="CK1003" s="64">
        <v>2.0299999999999998</v>
      </c>
      <c r="CL1003" s="64">
        <v>4.93</v>
      </c>
      <c r="CM1003" s="66"/>
      <c r="CN1003" s="64">
        <v>6.59</v>
      </c>
      <c r="CO1003" s="64">
        <v>7.39</v>
      </c>
      <c r="CP1003" s="68"/>
      <c r="CQ1003" s="67">
        <v>7.2</v>
      </c>
      <c r="CR1003" s="20" t="str" cm="1">
        <f t="array" ref="CR1003">IF(OR(ISBLANK(E1003),ISBLANK(CQ1003)),"Incomplete",_xlfn.XLOOKUP(CQ1003,_xlfn.XLOOKUP(E1003,'Normative data'!$Y$3:$Y$6,'Normative data'!$Z$3:$AG$6,,-1),'Normative data'!$Z$2:$AG$2,"Not Found",-1))</f>
        <v>Average</v>
      </c>
      <c r="CS1003" s="68">
        <v>7</v>
      </c>
      <c r="CT1003" s="66">
        <v>2</v>
      </c>
      <c r="CU1003" s="20" cm="1">
        <f t="array" ref="CU1003">_xlfn.XLOOKUP(CS1003&amp;CT1003,(VLOOKUP!$A$3:$A$250)&amp;(VLOOKUP!$B$3:$B$250),VLOOKUP!$C$3:$C$250,"Incomplete",-1)</f>
        <v>1060</v>
      </c>
      <c r="CV1003" s="20" t="str" cm="1">
        <f t="array" ref="CV1003">_xlfn.XLOOKUP(CU1003, _xlfn.XLOOKUP(E1003, 'Normative data'!$Y$11:$Y$14, 'Normative data'!$Z$11:$AG$14, ,-1), 'Normative data'!$Z$10:$AG$10, "Not Found", -1)</f>
        <v>Average</v>
      </c>
      <c r="CW1003" s="20" cm="1">
        <f t="array" ref="CW1003">IF(OR(ISBLANK(CS1003),ISBLANK(CT1003)),"Incomplete",_xlfn.XLOOKUP(CS1003&amp;CT1003,VLOOKUP!$A$4:$A$250&amp;VLOOKUP!$B$4:$B$250,VLOOKUP!$D$4:$D$250,"0"))</f>
        <v>37</v>
      </c>
    </row>
    <row r="1004" spans="1:101">
      <c r="A1004" s="64" t="s">
        <v>1673</v>
      </c>
      <c r="B1004" s="64" t="s">
        <v>1674</v>
      </c>
      <c r="C1004" s="64" t="s">
        <v>86</v>
      </c>
      <c r="D1004" s="65"/>
      <c r="E1004" s="64"/>
      <c r="F1004" s="66" t="s">
        <v>97</v>
      </c>
      <c r="G1004" s="64">
        <v>2026</v>
      </c>
      <c r="H1004" s="66"/>
      <c r="I1004" s="66">
        <v>2</v>
      </c>
      <c r="J1004" s="66" t="s">
        <v>100</v>
      </c>
      <c r="K1004" s="66" t="s">
        <v>108</v>
      </c>
      <c r="L1004" s="66"/>
      <c r="M1004" s="64"/>
      <c r="N1004" s="64"/>
      <c r="O1004" s="64"/>
      <c r="P1004" s="64"/>
      <c r="Q1004" s="64"/>
      <c r="R1004" s="64"/>
      <c r="S1004" s="66">
        <v>77.400000000000006</v>
      </c>
      <c r="T1004" s="66">
        <v>152.5</v>
      </c>
      <c r="U1004" s="64"/>
      <c r="V1004" s="64"/>
      <c r="W1004" s="64"/>
      <c r="X1004" s="64"/>
      <c r="Y1004" s="64"/>
      <c r="Z1004" s="64"/>
      <c r="AA1004" s="64"/>
      <c r="AB1004" s="64"/>
      <c r="AC1004" s="64"/>
      <c r="AD1004" s="64"/>
      <c r="AE1004" s="64"/>
      <c r="AF1004" s="64"/>
      <c r="AG1004" s="64"/>
      <c r="AH1004" s="64"/>
      <c r="AI1004" s="64"/>
      <c r="AJ1004" s="64"/>
      <c r="AK1004" s="64"/>
      <c r="AL1004" s="64"/>
      <c r="AM1004" s="64"/>
      <c r="AN1004" s="64"/>
      <c r="AO1004" s="64"/>
      <c r="AP1004" s="64"/>
      <c r="AQ1004" s="66"/>
      <c r="AR1004" s="66"/>
      <c r="AS1004" s="66"/>
      <c r="AT1004" s="66"/>
      <c r="AU1004" s="66"/>
      <c r="AV1004" s="66"/>
      <c r="AW1004" s="66"/>
      <c r="AX1004" s="66"/>
      <c r="AY1004" s="41" t="str">
        <f t="shared" si="308"/>
        <v>Incomplete</v>
      </c>
      <c r="AZ1004" s="64"/>
      <c r="BA1004" s="20" t="str">
        <f t="shared" si="309"/>
        <v>Incomplete</v>
      </c>
      <c r="BB1004" s="64"/>
      <c r="BC1004" s="20" t="str">
        <f t="shared" si="310"/>
        <v>Incomplete</v>
      </c>
      <c r="BD1004" s="64"/>
      <c r="BE1004" s="20" t="str">
        <f t="shared" si="311"/>
        <v>Incomplete</v>
      </c>
      <c r="BF1004" s="64"/>
      <c r="BG1004" s="64">
        <v>15.4</v>
      </c>
      <c r="BH1004" s="64">
        <v>44.4</v>
      </c>
      <c r="BI1004" s="20">
        <f t="shared" si="313"/>
        <v>29</v>
      </c>
      <c r="BJ1004" s="66"/>
      <c r="BK1004" s="64">
        <v>4</v>
      </c>
      <c r="BL1004" s="66"/>
      <c r="BM1004" s="64">
        <v>4</v>
      </c>
      <c r="BN1004" s="66"/>
      <c r="BO1004" s="64">
        <v>47.8</v>
      </c>
      <c r="BP1004" s="64">
        <v>48.5</v>
      </c>
      <c r="BQ1004" s="64">
        <v>71</v>
      </c>
      <c r="BR1004" s="64">
        <v>74</v>
      </c>
      <c r="BS1004" s="64">
        <v>77</v>
      </c>
      <c r="BT1004" s="64">
        <v>72</v>
      </c>
      <c r="BU1004" s="64">
        <v>70</v>
      </c>
      <c r="BV1004" s="64">
        <v>75</v>
      </c>
      <c r="BW1004" s="91">
        <f t="shared" si="314"/>
        <v>98.535286284953401</v>
      </c>
      <c r="BX1004" s="91" t="str">
        <f>_xlfn.XLOOKUP(BW1004,'Normative data'!$V$3:$V$6,'Normative data'!$W$3:$W$6,"Not Found",-1)</f>
        <v>Low risk</v>
      </c>
      <c r="BY1004" s="91">
        <f t="shared" si="315"/>
        <v>96.316023080337331</v>
      </c>
      <c r="BZ1004" s="91" t="str">
        <f>_xlfn.XLOOKUP(BY1004,'Normative data'!$V$3:$V$6,'Normative data'!$W$3:$W$6,"Not Found",-1)</f>
        <v>Low risk</v>
      </c>
      <c r="CA1004" s="64"/>
      <c r="CB1004" s="66"/>
      <c r="CD1004" s="66"/>
      <c r="CE1004" s="64"/>
      <c r="CF1004" s="66"/>
      <c r="CG1004" s="66"/>
      <c r="CH1004" s="20" t="str">
        <f>_xlfn.XLOOKUP(CG1004, 'Normative data'!$S$9:$S$15,'Normative data'!$T$9:$T$15, "Not Found", -1)</f>
        <v>not completed</v>
      </c>
      <c r="CI1004" s="66"/>
      <c r="CJ1004" s="20" t="str">
        <f>_xlfn.XLOOKUP(CI1004, 'Normative data'!$S$9:$S$15, 'Normative data'!$T$9:$T$15, "Not Found", -1)</f>
        <v>not completed</v>
      </c>
      <c r="CK1004" s="105"/>
      <c r="CL1004" s="105"/>
      <c r="CM1004" s="105"/>
      <c r="CN1004" s="105"/>
      <c r="CO1004" s="105"/>
      <c r="CP1004" s="68"/>
      <c r="CQ1004" s="67"/>
      <c r="CR1004" s="20" t="str" cm="1">
        <f t="array" ref="CR1004">IF(OR(ISBLANK(E1004),ISBLANK(CQ1004)),"Incomplete",_xlfn.XLOOKUP(CQ1004,_xlfn.XLOOKUP(E1004,'Normative data'!$Y$3:$Y$6,'Normative data'!$Z$3:$AG$6,,-1),'Normative data'!$Z$2:$AG$2,"Not Found",-1))</f>
        <v>Incomplete</v>
      </c>
      <c r="CS1004" s="68"/>
      <c r="CT1004" s="66"/>
      <c r="CU1004" s="20" t="str" cm="1">
        <f t="array" ref="CU1004">_xlfn.XLOOKUP(CS1004&amp;CT1004,(VLOOKUP!$A$3:$A$250)&amp;(VLOOKUP!$B$3:$B$250),VLOOKUP!$C$3:$C$250,"Incomplete",-1)</f>
        <v>Incomplete</v>
      </c>
      <c r="CV1004" s="20" t="str" cm="1">
        <f t="array" ref="CV1004">_xlfn.XLOOKUP(CU1004, _xlfn.XLOOKUP(E1004, 'Normative data'!$Y$11:$Y$14, 'Normative data'!$Z$11:$AG$14, ,-1), 'Normative data'!$Z$10:$AG$10, "Not Found", -1)</f>
        <v>Excellent</v>
      </c>
      <c r="CW1004" s="20" t="str" cm="1">
        <f t="array" ref="CW1004">IF(OR(ISBLANK(CS1004),ISBLANK(CT1004)),"Incomplete",_xlfn.XLOOKUP(CS1004&amp;CT1004,VLOOKUP!$A$4:$A$250&amp;VLOOKUP!$B$4:$B$250,VLOOKUP!$D$4:$D$250,"0"))</f>
        <v>Incomplete</v>
      </c>
    </row>
    <row r="1005" spans="1:101">
      <c r="A1005" s="94" t="s">
        <v>1675</v>
      </c>
      <c r="B1005" s="94" t="s">
        <v>1676</v>
      </c>
      <c r="C1005" s="64" t="s">
        <v>86</v>
      </c>
      <c r="D1005" s="97"/>
      <c r="E1005" s="64"/>
      <c r="F1005" s="64">
        <v>10</v>
      </c>
      <c r="G1005" s="64">
        <v>2025</v>
      </c>
      <c r="H1005" s="66"/>
      <c r="I1005" s="64"/>
      <c r="J1005" s="64"/>
      <c r="K1005" s="64"/>
      <c r="L1005" s="64"/>
      <c r="M1005" s="64"/>
      <c r="N1005" s="64"/>
      <c r="O1005" s="64"/>
      <c r="P1005" s="64"/>
      <c r="Q1005" s="64"/>
      <c r="R1005" s="64"/>
      <c r="S1005" s="66"/>
      <c r="T1005" s="66"/>
      <c r="U1005" s="66"/>
      <c r="V1005" s="66"/>
      <c r="W1005" s="66"/>
      <c r="X1005" s="66"/>
      <c r="Y1005" s="66"/>
      <c r="Z1005" s="66"/>
      <c r="AA1005" s="66"/>
      <c r="AB1005" s="66"/>
      <c r="AC1005" s="66"/>
      <c r="AD1005" s="66"/>
      <c r="AE1005" s="66"/>
      <c r="AF1005" s="66"/>
      <c r="AG1005" s="66"/>
      <c r="AH1005" s="66"/>
      <c r="AI1005" s="66"/>
      <c r="AJ1005" s="66"/>
      <c r="AK1005" s="66"/>
      <c r="AL1005" s="66"/>
      <c r="AM1005" s="66"/>
      <c r="AN1005" s="66"/>
      <c r="AO1005" s="66"/>
      <c r="AP1005" s="66"/>
      <c r="AQ1005" s="66"/>
      <c r="AR1005" s="66"/>
      <c r="AS1005" s="66"/>
      <c r="AT1005" s="66"/>
      <c r="AU1005" s="66"/>
      <c r="AV1005" s="66"/>
      <c r="AW1005" s="66"/>
      <c r="AX1005" s="66"/>
      <c r="AY1005" s="41" t="str">
        <f t="shared" si="308"/>
        <v>Incomplete</v>
      </c>
      <c r="AZ1005" s="66"/>
      <c r="BA1005" s="20" t="str">
        <f t="shared" si="309"/>
        <v>Incomplete</v>
      </c>
      <c r="BB1005" s="66"/>
      <c r="BC1005" s="20" t="str">
        <f t="shared" si="310"/>
        <v>Incomplete</v>
      </c>
      <c r="BD1005" s="66"/>
      <c r="BE1005" s="20" t="str">
        <f t="shared" si="311"/>
        <v>Incomplete</v>
      </c>
      <c r="BF1005" s="66"/>
      <c r="BG1005" s="66">
        <v>19</v>
      </c>
      <c r="BH1005" s="66">
        <v>42</v>
      </c>
      <c r="BI1005" s="20">
        <f t="shared" si="313"/>
        <v>23</v>
      </c>
      <c r="BJ1005" s="66"/>
      <c r="BK1005" s="66">
        <v>4</v>
      </c>
      <c r="BL1005" s="66"/>
      <c r="BM1005" s="66">
        <v>3</v>
      </c>
      <c r="BN1005" s="66"/>
      <c r="BO1005" s="66"/>
      <c r="BP1005" s="66"/>
      <c r="BQ1005" s="66"/>
      <c r="BR1005" s="66"/>
      <c r="BS1005" s="66"/>
      <c r="BT1005" s="66"/>
      <c r="BU1005" s="66"/>
      <c r="BV1005" s="66"/>
      <c r="BW1005" s="91" t="str">
        <f t="shared" si="314"/>
        <v>Incomplete</v>
      </c>
      <c r="BX1005" s="91" t="str">
        <f>_xlfn.XLOOKUP(BW1005,'Normative data'!$V$3:$V$6,'Normative data'!$W$3:$W$6,"Not Found",-1)</f>
        <v>Very low risk</v>
      </c>
      <c r="BY1005" s="91" t="str">
        <f t="shared" si="315"/>
        <v>Incomplete</v>
      </c>
      <c r="BZ1005" s="91" t="str">
        <f>_xlfn.XLOOKUP(BY1005,'Normative data'!$V$3:$V$6,'Normative data'!$W$3:$W$6,"Not Found",-1)</f>
        <v>Very low risk</v>
      </c>
      <c r="CA1005" s="66"/>
      <c r="CB1005" s="66"/>
      <c r="CC1005" s="20"/>
      <c r="CD1005" s="66"/>
      <c r="CE1005" s="66"/>
      <c r="CF1005" s="66"/>
      <c r="CG1005" s="66"/>
      <c r="CH1005" s="20" t="str">
        <f>_xlfn.XLOOKUP(CG1005, 'Normative data'!$S$9:$S$15,'Normative data'!$T$9:$T$15, "Not Found", -1)</f>
        <v>not completed</v>
      </c>
      <c r="CI1005" s="66"/>
      <c r="CJ1005" s="20" t="str">
        <f>_xlfn.XLOOKUP(CI1005, 'Normative data'!$S$9:$S$15, 'Normative data'!$T$9:$T$15, "Not Found", -1)</f>
        <v>not completed</v>
      </c>
      <c r="CK1005" s="106">
        <v>2.0299999999999998</v>
      </c>
      <c r="CL1005" s="106">
        <v>4.93</v>
      </c>
      <c r="CM1005" s="105"/>
      <c r="CN1005" s="106">
        <v>6.33</v>
      </c>
      <c r="CO1005" s="106">
        <v>7.9</v>
      </c>
      <c r="CP1005" s="110"/>
      <c r="CQ1005" s="68"/>
      <c r="CR1005" s="20" t="str" cm="1">
        <f t="array" ref="CR1005">IF(OR(ISBLANK(E1005),ISBLANK(CQ1005)),"Incomplete",_xlfn.XLOOKUP(CQ1005,_xlfn.XLOOKUP(E1005,'Normative data'!$Y$3:$Y$6,'Normative data'!$Z$3:$AG$6,,-1),'Normative data'!$Z$2:$AG$2,"Not Found",-1))</f>
        <v>Incomplete</v>
      </c>
      <c r="CS1005" s="68"/>
      <c r="CT1005" s="66"/>
      <c r="CU1005" s="20" t="str" cm="1">
        <f t="array" ref="CU1005">_xlfn.XLOOKUP(CS1005&amp;CT1005,(VLOOKUP!$A$3:$A$250)&amp;(VLOOKUP!$B$3:$B$250),VLOOKUP!$C$3:$C$250,"Incomplete",-1)</f>
        <v>Incomplete</v>
      </c>
      <c r="CV1005" s="20" t="str" cm="1">
        <f t="array" ref="CV1005">_xlfn.XLOOKUP(CU1005, _xlfn.XLOOKUP(E1005, 'Normative data'!$Y$11:$Y$14, 'Normative data'!$Z$11:$AG$14, ,-1), 'Normative data'!$Z$10:$AG$10, "Not Found", -1)</f>
        <v>Excellent</v>
      </c>
      <c r="CW1005" s="20" t="str" cm="1">
        <f t="array" ref="CW1005">IF(OR(ISBLANK(CS1005),ISBLANK(CT1005)),"Incomplete",_xlfn.XLOOKUP(CS1005&amp;CT1005,VLOOKUP!$A$4:$A$250&amp;VLOOKUP!$B$4:$B$250,VLOOKUP!$D$4:$D$250,"0"))</f>
        <v>Incomplete</v>
      </c>
    </row>
    <row r="1006" spans="1:101">
      <c r="A1006" s="64" t="s">
        <v>1677</v>
      </c>
      <c r="B1006" s="64" t="s">
        <v>1676</v>
      </c>
      <c r="C1006" s="64" t="s">
        <v>86</v>
      </c>
      <c r="D1006" s="65"/>
      <c r="E1006" s="64"/>
      <c r="F1006" s="64">
        <v>10</v>
      </c>
      <c r="G1006" s="64">
        <v>2025</v>
      </c>
      <c r="H1006" s="66"/>
      <c r="I1006" s="64"/>
      <c r="J1006" s="64"/>
      <c r="K1006" s="64"/>
      <c r="L1006" s="64"/>
      <c r="M1006" s="64"/>
      <c r="N1006" s="64"/>
      <c r="O1006" s="64"/>
      <c r="P1006" s="64"/>
      <c r="Q1006" s="64"/>
      <c r="R1006" s="64"/>
      <c r="S1006" s="66"/>
      <c r="T1006" s="66"/>
      <c r="U1006" s="66"/>
      <c r="V1006" s="66"/>
      <c r="W1006" s="66"/>
      <c r="X1006" s="66"/>
      <c r="Y1006" s="66"/>
      <c r="Z1006" s="66"/>
      <c r="AA1006" s="66"/>
      <c r="AB1006" s="66"/>
      <c r="AC1006" s="66"/>
      <c r="AD1006" s="66"/>
      <c r="AE1006" s="66"/>
      <c r="AF1006" s="66"/>
      <c r="AG1006" s="66"/>
      <c r="AH1006" s="66"/>
      <c r="AI1006" s="66"/>
      <c r="AJ1006" s="66"/>
      <c r="AK1006" s="66"/>
      <c r="AL1006" s="66"/>
      <c r="AM1006" s="66"/>
      <c r="AN1006" s="66"/>
      <c r="AO1006" s="66"/>
      <c r="AP1006" s="66"/>
      <c r="AQ1006" s="20"/>
      <c r="AR1006" s="20"/>
      <c r="AS1006" s="20"/>
      <c r="AT1006" s="20"/>
      <c r="AU1006" s="20"/>
      <c r="AV1006" s="20"/>
      <c r="AW1006" s="20"/>
      <c r="AX1006" s="20"/>
      <c r="AY1006" s="41" t="str">
        <f t="shared" si="308"/>
        <v>Incomplete</v>
      </c>
      <c r="AZ1006" s="66"/>
      <c r="BA1006" s="20" t="str">
        <f t="shared" si="309"/>
        <v>Incomplete</v>
      </c>
      <c r="BB1006" s="66"/>
      <c r="BC1006" s="20" t="str">
        <f t="shared" si="310"/>
        <v>Incomplete</v>
      </c>
      <c r="BD1006" s="66"/>
      <c r="BE1006" s="20" t="str">
        <f t="shared" si="311"/>
        <v>Incomplete</v>
      </c>
      <c r="BF1006" s="66"/>
      <c r="BG1006" s="66"/>
      <c r="BH1006" s="20"/>
      <c r="BI1006" s="20" t="str">
        <f t="shared" si="313"/>
        <v>Incomplete</v>
      </c>
      <c r="BJ1006" s="66"/>
      <c r="BK1006" s="66"/>
      <c r="BL1006" s="66"/>
      <c r="BM1006" s="20"/>
      <c r="BN1006" s="66"/>
      <c r="BO1006" s="66"/>
      <c r="BP1006" s="66"/>
      <c r="BQ1006" s="66"/>
      <c r="BR1006" s="66"/>
      <c r="BS1006" s="66"/>
      <c r="BT1006" s="66"/>
      <c r="BU1006" s="66"/>
      <c r="BV1006" s="66"/>
      <c r="BW1006" s="91" t="str">
        <f t="shared" si="314"/>
        <v>Incomplete</v>
      </c>
      <c r="BX1006" s="91" t="str">
        <f>_xlfn.XLOOKUP(BW1006,'Normative data'!$V$3:$V$6,'Normative data'!$W$3:$W$6,"Not Found",-1)</f>
        <v>Very low risk</v>
      </c>
      <c r="BY1006" s="91" t="str">
        <f t="shared" si="315"/>
        <v>Incomplete</v>
      </c>
      <c r="BZ1006" s="91" t="str">
        <f>_xlfn.XLOOKUP(BY1006,'Normative data'!$V$3:$V$6,'Normative data'!$W$3:$W$6,"Not Found",-1)</f>
        <v>Very low risk</v>
      </c>
      <c r="CA1006" s="66"/>
      <c r="CB1006" s="66"/>
      <c r="CC1006" s="20"/>
      <c r="CD1006" s="66"/>
      <c r="CE1006" s="66"/>
      <c r="CF1006" s="66"/>
      <c r="CG1006" s="20"/>
      <c r="CH1006" s="20" t="str">
        <f>_xlfn.XLOOKUP(CG1006, 'Normative data'!$S$9:$S$15,'Normative data'!$T$9:$T$15, "Not Found", -1)</f>
        <v>not completed</v>
      </c>
      <c r="CI1006" s="20"/>
      <c r="CJ1006" s="20" t="str">
        <f>_xlfn.XLOOKUP(CI1006, 'Normative data'!$S$9:$S$15, 'Normative data'!$T$9:$T$15, "Not Found", -1)</f>
        <v>not completed</v>
      </c>
      <c r="CK1006" s="66" t="s">
        <v>204</v>
      </c>
      <c r="CL1006" s="66" t="s">
        <v>802</v>
      </c>
      <c r="CM1006" s="66"/>
      <c r="CN1006" s="66" t="s">
        <v>1198</v>
      </c>
      <c r="CO1006" s="66" t="s">
        <v>940</v>
      </c>
      <c r="CP1006" s="68"/>
      <c r="CQ1006" s="68"/>
      <c r="CR1006" s="20" t="str" cm="1">
        <f t="array" ref="CR1006">IF(OR(ISBLANK(E1006),ISBLANK(CQ1006)),"Incomplete",_xlfn.XLOOKUP(CQ1006,_xlfn.XLOOKUP(E1006,'Normative data'!$Y$3:$Y$6,'Normative data'!$Z$3:$AG$6,,-1),'Normative data'!$Z$2:$AG$2,"Not Found",-1))</f>
        <v>Incomplete</v>
      </c>
      <c r="CS1006" s="68"/>
      <c r="CT1006" s="66"/>
      <c r="CU1006" s="20" t="str" cm="1">
        <f t="array" ref="CU1006">_xlfn.XLOOKUP(CS1006&amp;CT1006,(VLOOKUP!$A$3:$A$250)&amp;(VLOOKUP!$B$3:$B$250),VLOOKUP!$C$3:$C$250,"Incomplete",-1)</f>
        <v>Incomplete</v>
      </c>
      <c r="CV1006" s="20" t="str" cm="1">
        <f t="array" ref="CV1006">_xlfn.XLOOKUP(CU1006, _xlfn.XLOOKUP(E1006, 'Normative data'!$Y$11:$Y$14, 'Normative data'!$Z$11:$AG$14, ,-1), 'Normative data'!$Z$10:$AG$10, "Not Found", -1)</f>
        <v>Excellent</v>
      </c>
      <c r="CW1006" s="20" t="str" cm="1">
        <f t="array" ref="CW1006">IF(OR(ISBLANK(CS1006),ISBLANK(CT1006)),"Incomplete",_xlfn.XLOOKUP(CS1006&amp;CT1006,VLOOKUP!$A$4:$A$250&amp;VLOOKUP!$B$4:$B$250,VLOOKUP!$D$4:$D$250,"0"))</f>
        <v>Incomplete</v>
      </c>
    </row>
    <row r="1007" spans="1:101">
      <c r="A1007" s="64" t="s">
        <v>1677</v>
      </c>
      <c r="B1007" s="64" t="s">
        <v>1676</v>
      </c>
      <c r="C1007" s="64" t="s">
        <v>86</v>
      </c>
      <c r="D1007" s="120"/>
      <c r="E1007" s="64"/>
      <c r="F1007" s="64"/>
      <c r="G1007" s="64">
        <v>2026</v>
      </c>
      <c r="H1007" s="66" t="s">
        <v>114</v>
      </c>
      <c r="I1007" s="64">
        <v>1</v>
      </c>
      <c r="J1007" s="64"/>
      <c r="K1007" s="64"/>
      <c r="L1007" s="64"/>
      <c r="M1007" s="64"/>
      <c r="N1007" s="64"/>
      <c r="O1007" s="64"/>
      <c r="P1007" s="64"/>
      <c r="Q1007" s="64"/>
      <c r="R1007" s="64"/>
      <c r="S1007" s="66"/>
      <c r="T1007" s="66"/>
      <c r="U1007" s="66"/>
      <c r="V1007" s="66"/>
      <c r="W1007" s="66"/>
      <c r="X1007" s="66"/>
      <c r="Y1007" s="66"/>
      <c r="Z1007" s="66"/>
      <c r="AA1007" s="66"/>
      <c r="AB1007" s="66"/>
      <c r="AC1007" s="66"/>
      <c r="AD1007" s="66"/>
      <c r="AE1007" s="66"/>
      <c r="AF1007" s="66"/>
      <c r="AG1007" s="66"/>
      <c r="AH1007" s="66"/>
      <c r="AI1007" s="66"/>
      <c r="AJ1007" s="66"/>
      <c r="AK1007" s="66"/>
      <c r="AL1007" s="66"/>
      <c r="AM1007" s="66"/>
      <c r="AN1007" s="66"/>
      <c r="AO1007" s="66"/>
      <c r="AP1007" s="66"/>
      <c r="AQ1007" s="20">
        <v>26.1</v>
      </c>
      <c r="AR1007" s="20">
        <v>0.46100000000000002</v>
      </c>
      <c r="AS1007" s="20">
        <v>29.5</v>
      </c>
      <c r="AT1007" s="20">
        <v>0.48199999999999998</v>
      </c>
      <c r="AU1007" s="20">
        <v>11.6</v>
      </c>
      <c r="AV1007" s="20">
        <v>0.308</v>
      </c>
      <c r="AW1007" s="20">
        <v>12.4</v>
      </c>
      <c r="AX1007" s="20">
        <v>0.318</v>
      </c>
      <c r="AY1007" s="41" t="str">
        <f t="shared" si="308"/>
        <v>Incomplete</v>
      </c>
      <c r="AZ1007" s="66"/>
      <c r="BA1007" s="20" t="str">
        <f t="shared" si="309"/>
        <v>Incomplete</v>
      </c>
      <c r="BB1007" s="66"/>
      <c r="BC1007" s="20" t="str">
        <f t="shared" si="310"/>
        <v>Incomplete</v>
      </c>
      <c r="BD1007" s="66"/>
      <c r="BE1007" s="20" t="str">
        <f t="shared" si="311"/>
        <v>Incomplete</v>
      </c>
      <c r="BF1007" s="66"/>
      <c r="BG1007" s="66">
        <v>19</v>
      </c>
      <c r="BH1007" s="66">
        <v>46</v>
      </c>
      <c r="BI1007" s="20">
        <f t="shared" si="313"/>
        <v>27</v>
      </c>
      <c r="BJ1007" s="66"/>
      <c r="BK1007" s="66"/>
      <c r="BL1007" s="66"/>
      <c r="BM1007" s="20"/>
      <c r="BN1007" s="66"/>
      <c r="BO1007" s="66"/>
      <c r="BP1007" s="66"/>
      <c r="BQ1007" s="66"/>
      <c r="BR1007" s="66"/>
      <c r="BS1007" s="66"/>
      <c r="BT1007" s="66"/>
      <c r="BU1007" s="66"/>
      <c r="BV1007" s="66"/>
      <c r="BW1007" s="91" t="str">
        <f t="shared" si="314"/>
        <v>Incomplete</v>
      </c>
      <c r="BX1007" s="91" t="str">
        <f>_xlfn.XLOOKUP(BW1007,'Normative data'!$V$3:$V$6,'Normative data'!$W$3:$W$6,"Not Found",-1)</f>
        <v>Very low risk</v>
      </c>
      <c r="BY1007" s="91" t="str">
        <f t="shared" si="315"/>
        <v>Incomplete</v>
      </c>
      <c r="BZ1007" s="91" t="str">
        <f>_xlfn.XLOOKUP(BY1007,'Normative data'!$V$3:$V$6,'Normative data'!$W$3:$W$6,"Not Found",-1)</f>
        <v>Very low risk</v>
      </c>
      <c r="CA1007" s="20"/>
      <c r="CB1007" s="66"/>
      <c r="CC1007" s="20"/>
      <c r="CD1007" s="66"/>
      <c r="CE1007" s="66"/>
      <c r="CF1007" s="66"/>
      <c r="CG1007" s="66"/>
      <c r="CH1007" s="20" t="str">
        <f>_xlfn.XLOOKUP(CG1007, 'Normative data'!$S$9:$S$15,'Normative data'!$T$9:$T$15, "Not Found", -1)</f>
        <v>not completed</v>
      </c>
      <c r="CI1007" s="66"/>
      <c r="CJ1007" s="20" t="str">
        <f>_xlfn.XLOOKUP(CI1007, 'Normative data'!$S$9:$S$15, 'Normative data'!$T$9:$T$15, "Not Found", -1)</f>
        <v>not completed</v>
      </c>
      <c r="CK1007" s="66">
        <v>2.2599999999999998</v>
      </c>
      <c r="CL1007" s="66">
        <v>4.42</v>
      </c>
      <c r="CM1007" s="66"/>
      <c r="CN1007" s="66">
        <v>6.79</v>
      </c>
      <c r="CO1007" s="66">
        <v>7.36</v>
      </c>
      <c r="CP1007" s="68"/>
      <c r="CQ1007" s="68">
        <v>5.6</v>
      </c>
      <c r="CR1007" s="20" t="str" cm="1">
        <f t="array" ref="CR1007">IF(OR(ISBLANK(E1007),ISBLANK(CQ1007)),"Incomplete",_xlfn.XLOOKUP(CQ1007,_xlfn.XLOOKUP(E1007,'Normative data'!$Y$3:$Y$6,'Normative data'!$Z$3:$AG$6,,-1),'Normative data'!$Z$2:$AG$2,"Not Found",-1))</f>
        <v>Incomplete</v>
      </c>
      <c r="CS1007" s="68">
        <v>5</v>
      </c>
      <c r="CT1007" s="66">
        <v>6</v>
      </c>
      <c r="CU1007" s="20" cm="1">
        <f t="array" ref="CU1007">_xlfn.XLOOKUP(CS1007&amp;CT1007,(VLOOKUP!$A$3:$A$250)&amp;(VLOOKUP!$B$3:$B$250),VLOOKUP!$C$3:$C$250,"Incomplete",-1)</f>
        <v>760</v>
      </c>
      <c r="CV1007" s="20" t="str" cm="1">
        <f t="array" ref="CV1007">_xlfn.XLOOKUP(CU1007, _xlfn.XLOOKUP(E1007, 'Normative data'!$Y$11:$Y$14, 'Normative data'!$Z$11:$AG$14, ,-1), 'Normative data'!$Z$10:$AG$10, "Not Found", -1)</f>
        <v xml:space="preserve">Poor </v>
      </c>
      <c r="CW1007" s="20" cm="1">
        <f t="array" ref="CW1007">IF(OR(ISBLANK(CS1007),ISBLANK(CT1007)),"Incomplete",_xlfn.XLOOKUP(CS1007&amp;CT1007,VLOOKUP!$A$4:$A$250&amp;VLOOKUP!$B$4:$B$250,VLOOKUP!$D$4:$D$250,"0"))</f>
        <v>32</v>
      </c>
    </row>
    <row r="1008" spans="1:101">
      <c r="A1008" s="64" t="s">
        <v>1678</v>
      </c>
      <c r="B1008" s="64" t="s">
        <v>1461</v>
      </c>
      <c r="C1008" s="64" t="s">
        <v>86</v>
      </c>
      <c r="D1008" s="65"/>
      <c r="E1008" s="64"/>
      <c r="F1008" s="66" t="s">
        <v>162</v>
      </c>
      <c r="G1008" s="64">
        <v>2026</v>
      </c>
      <c r="H1008" s="66"/>
      <c r="I1008" s="66">
        <v>2</v>
      </c>
      <c r="J1008" s="66"/>
      <c r="K1008" s="66"/>
      <c r="L1008" s="66"/>
      <c r="M1008" s="64"/>
      <c r="N1008" s="64"/>
      <c r="O1008" s="64"/>
      <c r="P1008" s="64"/>
      <c r="Q1008" s="64"/>
      <c r="R1008" s="64"/>
      <c r="S1008" s="66">
        <v>85.8</v>
      </c>
      <c r="T1008" s="66">
        <v>163.6</v>
      </c>
      <c r="U1008" s="64"/>
      <c r="V1008" s="64"/>
      <c r="W1008" s="64"/>
      <c r="X1008" s="64"/>
      <c r="Y1008" s="64"/>
      <c r="Z1008" s="64"/>
      <c r="AA1008" s="64"/>
      <c r="AB1008" s="64"/>
      <c r="AC1008" s="64"/>
      <c r="AD1008" s="64"/>
      <c r="AE1008" s="64"/>
      <c r="AF1008" s="64"/>
      <c r="AG1008" s="64"/>
      <c r="AH1008" s="64"/>
      <c r="AI1008" s="64"/>
      <c r="AJ1008" s="64"/>
      <c r="AK1008" s="64"/>
      <c r="AL1008" s="64"/>
      <c r="AM1008" s="64"/>
      <c r="AN1008" s="64"/>
      <c r="AO1008" s="64"/>
      <c r="AP1008" s="64"/>
      <c r="AQ1008" s="20"/>
      <c r="AR1008" s="20"/>
      <c r="AS1008" s="20"/>
      <c r="AT1008" s="20"/>
      <c r="AU1008" s="20"/>
      <c r="AV1008" s="20"/>
      <c r="AW1008" s="20"/>
      <c r="AX1008" s="20"/>
      <c r="AY1008" s="41" t="str">
        <f t="shared" si="308"/>
        <v>Incomplete</v>
      </c>
      <c r="AZ1008" s="64"/>
      <c r="BA1008" s="20" t="str">
        <f t="shared" si="309"/>
        <v>Incomplete</v>
      </c>
      <c r="BB1008" s="64"/>
      <c r="BC1008" s="20" t="str">
        <f t="shared" si="310"/>
        <v>Incomplete</v>
      </c>
      <c r="BD1008" s="64"/>
      <c r="BE1008" s="20" t="str">
        <f t="shared" si="311"/>
        <v>Incomplete</v>
      </c>
      <c r="BF1008" s="64"/>
      <c r="BG1008" s="64">
        <v>16</v>
      </c>
      <c r="BH1008" s="17">
        <v>59</v>
      </c>
      <c r="BI1008" s="20">
        <f t="shared" si="313"/>
        <v>43</v>
      </c>
      <c r="BJ1008" s="66"/>
      <c r="BK1008" s="64"/>
      <c r="BL1008" s="66"/>
      <c r="BM1008" s="20"/>
      <c r="BN1008" s="66"/>
      <c r="BO1008" s="64"/>
      <c r="BP1008" s="64"/>
      <c r="BQ1008" s="64"/>
      <c r="BR1008" s="64"/>
      <c r="BS1008" s="64"/>
      <c r="BT1008" s="64"/>
      <c r="BU1008" s="64"/>
      <c r="BV1008" s="64"/>
      <c r="BW1008" s="91">
        <f t="shared" si="314"/>
        <v>0</v>
      </c>
      <c r="BX1008" s="91" t="str">
        <f>_xlfn.XLOOKUP(BW1008,'Normative data'!$V$3:$V$6,'Normative data'!$W$3:$W$6,"Not Found",-1)</f>
        <v>Not completed</v>
      </c>
      <c r="BY1008" s="91">
        <f t="shared" si="315"/>
        <v>0</v>
      </c>
      <c r="BZ1008" s="91" t="str">
        <f>_xlfn.XLOOKUP(BY1008,'Normative data'!$V$3:$V$6,'Normative data'!$W$3:$W$6,"Not Found",-1)</f>
        <v>Not completed</v>
      </c>
      <c r="CA1008" s="20"/>
      <c r="CB1008" s="66"/>
      <c r="CC1008" s="20"/>
      <c r="CD1008" s="66"/>
      <c r="CE1008" s="64">
        <v>11</v>
      </c>
      <c r="CF1008" s="66"/>
      <c r="CG1008" s="17">
        <v>18.84</v>
      </c>
      <c r="CH1008" s="20" t="str">
        <f>_xlfn.XLOOKUP(CG1008, 'Normative data'!$S$9:$S$15,'Normative data'!$T$9:$T$15, "Not Found", -1)</f>
        <v>Average</v>
      </c>
      <c r="CI1008" s="17">
        <v>18.57</v>
      </c>
      <c r="CJ1008" s="20" t="str">
        <f>_xlfn.XLOOKUP(CI1008, 'Normative data'!$S$9:$S$15, 'Normative data'!$T$9:$T$15, "Not Found", -1)</f>
        <v>Average</v>
      </c>
      <c r="CK1008" s="64">
        <v>2.2400000000000002</v>
      </c>
      <c r="CL1008" s="64">
        <v>4.46</v>
      </c>
      <c r="CM1008" s="66"/>
      <c r="CN1008" s="64">
        <v>6.99</v>
      </c>
      <c r="CO1008" s="64">
        <v>7.15</v>
      </c>
      <c r="CP1008" s="68"/>
      <c r="CQ1008" s="67">
        <v>3.4</v>
      </c>
      <c r="CR1008" s="20" t="str" cm="1">
        <f t="array" ref="CR1008">IF(OR(ISBLANK(E1008),ISBLANK(CQ1008)),"Incomplete",_xlfn.XLOOKUP(CQ1008,_xlfn.XLOOKUP(E1008,'Normative data'!$Y$3:$Y$6,'Normative data'!$Z$3:$AG$6,,-1),'Normative data'!$Z$2:$AG$2,"Not Found",-1))</f>
        <v>Incomplete</v>
      </c>
      <c r="CS1008" s="68">
        <v>3</v>
      </c>
      <c r="CT1008" s="66">
        <v>4</v>
      </c>
      <c r="CU1008" s="20" cm="1">
        <f t="array" ref="CU1008">_xlfn.XLOOKUP(CS1008&amp;CT1008,(VLOOKUP!$A$3:$A$250)&amp;(VLOOKUP!$B$3:$B$250),VLOOKUP!$C$3:$C$250,"Incomplete",-1)</f>
        <v>380</v>
      </c>
      <c r="CV1008" s="20" t="str" cm="1">
        <f t="array" ref="CV1008">_xlfn.XLOOKUP(CU1008, _xlfn.XLOOKUP(E1008, 'Normative data'!$Y$11:$Y$14, 'Normative data'!$Z$11:$AG$14, ,-1), 'Normative data'!$Z$10:$AG$10, "Not Found", -1)</f>
        <v xml:space="preserve">Very poor </v>
      </c>
      <c r="CW1008" s="20" cm="1">
        <f t="array" ref="CW1008">IF(OR(ISBLANK(CS1008),ISBLANK(CT1008)),"Incomplete",_xlfn.XLOOKUP(CS1008&amp;CT1008,VLOOKUP!$A$4:$A$250&amp;VLOOKUP!$B$4:$B$250,VLOOKUP!$D$4:$D$250,"0"))</f>
        <v>24</v>
      </c>
    </row>
    <row r="1009" spans="1:101">
      <c r="A1009" s="94" t="s">
        <v>1275</v>
      </c>
      <c r="B1009" s="94" t="s">
        <v>1274</v>
      </c>
      <c r="C1009" s="64" t="s">
        <v>86</v>
      </c>
      <c r="D1009" s="97">
        <v>40135</v>
      </c>
      <c r="E1009" s="64"/>
      <c r="F1009" s="64">
        <v>9</v>
      </c>
      <c r="G1009" s="64">
        <v>2025</v>
      </c>
      <c r="H1009" s="66"/>
      <c r="I1009" s="64"/>
      <c r="J1009" s="64"/>
      <c r="K1009" s="64"/>
      <c r="L1009" s="64"/>
      <c r="M1009" s="64"/>
      <c r="N1009" s="64"/>
      <c r="O1009" s="64"/>
      <c r="P1009" s="64"/>
      <c r="Q1009" s="64"/>
      <c r="R1009" s="64"/>
      <c r="S1009" s="66"/>
      <c r="T1009" s="66"/>
      <c r="U1009" s="66"/>
      <c r="V1009" s="66"/>
      <c r="W1009" s="66"/>
      <c r="X1009" s="66"/>
      <c r="Y1009" s="66"/>
      <c r="Z1009" s="66"/>
      <c r="AA1009" s="66"/>
      <c r="AB1009" s="66"/>
      <c r="AC1009" s="66"/>
      <c r="AD1009" s="66"/>
      <c r="AE1009" s="66"/>
      <c r="AF1009" s="66"/>
      <c r="AG1009" s="66"/>
      <c r="AH1009" s="66"/>
      <c r="AI1009" s="66"/>
      <c r="AJ1009" s="66"/>
      <c r="AK1009" s="66"/>
      <c r="AL1009" s="66"/>
      <c r="AM1009" s="66"/>
      <c r="AN1009" s="66"/>
      <c r="AO1009" s="66"/>
      <c r="AP1009" s="66"/>
      <c r="AQ1009" s="20"/>
      <c r="AR1009" s="20"/>
      <c r="AS1009" s="20"/>
      <c r="AT1009" s="20"/>
      <c r="AU1009" s="20"/>
      <c r="AV1009" s="20"/>
      <c r="AW1009" s="20"/>
      <c r="AX1009" s="20"/>
      <c r="AY1009" s="41" t="str">
        <f t="shared" si="308"/>
        <v>Incomplete</v>
      </c>
      <c r="AZ1009" s="66"/>
      <c r="BA1009" s="20" t="str">
        <f t="shared" si="309"/>
        <v>Incomplete</v>
      </c>
      <c r="BB1009" s="66"/>
      <c r="BC1009" s="20" t="str">
        <f t="shared" si="310"/>
        <v>Incomplete</v>
      </c>
      <c r="BD1009" s="66"/>
      <c r="BE1009" s="20" t="str">
        <f t="shared" si="311"/>
        <v>Incomplete</v>
      </c>
      <c r="BF1009" s="66"/>
      <c r="BG1009" s="66"/>
      <c r="BH1009" s="66"/>
      <c r="BI1009" s="20" t="str">
        <f t="shared" si="313"/>
        <v>Incomplete</v>
      </c>
      <c r="BJ1009" s="66"/>
      <c r="BK1009" s="66"/>
      <c r="BL1009" s="66"/>
      <c r="BM1009" s="66"/>
      <c r="BN1009" s="66"/>
      <c r="BO1009" s="66"/>
      <c r="BP1009" s="66"/>
      <c r="BQ1009" s="66"/>
      <c r="BR1009" s="66"/>
      <c r="BS1009" s="66"/>
      <c r="BT1009" s="66"/>
      <c r="BU1009" s="66"/>
      <c r="BV1009" s="66"/>
      <c r="BW1009" s="91" t="str">
        <f t="shared" si="314"/>
        <v>Incomplete</v>
      </c>
      <c r="BX1009" s="91" t="str">
        <f>_xlfn.XLOOKUP(BW1009,'Normative data'!$V$3:$V$6,'Normative data'!$W$3:$W$6,"Not Found",-1)</f>
        <v>Very low risk</v>
      </c>
      <c r="BY1009" s="91" t="str">
        <f t="shared" si="315"/>
        <v>Incomplete</v>
      </c>
      <c r="BZ1009" s="91" t="str">
        <f>_xlfn.XLOOKUP(BY1009,'Normative data'!$V$3:$V$6,'Normative data'!$W$3:$W$6,"Not Found",-1)</f>
        <v>Very low risk</v>
      </c>
      <c r="CA1009" s="20"/>
      <c r="CB1009" s="66"/>
      <c r="CC1009" s="20"/>
      <c r="CD1009" s="66"/>
      <c r="CE1009" s="66"/>
      <c r="CF1009" s="66"/>
      <c r="CG1009" s="66"/>
      <c r="CH1009" s="20" t="str">
        <f>_xlfn.XLOOKUP(CG1009, 'Normative data'!$S$9:$S$15,'Normative data'!$T$9:$T$15, "Not Found", -1)</f>
        <v>not completed</v>
      </c>
      <c r="CI1009" s="66"/>
      <c r="CJ1009" s="20" t="str">
        <f>_xlfn.XLOOKUP(CI1009, 'Normative data'!$S$9:$S$15, 'Normative data'!$T$9:$T$15, "Not Found", -1)</f>
        <v>not completed</v>
      </c>
      <c r="CK1009" s="106">
        <v>2.2599999999999998</v>
      </c>
      <c r="CL1009" s="106">
        <v>4.42</v>
      </c>
      <c r="CM1009" s="106"/>
      <c r="CN1009" s="106">
        <v>6.81</v>
      </c>
      <c r="CO1009" s="106">
        <v>7.34</v>
      </c>
      <c r="CP1009" s="110"/>
      <c r="CQ1009" s="68"/>
      <c r="CR1009" s="20" t="str" cm="1">
        <f t="array" ref="CR1009">IF(OR(ISBLANK(E1009),ISBLANK(CQ1009)),"Incomplete",_xlfn.XLOOKUP(CQ1009,_xlfn.XLOOKUP(E1009,'Normative data'!$Y$3:$Y$6,'Normative data'!$Z$3:$AG$6,,-1),'Normative data'!$Z$2:$AG$2,"Not Found",-1))</f>
        <v>Incomplete</v>
      </c>
      <c r="CS1009" s="68"/>
      <c r="CT1009" s="66"/>
      <c r="CU1009" s="20" t="str" cm="1">
        <f t="array" ref="CU1009">_xlfn.XLOOKUP(CS1009&amp;CT1009,(VLOOKUP!$A$3:$A$250)&amp;(VLOOKUP!$B$3:$B$250),VLOOKUP!$C$3:$C$250,"Incomplete",-1)</f>
        <v>Incomplete</v>
      </c>
      <c r="CV1009" s="20" t="str" cm="1">
        <f t="array" ref="CV1009">_xlfn.XLOOKUP(CU1009, _xlfn.XLOOKUP(E1009, 'Normative data'!$Y$11:$Y$14, 'Normative data'!$Z$11:$AG$14, ,-1), 'Normative data'!$Z$10:$AG$10, "Not Found", -1)</f>
        <v>Excellent</v>
      </c>
      <c r="CW1009" s="20" t="str" cm="1">
        <f t="array" ref="CW1009">IF(OR(ISBLANK(CS1009),ISBLANK(CT1009)),"Incomplete",_xlfn.XLOOKUP(CS1009&amp;CT1009,VLOOKUP!$A$4:$A$250&amp;VLOOKUP!$B$4:$B$250,VLOOKUP!$D$4:$D$250,"0"))</f>
        <v>Incomplete</v>
      </c>
    </row>
    <row r="1010" spans="1:101">
      <c r="A1010" s="64" t="s">
        <v>1275</v>
      </c>
      <c r="B1010" s="64" t="s">
        <v>1274</v>
      </c>
      <c r="C1010" s="64" t="s">
        <v>86</v>
      </c>
      <c r="D1010" s="97">
        <v>40135</v>
      </c>
      <c r="E1010" s="64"/>
      <c r="F1010" s="64"/>
      <c r="G1010" s="64">
        <v>2025</v>
      </c>
      <c r="H1010" s="66"/>
      <c r="I1010" s="64"/>
      <c r="J1010" s="64"/>
      <c r="K1010" s="64"/>
      <c r="L1010" s="64"/>
      <c r="M1010" s="64"/>
      <c r="N1010" s="64"/>
      <c r="O1010" s="64"/>
      <c r="P1010" s="64"/>
      <c r="Q1010" s="64"/>
      <c r="R1010" s="64"/>
      <c r="S1010" s="66"/>
      <c r="T1010" s="66" t="s">
        <v>1679</v>
      </c>
      <c r="U1010" s="66" t="s">
        <v>1680</v>
      </c>
      <c r="V1010" s="66"/>
      <c r="W1010" s="66"/>
      <c r="X1010" s="66"/>
      <c r="Y1010" s="66"/>
      <c r="Z1010" s="66"/>
      <c r="AA1010" s="66"/>
      <c r="AB1010" s="66"/>
      <c r="AC1010" s="66"/>
      <c r="AD1010" s="66"/>
      <c r="AE1010" s="66"/>
      <c r="AF1010" s="66"/>
      <c r="AG1010" s="66"/>
      <c r="AH1010" s="66"/>
      <c r="AI1010" s="66"/>
      <c r="AJ1010" s="66"/>
      <c r="AK1010" s="66"/>
      <c r="AL1010" s="66"/>
      <c r="AM1010" s="66"/>
      <c r="AN1010" s="66"/>
      <c r="AO1010" s="66"/>
      <c r="AP1010" s="66"/>
      <c r="AQ1010" s="20">
        <v>23.4</v>
      </c>
      <c r="AR1010" s="20">
        <v>0.437</v>
      </c>
      <c r="AS1010" s="20">
        <v>25.6</v>
      </c>
      <c r="AT1010" s="20">
        <v>0.49</v>
      </c>
      <c r="AU1010" s="20">
        <v>11.9</v>
      </c>
      <c r="AV1010" s="20">
        <v>0.312</v>
      </c>
      <c r="AW1010" s="20">
        <v>12.6</v>
      </c>
      <c r="AX1010" s="20">
        <v>0.32</v>
      </c>
      <c r="AY1010" s="41" t="e">
        <f>IF(OR(ISBLANK(#REF!), ISBLANK(AQ1010)), "Incomplete", (60.7*AQ1010)+(45.3*#REF!)-2055)</f>
        <v>#REF!</v>
      </c>
      <c r="AZ1010" s="66"/>
      <c r="BA1010" s="20" t="e">
        <f>IF(OR(ISBLANK(#REF!), ISBLANK(AS1010)), "Incomplete", (60.7*AS1010)+(45.3*#REF!)-2055)</f>
        <v>#REF!</v>
      </c>
      <c r="BB1010" s="66"/>
      <c r="BC1010" s="20" t="e">
        <f>IF(OR(ISBLANK(#REF!), ISBLANK(AU1010)), "Incomplete", (60.7*AU1010)+(45.3*#REF!)-2055)</f>
        <v>#REF!</v>
      </c>
      <c r="BD1010" s="66"/>
      <c r="BE1010" s="20" t="e">
        <f>IF(OR(ISBLANK(#REF!), ISBLANK(AW1010)), "Incomplete", (60.7*AW1010)+(45.3*#REF!)-2055)</f>
        <v>#REF!</v>
      </c>
      <c r="BF1010" s="66"/>
      <c r="BG1010" s="66"/>
      <c r="BH1010" s="66"/>
      <c r="BI1010" s="20" t="str">
        <f t="shared" si="313"/>
        <v>Incomplete</v>
      </c>
      <c r="BJ1010" s="66"/>
      <c r="BK1010" s="66"/>
      <c r="BL1010" s="66"/>
      <c r="BM1010" s="66"/>
      <c r="BN1010" s="66"/>
      <c r="BO1010" s="66"/>
      <c r="BP1010" s="66"/>
      <c r="BQ1010" s="66"/>
      <c r="BR1010" s="66"/>
      <c r="BS1010" s="66"/>
      <c r="BT1010" s="66"/>
      <c r="BU1010" s="66"/>
      <c r="BV1010" s="66"/>
      <c r="BW1010" s="91" t="str">
        <f>IFERROR(SUM(BQ1010+BR1010+BS1010)/(3*(#REF!-S1010))*100, "Incomplete")</f>
        <v>Incomplete</v>
      </c>
      <c r="BX1010" s="91" t="str">
        <f>_xlfn.XLOOKUP(BW1010,'Normative data'!$V$3:$V$6,'Normative data'!$W$3:$W$6,"Not Found",-1)</f>
        <v>Very low risk</v>
      </c>
      <c r="BY1010" s="91" t="str">
        <f>IFERROR(SUM(BT1010+BU1010+BV1010)/(3*(#REF!-S1010))*100, "Incomplete")</f>
        <v>Incomplete</v>
      </c>
      <c r="BZ1010" s="91" t="str">
        <f>_xlfn.XLOOKUP(BY1010,'Normative data'!$V$3:$V$6,'Normative data'!$W$3:$W$6,"Not Found",-1)</f>
        <v>Very low risk</v>
      </c>
      <c r="CA1010" s="66"/>
      <c r="CB1010" s="66"/>
      <c r="CC1010" s="20"/>
      <c r="CD1010" s="66"/>
      <c r="CE1010" s="66">
        <v>2</v>
      </c>
      <c r="CF1010" s="66"/>
      <c r="CG1010" s="66"/>
      <c r="CH1010" s="20" t="str">
        <f>_xlfn.XLOOKUP(CG1010, 'Normative data'!$S$9:$S$15,'Normative data'!$T$9:$T$15, "Not Found", -1)</f>
        <v>not completed</v>
      </c>
      <c r="CI1010" s="66"/>
      <c r="CJ1010" s="20" t="str">
        <f>_xlfn.XLOOKUP(CI1010, 'Normative data'!$S$9:$S$15, 'Normative data'!$T$9:$T$15, "Not Found", -1)</f>
        <v>not completed</v>
      </c>
      <c r="CK1010" s="20" t="s">
        <v>327</v>
      </c>
      <c r="CL1010" s="20" t="s">
        <v>624</v>
      </c>
      <c r="CM1010" s="21"/>
      <c r="CN1010" s="20" t="s">
        <v>749</v>
      </c>
      <c r="CO1010" s="20" t="s">
        <v>748</v>
      </c>
      <c r="CP1010" s="68"/>
      <c r="CQ1010" s="68"/>
      <c r="CR1010" s="20" t="str" cm="1">
        <f t="array" ref="CR1010">IF(OR(ISBLANK(E1010),ISBLANK(CQ1010)),"Incomplete",_xlfn.XLOOKUP(CQ1010,_xlfn.XLOOKUP(E1010,'Normative data'!$Y$3:$Y$6,'Normative data'!$Z$3:$AG$6,,-1),'Normative data'!$Z$2:$AG$2,"Not Found",-1))</f>
        <v>Incomplete</v>
      </c>
      <c r="CS1010" s="68"/>
      <c r="CT1010" s="66"/>
      <c r="CU1010" s="20" t="str" cm="1">
        <f t="array" ref="CU1010">_xlfn.XLOOKUP(CS1010&amp;CT1010,(VLOOKUP!$A$3:$A$250)&amp;(VLOOKUP!$B$3:$B$250),VLOOKUP!$C$3:$C$250,"Incomplete",-1)</f>
        <v>Incomplete</v>
      </c>
      <c r="CV1010" s="20" t="str" cm="1">
        <f t="array" ref="CV1010">_xlfn.XLOOKUP(CU1010, _xlfn.XLOOKUP(E1010, 'Normative data'!$Y$11:$Y$14, 'Normative data'!$Z$11:$AG$14, ,-1), 'Normative data'!$Z$10:$AG$10, "Not Found", -1)</f>
        <v>Excellent</v>
      </c>
      <c r="CW1010" s="20" t="str" cm="1">
        <f t="array" ref="CW1010">IF(OR(ISBLANK(CS1010),ISBLANK(CT1010)),"Incomplete",_xlfn.XLOOKUP(CS1010&amp;CT1010,VLOOKUP!$A$4:$A$250&amp;VLOOKUP!$B$4:$B$250,VLOOKUP!$D$4:$D$250,"0"))</f>
        <v>Incomplete</v>
      </c>
    </row>
    <row r="1011" spans="1:101">
      <c r="A1011" s="64" t="s">
        <v>1681</v>
      </c>
      <c r="B1011" s="64" t="s">
        <v>1682</v>
      </c>
      <c r="C1011" s="64" t="s">
        <v>86</v>
      </c>
      <c r="D1011" s="65"/>
      <c r="E1011" s="64"/>
      <c r="F1011" s="64">
        <v>11</v>
      </c>
      <c r="G1011" s="64">
        <v>2025</v>
      </c>
      <c r="H1011" s="66"/>
      <c r="I1011" s="64"/>
      <c r="J1011" s="64"/>
      <c r="K1011" s="64"/>
      <c r="L1011" s="64"/>
      <c r="M1011" s="64"/>
      <c r="N1011" s="64"/>
      <c r="O1011" s="64"/>
      <c r="P1011" s="64"/>
      <c r="Q1011" s="64"/>
      <c r="R1011" s="64"/>
      <c r="S1011" s="66"/>
      <c r="T1011" s="66"/>
      <c r="U1011" s="66"/>
      <c r="V1011" s="66"/>
      <c r="W1011" s="66"/>
      <c r="X1011" s="66"/>
      <c r="Y1011" s="66"/>
      <c r="Z1011" s="66"/>
      <c r="AA1011" s="66"/>
      <c r="AB1011" s="66"/>
      <c r="AC1011" s="66"/>
      <c r="AD1011" s="66"/>
      <c r="AE1011" s="66"/>
      <c r="AF1011" s="66"/>
      <c r="AG1011" s="66"/>
      <c r="AH1011" s="66"/>
      <c r="AI1011" s="66"/>
      <c r="AJ1011" s="66"/>
      <c r="AK1011" s="66"/>
      <c r="AL1011" s="66"/>
      <c r="AM1011" s="66"/>
      <c r="AN1011" s="66"/>
      <c r="AO1011" s="66"/>
      <c r="AP1011" s="66"/>
      <c r="AQ1011" s="20"/>
      <c r="AR1011" s="20"/>
      <c r="AS1011" s="20"/>
      <c r="AT1011" s="20"/>
      <c r="AU1011" s="20"/>
      <c r="AV1011" s="20"/>
      <c r="AW1011" s="20"/>
      <c r="AX1011" s="20"/>
      <c r="AY1011" s="41" t="str">
        <f>IF(OR(ISBLANK(U1011), ISBLANK(AQ1011)), "Incomplete", (60.7*AQ1011)+(45.3*U1011)-2055)</f>
        <v>Incomplete</v>
      </c>
      <c r="AZ1011" s="66"/>
      <c r="BA1011" s="20" t="str">
        <f>IF(OR(ISBLANK(U1011), ISBLANK(AS1011)), "Incomplete", (60.7*AS1011)+(45.3*U1011)-2055)</f>
        <v>Incomplete</v>
      </c>
      <c r="BB1011" s="66"/>
      <c r="BC1011" s="20" t="str">
        <f>IF(OR(ISBLANK(U1011), ISBLANK(AU1011)), "Incomplete", (60.7*AU1011)+(45.3*U1011)-2055)</f>
        <v>Incomplete</v>
      </c>
      <c r="BD1011" s="66"/>
      <c r="BE1011" s="20" t="str">
        <f>IF(OR(ISBLANK(U1011), ISBLANK(AW1011)), "Incomplete", (60.7*AW1011)+(45.3*U1011)-2055)</f>
        <v>Incomplete</v>
      </c>
      <c r="BF1011" s="66"/>
      <c r="BG1011" s="66">
        <v>13</v>
      </c>
      <c r="BH1011" s="20">
        <v>20.9</v>
      </c>
      <c r="BI1011" s="20">
        <f t="shared" si="313"/>
        <v>7.8999999999999986</v>
      </c>
      <c r="BJ1011" s="66"/>
      <c r="BK1011" s="66">
        <v>2</v>
      </c>
      <c r="BL1011" s="66"/>
      <c r="BM1011" s="20">
        <v>3</v>
      </c>
      <c r="BN1011" s="66"/>
      <c r="BO1011" s="66"/>
      <c r="BP1011" s="66"/>
      <c r="BQ1011" s="66"/>
      <c r="BR1011" s="66"/>
      <c r="BS1011" s="66"/>
      <c r="BT1011" s="66"/>
      <c r="BU1011" s="66"/>
      <c r="BV1011" s="66"/>
      <c r="BW1011" s="91" t="str">
        <f>IFERROR(SUM(BQ1011+BR1011+BS1011)/(3*(T1011-S1011))*100, "Incomplete")</f>
        <v>Incomplete</v>
      </c>
      <c r="BX1011" s="91" t="str">
        <f>_xlfn.XLOOKUP(BW1011,'Normative data'!$V$3:$V$6,'Normative data'!$W$3:$W$6,"Not Found",-1)</f>
        <v>Very low risk</v>
      </c>
      <c r="BY1011" s="91" t="str">
        <f>IFERROR(SUM(BT1011+BU1011+BV1011)/(3*(T1011-S1011))*100, "Incomplete")</f>
        <v>Incomplete</v>
      </c>
      <c r="BZ1011" s="91" t="str">
        <f>_xlfn.XLOOKUP(BY1011,'Normative data'!$V$3:$V$6,'Normative data'!$W$3:$W$6,"Not Found",-1)</f>
        <v>Very low risk</v>
      </c>
      <c r="CA1011" s="66"/>
      <c r="CB1011" s="66"/>
      <c r="CC1011" s="66"/>
      <c r="CD1011" s="66"/>
      <c r="CE1011" s="66">
        <v>10</v>
      </c>
      <c r="CF1011" s="66"/>
      <c r="CG1011" s="20"/>
      <c r="CH1011" s="20" t="str">
        <f>_xlfn.XLOOKUP(CG1011, 'Normative data'!$S$9:$S$15,'Normative data'!$T$9:$T$15, "Not Found", -1)</f>
        <v>not completed</v>
      </c>
      <c r="CI1011" s="20"/>
      <c r="CJ1011" s="20" t="str">
        <f>_xlfn.XLOOKUP(CI1011, 'Normative data'!$S$9:$S$15, 'Normative data'!$T$9:$T$15, "Not Found", -1)</f>
        <v>not completed</v>
      </c>
      <c r="CK1011" s="20" t="s">
        <v>477</v>
      </c>
      <c r="CL1011" s="20" t="s">
        <v>436</v>
      </c>
      <c r="CM1011" s="21"/>
      <c r="CN1011" s="20" t="s">
        <v>403</v>
      </c>
      <c r="CO1011" s="20" t="s">
        <v>1683</v>
      </c>
      <c r="CP1011" s="68"/>
      <c r="CQ1011" s="68"/>
      <c r="CR1011" s="20" t="str" cm="1">
        <f t="array" ref="CR1011">IF(OR(ISBLANK(E1011),ISBLANK(CQ1011)),"Incomplete",_xlfn.XLOOKUP(CQ1011,_xlfn.XLOOKUP(E1011,'Normative data'!$Y$3:$Y$6,'Normative data'!$Z$3:$AG$6,,-1),'Normative data'!$Z$2:$AG$2,"Not Found",-1))</f>
        <v>Incomplete</v>
      </c>
      <c r="CS1011" s="68"/>
      <c r="CT1011" s="66"/>
      <c r="CU1011" s="20" t="str" cm="1">
        <f t="array" ref="CU1011">_xlfn.XLOOKUP(CS1011&amp;CT1011,(VLOOKUP!$A$3:$A$250)&amp;(VLOOKUP!$B$3:$B$250),VLOOKUP!$C$3:$C$250,"Incomplete",-1)</f>
        <v>Incomplete</v>
      </c>
      <c r="CV1011" s="20" t="str" cm="1">
        <f t="array" ref="CV1011">_xlfn.XLOOKUP(CU1011, _xlfn.XLOOKUP(E1011, 'Normative data'!$Y$11:$Y$14, 'Normative data'!$Z$11:$AG$14, ,-1), 'Normative data'!$Z$10:$AG$10, "Not Found", -1)</f>
        <v>Excellent</v>
      </c>
      <c r="CW1011" s="20" t="str" cm="1">
        <f t="array" ref="CW1011">IF(OR(ISBLANK(CS1011),ISBLANK(CT1011)),"Incomplete",_xlfn.XLOOKUP(CS1011&amp;CT1011,VLOOKUP!$A$4:$A$250&amp;VLOOKUP!$B$4:$B$250,VLOOKUP!$D$4:$D$250,"0"))</f>
        <v>Incomplete</v>
      </c>
    </row>
    <row r="1012" spans="1:101">
      <c r="A1012" s="64" t="s">
        <v>1173</v>
      </c>
      <c r="B1012" s="64" t="s">
        <v>1172</v>
      </c>
      <c r="C1012" s="64" t="s">
        <v>86</v>
      </c>
      <c r="D1012" s="65"/>
      <c r="E1012" s="64"/>
      <c r="F1012" s="66" t="s">
        <v>151</v>
      </c>
      <c r="G1012" s="64">
        <v>2026</v>
      </c>
      <c r="H1012" s="66"/>
      <c r="I1012" s="66">
        <v>2</v>
      </c>
      <c r="J1012" s="66"/>
      <c r="K1012" s="66"/>
      <c r="L1012" s="66"/>
      <c r="M1012" s="64"/>
      <c r="N1012" s="64"/>
      <c r="O1012" s="64"/>
      <c r="P1012" s="64"/>
      <c r="Q1012" s="64"/>
      <c r="R1012" s="64"/>
      <c r="S1012" s="66"/>
      <c r="T1012" s="66"/>
      <c r="U1012" s="64"/>
      <c r="V1012" s="64"/>
      <c r="W1012" s="64"/>
      <c r="X1012" s="64"/>
      <c r="Y1012" s="64"/>
      <c r="Z1012" s="64"/>
      <c r="AA1012" s="64"/>
      <c r="AB1012" s="64"/>
      <c r="AC1012" s="64"/>
      <c r="AD1012" s="64"/>
      <c r="AE1012" s="64"/>
      <c r="AF1012" s="64"/>
      <c r="AG1012" s="64"/>
      <c r="AH1012" s="64"/>
      <c r="AI1012" s="64"/>
      <c r="AJ1012" s="64"/>
      <c r="AK1012" s="64"/>
      <c r="AL1012" s="64"/>
      <c r="AM1012" s="64"/>
      <c r="AN1012" s="64"/>
      <c r="AO1012" s="64"/>
      <c r="AP1012" s="64"/>
      <c r="AQ1012" s="20"/>
      <c r="AR1012" s="20"/>
      <c r="AS1012" s="20"/>
      <c r="AT1012" s="20"/>
      <c r="AU1012" s="20"/>
      <c r="AV1012" s="20"/>
      <c r="AW1012" s="20"/>
      <c r="AX1012" s="20"/>
      <c r="AY1012" s="41" t="str">
        <f>IF(OR(ISBLANK(U1012), ISBLANK(AQ1012)), "Incomplete", (60.7*AQ1012)+(45.3*U1012)-2055)</f>
        <v>Incomplete</v>
      </c>
      <c r="AZ1012" s="64"/>
      <c r="BA1012" s="20" t="str">
        <f>IF(OR(ISBLANK(U1012), ISBLANK(AS1012)), "Incomplete", (60.7*AS1012)+(45.3*U1012)-2055)</f>
        <v>Incomplete</v>
      </c>
      <c r="BB1012" s="64"/>
      <c r="BC1012" s="20" t="str">
        <f>IF(OR(ISBLANK(U1012), ISBLANK(AU1012)), "Incomplete", (60.7*AU1012)+(45.3*U1012)-2055)</f>
        <v>Incomplete</v>
      </c>
      <c r="BD1012" s="64"/>
      <c r="BE1012" s="20" t="str">
        <f>IF(OR(ISBLANK(U1012), ISBLANK(AW1012)), "Incomplete", (60.7*AW1012)+(45.3*U1012)-2055)</f>
        <v>Incomplete</v>
      </c>
      <c r="BF1012" s="64"/>
      <c r="BG1012" s="64"/>
      <c r="BH1012" s="66"/>
      <c r="BI1012" s="20" t="str">
        <f t="shared" si="313"/>
        <v>Incomplete</v>
      </c>
      <c r="BJ1012" s="66"/>
      <c r="BK1012" s="64"/>
      <c r="BL1012" s="66"/>
      <c r="BM1012" s="66"/>
      <c r="BN1012" s="66"/>
      <c r="BO1012" s="64"/>
      <c r="BP1012" s="64"/>
      <c r="BQ1012" s="64">
        <v>65</v>
      </c>
      <c r="BR1012" s="64">
        <v>74</v>
      </c>
      <c r="BS1012" s="64">
        <v>64</v>
      </c>
      <c r="BT1012" s="64">
        <v>67</v>
      </c>
      <c r="BU1012" s="64">
        <v>63</v>
      </c>
      <c r="BV1012" s="64">
        <v>60</v>
      </c>
      <c r="BW1012" s="91" t="str">
        <f>IFERROR(SUM(BQ1012+BR1012+BS1012)/(3*(T1012-S1012))*100, "Incomplete")</f>
        <v>Incomplete</v>
      </c>
      <c r="BX1012" s="91" t="str">
        <f>_xlfn.XLOOKUP(BW1012,'Normative data'!$V$3:$V$6,'Normative data'!$W$3:$W$6,"Not Found",-1)</f>
        <v>Very low risk</v>
      </c>
      <c r="BY1012" s="91" t="str">
        <f>IFERROR(SUM(BT1012+BU1012+BV1012)/(3*(T1012-S1012))*100, "Incomplete")</f>
        <v>Incomplete</v>
      </c>
      <c r="BZ1012" s="91" t="str">
        <f>_xlfn.XLOOKUP(BY1012,'Normative data'!$V$3:$V$6,'Normative data'!$W$3:$W$6,"Not Found",-1)</f>
        <v>Very low risk</v>
      </c>
      <c r="CA1012" s="64">
        <v>12</v>
      </c>
      <c r="CB1012" s="66"/>
      <c r="CC1012" s="66"/>
      <c r="CD1012" s="66"/>
      <c r="CE1012" s="64">
        <v>1</v>
      </c>
      <c r="CF1012" s="66"/>
      <c r="CG1012" s="64">
        <v>21.35</v>
      </c>
      <c r="CH1012" s="20" t="str">
        <f>_xlfn.XLOOKUP(CG1012, 'Normative data'!$S$9:$S$15,'Normative data'!$T$9:$T$15, "Not Found", -1)</f>
        <v>Average</v>
      </c>
      <c r="CI1012" s="64">
        <v>20.75</v>
      </c>
      <c r="CJ1012" s="20" t="str">
        <f>_xlfn.XLOOKUP(CI1012, 'Normative data'!$S$9:$S$15, 'Normative data'!$T$9:$T$15, "Not Found", -1)</f>
        <v>Average</v>
      </c>
      <c r="CK1012" s="64">
        <v>2.3199999999999998</v>
      </c>
      <c r="CL1012" s="64">
        <v>4.33</v>
      </c>
      <c r="CM1012" s="66"/>
      <c r="CN1012" s="64">
        <v>7.92</v>
      </c>
      <c r="CO1012" s="64">
        <v>6.31</v>
      </c>
      <c r="CP1012" s="68"/>
      <c r="CQ1012" s="67"/>
      <c r="CR1012" s="20" t="str" cm="1">
        <f t="array" ref="CR1012">IF(OR(ISBLANK(E1012),ISBLANK(CQ1012)),"Incomplete",_xlfn.XLOOKUP(CQ1012,_xlfn.XLOOKUP(E1012,'Normative data'!$Y$3:$Y$6,'Normative data'!$Z$3:$AG$6,,-1),'Normative data'!$Z$2:$AG$2,"Not Found",-1))</f>
        <v>Incomplete</v>
      </c>
      <c r="CS1012" s="68"/>
      <c r="CT1012" s="66"/>
      <c r="CU1012" s="20" t="str" cm="1">
        <f t="array" ref="CU1012">_xlfn.XLOOKUP(CS1012&amp;CT1012,(VLOOKUP!$A$3:$A$250)&amp;(VLOOKUP!$B$3:$B$250),VLOOKUP!$C$3:$C$250,"Incomplete",-1)</f>
        <v>Incomplete</v>
      </c>
      <c r="CV1012" s="20" t="str" cm="1">
        <f t="array" ref="CV1012">_xlfn.XLOOKUP(CU1012, _xlfn.XLOOKUP(E1012, 'Normative data'!$Y$11:$Y$14, 'Normative data'!$Z$11:$AG$14, ,-1), 'Normative data'!$Z$10:$AG$10, "Not Found", -1)</f>
        <v>Excellent</v>
      </c>
      <c r="CW1012" s="20" t="str" cm="1">
        <f t="array" ref="CW1012">IF(OR(ISBLANK(CS1012),ISBLANK(CT1012)),"Incomplete",_xlfn.XLOOKUP(CS1012&amp;CT1012,VLOOKUP!$A$4:$A$250&amp;VLOOKUP!$B$4:$B$250,VLOOKUP!$D$4:$D$250,"0"))</f>
        <v>Incomplete</v>
      </c>
    </row>
    <row r="1013" spans="1:101">
      <c r="A1013" s="93" t="s">
        <v>1684</v>
      </c>
      <c r="B1013" s="93" t="s">
        <v>583</v>
      </c>
      <c r="C1013" s="64" t="s">
        <v>86</v>
      </c>
      <c r="D1013" s="96">
        <v>40179</v>
      </c>
      <c r="E1013" s="64"/>
      <c r="F1013" s="64">
        <v>9</v>
      </c>
      <c r="G1013" s="64">
        <v>2025</v>
      </c>
      <c r="H1013" s="66"/>
      <c r="I1013" s="64"/>
      <c r="J1013" s="64" t="s">
        <v>122</v>
      </c>
      <c r="K1013" s="64"/>
      <c r="L1013" s="64"/>
      <c r="M1013" s="64"/>
      <c r="N1013" s="64"/>
      <c r="O1013" s="64"/>
      <c r="P1013" s="64"/>
      <c r="Q1013" s="64"/>
      <c r="R1013" s="64"/>
      <c r="S1013" s="66"/>
      <c r="T1013" s="66"/>
      <c r="U1013" s="66"/>
      <c r="V1013" s="66"/>
      <c r="W1013" s="66"/>
      <c r="X1013" s="66"/>
      <c r="Y1013" s="66"/>
      <c r="Z1013" s="66"/>
      <c r="AA1013" s="66"/>
      <c r="AB1013" s="66"/>
      <c r="AC1013" s="66"/>
      <c r="AD1013" s="66"/>
      <c r="AE1013" s="66"/>
      <c r="AF1013" s="66"/>
      <c r="AG1013" s="66"/>
      <c r="AH1013" s="66"/>
      <c r="AI1013" s="66"/>
      <c r="AJ1013" s="66"/>
      <c r="AK1013" s="66"/>
      <c r="AL1013" s="66"/>
      <c r="AM1013" s="66"/>
      <c r="AN1013" s="66"/>
      <c r="AO1013" s="66"/>
      <c r="AP1013" s="66"/>
      <c r="AQ1013" s="66"/>
      <c r="AR1013" s="66"/>
      <c r="AS1013" s="66"/>
      <c r="AT1013" s="66"/>
      <c r="AU1013" s="66"/>
      <c r="AV1013" s="66"/>
      <c r="AW1013" s="66"/>
      <c r="AX1013" s="66"/>
      <c r="AY1013" s="41" t="str">
        <f>IF(OR(ISBLANK(U1013), ISBLANK(AQ1013)), "Incomplete", (60.7*AQ1013)+(45.3*U1013)-2055)</f>
        <v>Incomplete</v>
      </c>
      <c r="AZ1013" s="66"/>
      <c r="BA1013" s="20" t="str">
        <f>IF(OR(ISBLANK(U1013), ISBLANK(AS1013)), "Incomplete", (60.7*AS1013)+(45.3*U1013)-2055)</f>
        <v>Incomplete</v>
      </c>
      <c r="BB1013" s="66"/>
      <c r="BC1013" s="20" t="str">
        <f>IF(OR(ISBLANK(U1013), ISBLANK(AU1013)), "Incomplete", (60.7*AU1013)+(45.3*U1013)-2055)</f>
        <v>Incomplete</v>
      </c>
      <c r="BD1013" s="66"/>
      <c r="BE1013" s="20" t="str">
        <f>IF(OR(ISBLANK(U1013), ISBLANK(AW1013)), "Incomplete", (60.7*AW1013)+(45.3*U1013)-2055)</f>
        <v>Incomplete</v>
      </c>
      <c r="BF1013" s="66"/>
      <c r="BG1013" s="66">
        <v>10</v>
      </c>
      <c r="BH1013" s="66">
        <v>43</v>
      </c>
      <c r="BI1013" s="20" t="e">
        <f>IF(OR(ISBLANK(#REF!), ISBLANK(#REF!)),"Incomplete",(SUM(#REF!-#REF!)))</f>
        <v>#REF!</v>
      </c>
      <c r="BJ1013" s="66"/>
      <c r="BK1013" s="66"/>
      <c r="BL1013" s="66"/>
      <c r="BM1013" s="66"/>
      <c r="BN1013" s="66"/>
      <c r="BO1013" s="66"/>
      <c r="BP1013" s="66"/>
      <c r="BQ1013" s="66"/>
      <c r="BR1013" s="66"/>
      <c r="BS1013" s="66"/>
      <c r="BT1013" s="66"/>
      <c r="BU1013" s="66"/>
      <c r="BV1013" s="66"/>
      <c r="BW1013" s="91" t="str">
        <f>IFERROR(SUM(BQ1013+BR1013+BS1013)/(3*(T1013-S1013))*100, "Incomplete")</f>
        <v>Incomplete</v>
      </c>
      <c r="BX1013" s="91" t="str">
        <f>_xlfn.XLOOKUP(BW1013,'Normative data'!$V$3:$V$6,'Normative data'!$W$3:$W$6,"Not Found",-1)</f>
        <v>Very low risk</v>
      </c>
      <c r="BY1013" s="91" t="str">
        <f>IFERROR(SUM(BT1013+BU1013+BV1013)/(3*(T1013-S1013))*100, "Incomplete")</f>
        <v>Incomplete</v>
      </c>
      <c r="BZ1013" s="91" t="str">
        <f>_xlfn.XLOOKUP(BY1013,'Normative data'!$V$3:$V$6,'Normative data'!$W$3:$W$6,"Not Found",-1)</f>
        <v>Very low risk</v>
      </c>
      <c r="CA1013" s="66"/>
      <c r="CB1013" s="66"/>
      <c r="CC1013" s="20"/>
      <c r="CD1013" s="66"/>
      <c r="CE1013" s="66"/>
      <c r="CF1013" s="66"/>
      <c r="CG1013" s="66">
        <v>17.239999999999998</v>
      </c>
      <c r="CH1013" s="20" t="e">
        <f>_xlfn.XLOOKUP(#REF!, 'Normative data'!$S$9:$S$15,'Normative data'!$T$9:$T$15, "Not Found", -1)</f>
        <v>#REF!</v>
      </c>
      <c r="CI1013" s="66">
        <v>17.420000000000002</v>
      </c>
      <c r="CJ1013" s="20" t="e">
        <f>_xlfn.XLOOKUP(#REF!, 'Normative data'!$S$9:$S$15, 'Normative data'!$T$9:$T$15, "Not Found", -1)</f>
        <v>#REF!</v>
      </c>
      <c r="CK1013" s="105">
        <v>2.02</v>
      </c>
      <c r="CL1013" s="105">
        <v>4.95</v>
      </c>
      <c r="CM1013" s="105"/>
      <c r="CN1013" s="105">
        <v>6.25</v>
      </c>
      <c r="CO1013" s="105">
        <v>8</v>
      </c>
      <c r="CP1013" s="109"/>
      <c r="CQ1013" s="68"/>
      <c r="CR1013" s="20" t="str" cm="1">
        <f t="array" ref="CR1013">IF(OR(ISBLANK(E1013),ISBLANK(CQ1013)),"Incomplete",_xlfn.XLOOKUP(CQ1013,_xlfn.XLOOKUP(E1013,'Normative data'!$Y$3:$Y$6,'Normative data'!$Z$3:$AG$6,,-1),'Normative data'!$Z$2:$AG$2,"Not Found",-1))</f>
        <v>Incomplete</v>
      </c>
      <c r="CS1013" s="68"/>
      <c r="CT1013" s="66"/>
      <c r="CU1013" s="20" t="str" cm="1">
        <f t="array" ref="CU1013">_xlfn.XLOOKUP(CS1013&amp;CT1013,(VLOOKUP!$A$3:$A$250)&amp;(VLOOKUP!$B$3:$B$250),VLOOKUP!$C$3:$C$250,"Incomplete",-1)</f>
        <v>Incomplete</v>
      </c>
      <c r="CV1013" s="20" t="str" cm="1">
        <f t="array" ref="CV1013">_xlfn.XLOOKUP(CU1013, _xlfn.XLOOKUP(E1013, 'Normative data'!$Y$11:$Y$14, 'Normative data'!$Z$11:$AG$14, ,-1), 'Normative data'!$Z$10:$AG$10, "Not Found", -1)</f>
        <v>Excellent</v>
      </c>
      <c r="CW1013" s="20" t="str" cm="1">
        <f t="array" ref="CW1013">IF(OR(ISBLANK(CS1013),ISBLANK(CT1013)),"Incomplete",_xlfn.XLOOKUP(CS1013&amp;CT1013,VLOOKUP!$A$4:$A$250&amp;VLOOKUP!$B$4:$B$250,VLOOKUP!$D$4:$D$250,"0"))</f>
        <v>Incomplete</v>
      </c>
    </row>
    <row r="1014" spans="1:101">
      <c r="A1014" s="93" t="s">
        <v>1684</v>
      </c>
      <c r="B1014" s="93" t="s">
        <v>583</v>
      </c>
      <c r="C1014" s="64" t="s">
        <v>86</v>
      </c>
      <c r="D1014" s="96">
        <v>40179</v>
      </c>
      <c r="E1014" s="64"/>
      <c r="F1014" s="64">
        <v>9</v>
      </c>
      <c r="G1014" s="64">
        <v>2025</v>
      </c>
      <c r="H1014" s="66"/>
      <c r="I1014" s="64"/>
      <c r="J1014" s="64" t="s">
        <v>122</v>
      </c>
      <c r="K1014" s="64"/>
      <c r="L1014" s="64"/>
      <c r="M1014" s="64"/>
      <c r="N1014" s="64"/>
      <c r="O1014" s="64"/>
      <c r="P1014" s="64"/>
      <c r="Q1014" s="64"/>
      <c r="R1014" s="64"/>
      <c r="S1014" s="66"/>
      <c r="T1014" s="66">
        <v>180</v>
      </c>
      <c r="U1014" s="66" t="s">
        <v>1685</v>
      </c>
      <c r="V1014" s="66"/>
      <c r="W1014" s="66"/>
      <c r="X1014" s="66"/>
      <c r="Y1014" s="66"/>
      <c r="Z1014" s="66"/>
      <c r="AA1014" s="66"/>
      <c r="AB1014" s="66"/>
      <c r="AC1014" s="66"/>
      <c r="AD1014" s="66"/>
      <c r="AE1014" s="66"/>
      <c r="AF1014" s="66"/>
      <c r="AG1014" s="66"/>
      <c r="AH1014" s="66"/>
      <c r="AI1014" s="66"/>
      <c r="AJ1014" s="66"/>
      <c r="AK1014" s="66"/>
      <c r="AL1014" s="66"/>
      <c r="AM1014" s="66"/>
      <c r="AN1014" s="66"/>
      <c r="AO1014" s="66"/>
      <c r="AP1014" s="66"/>
      <c r="AQ1014" s="66"/>
      <c r="AR1014" s="66"/>
      <c r="AS1014" s="66"/>
      <c r="AT1014" s="66"/>
      <c r="AU1014" s="66"/>
      <c r="AV1014" s="66"/>
      <c r="AW1014" s="66"/>
      <c r="AX1014" s="66"/>
      <c r="AY1014" s="41" t="str">
        <f>IF(OR(ISBLANK(#REF!), ISBLANK(AQ1014)), "Incomplete", (60.7*AQ1014)+(45.3*#REF!)-2055)</f>
        <v>Incomplete</v>
      </c>
      <c r="AZ1014" s="66"/>
      <c r="BA1014" s="20" t="str">
        <f>IF(OR(ISBLANK(#REF!), ISBLANK(AS1014)), "Incomplete", (60.7*AS1014)+(45.3*#REF!)-2055)</f>
        <v>Incomplete</v>
      </c>
      <c r="BB1014" s="66"/>
      <c r="BC1014" s="20" t="str">
        <f>IF(OR(ISBLANK(#REF!), ISBLANK(AU1014)), "Incomplete", (60.7*AU1014)+(45.3*#REF!)-2055)</f>
        <v>Incomplete</v>
      </c>
      <c r="BD1014" s="66"/>
      <c r="BE1014" s="20" t="str">
        <f>IF(OR(ISBLANK(#REF!), ISBLANK(AW1014)), "Incomplete", (60.7*AW1014)+(45.3*#REF!)-2055)</f>
        <v>Incomplete</v>
      </c>
      <c r="BF1014" s="66"/>
      <c r="BG1014" s="64"/>
      <c r="BH1014" s="64"/>
      <c r="BI1014" s="20">
        <f>IF(OR(ISBLANK(BG1013), ISBLANK(BH1013)),"Incomplete",(SUM(BH1013-BG1013)))</f>
        <v>33</v>
      </c>
      <c r="BJ1014" s="66"/>
      <c r="BK1014" s="66"/>
      <c r="BL1014" s="66"/>
      <c r="BM1014" s="66"/>
      <c r="BN1014" s="66"/>
      <c r="BO1014" s="66"/>
      <c r="BP1014" s="66"/>
      <c r="BQ1014" s="66"/>
      <c r="BR1014" s="66"/>
      <c r="BS1014" s="66"/>
      <c r="BT1014" s="66"/>
      <c r="BU1014" s="66"/>
      <c r="BV1014" s="66"/>
      <c r="BW1014" s="91" t="str">
        <f>IFERROR(SUM(BQ1014+BR1014+BS1014)/(3*(#REF!-S1014))*100, "Incomplete")</f>
        <v>Incomplete</v>
      </c>
      <c r="BX1014" s="91" t="str">
        <f>_xlfn.XLOOKUP(BW1014,'Normative data'!$V$3:$V$6,'Normative data'!$W$3:$W$6,"Not Found",-1)</f>
        <v>Very low risk</v>
      </c>
      <c r="BY1014" s="91" t="str">
        <f>IFERROR(SUM(BT1014+BU1014+BV1014)/(3*(#REF!-S1014))*100, "Incomplete")</f>
        <v>Incomplete</v>
      </c>
      <c r="BZ1014" s="91" t="str">
        <f>_xlfn.XLOOKUP(BY1014,'Normative data'!$V$3:$V$6,'Normative data'!$W$3:$W$6,"Not Found",-1)</f>
        <v>Very low risk</v>
      </c>
      <c r="CA1014" s="66"/>
      <c r="CB1014" s="66"/>
      <c r="CC1014" s="20"/>
      <c r="CD1014" s="66"/>
      <c r="CE1014" s="66">
        <v>2</v>
      </c>
      <c r="CF1014" s="66"/>
      <c r="CG1014" s="66">
        <v>16.62</v>
      </c>
      <c r="CH1014" s="20" t="e">
        <f>_xlfn.XLOOKUP(#REF!, 'Normative data'!$S$9:$S$15,'Normative data'!$T$9:$T$15, "Not Found", -1)</f>
        <v>#REF!</v>
      </c>
      <c r="CI1014" s="66">
        <v>16.63</v>
      </c>
      <c r="CJ1014" s="20" t="e">
        <f>_xlfn.XLOOKUP(#REF!, 'Normative data'!$S$9:$S$15, 'Normative data'!$T$9:$T$15, "Not Found", -1)</f>
        <v>#REF!</v>
      </c>
      <c r="CK1014" s="20" t="s">
        <v>817</v>
      </c>
      <c r="CL1014" s="20" t="s">
        <v>818</v>
      </c>
      <c r="CM1014" s="21"/>
      <c r="CN1014" s="20" t="s">
        <v>1300</v>
      </c>
      <c r="CO1014" s="20" t="s">
        <v>1299</v>
      </c>
      <c r="CP1014" s="109"/>
      <c r="CQ1014" s="68"/>
      <c r="CR1014" s="20" t="str" cm="1">
        <f t="array" ref="CR1014">IF(OR(ISBLANK(E1014),ISBLANK(CQ1014)),"Incomplete",_xlfn.XLOOKUP(CQ1014,_xlfn.XLOOKUP(E1014,'Normative data'!$Y$3:$Y$6,'Normative data'!$Z$3:$AG$6,,-1),'Normative data'!$Z$2:$AG$2,"Not Found",-1))</f>
        <v>Incomplete</v>
      </c>
      <c r="CS1014" s="68"/>
      <c r="CT1014" s="66"/>
      <c r="CU1014" s="20" t="str" cm="1">
        <f t="array" ref="CU1014">_xlfn.XLOOKUP(CS1014&amp;CT1014,(VLOOKUP!$A$3:$A$250)&amp;(VLOOKUP!$B$3:$B$250),VLOOKUP!$C$3:$C$250,"Incomplete",-1)</f>
        <v>Incomplete</v>
      </c>
      <c r="CV1014" s="20" t="str" cm="1">
        <f t="array" ref="CV1014">_xlfn.XLOOKUP(CU1014, _xlfn.XLOOKUP(E1014, 'Normative data'!$Y$11:$Y$14, 'Normative data'!$Z$11:$AG$14, ,-1), 'Normative data'!$Z$10:$AG$10, "Not Found", -1)</f>
        <v>Excellent</v>
      </c>
      <c r="CW1014" s="20" t="str" cm="1">
        <f t="array" ref="CW1014">IF(OR(ISBLANK(CS1014),ISBLANK(CT1014)),"Incomplete",_xlfn.XLOOKUP(CS1014&amp;CT1014,VLOOKUP!$A$4:$A$250&amp;VLOOKUP!$B$4:$B$250,VLOOKUP!$D$4:$D$250,"0"))</f>
        <v>Incomplete</v>
      </c>
    </row>
    <row r="1015" spans="1:101">
      <c r="A1015" s="64" t="s">
        <v>1686</v>
      </c>
      <c r="B1015" s="64" t="s">
        <v>583</v>
      </c>
      <c r="C1015" s="64" t="s">
        <v>86</v>
      </c>
      <c r="D1015" s="96">
        <v>40179</v>
      </c>
      <c r="E1015" s="64"/>
      <c r="F1015" s="64"/>
      <c r="G1015" s="64">
        <v>2026</v>
      </c>
      <c r="H1015" s="66" t="s">
        <v>114</v>
      </c>
      <c r="I1015" s="64">
        <v>1</v>
      </c>
      <c r="J1015" s="64"/>
      <c r="K1015" s="64"/>
      <c r="L1015" s="64"/>
      <c r="M1015" s="64"/>
      <c r="N1015" s="64"/>
      <c r="O1015" s="64"/>
      <c r="P1015" s="64"/>
      <c r="Q1015" s="64"/>
      <c r="R1015" s="64"/>
      <c r="S1015" s="66"/>
      <c r="T1015" s="66"/>
      <c r="U1015" s="66"/>
      <c r="V1015" s="66"/>
      <c r="W1015" s="66"/>
      <c r="X1015" s="66"/>
      <c r="Y1015" s="66"/>
      <c r="Z1015" s="66"/>
      <c r="AA1015" s="66"/>
      <c r="AB1015" s="66"/>
      <c r="AC1015" s="66"/>
      <c r="AD1015" s="66"/>
      <c r="AE1015" s="66"/>
      <c r="AF1015" s="66"/>
      <c r="AG1015" s="66"/>
      <c r="AH1015" s="66"/>
      <c r="AI1015" s="66"/>
      <c r="AJ1015" s="66"/>
      <c r="AK1015" s="66"/>
      <c r="AL1015" s="66"/>
      <c r="AM1015" s="66"/>
      <c r="AN1015" s="66"/>
      <c r="AO1015" s="66"/>
      <c r="AP1015" s="66"/>
      <c r="AQ1015" s="30" t="s">
        <v>1687</v>
      </c>
      <c r="AR1015" s="30" t="s">
        <v>1688</v>
      </c>
      <c r="AS1015" s="30" t="s">
        <v>1689</v>
      </c>
      <c r="AT1015" s="30" t="s">
        <v>1690</v>
      </c>
      <c r="AU1015" s="30" t="s">
        <v>1691</v>
      </c>
      <c r="AV1015" s="30" t="s">
        <v>1692</v>
      </c>
      <c r="AW1015" s="30" t="s">
        <v>1392</v>
      </c>
      <c r="AX1015" s="30" t="s">
        <v>1393</v>
      </c>
      <c r="AY1015" s="41" t="str">
        <f>IF(OR(ISBLANK(U1015), ISBLANK(AQ1015)), "Incomplete", (60.7*AQ1015)+(45.3*U1015)-2055)</f>
        <v>Incomplete</v>
      </c>
      <c r="AZ1015" s="66"/>
      <c r="BA1015" s="20" t="str">
        <f>IF(OR(ISBLANK(U1015), ISBLANK(AS1015)), "Incomplete", (60.7*AS1015)+(45.3*U1015)-2055)</f>
        <v>Incomplete</v>
      </c>
      <c r="BB1015" s="66"/>
      <c r="BC1015" s="20" t="str">
        <f>IF(OR(ISBLANK(U1015), ISBLANK(AU1015)), "Incomplete", (60.7*AU1015)+(45.3*U1015)-2055)</f>
        <v>Incomplete</v>
      </c>
      <c r="BD1015" s="66"/>
      <c r="BE1015" s="20" t="str">
        <f>IF(OR(ISBLANK(U1015), ISBLANK(AW1015)), "Incomplete", (60.7*AW1015)+(45.3*U1015)-2055)</f>
        <v>Incomplete</v>
      </c>
      <c r="BF1015" s="66"/>
      <c r="BG1015" s="104">
        <v>10</v>
      </c>
      <c r="BH1015" s="104">
        <v>59</v>
      </c>
      <c r="BI1015" s="20">
        <f>IF(OR(ISBLANK(BG1015), ISBLANK(BH1015)),"Incomplete",(SUM(BH1015-BG1015)))</f>
        <v>49</v>
      </c>
      <c r="BJ1015" s="66"/>
      <c r="BK1015" s="66"/>
      <c r="BL1015" s="66"/>
      <c r="BM1015" s="20"/>
      <c r="BN1015" s="66"/>
      <c r="BO1015" s="66"/>
      <c r="BP1015" s="66"/>
      <c r="BQ1015" s="66"/>
      <c r="BR1015" s="66"/>
      <c r="BS1015" s="66"/>
      <c r="BT1015" s="66"/>
      <c r="BU1015" s="66"/>
      <c r="BV1015" s="66"/>
      <c r="BW1015" s="91" t="str">
        <f>IFERROR(SUM(BQ1015+BR1015+BS1015)/(3*(T1015-S1015))*100, "Incomplete")</f>
        <v>Incomplete</v>
      </c>
      <c r="BX1015" s="91" t="str">
        <f>_xlfn.XLOOKUP(BW1015,'Normative data'!$V$3:$V$6,'Normative data'!$W$3:$W$6,"Not Found",-1)</f>
        <v>Very low risk</v>
      </c>
      <c r="BY1015" s="91" t="str">
        <f>IFERROR(SUM(BT1015+BU1015+BV1015)/(3*(T1015-S1015))*100, "Incomplete")</f>
        <v>Incomplete</v>
      </c>
      <c r="BZ1015" s="91" t="str">
        <f>_xlfn.XLOOKUP(BY1015,'Normative data'!$V$3:$V$6,'Normative data'!$W$3:$W$6,"Not Found",-1)</f>
        <v>Very low risk</v>
      </c>
      <c r="CA1015" s="20"/>
      <c r="CB1015" s="66"/>
      <c r="CC1015" s="30">
        <v>48</v>
      </c>
      <c r="CD1015" s="104"/>
      <c r="CE1015" s="104">
        <v>9</v>
      </c>
      <c r="CF1015" s="104"/>
      <c r="CG1015" s="104" t="s">
        <v>1233</v>
      </c>
      <c r="CH1015" s="20" t="str">
        <f>_xlfn.XLOOKUP(CG1015, 'Normative data'!$S$9:$S$15,'Normative data'!$T$9:$T$15, "Not Found", -1)</f>
        <v>Poor</v>
      </c>
      <c r="CI1015" s="104" t="s">
        <v>1693</v>
      </c>
      <c r="CJ1015" s="20" t="str">
        <f>_xlfn.XLOOKUP(CI1015, 'Normative data'!$S$9:$S$15, 'Normative data'!$T$9:$T$15, "Not Found", -1)</f>
        <v>Poor</v>
      </c>
      <c r="CK1015" s="104" t="s">
        <v>435</v>
      </c>
      <c r="CL1015" s="104" t="s">
        <v>1694</v>
      </c>
      <c r="CM1015" s="104"/>
      <c r="CN1015" s="104" t="s">
        <v>1511</v>
      </c>
      <c r="CO1015" s="104" t="s">
        <v>1186</v>
      </c>
      <c r="CP1015" s="112"/>
      <c r="CQ1015" s="112" t="s">
        <v>719</v>
      </c>
      <c r="CR1015" s="20" t="str" cm="1">
        <f t="array" ref="CR1015">IF(OR(ISBLANK(E1015),ISBLANK(CQ1015)),"Incomplete",_xlfn.XLOOKUP(CQ1015,_xlfn.XLOOKUP(E1015,'Normative data'!$Y$3:$Y$6,'Normative data'!$Z$3:$AG$6,,-1),'Normative data'!$Z$2:$AG$2,"Not Found",-1))</f>
        <v>Incomplete</v>
      </c>
      <c r="CS1015" s="68">
        <v>10</v>
      </c>
      <c r="CT1015" s="66">
        <v>11</v>
      </c>
      <c r="CU1015" s="20" cm="1">
        <f t="array" ref="CU1015">_xlfn.XLOOKUP(CS1015&amp;CT1015,(VLOOKUP!$A$3:$A$250)&amp;(VLOOKUP!$B$3:$B$250),VLOOKUP!$C$3:$C$250,"Incomplete",-1)</f>
        <v>1880</v>
      </c>
      <c r="CV1015" s="20" t="str" cm="1">
        <f t="array" ref="CV1015">_xlfn.XLOOKUP(CU1015, _xlfn.XLOOKUP(E1015, 'Normative data'!$Y$11:$Y$14, 'Normative data'!$Z$11:$AG$14, ,-1), 'Normative data'!$Z$10:$AG$10, "Not Found", -1)</f>
        <v xml:space="preserve">Good </v>
      </c>
      <c r="CW1015" s="20" cm="1">
        <f t="array" ref="CW1015">IF(OR(ISBLANK(CS1015),ISBLANK(CT1015)),"Incomplete",_xlfn.XLOOKUP(CS1015&amp;CT1015,VLOOKUP!$A$4:$A$250&amp;VLOOKUP!$B$4:$B$250,VLOOKUP!$D$4:$D$250,"0"))</f>
        <v>50</v>
      </c>
    </row>
    <row r="1016" spans="1:101">
      <c r="A1016" s="64" t="s">
        <v>1695</v>
      </c>
      <c r="B1016" s="64" t="s">
        <v>1212</v>
      </c>
      <c r="C1016" s="64" t="s">
        <v>86</v>
      </c>
      <c r="D1016" s="65"/>
      <c r="E1016" s="64"/>
      <c r="F1016" s="66" t="s">
        <v>151</v>
      </c>
      <c r="G1016" s="64">
        <v>2026</v>
      </c>
      <c r="H1016" s="66"/>
      <c r="I1016" s="66">
        <v>2</v>
      </c>
      <c r="J1016" s="66"/>
      <c r="K1016" s="66"/>
      <c r="L1016" s="66"/>
      <c r="M1016" s="64"/>
      <c r="N1016" s="64"/>
      <c r="O1016" s="64"/>
      <c r="P1016" s="64"/>
      <c r="Q1016" s="64"/>
      <c r="R1016" s="64"/>
      <c r="S1016" s="66"/>
      <c r="T1016" s="66"/>
      <c r="U1016" s="64"/>
      <c r="V1016" s="64"/>
      <c r="W1016" s="64"/>
      <c r="X1016" s="64"/>
      <c r="Y1016" s="64"/>
      <c r="Z1016" s="64"/>
      <c r="AA1016" s="64"/>
      <c r="AB1016" s="64"/>
      <c r="AC1016" s="64"/>
      <c r="AD1016" s="64"/>
      <c r="AE1016" s="64"/>
      <c r="AF1016" s="64"/>
      <c r="AG1016" s="64"/>
      <c r="AH1016" s="64"/>
      <c r="AI1016" s="64"/>
      <c r="AJ1016" s="64"/>
      <c r="AK1016" s="64"/>
      <c r="AL1016" s="64"/>
      <c r="AM1016" s="64"/>
      <c r="AN1016" s="64"/>
      <c r="AO1016" s="64"/>
      <c r="AP1016" s="64"/>
      <c r="AQ1016" s="66"/>
      <c r="AR1016" s="66"/>
      <c r="AS1016" s="66"/>
      <c r="AT1016" s="66"/>
      <c r="AU1016" s="66"/>
      <c r="AV1016" s="66"/>
      <c r="AW1016" s="66"/>
      <c r="AX1016" s="66"/>
      <c r="AY1016" s="41" t="str">
        <f>IF(OR(ISBLANK(U1016), ISBLANK(AQ1016)), "Incomplete", (60.7*AQ1016)+(45.3*U1016)-2055)</f>
        <v>Incomplete</v>
      </c>
      <c r="AZ1016" s="64"/>
      <c r="BA1016" s="20" t="str">
        <f>IF(OR(ISBLANK(U1016), ISBLANK(AS1016)), "Incomplete", (60.7*AS1016)+(45.3*U1016)-2055)</f>
        <v>Incomplete</v>
      </c>
      <c r="BB1016" s="64"/>
      <c r="BC1016" s="20" t="str">
        <f>IF(OR(ISBLANK(U1016), ISBLANK(AU1016)), "Incomplete", (60.7*AU1016)+(45.3*U1016)-2055)</f>
        <v>Incomplete</v>
      </c>
      <c r="BD1016" s="64"/>
      <c r="BE1016" s="20" t="str">
        <f>IF(OR(ISBLANK(U1016), ISBLANK(AW1016)), "Incomplete", (60.7*AW1016)+(45.3*U1016)-2055)</f>
        <v>Incomplete</v>
      </c>
      <c r="BF1016" s="64"/>
      <c r="BG1016" s="64"/>
      <c r="BH1016" s="66"/>
      <c r="BI1016" s="20" t="str">
        <f>IF(OR(ISBLANK(BG1016), ISBLANK(BH1016)),"Incomplete",(SUM(BH1016-BG1016)))</f>
        <v>Incomplete</v>
      </c>
      <c r="BJ1016" s="66"/>
      <c r="BK1016" s="64"/>
      <c r="BL1016" s="66"/>
      <c r="BM1016" s="66"/>
      <c r="BN1016" s="66"/>
      <c r="BO1016" s="64"/>
      <c r="BP1016" s="64"/>
      <c r="BQ1016" s="64">
        <v>72</v>
      </c>
      <c r="BR1016" s="64">
        <v>70</v>
      </c>
      <c r="BS1016" s="64">
        <v>58</v>
      </c>
      <c r="BT1016" s="64">
        <v>77</v>
      </c>
      <c r="BU1016" s="64">
        <v>67</v>
      </c>
      <c r="BV1016" s="64">
        <v>59</v>
      </c>
      <c r="BW1016" s="91" t="str">
        <f>IFERROR(SUM(BQ1016+BR1016+BS1016)/(3*(T1016-S1016))*100, "Incomplete")</f>
        <v>Incomplete</v>
      </c>
      <c r="BX1016" s="91" t="str">
        <f>_xlfn.XLOOKUP(BW1016,'Normative data'!$V$3:$V$6,'Normative data'!$W$3:$W$6,"Not Found",-1)</f>
        <v>Very low risk</v>
      </c>
      <c r="BY1016" s="91" t="str">
        <f>IFERROR(SUM(BT1016+BU1016+BV1016)/(3*(T1016-S1016))*100, "Incomplete")</f>
        <v>Incomplete</v>
      </c>
      <c r="BZ1016" s="91" t="str">
        <f>_xlfn.XLOOKUP(BY1016,'Normative data'!$V$3:$V$6,'Normative data'!$W$3:$W$6,"Not Found",-1)</f>
        <v>Very low risk</v>
      </c>
      <c r="CA1016" s="64">
        <v>1</v>
      </c>
      <c r="CB1016" s="66"/>
      <c r="CC1016" s="20"/>
      <c r="CD1016" s="66"/>
      <c r="CE1016" s="64">
        <v>11</v>
      </c>
      <c r="CF1016" s="66"/>
      <c r="CG1016" s="64">
        <v>20.75</v>
      </c>
      <c r="CH1016" s="20" t="str">
        <f>_xlfn.XLOOKUP(CG1016, 'Normative data'!$S$9:$S$15,'Normative data'!$T$9:$T$15, "Not Found", -1)</f>
        <v>Average</v>
      </c>
      <c r="CI1016" s="64">
        <v>21.8</v>
      </c>
      <c r="CJ1016" s="20" t="str">
        <f>_xlfn.XLOOKUP(CI1016, 'Normative data'!$S$9:$S$15, 'Normative data'!$T$9:$T$15, "Not Found", -1)</f>
        <v>Below Average</v>
      </c>
      <c r="CK1016" s="64">
        <v>2.4500000000000002</v>
      </c>
      <c r="CL1016" s="64">
        <v>4.08</v>
      </c>
      <c r="CM1016" s="66"/>
      <c r="CN1016" s="64">
        <v>8.16</v>
      </c>
      <c r="CO1016" s="64">
        <v>6.13</v>
      </c>
      <c r="CP1016" s="68"/>
      <c r="CQ1016" s="67"/>
      <c r="CR1016" s="20" t="str" cm="1">
        <f t="array" ref="CR1016">IF(OR(ISBLANK(E1016),ISBLANK(CQ1016)),"Incomplete",_xlfn.XLOOKUP(CQ1016,_xlfn.XLOOKUP(E1016,'Normative data'!$Y$3:$Y$6,'Normative data'!$Z$3:$AG$6,,-1),'Normative data'!$Z$2:$AG$2,"Not Found",-1))</f>
        <v>Incomplete</v>
      </c>
      <c r="CS1016" s="68"/>
      <c r="CT1016" s="66"/>
      <c r="CU1016" s="20" t="str" cm="1">
        <f t="array" ref="CU1016">_xlfn.XLOOKUP(CS1016&amp;CT1016,(VLOOKUP!$A$3:$A$250)&amp;(VLOOKUP!$B$3:$B$250),VLOOKUP!$C$3:$C$250,"Incomplete",-1)</f>
        <v>Incomplete</v>
      </c>
      <c r="CV1016" s="20" t="str" cm="1">
        <f t="array" ref="CV1016">_xlfn.XLOOKUP(CU1016, _xlfn.XLOOKUP(E1016, 'Normative data'!$Y$11:$Y$14, 'Normative data'!$Z$11:$AG$14, ,-1), 'Normative data'!$Z$10:$AG$10, "Not Found", -1)</f>
        <v>Excellent</v>
      </c>
      <c r="CW1016" s="20" t="str" cm="1">
        <f t="array" ref="CW1016">IF(OR(ISBLANK(CS1016),ISBLANK(CT1016)),"Incomplete",_xlfn.XLOOKUP(CS1016&amp;CT1016,VLOOKUP!$A$4:$A$250&amp;VLOOKUP!$B$4:$B$250,VLOOKUP!$D$4:$D$250,"0"))</f>
        <v>Incomplete</v>
      </c>
    </row>
    <row r="1017" spans="1:101">
      <c r="A1017" s="94" t="s">
        <v>771</v>
      </c>
      <c r="B1017" s="94" t="s">
        <v>770</v>
      </c>
      <c r="C1017" s="64" t="s">
        <v>86</v>
      </c>
      <c r="D1017" s="65">
        <v>40227</v>
      </c>
      <c r="E1017" s="64"/>
      <c r="F1017" s="64">
        <v>9</v>
      </c>
      <c r="G1017" s="64">
        <v>2025</v>
      </c>
      <c r="H1017" s="66"/>
      <c r="I1017" s="64"/>
      <c r="J1017" s="64" t="s">
        <v>122</v>
      </c>
      <c r="K1017" s="64"/>
      <c r="L1017" s="64"/>
      <c r="M1017" s="64"/>
      <c r="N1017" s="64"/>
      <c r="O1017" s="64"/>
      <c r="P1017" s="64"/>
      <c r="Q1017" s="64"/>
      <c r="R1017" s="64"/>
      <c r="S1017" s="66"/>
      <c r="T1017" s="66"/>
      <c r="U1017" s="66"/>
      <c r="V1017" s="66"/>
      <c r="W1017" s="66"/>
      <c r="X1017" s="66"/>
      <c r="Y1017" s="66"/>
      <c r="Z1017" s="66"/>
      <c r="AA1017" s="66"/>
      <c r="AB1017" s="66"/>
      <c r="AC1017" s="66"/>
      <c r="AD1017" s="66"/>
      <c r="AE1017" s="66"/>
      <c r="AF1017" s="66"/>
      <c r="AG1017" s="66"/>
      <c r="AH1017" s="66"/>
      <c r="AI1017" s="66"/>
      <c r="AJ1017" s="66"/>
      <c r="AK1017" s="66"/>
      <c r="AL1017" s="66"/>
      <c r="AM1017" s="66"/>
      <c r="AN1017" s="66"/>
      <c r="AO1017" s="66"/>
      <c r="AP1017" s="66"/>
      <c r="AQ1017" s="66"/>
      <c r="AR1017" s="66"/>
      <c r="AS1017" s="66"/>
      <c r="AT1017" s="66"/>
      <c r="AU1017" s="66"/>
      <c r="AV1017" s="66"/>
      <c r="AW1017" s="66"/>
      <c r="AX1017" s="66"/>
      <c r="AY1017" s="41" t="str">
        <f>IF(OR(ISBLANK(U1017), ISBLANK(AQ1017)), "Incomplete", (60.7*AQ1017)+(45.3*U1017)-2055)</f>
        <v>Incomplete</v>
      </c>
      <c r="AZ1017" s="66"/>
      <c r="BA1017" s="20" t="str">
        <f>IF(OR(ISBLANK(U1017), ISBLANK(AS1017)), "Incomplete", (60.7*AS1017)+(45.3*U1017)-2055)</f>
        <v>Incomplete</v>
      </c>
      <c r="BB1017" s="66"/>
      <c r="BC1017" s="20" t="str">
        <f>IF(OR(ISBLANK(U1017), ISBLANK(AU1017)), "Incomplete", (60.7*AU1017)+(45.3*U1017)-2055)</f>
        <v>Incomplete</v>
      </c>
      <c r="BD1017" s="66"/>
      <c r="BE1017" s="20" t="str">
        <f>IF(OR(ISBLANK(U1017), ISBLANK(AW1017)), "Incomplete", (60.7*AW1017)+(45.3*U1017)-2055)</f>
        <v>Incomplete</v>
      </c>
      <c r="BF1017" s="66"/>
      <c r="BG1017" s="66">
        <v>19</v>
      </c>
      <c r="BH1017" s="66"/>
      <c r="BI1017" s="20" t="str">
        <f>IF(OR(ISBLANK(#REF!), ISBLANK(BH1017)),"Incomplete",(SUM(BH1017-#REF!)))</f>
        <v>Incomplete</v>
      </c>
      <c r="BJ1017" s="66"/>
      <c r="BK1017" s="66">
        <v>2</v>
      </c>
      <c r="BL1017" s="66"/>
      <c r="BM1017" s="66">
        <v>1</v>
      </c>
      <c r="BN1017" s="66"/>
      <c r="BO1017" s="66"/>
      <c r="BP1017" s="66"/>
      <c r="BQ1017" s="66"/>
      <c r="BR1017" s="66"/>
      <c r="BS1017" s="66"/>
      <c r="BT1017" s="66"/>
      <c r="BU1017" s="66"/>
      <c r="BV1017" s="66"/>
      <c r="BW1017" s="91" t="str">
        <f>IFERROR(SUM(BQ1017+BR1017+BS1017)/(3*(T1017-S1017))*100, "Incomplete")</f>
        <v>Incomplete</v>
      </c>
      <c r="BX1017" s="91" t="str">
        <f>_xlfn.XLOOKUP(BW1017,'Normative data'!$V$3:$V$6,'Normative data'!$W$3:$W$6,"Not Found",-1)</f>
        <v>Very low risk</v>
      </c>
      <c r="BY1017" s="91" t="str">
        <f>IFERROR(SUM(BT1017+BU1017+BV1017)/(3*(T1017-S1017))*100, "Incomplete")</f>
        <v>Incomplete</v>
      </c>
      <c r="BZ1017" s="91" t="str">
        <f>_xlfn.XLOOKUP(BY1017,'Normative data'!$V$3:$V$6,'Normative data'!$W$3:$W$6,"Not Found",-1)</f>
        <v>Very low risk</v>
      </c>
      <c r="CA1017" s="66"/>
      <c r="CB1017" s="66"/>
      <c r="CC1017" s="20"/>
      <c r="CD1017" s="66"/>
      <c r="CE1017" s="66"/>
      <c r="CF1017" s="66"/>
      <c r="CG1017" s="66">
        <v>16.97</v>
      </c>
      <c r="CH1017" s="20" t="str">
        <f>_xlfn.XLOOKUP(CG1017, 'Normative data'!$S$9:$S$15,'Normative data'!$T$9:$T$15, "Not Found", -1)</f>
        <v>Above Average</v>
      </c>
      <c r="CI1017" s="66">
        <v>17.059999999999999</v>
      </c>
      <c r="CJ1017" s="20" t="str">
        <f>_xlfn.XLOOKUP(CI1017, 'Normative data'!$S$9:$S$15, 'Normative data'!$T$9:$T$15, "Not Found", -1)</f>
        <v>Above Average</v>
      </c>
      <c r="CK1017" s="66" t="s">
        <v>209</v>
      </c>
      <c r="CL1017" s="66" t="s">
        <v>210</v>
      </c>
      <c r="CM1017" s="105"/>
      <c r="CN1017" s="66" t="s">
        <v>514</v>
      </c>
      <c r="CO1017" s="66" t="s">
        <v>667</v>
      </c>
      <c r="CP1017" s="68"/>
      <c r="CQ1017" s="68"/>
      <c r="CR1017" s="20" t="str" cm="1">
        <f t="array" ref="CR1017">IF(OR(ISBLANK(E1017),ISBLANK(CQ1017)),"Incomplete",_xlfn.XLOOKUP(CQ1017,_xlfn.XLOOKUP(E1017,'Normative data'!$Y$3:$Y$6,'Normative data'!$Z$3:$AG$6,,-1),'Normative data'!$Z$2:$AG$2,"Not Found",-1))</f>
        <v>Incomplete</v>
      </c>
      <c r="CS1017" s="68"/>
      <c r="CT1017" s="66"/>
      <c r="CU1017" s="20" t="str" cm="1">
        <f t="array" ref="CU1017">_xlfn.XLOOKUP(CS1017&amp;CT1017,(VLOOKUP!$A$3:$A$250)&amp;(VLOOKUP!$B$3:$B$250),VLOOKUP!$C$3:$C$250,"Incomplete",-1)</f>
        <v>Incomplete</v>
      </c>
      <c r="CV1017" s="20" t="str" cm="1">
        <f t="array" ref="CV1017">_xlfn.XLOOKUP(CU1017, _xlfn.XLOOKUP(E1017, 'Normative data'!$Y$11:$Y$14, 'Normative data'!$Z$11:$AG$14, ,-1), 'Normative data'!$Z$10:$AG$10, "Not Found", -1)</f>
        <v>Excellent</v>
      </c>
      <c r="CW1017" s="20" t="str" cm="1">
        <f t="array" ref="CW1017">IF(OR(ISBLANK(CS1017),ISBLANK(CT1017)),"Incomplete",_xlfn.XLOOKUP(CS1017&amp;CT1017,VLOOKUP!$A$4:$A$250&amp;VLOOKUP!$B$4:$B$250,VLOOKUP!$D$4:$D$250,"0"))</f>
        <v>Incomplete</v>
      </c>
    </row>
    <row r="1018" spans="1:101">
      <c r="A1018" s="64" t="s">
        <v>771</v>
      </c>
      <c r="B1018" s="64" t="s">
        <v>770</v>
      </c>
      <c r="C1018" s="64" t="s">
        <v>86</v>
      </c>
      <c r="D1018" s="65">
        <v>40227</v>
      </c>
      <c r="E1018" s="64"/>
      <c r="F1018" s="64"/>
      <c r="G1018" s="64">
        <v>2025</v>
      </c>
      <c r="H1018" s="66"/>
      <c r="I1018" s="64"/>
      <c r="J1018" s="64" t="s">
        <v>122</v>
      </c>
      <c r="K1018" s="64"/>
      <c r="L1018" s="64"/>
      <c r="M1018" s="64"/>
      <c r="N1018" s="64"/>
      <c r="O1018" s="64"/>
      <c r="P1018" s="64"/>
      <c r="Q1018" s="64"/>
      <c r="R1018" s="64"/>
      <c r="S1018" s="66"/>
      <c r="T1018" s="66" t="s">
        <v>1696</v>
      </c>
      <c r="U1018" s="66" t="s">
        <v>1697</v>
      </c>
      <c r="V1018" s="66"/>
      <c r="W1018" s="66"/>
      <c r="X1018" s="66"/>
      <c r="Y1018" s="66"/>
      <c r="Z1018" s="66"/>
      <c r="AA1018" s="66"/>
      <c r="AB1018" s="66"/>
      <c r="AC1018" s="66"/>
      <c r="AD1018" s="66"/>
      <c r="AE1018" s="66"/>
      <c r="AF1018" s="66"/>
      <c r="AG1018" s="66"/>
      <c r="AH1018" s="66"/>
      <c r="AI1018" s="66"/>
      <c r="AJ1018" s="66"/>
      <c r="AK1018" s="66"/>
      <c r="AL1018" s="66"/>
      <c r="AM1018" s="66"/>
      <c r="AN1018" s="66"/>
      <c r="AO1018" s="66"/>
      <c r="AP1018" s="66"/>
      <c r="AQ1018" s="20"/>
      <c r="AR1018" s="20"/>
      <c r="AS1018" s="20"/>
      <c r="AT1018" s="20"/>
      <c r="AU1018" s="20"/>
      <c r="AV1018" s="20"/>
      <c r="AW1018" s="20"/>
      <c r="AX1018" s="20"/>
      <c r="AY1018" s="41" t="str">
        <f>IF(OR(ISBLANK(#REF!), ISBLANK(AQ1018)), "Incomplete", (60.7*AQ1018)+(45.3*#REF!)-2055)</f>
        <v>Incomplete</v>
      </c>
      <c r="AZ1018" s="66"/>
      <c r="BA1018" s="20" t="str">
        <f>IF(OR(ISBLANK(#REF!), ISBLANK(AS1018)), "Incomplete", (60.7*AS1018)+(45.3*#REF!)-2055)</f>
        <v>Incomplete</v>
      </c>
      <c r="BB1018" s="66"/>
      <c r="BC1018" s="20" t="str">
        <f>IF(OR(ISBLANK(#REF!), ISBLANK(AU1018)), "Incomplete", (60.7*AU1018)+(45.3*#REF!)-2055)</f>
        <v>Incomplete</v>
      </c>
      <c r="BD1018" s="66"/>
      <c r="BE1018" s="20" t="str">
        <f>IF(OR(ISBLANK(#REF!), ISBLANK(AW1018)), "Incomplete", (60.7*AW1018)+(45.3*#REF!)-2055)</f>
        <v>Incomplete</v>
      </c>
      <c r="BF1018" s="66"/>
      <c r="BG1018" s="66"/>
      <c r="BH1018" s="66"/>
      <c r="BI1018" s="20" t="str">
        <f t="shared" ref="BI1018:BI1030" si="316">IF(OR(ISBLANK(BG1018), ISBLANK(BH1018)),"Incomplete",(SUM(BH1018-BG1018)))</f>
        <v>Incomplete</v>
      </c>
      <c r="BJ1018" s="66"/>
      <c r="BK1018" s="66"/>
      <c r="BL1018" s="66"/>
      <c r="BM1018" s="20"/>
      <c r="BN1018" s="66"/>
      <c r="BO1018" s="66"/>
      <c r="BP1018" s="66"/>
      <c r="BQ1018" s="66"/>
      <c r="BR1018" s="66"/>
      <c r="BS1018" s="66"/>
      <c r="BT1018" s="66"/>
      <c r="BU1018" s="66"/>
      <c r="BV1018" s="66"/>
      <c r="BW1018" s="91" t="str">
        <f>IFERROR(SUM(BQ1018+BR1018+BS1018)/(3*(#REF!-S1018))*100, "Incomplete")</f>
        <v>Incomplete</v>
      </c>
      <c r="BX1018" s="91" t="str">
        <f>_xlfn.XLOOKUP(BW1018,'Normative data'!$V$3:$V$6,'Normative data'!$W$3:$W$6,"Not Found",-1)</f>
        <v>Very low risk</v>
      </c>
      <c r="BY1018" s="91" t="str">
        <f>IFERROR(SUM(BT1018+BU1018+BV1018)/(3*(#REF!-S1018))*100, "Incomplete")</f>
        <v>Incomplete</v>
      </c>
      <c r="BZ1018" s="91" t="str">
        <f>_xlfn.XLOOKUP(BY1018,'Normative data'!$V$3:$V$6,'Normative data'!$W$3:$W$6,"Not Found",-1)</f>
        <v>Very low risk</v>
      </c>
      <c r="CA1018" s="20"/>
      <c r="CB1018" s="66"/>
      <c r="CC1018" s="20"/>
      <c r="CD1018" s="66"/>
      <c r="CE1018" s="66">
        <v>13</v>
      </c>
      <c r="CF1018" s="66"/>
      <c r="CG1018" s="66">
        <v>17.350000000000001</v>
      </c>
      <c r="CH1018" s="20" t="str">
        <f>_xlfn.XLOOKUP(CG1018, 'Normative data'!$S$9:$S$15,'Normative data'!$T$9:$T$15, "Not Found", -1)</f>
        <v>Above Average</v>
      </c>
      <c r="CI1018" s="66">
        <v>17.12</v>
      </c>
      <c r="CJ1018" s="20" t="str">
        <f>_xlfn.XLOOKUP(CI1018, 'Normative data'!$S$9:$S$15, 'Normative data'!$T$9:$T$15, "Not Found", -1)</f>
        <v>Above Average</v>
      </c>
      <c r="CK1018" s="106">
        <v>2.13</v>
      </c>
      <c r="CL1018" s="106">
        <v>4.6900000000000004</v>
      </c>
      <c r="CM1018" s="105"/>
      <c r="CN1018" s="106">
        <v>6.58</v>
      </c>
      <c r="CO1018" s="106">
        <v>7.6</v>
      </c>
      <c r="CP1018" s="68"/>
      <c r="CQ1018" s="68"/>
      <c r="CR1018" s="20" t="str" cm="1">
        <f t="array" ref="CR1018">IF(OR(ISBLANK(E1018),ISBLANK(CQ1018)),"Incomplete",_xlfn.XLOOKUP(CQ1018,_xlfn.XLOOKUP(E1018,'Normative data'!$Y$3:$Y$6,'Normative data'!$Z$3:$AG$6,,-1),'Normative data'!$Z$2:$AG$2,"Not Found",-1))</f>
        <v>Incomplete</v>
      </c>
      <c r="CS1018" s="68"/>
      <c r="CT1018" s="66"/>
      <c r="CU1018" s="20" t="str" cm="1">
        <f t="array" ref="CU1018">_xlfn.XLOOKUP(CS1018&amp;CT1018,(VLOOKUP!$A$3:$A$250)&amp;(VLOOKUP!$B$3:$B$250),VLOOKUP!$C$3:$C$250,"Incomplete",-1)</f>
        <v>Incomplete</v>
      </c>
      <c r="CV1018" s="20" t="str" cm="1">
        <f t="array" ref="CV1018">_xlfn.XLOOKUP(CU1018, _xlfn.XLOOKUP(E1018, 'Normative data'!$Y$11:$Y$14, 'Normative data'!$Z$11:$AG$14, ,-1), 'Normative data'!$Z$10:$AG$10, "Not Found", -1)</f>
        <v>Excellent</v>
      </c>
      <c r="CW1018" s="20" t="str" cm="1">
        <f t="array" ref="CW1018">IF(OR(ISBLANK(CS1018),ISBLANK(CT1018)),"Incomplete",_xlfn.XLOOKUP(CS1018&amp;CT1018,VLOOKUP!$A$4:$A$250&amp;VLOOKUP!$B$4:$B$250,VLOOKUP!$D$4:$D$250,"0"))</f>
        <v>Incomplete</v>
      </c>
    </row>
    <row r="1019" spans="1:101">
      <c r="A1019" s="94" t="s">
        <v>1698</v>
      </c>
      <c r="B1019" s="94" t="s">
        <v>770</v>
      </c>
      <c r="C1019" s="64" t="s">
        <v>86</v>
      </c>
      <c r="D1019" s="65">
        <v>40227</v>
      </c>
      <c r="E1019" s="64"/>
      <c r="F1019" s="64"/>
      <c r="G1019" s="64">
        <v>2026</v>
      </c>
      <c r="H1019" s="66" t="s">
        <v>114</v>
      </c>
      <c r="I1019" s="64">
        <v>1</v>
      </c>
      <c r="J1019" s="64"/>
      <c r="K1019" s="64"/>
      <c r="L1019" s="64"/>
      <c r="M1019" s="64"/>
      <c r="N1019" s="64"/>
      <c r="O1019" s="64"/>
      <c r="P1019" s="64"/>
      <c r="Q1019" s="64"/>
      <c r="R1019" s="64"/>
      <c r="S1019" s="66"/>
      <c r="T1019" s="66"/>
      <c r="U1019" s="66"/>
      <c r="V1019" s="66"/>
      <c r="W1019" s="66"/>
      <c r="X1019" s="66"/>
      <c r="Y1019" s="66"/>
      <c r="Z1019" s="66"/>
      <c r="AA1019" s="66"/>
      <c r="AB1019" s="66"/>
      <c r="AC1019" s="66"/>
      <c r="AD1019" s="66"/>
      <c r="AE1019" s="66"/>
      <c r="AF1019" s="66"/>
      <c r="AG1019" s="66"/>
      <c r="AH1019" s="66"/>
      <c r="AI1019" s="66"/>
      <c r="AJ1019" s="66"/>
      <c r="AK1019" s="66"/>
      <c r="AL1019" s="66"/>
      <c r="AM1019" s="66"/>
      <c r="AN1019" s="66"/>
      <c r="AO1019" s="66"/>
      <c r="AP1019" s="66"/>
      <c r="AQ1019" s="30" t="s">
        <v>1699</v>
      </c>
      <c r="AR1019" s="30" t="s">
        <v>1700</v>
      </c>
      <c r="AS1019" s="30" t="s">
        <v>1226</v>
      </c>
      <c r="AT1019" s="30" t="s">
        <v>1227</v>
      </c>
      <c r="AU1019" s="30" t="s">
        <v>1701</v>
      </c>
      <c r="AV1019" s="30" t="s">
        <v>1702</v>
      </c>
      <c r="AW1019" s="30" t="s">
        <v>1660</v>
      </c>
      <c r="AX1019" s="30" t="s">
        <v>1703</v>
      </c>
      <c r="AY1019" s="41" t="str">
        <f>IF(OR(ISBLANK(U1019), ISBLANK(AQ1019)), "Incomplete", (60.7*AQ1019)+(45.3*U1019)-2055)</f>
        <v>Incomplete</v>
      </c>
      <c r="AZ1019" s="66"/>
      <c r="BA1019" s="20" t="str">
        <f>IF(OR(ISBLANK(U1019), ISBLANK(AS1019)), "Incomplete", (60.7*AS1019)+(45.3*U1019)-2055)</f>
        <v>Incomplete</v>
      </c>
      <c r="BB1019" s="66"/>
      <c r="BC1019" s="20" t="str">
        <f>IF(OR(ISBLANK(U1019), ISBLANK(AU1019)), "Incomplete", (60.7*AU1019)+(45.3*U1019)-2055)</f>
        <v>Incomplete</v>
      </c>
      <c r="BD1019" s="66"/>
      <c r="BE1019" s="20" t="str">
        <f>IF(OR(ISBLANK(U1019), ISBLANK(AW1019)), "Incomplete", (60.7*AW1019)+(45.3*U1019)-2055)</f>
        <v>Incomplete</v>
      </c>
      <c r="BF1019" s="66"/>
      <c r="BG1019" s="104" t="s">
        <v>534</v>
      </c>
      <c r="BH1019" s="104">
        <v>28</v>
      </c>
      <c r="BI1019" s="20" t="e">
        <f t="shared" si="316"/>
        <v>#VALUE!</v>
      </c>
      <c r="BJ1019" s="66"/>
      <c r="BK1019" s="66"/>
      <c r="BL1019" s="66"/>
      <c r="BM1019" s="66"/>
      <c r="BN1019" s="66"/>
      <c r="BO1019" s="66"/>
      <c r="BP1019" s="66"/>
      <c r="BQ1019" s="66"/>
      <c r="BR1019" s="66"/>
      <c r="BS1019" s="66"/>
      <c r="BT1019" s="66"/>
      <c r="BU1019" s="66"/>
      <c r="BV1019" s="66"/>
      <c r="BW1019" s="91" t="str">
        <f>IFERROR(SUM(BQ1019+BR1019+BS1019)/(3*(T1019-S1019))*100, "Incomplete")</f>
        <v>Incomplete</v>
      </c>
      <c r="BX1019" s="91" t="str">
        <f>_xlfn.XLOOKUP(BW1019,'Normative data'!$V$3:$V$6,'Normative data'!$W$3:$W$6,"Not Found",-1)</f>
        <v>Very low risk</v>
      </c>
      <c r="BY1019" s="91" t="str">
        <f>IFERROR(SUM(BT1019+BU1019+BV1019)/(3*(T1019-S1019))*100, "Incomplete")</f>
        <v>Incomplete</v>
      </c>
      <c r="BZ1019" s="91" t="str">
        <f>_xlfn.XLOOKUP(BY1019,'Normative data'!$V$3:$V$6,'Normative data'!$W$3:$W$6,"Not Found",-1)</f>
        <v>Very low risk</v>
      </c>
      <c r="CA1019" s="66"/>
      <c r="CB1019" s="66"/>
      <c r="CC1019" s="104">
        <v>52</v>
      </c>
      <c r="CD1019" s="104"/>
      <c r="CE1019" s="104">
        <v>12</v>
      </c>
      <c r="CF1019" s="104"/>
      <c r="CG1019" s="104" t="s">
        <v>1704</v>
      </c>
      <c r="CH1019" s="20" t="str">
        <f>_xlfn.XLOOKUP(CG1019, 'Normative data'!$S$9:$S$15,'Normative data'!$T$9:$T$15, "Not Found", -1)</f>
        <v>Poor</v>
      </c>
      <c r="CI1019" s="104">
        <v>18.03</v>
      </c>
      <c r="CJ1019" s="20" t="str">
        <f>_xlfn.XLOOKUP(CI1019, 'Normative data'!$S$9:$S$15, 'Normative data'!$T$9:$T$15, "Not Found", -1)</f>
        <v>Average</v>
      </c>
      <c r="CK1019" s="104" t="s">
        <v>270</v>
      </c>
      <c r="CL1019" s="104" t="s">
        <v>423</v>
      </c>
      <c r="CM1019" s="104"/>
      <c r="CN1019" s="104" t="s">
        <v>1705</v>
      </c>
      <c r="CO1019" s="104" t="s">
        <v>1706</v>
      </c>
      <c r="CP1019" s="112"/>
      <c r="CQ1019" s="112" t="s">
        <v>1707</v>
      </c>
      <c r="CR1019" s="20" t="str" cm="1">
        <f t="array" ref="CR1019">IF(OR(ISBLANK(E1019),ISBLANK(CQ1019)),"Incomplete",_xlfn.XLOOKUP(CQ1019,_xlfn.XLOOKUP(E1019,'Normative data'!$Y$3:$Y$6,'Normative data'!$Z$3:$AG$6,,-1),'Normative data'!$Z$2:$AG$2,"Not Found",-1))</f>
        <v>Incomplete</v>
      </c>
      <c r="CS1019" s="68">
        <v>15</v>
      </c>
      <c r="CT1019" s="66">
        <v>1</v>
      </c>
      <c r="CU1019" s="20" cm="1">
        <f t="array" ref="CU1019">_xlfn.XLOOKUP(CS1019&amp;CT1019,(VLOOKUP!$A$3:$A$250)&amp;(VLOOKUP!$B$3:$B$250),VLOOKUP!$C$3:$C$250,"Incomplete",-1)</f>
        <v>2900</v>
      </c>
      <c r="CV1019" s="20" t="str" cm="1">
        <f t="array" ref="CV1019">_xlfn.XLOOKUP(CU1019, _xlfn.XLOOKUP(E1019, 'Normative data'!$Y$11:$Y$14, 'Normative data'!$Z$11:$AG$14, ,-1), 'Normative data'!$Z$10:$AG$10, "Not Found", -1)</f>
        <v>Excellent</v>
      </c>
      <c r="CW1019" s="20" cm="1">
        <f t="array" ref="CW1019">IF(OR(ISBLANK(CS1019),ISBLANK(CT1019)),"Incomplete",_xlfn.XLOOKUP(CS1019&amp;CT1019,VLOOKUP!$A$4:$A$250&amp;VLOOKUP!$B$4:$B$250,VLOOKUP!$D$4:$D$250,"0"))</f>
        <v>64</v>
      </c>
    </row>
    <row r="1020" spans="1:101">
      <c r="A1020" s="93" t="s">
        <v>1237</v>
      </c>
      <c r="B1020" s="93" t="s">
        <v>770</v>
      </c>
      <c r="C1020" s="64" t="s">
        <v>86</v>
      </c>
      <c r="D1020" s="96">
        <v>40227</v>
      </c>
      <c r="E1020" s="64"/>
      <c r="F1020" s="64">
        <v>9</v>
      </c>
      <c r="G1020" s="64">
        <v>2025</v>
      </c>
      <c r="H1020" s="66"/>
      <c r="I1020" s="64"/>
      <c r="J1020" s="64" t="s">
        <v>122</v>
      </c>
      <c r="K1020" s="64"/>
      <c r="L1020" s="64"/>
      <c r="M1020" s="64"/>
      <c r="N1020" s="64"/>
      <c r="O1020" s="64"/>
      <c r="P1020" s="64"/>
      <c r="Q1020" s="64"/>
      <c r="R1020" s="64"/>
      <c r="S1020" s="66"/>
      <c r="T1020" s="66"/>
      <c r="U1020" s="66"/>
      <c r="V1020" s="66"/>
      <c r="W1020" s="66"/>
      <c r="X1020" s="66"/>
      <c r="Y1020" s="66"/>
      <c r="Z1020" s="66"/>
      <c r="AA1020" s="66"/>
      <c r="AB1020" s="66"/>
      <c r="AC1020" s="66"/>
      <c r="AD1020" s="66"/>
      <c r="AE1020" s="66"/>
      <c r="AF1020" s="66"/>
      <c r="AG1020" s="66"/>
      <c r="AH1020" s="66"/>
      <c r="AI1020" s="66"/>
      <c r="AJ1020" s="66"/>
      <c r="AK1020" s="66"/>
      <c r="AL1020" s="66"/>
      <c r="AM1020" s="66"/>
      <c r="AN1020" s="66"/>
      <c r="AO1020" s="66"/>
      <c r="AP1020" s="66"/>
      <c r="AQ1020" s="20"/>
      <c r="AR1020" s="20"/>
      <c r="AS1020" s="20"/>
      <c r="AT1020" s="20"/>
      <c r="AU1020" s="20"/>
      <c r="AV1020" s="20"/>
      <c r="AW1020" s="20"/>
      <c r="AX1020" s="20"/>
      <c r="AY1020" s="41" t="str">
        <f>IF(OR(ISBLANK(U1020), ISBLANK(AQ1020)), "Incomplete", (60.7*AQ1020)+(45.3*U1020)-2055)</f>
        <v>Incomplete</v>
      </c>
      <c r="AZ1020" s="66"/>
      <c r="BA1020" s="20" t="str">
        <f>IF(OR(ISBLANK(U1020), ISBLANK(AS1020)), "Incomplete", (60.7*AS1020)+(45.3*U1020)-2055)</f>
        <v>Incomplete</v>
      </c>
      <c r="BB1020" s="66"/>
      <c r="BC1020" s="20" t="str">
        <f>IF(OR(ISBLANK(U1020), ISBLANK(AU1020)), "Incomplete", (60.7*AU1020)+(45.3*U1020)-2055)</f>
        <v>Incomplete</v>
      </c>
      <c r="BD1020" s="66"/>
      <c r="BE1020" s="20" t="str">
        <f>IF(OR(ISBLANK(U1020), ISBLANK(AW1020)), "Incomplete", (60.7*AW1020)+(45.3*U1020)-2055)</f>
        <v>Incomplete</v>
      </c>
      <c r="BF1020" s="66"/>
      <c r="BG1020" s="66"/>
      <c r="BH1020" s="66"/>
      <c r="BI1020" s="20" t="str">
        <f t="shared" si="316"/>
        <v>Incomplete</v>
      </c>
      <c r="BJ1020" s="66"/>
      <c r="BK1020" s="66"/>
      <c r="BL1020" s="66"/>
      <c r="BM1020" s="20"/>
      <c r="BN1020" s="66"/>
      <c r="BO1020" s="66"/>
      <c r="BP1020" s="66"/>
      <c r="BQ1020" s="66"/>
      <c r="BR1020" s="66"/>
      <c r="BS1020" s="66"/>
      <c r="BT1020" s="66"/>
      <c r="BU1020" s="66"/>
      <c r="BV1020" s="66"/>
      <c r="BW1020" s="91" t="str">
        <f>IFERROR(SUM(BQ1020+BR1020+BS1020)/(3*(T1020-S1020))*100, "Incomplete")</f>
        <v>Incomplete</v>
      </c>
      <c r="BX1020" s="91" t="str">
        <f>_xlfn.XLOOKUP(BW1020,'Normative data'!$V$3:$V$6,'Normative data'!$W$3:$W$6,"Not Found",-1)</f>
        <v>Very low risk</v>
      </c>
      <c r="BY1020" s="91" t="str">
        <f>IFERROR(SUM(BT1020+BU1020+BV1020)/(3*(T1020-S1020))*100, "Incomplete")</f>
        <v>Incomplete</v>
      </c>
      <c r="BZ1020" s="91" t="str">
        <f>_xlfn.XLOOKUP(BY1020,'Normative data'!$V$3:$V$6,'Normative data'!$W$3:$W$6,"Not Found",-1)</f>
        <v>Very low risk</v>
      </c>
      <c r="CA1020" s="66"/>
      <c r="CB1020" s="66"/>
      <c r="CC1020" s="66"/>
      <c r="CD1020" s="66"/>
      <c r="CE1020" s="66"/>
      <c r="CF1020" s="66"/>
      <c r="CG1020" s="20">
        <v>17.010000000000002</v>
      </c>
      <c r="CH1020" s="20" t="e">
        <f>_xlfn.XLOOKUP(#REF!, 'Normative data'!$S$9:$S$15,'Normative data'!$T$9:$T$15, "Not Found", -1)</f>
        <v>#REF!</v>
      </c>
      <c r="CI1020" s="20">
        <v>17.2</v>
      </c>
      <c r="CJ1020" s="20" t="e">
        <f>_xlfn.XLOOKUP(#REF!, 'Normative data'!$S$9:$S$15, 'Normative data'!$T$9:$T$15, "Not Found", -1)</f>
        <v>#REF!</v>
      </c>
      <c r="CK1020" s="21"/>
      <c r="CL1020" s="21"/>
      <c r="CM1020" s="21"/>
      <c r="CN1020" s="21"/>
      <c r="CO1020" s="21"/>
      <c r="CP1020" s="110"/>
      <c r="CQ1020" s="68"/>
      <c r="CR1020" s="20" t="str" cm="1">
        <f t="array" ref="CR1020">IF(OR(ISBLANK(E1020),ISBLANK(CQ1020)),"Incomplete",_xlfn.XLOOKUP(CQ1020,_xlfn.XLOOKUP(E1020,'Normative data'!$Y$3:$Y$6,'Normative data'!$Z$3:$AG$6,,-1),'Normative data'!$Z$2:$AG$2,"Not Found",-1))</f>
        <v>Incomplete</v>
      </c>
      <c r="CS1020" s="68"/>
      <c r="CT1020" s="66"/>
      <c r="CU1020" s="20" t="str" cm="1">
        <f t="array" ref="CU1020">_xlfn.XLOOKUP(CS1020&amp;CT1020,(VLOOKUP!$A$3:$A$250)&amp;(VLOOKUP!$B$3:$B$250),VLOOKUP!$C$3:$C$250,"Incomplete",-1)</f>
        <v>Incomplete</v>
      </c>
      <c r="CV1020" s="20" t="str" cm="1">
        <f t="array" ref="CV1020">_xlfn.XLOOKUP(CU1020, _xlfn.XLOOKUP(E1020, 'Normative data'!$Y$11:$Y$14, 'Normative data'!$Z$11:$AG$14, ,-1), 'Normative data'!$Z$10:$AG$10, "Not Found", -1)</f>
        <v>Excellent</v>
      </c>
      <c r="CW1020" s="20" t="str" cm="1">
        <f t="array" ref="CW1020">IF(OR(ISBLANK(CS1020),ISBLANK(CT1020)),"Incomplete",_xlfn.XLOOKUP(CS1020&amp;CT1020,VLOOKUP!$A$4:$A$250&amp;VLOOKUP!$B$4:$B$250,VLOOKUP!$D$4:$D$250,"0"))</f>
        <v>Incomplete</v>
      </c>
    </row>
    <row r="1021" spans="1:101">
      <c r="A1021" s="93" t="s">
        <v>1237</v>
      </c>
      <c r="B1021" s="93" t="s">
        <v>770</v>
      </c>
      <c r="C1021" s="64" t="s">
        <v>86</v>
      </c>
      <c r="D1021" s="96">
        <v>40227</v>
      </c>
      <c r="E1021" s="64"/>
      <c r="F1021" s="64">
        <v>9</v>
      </c>
      <c r="G1021" s="64">
        <v>2025</v>
      </c>
      <c r="H1021" s="66"/>
      <c r="I1021" s="64"/>
      <c r="J1021" s="64" t="s">
        <v>122</v>
      </c>
      <c r="K1021" s="64"/>
      <c r="L1021" s="64"/>
      <c r="M1021" s="64"/>
      <c r="N1021" s="64"/>
      <c r="O1021" s="64"/>
      <c r="P1021" s="64"/>
      <c r="Q1021" s="64"/>
      <c r="R1021" s="64"/>
      <c r="S1021" s="66"/>
      <c r="T1021" s="66"/>
      <c r="U1021" s="66"/>
      <c r="V1021" s="66"/>
      <c r="W1021" s="66"/>
      <c r="X1021" s="66"/>
      <c r="Y1021" s="66"/>
      <c r="Z1021" s="66"/>
      <c r="AA1021" s="66"/>
      <c r="AB1021" s="66"/>
      <c r="AC1021" s="66"/>
      <c r="AD1021" s="66"/>
      <c r="AE1021" s="66"/>
      <c r="AF1021" s="66"/>
      <c r="AG1021" s="66"/>
      <c r="AH1021" s="66"/>
      <c r="AI1021" s="66"/>
      <c r="AJ1021" s="66"/>
      <c r="AK1021" s="66"/>
      <c r="AL1021" s="66"/>
      <c r="AM1021" s="66"/>
      <c r="AN1021" s="66"/>
      <c r="AO1021" s="66"/>
      <c r="AP1021" s="66"/>
      <c r="AQ1021" s="66"/>
      <c r="AR1021" s="66"/>
      <c r="AS1021" s="66"/>
      <c r="AT1021" s="66"/>
      <c r="AU1021" s="66"/>
      <c r="AV1021" s="66"/>
      <c r="AW1021" s="66"/>
      <c r="AX1021" s="66"/>
      <c r="AY1021" s="41" t="str">
        <f>IF(OR(ISBLANK(U1021), ISBLANK(AQ1021)), "Incomplete", (60.7*AQ1021)+(45.3*U1021)-2055)</f>
        <v>Incomplete</v>
      </c>
      <c r="AZ1021" s="66"/>
      <c r="BA1021" s="20" t="str">
        <f>IF(OR(ISBLANK(U1021), ISBLANK(AS1021)), "Incomplete", (60.7*AS1021)+(45.3*U1021)-2055)</f>
        <v>Incomplete</v>
      </c>
      <c r="BB1021" s="66"/>
      <c r="BC1021" s="20" t="str">
        <f>IF(OR(ISBLANK(U1021), ISBLANK(AU1021)), "Incomplete", (60.7*AU1021)+(45.3*U1021)-2055)</f>
        <v>Incomplete</v>
      </c>
      <c r="BD1021" s="66"/>
      <c r="BE1021" s="20" t="str">
        <f>IF(OR(ISBLANK(U1021), ISBLANK(AW1021)), "Incomplete", (60.7*AW1021)+(45.3*U1021)-2055)</f>
        <v>Incomplete</v>
      </c>
      <c r="BF1021" s="66"/>
      <c r="BG1021" s="66"/>
      <c r="BH1021" s="66"/>
      <c r="BI1021" s="20" t="str">
        <f t="shared" si="316"/>
        <v>Incomplete</v>
      </c>
      <c r="BJ1021" s="66"/>
      <c r="BK1021" s="66"/>
      <c r="BL1021" s="66"/>
      <c r="BM1021" s="66"/>
      <c r="BN1021" s="66"/>
      <c r="BO1021" s="66"/>
      <c r="BP1021" s="66"/>
      <c r="BQ1021" s="66"/>
      <c r="BR1021" s="66"/>
      <c r="BS1021" s="66"/>
      <c r="BT1021" s="66"/>
      <c r="BU1021" s="66"/>
      <c r="BV1021" s="66"/>
      <c r="BW1021" s="91" t="str">
        <f>IFERROR(SUM(BQ1021+BR1021+BS1021)/(3*(T1021-S1021))*100, "Incomplete")</f>
        <v>Incomplete</v>
      </c>
      <c r="BX1021" s="91" t="str">
        <f>_xlfn.XLOOKUP(BW1021,'Normative data'!$V$3:$V$6,'Normative data'!$W$3:$W$6,"Not Found",-1)</f>
        <v>Very low risk</v>
      </c>
      <c r="BY1021" s="91" t="str">
        <f>IFERROR(SUM(BT1021+BU1021+BV1021)/(3*(T1021-S1021))*100, "Incomplete")</f>
        <v>Incomplete</v>
      </c>
      <c r="BZ1021" s="91" t="str">
        <f>_xlfn.XLOOKUP(BY1021,'Normative data'!$V$3:$V$6,'Normative data'!$W$3:$W$6,"Not Found",-1)</f>
        <v>Very low risk</v>
      </c>
      <c r="CA1021" s="66"/>
      <c r="CB1021" s="66"/>
      <c r="CC1021" s="20"/>
      <c r="CD1021" s="66"/>
      <c r="CE1021" s="66"/>
      <c r="CF1021" s="66"/>
      <c r="CG1021" s="66">
        <v>18.02</v>
      </c>
      <c r="CH1021" s="20" t="e">
        <f>_xlfn.XLOOKUP(#REF!, 'Normative data'!$S$9:$S$15,'Normative data'!$T$9:$T$15, "Not Found", -1)</f>
        <v>#REF!</v>
      </c>
      <c r="CI1021" s="66">
        <v>17.46</v>
      </c>
      <c r="CJ1021" s="20" t="e">
        <f>_xlfn.XLOOKUP(#REF!, 'Normative data'!$S$9:$S$15, 'Normative data'!$T$9:$T$15, "Not Found", -1)</f>
        <v>#REF!</v>
      </c>
      <c r="CK1021" s="105"/>
      <c r="CL1021" s="105"/>
      <c r="CM1021" s="105"/>
      <c r="CN1021" s="105"/>
      <c r="CO1021" s="105"/>
      <c r="CP1021" s="109"/>
      <c r="CQ1021" s="68"/>
      <c r="CR1021" s="20" t="str" cm="1">
        <f t="array" ref="CR1021">IF(OR(ISBLANK(E1021),ISBLANK(CQ1021)),"Incomplete",_xlfn.XLOOKUP(CQ1021,_xlfn.XLOOKUP(E1021,'Normative data'!$Y$3:$Y$6,'Normative data'!$Z$3:$AG$6,,-1),'Normative data'!$Z$2:$AG$2,"Not Found",-1))</f>
        <v>Incomplete</v>
      </c>
      <c r="CS1021" s="68"/>
      <c r="CT1021" s="66"/>
      <c r="CU1021" s="20" t="str" cm="1">
        <f t="array" ref="CU1021">_xlfn.XLOOKUP(CS1021&amp;CT1021,(VLOOKUP!$A$3:$A$250)&amp;(VLOOKUP!$B$3:$B$250),VLOOKUP!$C$3:$C$250,"Incomplete",-1)</f>
        <v>Incomplete</v>
      </c>
      <c r="CV1021" s="20" t="str" cm="1">
        <f t="array" ref="CV1021">_xlfn.XLOOKUP(CU1021, _xlfn.XLOOKUP(E1021, 'Normative data'!$Y$11:$Y$14, 'Normative data'!$Z$11:$AG$14, ,-1), 'Normative data'!$Z$10:$AG$10, "Not Found", -1)</f>
        <v>Excellent</v>
      </c>
      <c r="CW1021" s="20" t="str" cm="1">
        <f t="array" ref="CW1021">IF(OR(ISBLANK(CS1021),ISBLANK(CT1021)),"Incomplete",_xlfn.XLOOKUP(CS1021&amp;CT1021,VLOOKUP!$A$4:$A$250&amp;VLOOKUP!$B$4:$B$250,VLOOKUP!$D$4:$D$250,"0"))</f>
        <v>Incomplete</v>
      </c>
    </row>
    <row r="1022" spans="1:101">
      <c r="A1022" s="93" t="s">
        <v>1237</v>
      </c>
      <c r="B1022" s="93" t="s">
        <v>770</v>
      </c>
      <c r="C1022" s="64" t="s">
        <v>86</v>
      </c>
      <c r="D1022" s="96">
        <v>40227</v>
      </c>
      <c r="E1022" s="64"/>
      <c r="F1022" s="64">
        <v>9</v>
      </c>
      <c r="G1022" s="64">
        <v>2025</v>
      </c>
      <c r="H1022" s="66"/>
      <c r="I1022" s="64"/>
      <c r="J1022" s="64" t="s">
        <v>122</v>
      </c>
      <c r="K1022" s="64"/>
      <c r="L1022" s="64"/>
      <c r="M1022" s="64"/>
      <c r="N1022" s="64"/>
      <c r="O1022" s="64"/>
      <c r="P1022" s="64"/>
      <c r="Q1022" s="64"/>
      <c r="R1022" s="64"/>
      <c r="S1022" s="66"/>
      <c r="T1022" s="66" t="s">
        <v>1708</v>
      </c>
      <c r="U1022" s="66" t="s">
        <v>1709</v>
      </c>
      <c r="V1022" s="66"/>
      <c r="W1022" s="66"/>
      <c r="X1022" s="66"/>
      <c r="Y1022" s="66"/>
      <c r="Z1022" s="66"/>
      <c r="AA1022" s="66"/>
      <c r="AB1022" s="66"/>
      <c r="AC1022" s="66"/>
      <c r="AD1022" s="66"/>
      <c r="AE1022" s="66"/>
      <c r="AF1022" s="66"/>
      <c r="AG1022" s="66"/>
      <c r="AH1022" s="66"/>
      <c r="AI1022" s="66"/>
      <c r="AJ1022" s="66"/>
      <c r="AK1022" s="66"/>
      <c r="AL1022" s="66"/>
      <c r="AM1022" s="66"/>
      <c r="AN1022" s="66"/>
      <c r="AO1022" s="66"/>
      <c r="AP1022" s="66"/>
      <c r="AQ1022" s="66"/>
      <c r="AR1022" s="66"/>
      <c r="AS1022" s="66"/>
      <c r="AT1022" s="66"/>
      <c r="AU1022" s="66"/>
      <c r="AV1022" s="66"/>
      <c r="AW1022" s="66"/>
      <c r="AX1022" s="66"/>
      <c r="AY1022" s="41" t="str">
        <f>IF(OR(ISBLANK(#REF!), ISBLANK(AQ1022)), "Incomplete", (60.7*AQ1022)+(45.3*#REF!)-2055)</f>
        <v>Incomplete</v>
      </c>
      <c r="AZ1022" s="66"/>
      <c r="BA1022" s="20" t="str">
        <f>IF(OR(ISBLANK(#REF!), ISBLANK(AS1022)), "Incomplete", (60.7*AS1022)+(45.3*#REF!)-2055)</f>
        <v>Incomplete</v>
      </c>
      <c r="BB1022" s="66"/>
      <c r="BC1022" s="20" t="str">
        <f>IF(OR(ISBLANK(#REF!), ISBLANK(AU1022)), "Incomplete", (60.7*AU1022)+(45.3*#REF!)-2055)</f>
        <v>Incomplete</v>
      </c>
      <c r="BD1022" s="66"/>
      <c r="BE1022" s="20" t="str">
        <f>IF(OR(ISBLANK(#REF!), ISBLANK(AW1022)), "Incomplete", (60.7*AW1022)+(45.3*#REF!)-2055)</f>
        <v>Incomplete</v>
      </c>
      <c r="BF1022" s="66"/>
      <c r="BG1022" s="66"/>
      <c r="BH1022" s="66"/>
      <c r="BI1022" s="20" t="str">
        <f t="shared" si="316"/>
        <v>Incomplete</v>
      </c>
      <c r="BJ1022" s="66"/>
      <c r="BK1022" s="66"/>
      <c r="BL1022" s="66"/>
      <c r="BM1022" s="66"/>
      <c r="BN1022" s="66"/>
      <c r="BO1022" s="66"/>
      <c r="BP1022" s="66"/>
      <c r="BQ1022" s="66"/>
      <c r="BR1022" s="66"/>
      <c r="BS1022" s="66"/>
      <c r="BT1022" s="66"/>
      <c r="BU1022" s="66"/>
      <c r="BV1022" s="66"/>
      <c r="BW1022" s="91" t="str">
        <f>IFERROR(SUM(BQ1022+BR1022+BS1022)/(3*(#REF!-S1022))*100, "Incomplete")</f>
        <v>Incomplete</v>
      </c>
      <c r="BX1022" s="91" t="str">
        <f>_xlfn.XLOOKUP(BW1022,'Normative data'!$V$3:$V$6,'Normative data'!$W$3:$W$6,"Not Found",-1)</f>
        <v>Very low risk</v>
      </c>
      <c r="BY1022" s="91" t="str">
        <f>IFERROR(SUM(BT1022+BU1022+BV1022)/(3*(#REF!-S1022))*100, "Incomplete")</f>
        <v>Incomplete</v>
      </c>
      <c r="BZ1022" s="91" t="str">
        <f>_xlfn.XLOOKUP(BY1022,'Normative data'!$V$3:$V$6,'Normative data'!$W$3:$W$6,"Not Found",-1)</f>
        <v>Very low risk</v>
      </c>
      <c r="CA1022" s="66"/>
      <c r="CB1022" s="66"/>
      <c r="CC1022" s="20"/>
      <c r="CD1022" s="66"/>
      <c r="CE1022" s="66"/>
      <c r="CF1022" s="66"/>
      <c r="CG1022" s="20">
        <v>18.22</v>
      </c>
      <c r="CH1022" s="20" t="str">
        <f>_xlfn.XLOOKUP(CG1020, 'Normative data'!$S$9:$S$15,'Normative data'!$T$9:$T$15, "Not Found", -1)</f>
        <v>Above Average</v>
      </c>
      <c r="CI1022" s="20">
        <v>18.510000000000002</v>
      </c>
      <c r="CJ1022" s="20" t="str">
        <f>_xlfn.XLOOKUP(CI1020, 'Normative data'!$S$9:$S$15, 'Normative data'!$T$9:$T$15, "Not Found", -1)</f>
        <v>Above Average</v>
      </c>
      <c r="CK1022" s="66" t="s">
        <v>127</v>
      </c>
      <c r="CL1022" s="66" t="s">
        <v>128</v>
      </c>
      <c r="CM1022" s="105"/>
      <c r="CN1022" s="66" t="s">
        <v>438</v>
      </c>
      <c r="CO1022" s="66" t="s">
        <v>617</v>
      </c>
      <c r="CP1022" s="68"/>
      <c r="CQ1022" s="68"/>
      <c r="CR1022" s="20" t="str" cm="1">
        <f t="array" ref="CR1022">IF(OR(ISBLANK(E1022),ISBLANK(CQ1022)),"Incomplete",_xlfn.XLOOKUP(CQ1022,_xlfn.XLOOKUP(E1022,'Normative data'!$Y$3:$Y$6,'Normative data'!$Z$3:$AG$6,,-1),'Normative data'!$Z$2:$AG$2,"Not Found",-1))</f>
        <v>Incomplete</v>
      </c>
      <c r="CS1022" s="68"/>
      <c r="CT1022" s="66"/>
      <c r="CU1022" s="20" t="str" cm="1">
        <f t="array" ref="CU1022">_xlfn.XLOOKUP(CS1022&amp;CT1022,(VLOOKUP!$A$3:$A$250)&amp;(VLOOKUP!$B$3:$B$250),VLOOKUP!$C$3:$C$250,"Incomplete",-1)</f>
        <v>Incomplete</v>
      </c>
      <c r="CV1022" s="20" t="str" cm="1">
        <f t="array" ref="CV1022">_xlfn.XLOOKUP(CU1022, _xlfn.XLOOKUP(E1022, 'Normative data'!$Y$11:$Y$14, 'Normative data'!$Z$11:$AG$14, ,-1), 'Normative data'!$Z$10:$AG$10, "Not Found", -1)</f>
        <v>Excellent</v>
      </c>
      <c r="CW1022" s="20" t="str" cm="1">
        <f t="array" ref="CW1022">IF(OR(ISBLANK(CS1022),ISBLANK(CT1022)),"Incomplete",_xlfn.XLOOKUP(CS1022&amp;CT1022,VLOOKUP!$A$4:$A$250&amp;VLOOKUP!$B$4:$B$250,VLOOKUP!$D$4:$D$250,"0"))</f>
        <v>Incomplete</v>
      </c>
    </row>
    <row r="1023" spans="1:101">
      <c r="A1023" s="93" t="s">
        <v>1237</v>
      </c>
      <c r="B1023" s="93" t="s">
        <v>770</v>
      </c>
      <c r="C1023" s="64" t="s">
        <v>86</v>
      </c>
      <c r="D1023" s="96">
        <v>40227</v>
      </c>
      <c r="E1023" s="64"/>
      <c r="F1023" s="64"/>
      <c r="G1023" s="64">
        <v>2026</v>
      </c>
      <c r="H1023" s="66" t="s">
        <v>114</v>
      </c>
      <c r="I1023" s="64">
        <v>1</v>
      </c>
      <c r="J1023" s="64"/>
      <c r="K1023" s="64"/>
      <c r="L1023" s="64"/>
      <c r="M1023" s="64"/>
      <c r="N1023" s="64"/>
      <c r="O1023" s="64"/>
      <c r="P1023" s="64"/>
      <c r="Q1023" s="64"/>
      <c r="R1023" s="64"/>
      <c r="S1023" s="66"/>
      <c r="T1023" s="66"/>
      <c r="U1023" s="66"/>
      <c r="V1023" s="66"/>
      <c r="W1023" s="66"/>
      <c r="X1023" s="66"/>
      <c r="Y1023" s="66"/>
      <c r="Z1023" s="66"/>
      <c r="AA1023" s="66"/>
      <c r="AB1023" s="66"/>
      <c r="AC1023" s="66"/>
      <c r="AD1023" s="66"/>
      <c r="AE1023" s="66"/>
      <c r="AF1023" s="66"/>
      <c r="AG1023" s="66"/>
      <c r="AH1023" s="66"/>
      <c r="AI1023" s="66"/>
      <c r="AJ1023" s="66"/>
      <c r="AK1023" s="66"/>
      <c r="AL1023" s="66"/>
      <c r="AM1023" s="66"/>
      <c r="AN1023" s="66"/>
      <c r="AO1023" s="66"/>
      <c r="AP1023" s="66"/>
      <c r="AQ1023" s="20"/>
      <c r="AR1023" s="20"/>
      <c r="AS1023" s="20"/>
      <c r="AT1023" s="20"/>
      <c r="AU1023" s="20"/>
      <c r="AV1023" s="20"/>
      <c r="AW1023" s="20"/>
      <c r="AX1023" s="20"/>
      <c r="AY1023" s="41" t="str">
        <f t="shared" ref="AY1023:AY1031" si="317">IF(OR(ISBLANK(U1023), ISBLANK(AQ1023)), "Incomplete", (60.7*AQ1023)+(45.3*U1023)-2055)</f>
        <v>Incomplete</v>
      </c>
      <c r="AZ1023" s="66"/>
      <c r="BA1023" s="20" t="str">
        <f t="shared" ref="BA1023:BA1031" si="318">IF(OR(ISBLANK(U1023), ISBLANK(AS1023)), "Incomplete", (60.7*AS1023)+(45.3*U1023)-2055)</f>
        <v>Incomplete</v>
      </c>
      <c r="BB1023" s="66"/>
      <c r="BC1023" s="20" t="str">
        <f t="shared" ref="BC1023:BC1031" si="319">IF(OR(ISBLANK(U1023), ISBLANK(AU1023)), "Incomplete", (60.7*AU1023)+(45.3*U1023)-2055)</f>
        <v>Incomplete</v>
      </c>
      <c r="BD1023" s="66"/>
      <c r="BE1023" s="20" t="str">
        <f t="shared" ref="BE1023:BE1031" si="320">IF(OR(ISBLANK(U1023), ISBLANK(AW1023)), "Incomplete", (60.7*AW1023)+(45.3*U1023)-2055)</f>
        <v>Incomplete</v>
      </c>
      <c r="BF1023" s="66"/>
      <c r="BG1023" s="104">
        <v>21</v>
      </c>
      <c r="BH1023" s="30">
        <v>43</v>
      </c>
      <c r="BI1023" s="20">
        <f t="shared" si="316"/>
        <v>22</v>
      </c>
      <c r="BJ1023" s="66"/>
      <c r="BK1023" s="66"/>
      <c r="BL1023" s="66"/>
      <c r="BM1023" s="20"/>
      <c r="BN1023" s="66"/>
      <c r="BO1023" s="66"/>
      <c r="BP1023" s="66"/>
      <c r="BQ1023" s="66"/>
      <c r="BR1023" s="66"/>
      <c r="BS1023" s="66"/>
      <c r="BT1023" s="66"/>
      <c r="BU1023" s="66"/>
      <c r="BV1023" s="66"/>
      <c r="BW1023" s="91" t="str">
        <f t="shared" ref="BW1023:BW1031" si="321">IFERROR(SUM(BQ1023+BR1023+BS1023)/(3*(T1023-S1023))*100, "Incomplete")</f>
        <v>Incomplete</v>
      </c>
      <c r="BX1023" s="91" t="str">
        <f>_xlfn.XLOOKUP(BW1023,'Normative data'!$V$3:$V$6,'Normative data'!$W$3:$W$6,"Not Found",-1)</f>
        <v>Very low risk</v>
      </c>
      <c r="BY1023" s="91" t="str">
        <f t="shared" ref="BY1023:BY1031" si="322">IFERROR(SUM(BT1023+BU1023+BV1023)/(3*(T1023-S1023))*100, "Incomplete")</f>
        <v>Incomplete</v>
      </c>
      <c r="BZ1023" s="91" t="str">
        <f>_xlfn.XLOOKUP(BY1023,'Normative data'!$V$3:$V$6,'Normative data'!$W$3:$W$6,"Not Found",-1)</f>
        <v>Very low risk</v>
      </c>
      <c r="CA1023" s="66"/>
      <c r="CB1023" s="66"/>
      <c r="CC1023" s="104">
        <v>52</v>
      </c>
      <c r="CD1023" s="104"/>
      <c r="CE1023" s="104">
        <v>15</v>
      </c>
      <c r="CF1023" s="104"/>
      <c r="CG1023" s="20"/>
      <c r="CH1023" s="20" t="str">
        <f>_xlfn.XLOOKUP(CG1023, 'Normative data'!$S$9:$S$15,'Normative data'!$T$9:$T$15, "Not Found", -1)</f>
        <v>not completed</v>
      </c>
      <c r="CI1023" s="20"/>
      <c r="CJ1023" s="20" t="str">
        <f>_xlfn.XLOOKUP(CI1023, 'Normative data'!$S$9:$S$15, 'Normative data'!$T$9:$T$15, "Not Found", -1)</f>
        <v>not completed</v>
      </c>
      <c r="CK1023" s="21"/>
      <c r="CL1023" s="21"/>
      <c r="CM1023" s="21"/>
      <c r="CN1023" s="21"/>
      <c r="CO1023" s="21"/>
      <c r="CP1023" s="112"/>
      <c r="CQ1023" s="68"/>
      <c r="CR1023" s="20" t="str" cm="1">
        <f t="array" ref="CR1023">IF(OR(ISBLANK(E1023),ISBLANK(CQ1023)),"Incomplete",_xlfn.XLOOKUP(CQ1023,_xlfn.XLOOKUP(E1023,'Normative data'!$Y$3:$Y$6,'Normative data'!$Z$3:$AG$6,,-1),'Normative data'!$Z$2:$AG$2,"Not Found",-1))</f>
        <v>Incomplete</v>
      </c>
      <c r="CS1023" s="68"/>
      <c r="CT1023" s="66"/>
      <c r="CU1023" s="20" t="str" cm="1">
        <f t="array" ref="CU1023">_xlfn.XLOOKUP(CS1023&amp;CT1023,(VLOOKUP!$A$3:$A$250)&amp;(VLOOKUP!$B$3:$B$250),VLOOKUP!$C$3:$C$250,"Incomplete",-1)</f>
        <v>Incomplete</v>
      </c>
      <c r="CV1023" s="20" t="str" cm="1">
        <f t="array" ref="CV1023">_xlfn.XLOOKUP(CU1023, _xlfn.XLOOKUP(E1023, 'Normative data'!$Y$11:$Y$14, 'Normative data'!$Z$11:$AG$14, ,-1), 'Normative data'!$Z$10:$AG$10, "Not Found", -1)</f>
        <v>Excellent</v>
      </c>
      <c r="CW1023" s="20" t="str" cm="1">
        <f t="array" ref="CW1023">IF(OR(ISBLANK(CS1023),ISBLANK(CT1023)),"Incomplete",_xlfn.XLOOKUP(CS1023&amp;CT1023,VLOOKUP!$A$4:$A$250&amp;VLOOKUP!$B$4:$B$250,VLOOKUP!$D$4:$D$250,"0"))</f>
        <v>Incomplete</v>
      </c>
    </row>
    <row r="1024" spans="1:101">
      <c r="A1024" s="93" t="s">
        <v>1237</v>
      </c>
      <c r="B1024" s="93" t="s">
        <v>770</v>
      </c>
      <c r="C1024" s="64" t="s">
        <v>86</v>
      </c>
      <c r="D1024" s="96">
        <v>40227</v>
      </c>
      <c r="E1024" s="64"/>
      <c r="F1024" s="64"/>
      <c r="G1024" s="64">
        <v>2026</v>
      </c>
      <c r="H1024" s="66" t="s">
        <v>114</v>
      </c>
      <c r="I1024" s="64">
        <v>1</v>
      </c>
      <c r="J1024" s="64"/>
      <c r="K1024" s="64"/>
      <c r="L1024" s="64"/>
      <c r="M1024" s="64"/>
      <c r="N1024" s="64"/>
      <c r="O1024" s="64"/>
      <c r="P1024" s="64"/>
      <c r="Q1024" s="64"/>
      <c r="R1024" s="64"/>
      <c r="S1024" s="66"/>
      <c r="T1024" s="66"/>
      <c r="U1024" s="66"/>
      <c r="V1024" s="66"/>
      <c r="W1024" s="66"/>
      <c r="X1024" s="66"/>
      <c r="Y1024" s="66"/>
      <c r="Z1024" s="66"/>
      <c r="AA1024" s="66"/>
      <c r="AB1024" s="66"/>
      <c r="AC1024" s="66"/>
      <c r="AD1024" s="66"/>
      <c r="AE1024" s="66"/>
      <c r="AF1024" s="66"/>
      <c r="AG1024" s="66"/>
      <c r="AH1024" s="66"/>
      <c r="AI1024" s="66"/>
      <c r="AJ1024" s="66"/>
      <c r="AK1024" s="66"/>
      <c r="AL1024" s="66"/>
      <c r="AM1024" s="66"/>
      <c r="AN1024" s="66"/>
      <c r="AO1024" s="66"/>
      <c r="AP1024" s="66"/>
      <c r="AQ1024" s="20"/>
      <c r="AR1024" s="20"/>
      <c r="AS1024" s="20"/>
      <c r="AT1024" s="20"/>
      <c r="AU1024" s="20"/>
      <c r="AV1024" s="20"/>
      <c r="AW1024" s="20"/>
      <c r="AX1024" s="20"/>
      <c r="AY1024" s="41" t="str">
        <f t="shared" si="317"/>
        <v>Incomplete</v>
      </c>
      <c r="AZ1024" s="66"/>
      <c r="BA1024" s="20" t="str">
        <f t="shared" si="318"/>
        <v>Incomplete</v>
      </c>
      <c r="BB1024" s="66"/>
      <c r="BC1024" s="20" t="str">
        <f t="shared" si="319"/>
        <v>Incomplete</v>
      </c>
      <c r="BD1024" s="66"/>
      <c r="BE1024" s="20" t="str">
        <f t="shared" si="320"/>
        <v>Incomplete</v>
      </c>
      <c r="BF1024" s="66"/>
      <c r="BG1024" s="104">
        <v>20.5</v>
      </c>
      <c r="BH1024" s="104">
        <v>37</v>
      </c>
      <c r="BI1024" s="20">
        <f t="shared" si="316"/>
        <v>16.5</v>
      </c>
      <c r="BJ1024" s="66"/>
      <c r="BK1024" s="66"/>
      <c r="BL1024" s="66"/>
      <c r="BM1024" s="66"/>
      <c r="BN1024" s="66"/>
      <c r="BO1024" s="66"/>
      <c r="BP1024" s="66"/>
      <c r="BQ1024" s="66"/>
      <c r="BR1024" s="66"/>
      <c r="BS1024" s="66"/>
      <c r="BT1024" s="66"/>
      <c r="BU1024" s="66"/>
      <c r="BV1024" s="66"/>
      <c r="BW1024" s="91" t="str">
        <f t="shared" si="321"/>
        <v>Incomplete</v>
      </c>
      <c r="BX1024" s="91" t="str">
        <f>_xlfn.XLOOKUP(BW1024,'Normative data'!$V$3:$V$6,'Normative data'!$W$3:$W$6,"Not Found",-1)</f>
        <v>Very low risk</v>
      </c>
      <c r="BY1024" s="91" t="str">
        <f t="shared" si="322"/>
        <v>Incomplete</v>
      </c>
      <c r="BZ1024" s="91" t="str">
        <f>_xlfn.XLOOKUP(BY1024,'Normative data'!$V$3:$V$6,'Normative data'!$W$3:$W$6,"Not Found",-1)</f>
        <v>Very low risk</v>
      </c>
      <c r="CA1024" s="66"/>
      <c r="CB1024" s="66"/>
      <c r="CC1024" s="104">
        <v>45</v>
      </c>
      <c r="CD1024" s="104"/>
      <c r="CE1024" s="104">
        <v>22</v>
      </c>
      <c r="CF1024" s="104"/>
      <c r="CG1024" s="104">
        <v>18.22</v>
      </c>
      <c r="CH1024" s="20" t="str">
        <f>_xlfn.XLOOKUP(CG1024, 'Normative data'!$S$9:$S$15,'Normative data'!$T$9:$T$15, "Not Found", -1)</f>
        <v>Average</v>
      </c>
      <c r="CI1024" s="104">
        <v>18.510000000000002</v>
      </c>
      <c r="CJ1024" s="20" t="str">
        <f>_xlfn.XLOOKUP(CI1024, 'Normative data'!$S$9:$S$15, 'Normative data'!$T$9:$T$15, "Not Found", -1)</f>
        <v>Average</v>
      </c>
      <c r="CK1024" s="104">
        <v>2.21</v>
      </c>
      <c r="CL1024" s="104">
        <v>4.5199999999999996</v>
      </c>
      <c r="CM1024" s="104"/>
      <c r="CN1024" s="104">
        <v>7.5</v>
      </c>
      <c r="CO1024" s="104">
        <v>6.6</v>
      </c>
      <c r="CP1024" s="112"/>
      <c r="CQ1024" s="68"/>
      <c r="CR1024" s="20" t="str" cm="1">
        <f t="array" ref="CR1024">IF(OR(ISBLANK(E1024),ISBLANK(CQ1024)),"Incomplete",_xlfn.XLOOKUP(CQ1024,_xlfn.XLOOKUP(E1024,'Normative data'!$Y$3:$Y$6,'Normative data'!$Z$3:$AG$6,,-1),'Normative data'!$Z$2:$AG$2,"Not Found",-1))</f>
        <v>Incomplete</v>
      </c>
      <c r="CS1024" s="68"/>
      <c r="CT1024" s="66"/>
      <c r="CU1024" s="20" t="str" cm="1">
        <f t="array" ref="CU1024">_xlfn.XLOOKUP(CS1024&amp;CT1024,(VLOOKUP!$A$3:$A$250)&amp;(VLOOKUP!$B$3:$B$250),VLOOKUP!$C$3:$C$250,"Incomplete",-1)</f>
        <v>Incomplete</v>
      </c>
      <c r="CV1024" s="20" t="str" cm="1">
        <f t="array" ref="CV1024">_xlfn.XLOOKUP(CU1024, _xlfn.XLOOKUP(E1024, 'Normative data'!$Y$11:$Y$14, 'Normative data'!$Z$11:$AG$14, ,-1), 'Normative data'!$Z$10:$AG$10, "Not Found", -1)</f>
        <v>Excellent</v>
      </c>
      <c r="CW1024" s="20" t="str" cm="1">
        <f t="array" ref="CW1024">IF(OR(ISBLANK(CS1024),ISBLANK(CT1024)),"Incomplete",_xlfn.XLOOKUP(CS1024&amp;CT1024,VLOOKUP!$A$4:$A$250&amp;VLOOKUP!$B$4:$B$250,VLOOKUP!$D$4:$D$250,"0"))</f>
        <v>Incomplete</v>
      </c>
    </row>
    <row r="1025" spans="1:101">
      <c r="A1025" s="93" t="s">
        <v>1237</v>
      </c>
      <c r="B1025" s="93" t="s">
        <v>770</v>
      </c>
      <c r="C1025" s="64" t="s">
        <v>86</v>
      </c>
      <c r="D1025" s="96">
        <v>40227</v>
      </c>
      <c r="E1025" s="64"/>
      <c r="F1025" s="64"/>
      <c r="G1025" s="64">
        <v>2026</v>
      </c>
      <c r="H1025" s="66" t="s">
        <v>114</v>
      </c>
      <c r="I1025" s="64">
        <v>1</v>
      </c>
      <c r="J1025" s="64"/>
      <c r="K1025" s="64"/>
      <c r="L1025" s="64"/>
      <c r="M1025" s="64"/>
      <c r="N1025" s="64"/>
      <c r="O1025" s="64"/>
      <c r="P1025" s="64"/>
      <c r="Q1025" s="64"/>
      <c r="R1025" s="64"/>
      <c r="S1025" s="66"/>
      <c r="T1025" s="66"/>
      <c r="U1025" s="66"/>
      <c r="V1025" s="66"/>
      <c r="W1025" s="66"/>
      <c r="X1025" s="66"/>
      <c r="Y1025" s="66"/>
      <c r="Z1025" s="66"/>
      <c r="AA1025" s="66"/>
      <c r="AB1025" s="66"/>
      <c r="AC1025" s="66"/>
      <c r="AD1025" s="66"/>
      <c r="AE1025" s="66"/>
      <c r="AF1025" s="66"/>
      <c r="AG1025" s="66"/>
      <c r="AH1025" s="66"/>
      <c r="AI1025" s="66"/>
      <c r="AJ1025" s="66"/>
      <c r="AK1025" s="66"/>
      <c r="AL1025" s="66"/>
      <c r="AM1025" s="66"/>
      <c r="AN1025" s="66"/>
      <c r="AO1025" s="66"/>
      <c r="AP1025" s="66"/>
      <c r="AQ1025" s="66"/>
      <c r="AR1025" s="66"/>
      <c r="AS1025" s="66"/>
      <c r="AT1025" s="66"/>
      <c r="AU1025" s="66"/>
      <c r="AV1025" s="66"/>
      <c r="AW1025" s="66"/>
      <c r="AX1025" s="66"/>
      <c r="AY1025" s="41" t="str">
        <f t="shared" si="317"/>
        <v>Incomplete</v>
      </c>
      <c r="AZ1025" s="66"/>
      <c r="BA1025" s="20" t="str">
        <f t="shared" si="318"/>
        <v>Incomplete</v>
      </c>
      <c r="BB1025" s="66"/>
      <c r="BC1025" s="20" t="str">
        <f t="shared" si="319"/>
        <v>Incomplete</v>
      </c>
      <c r="BD1025" s="66"/>
      <c r="BE1025" s="20" t="str">
        <f t="shared" si="320"/>
        <v>Incomplete</v>
      </c>
      <c r="BF1025" s="66"/>
      <c r="BG1025" s="104"/>
      <c r="BH1025" s="66"/>
      <c r="BI1025" s="20" t="str">
        <f t="shared" si="316"/>
        <v>Incomplete</v>
      </c>
      <c r="BJ1025" s="66"/>
      <c r="BK1025" s="66"/>
      <c r="BL1025" s="66"/>
      <c r="BM1025" s="66"/>
      <c r="BN1025" s="66"/>
      <c r="BO1025" s="66"/>
      <c r="BP1025" s="66"/>
      <c r="BQ1025" s="66"/>
      <c r="BR1025" s="66"/>
      <c r="BS1025" s="66"/>
      <c r="BT1025" s="66"/>
      <c r="BU1025" s="66"/>
      <c r="BV1025" s="66"/>
      <c r="BW1025" s="91" t="str">
        <f t="shared" si="321"/>
        <v>Incomplete</v>
      </c>
      <c r="BX1025" s="91" t="str">
        <f>_xlfn.XLOOKUP(BW1025,'Normative data'!$V$3:$V$6,'Normative data'!$W$3:$W$6,"Not Found",-1)</f>
        <v>Very low risk</v>
      </c>
      <c r="BY1025" s="91" t="str">
        <f t="shared" si="322"/>
        <v>Incomplete</v>
      </c>
      <c r="BZ1025" s="91" t="str">
        <f>_xlfn.XLOOKUP(BY1025,'Normative data'!$V$3:$V$6,'Normative data'!$W$3:$W$6,"Not Found",-1)</f>
        <v>Very low risk</v>
      </c>
      <c r="CA1025" s="66"/>
      <c r="CB1025" s="66"/>
      <c r="CC1025" s="20"/>
      <c r="CD1025" s="66"/>
      <c r="CE1025" s="66"/>
      <c r="CF1025" s="104"/>
      <c r="CG1025" s="104">
        <v>17.010000000000002</v>
      </c>
      <c r="CH1025" s="20" t="str">
        <f>_xlfn.XLOOKUP(CG1025, 'Normative data'!$S$9:$S$15,'Normative data'!$T$9:$T$15, "Not Found", -1)</f>
        <v>Above Average</v>
      </c>
      <c r="CI1025" s="104" t="s">
        <v>1710</v>
      </c>
      <c r="CJ1025" s="20" t="str">
        <f>_xlfn.XLOOKUP(CI1025, 'Normative data'!$S$9:$S$15, 'Normative data'!$T$9:$T$15, "Not Found", -1)</f>
        <v>Poor</v>
      </c>
      <c r="CK1025" s="105"/>
      <c r="CL1025" s="105"/>
      <c r="CM1025" s="105"/>
      <c r="CN1025" s="105"/>
      <c r="CO1025" s="105"/>
      <c r="CP1025" s="112"/>
      <c r="CQ1025" s="68"/>
      <c r="CR1025" s="20" t="str" cm="1">
        <f t="array" ref="CR1025">IF(OR(ISBLANK(E1025),ISBLANK(CQ1025)),"Incomplete",_xlfn.XLOOKUP(CQ1025,_xlfn.XLOOKUP(E1025,'Normative data'!$Y$3:$Y$6,'Normative data'!$Z$3:$AG$6,,-1),'Normative data'!$Z$2:$AG$2,"Not Found",-1))</f>
        <v>Incomplete</v>
      </c>
      <c r="CS1025" s="68"/>
      <c r="CT1025" s="66"/>
      <c r="CU1025" s="20" t="str" cm="1">
        <f t="array" ref="CU1025">_xlfn.XLOOKUP(CS1025&amp;CT1025,(VLOOKUP!$A$3:$A$250)&amp;(VLOOKUP!$B$3:$B$250),VLOOKUP!$C$3:$C$250,"Incomplete",-1)</f>
        <v>Incomplete</v>
      </c>
      <c r="CV1025" s="20" t="str" cm="1">
        <f t="array" ref="CV1025">_xlfn.XLOOKUP(CU1025, _xlfn.XLOOKUP(E1025, 'Normative data'!$Y$11:$Y$14, 'Normative data'!$Z$11:$AG$14, ,-1), 'Normative data'!$Z$10:$AG$10, "Not Found", -1)</f>
        <v>Excellent</v>
      </c>
      <c r="CW1025" s="20" t="str" cm="1">
        <f t="array" ref="CW1025">IF(OR(ISBLANK(CS1025),ISBLANK(CT1025)),"Incomplete",_xlfn.XLOOKUP(CS1025&amp;CT1025,VLOOKUP!$A$4:$A$250&amp;VLOOKUP!$B$4:$B$250,VLOOKUP!$D$4:$D$250,"0"))</f>
        <v>Incomplete</v>
      </c>
    </row>
    <row r="1026" spans="1:101">
      <c r="A1026" s="93" t="s">
        <v>811</v>
      </c>
      <c r="B1026" s="93" t="s">
        <v>1711</v>
      </c>
      <c r="C1026" s="64" t="s">
        <v>86</v>
      </c>
      <c r="D1026" s="96">
        <v>39758</v>
      </c>
      <c r="E1026" s="64"/>
      <c r="F1026" s="64">
        <v>11</v>
      </c>
      <c r="G1026" s="64">
        <v>2025</v>
      </c>
      <c r="H1026" s="66"/>
      <c r="I1026" s="64"/>
      <c r="J1026" s="64"/>
      <c r="K1026" s="64"/>
      <c r="L1026" s="64"/>
      <c r="M1026" s="64"/>
      <c r="N1026" s="64"/>
      <c r="O1026" s="64"/>
      <c r="P1026" s="64"/>
      <c r="Q1026" s="64"/>
      <c r="R1026" s="64"/>
      <c r="S1026" s="66"/>
      <c r="T1026" s="66"/>
      <c r="U1026" s="66"/>
      <c r="V1026" s="66"/>
      <c r="W1026" s="66"/>
      <c r="X1026" s="66"/>
      <c r="Y1026" s="66"/>
      <c r="Z1026" s="66"/>
      <c r="AA1026" s="66"/>
      <c r="AB1026" s="66"/>
      <c r="AC1026" s="66"/>
      <c r="AD1026" s="66"/>
      <c r="AE1026" s="66"/>
      <c r="AF1026" s="66"/>
      <c r="AG1026" s="66"/>
      <c r="AH1026" s="66"/>
      <c r="AI1026" s="66"/>
      <c r="AJ1026" s="66"/>
      <c r="AK1026" s="66"/>
      <c r="AL1026" s="66"/>
      <c r="AM1026" s="66"/>
      <c r="AN1026" s="66"/>
      <c r="AO1026" s="66"/>
      <c r="AP1026" s="66"/>
      <c r="AQ1026" s="20"/>
      <c r="AR1026" s="20"/>
      <c r="AS1026" s="20"/>
      <c r="AT1026" s="20"/>
      <c r="AU1026" s="20"/>
      <c r="AV1026" s="20"/>
      <c r="AW1026" s="20"/>
      <c r="AX1026" s="20"/>
      <c r="AY1026" s="41" t="str">
        <f t="shared" si="317"/>
        <v>Incomplete</v>
      </c>
      <c r="AZ1026" s="66"/>
      <c r="BA1026" s="20" t="str">
        <f t="shared" si="318"/>
        <v>Incomplete</v>
      </c>
      <c r="BB1026" s="66"/>
      <c r="BC1026" s="20" t="str">
        <f t="shared" si="319"/>
        <v>Incomplete</v>
      </c>
      <c r="BD1026" s="66"/>
      <c r="BE1026" s="20" t="str">
        <f t="shared" si="320"/>
        <v>Incomplete</v>
      </c>
      <c r="BF1026" s="66"/>
      <c r="BG1026" s="66">
        <v>20</v>
      </c>
      <c r="BH1026" s="66">
        <v>60</v>
      </c>
      <c r="BI1026" s="20">
        <f t="shared" si="316"/>
        <v>40</v>
      </c>
      <c r="BJ1026" s="66"/>
      <c r="BK1026" s="66">
        <v>10</v>
      </c>
      <c r="BL1026" s="66"/>
      <c r="BM1026" s="66">
        <v>12</v>
      </c>
      <c r="BN1026" s="66"/>
      <c r="BO1026" s="66"/>
      <c r="BP1026" s="66"/>
      <c r="BQ1026" s="66"/>
      <c r="BR1026" s="66"/>
      <c r="BS1026" s="66"/>
      <c r="BT1026" s="66"/>
      <c r="BU1026" s="66"/>
      <c r="BV1026" s="66"/>
      <c r="BW1026" s="91" t="str">
        <f t="shared" si="321"/>
        <v>Incomplete</v>
      </c>
      <c r="BX1026" s="91" t="str">
        <f>_xlfn.XLOOKUP(BW1026,'Normative data'!$V$3:$V$6,'Normative data'!$W$3:$W$6,"Not Found",-1)</f>
        <v>Very low risk</v>
      </c>
      <c r="BY1026" s="91" t="str">
        <f t="shared" si="322"/>
        <v>Incomplete</v>
      </c>
      <c r="BZ1026" s="91" t="str">
        <f>_xlfn.XLOOKUP(BY1026,'Normative data'!$V$3:$V$6,'Normative data'!$W$3:$W$6,"Not Found",-1)</f>
        <v>Very low risk</v>
      </c>
      <c r="CA1026" s="66"/>
      <c r="CB1026" s="66"/>
      <c r="CC1026" s="66"/>
      <c r="CD1026" s="66"/>
      <c r="CE1026" s="66">
        <v>2</v>
      </c>
      <c r="CF1026" s="66"/>
      <c r="CG1026" s="66"/>
      <c r="CH1026" s="20" t="str">
        <f>_xlfn.XLOOKUP(CG1026, 'Normative data'!$S$9:$S$15,'Normative data'!$T$9:$T$15, "Not Found", -1)</f>
        <v>not completed</v>
      </c>
      <c r="CI1026" s="66"/>
      <c r="CJ1026" s="20" t="str">
        <f>_xlfn.XLOOKUP(CI1026, 'Normative data'!$S$9:$S$15, 'Normative data'!$T$9:$T$15, "Not Found", -1)</f>
        <v>not completed</v>
      </c>
      <c r="CK1026" s="21">
        <v>2.4500000000000002</v>
      </c>
      <c r="CL1026" s="21">
        <v>4.08</v>
      </c>
      <c r="CM1026" s="21"/>
      <c r="CN1026" s="21">
        <v>7.77</v>
      </c>
      <c r="CO1026" s="21">
        <v>6.44</v>
      </c>
      <c r="CP1026" s="109"/>
      <c r="CQ1026" s="68"/>
      <c r="CR1026" s="20" t="str" cm="1">
        <f t="array" ref="CR1026">IF(OR(ISBLANK(E1026),ISBLANK(CQ1026)),"Incomplete",_xlfn.XLOOKUP(CQ1026,_xlfn.XLOOKUP(E1026,'Normative data'!$Y$3:$Y$6,'Normative data'!$Z$3:$AG$6,,-1),'Normative data'!$Z$2:$AG$2,"Not Found",-1))</f>
        <v>Incomplete</v>
      </c>
      <c r="CS1026" s="68"/>
      <c r="CT1026" s="66"/>
      <c r="CU1026" s="20" t="str" cm="1">
        <f t="array" ref="CU1026">_xlfn.XLOOKUP(CS1026&amp;CT1026,(VLOOKUP!$A$3:$A$250)&amp;(VLOOKUP!$B$3:$B$250),VLOOKUP!$C$3:$C$250,"Incomplete",-1)</f>
        <v>Incomplete</v>
      </c>
      <c r="CV1026" s="20" t="str" cm="1">
        <f t="array" ref="CV1026">_xlfn.XLOOKUP(CU1026, _xlfn.XLOOKUP(E1026, 'Normative data'!$Y$11:$Y$14, 'Normative data'!$Z$11:$AG$14, ,-1), 'Normative data'!$Z$10:$AG$10, "Not Found", -1)</f>
        <v>Excellent</v>
      </c>
      <c r="CW1026" s="20" t="str" cm="1">
        <f t="array" ref="CW1026">IF(OR(ISBLANK(CS1026),ISBLANK(CT1026)),"Incomplete",_xlfn.XLOOKUP(CS1026&amp;CT1026,VLOOKUP!$A$4:$A$250&amp;VLOOKUP!$B$4:$B$250,VLOOKUP!$D$4:$D$250,"0"))</f>
        <v>Incomplete</v>
      </c>
    </row>
    <row r="1027" spans="1:101">
      <c r="A1027" s="94" t="s">
        <v>1026</v>
      </c>
      <c r="B1027" s="94" t="s">
        <v>1025</v>
      </c>
      <c r="C1027" s="64" t="s">
        <v>86</v>
      </c>
      <c r="D1027" s="97">
        <v>40567</v>
      </c>
      <c r="E1027" s="64"/>
      <c r="F1027" s="64">
        <v>8</v>
      </c>
      <c r="G1027" s="64">
        <v>2025</v>
      </c>
      <c r="H1027" s="66"/>
      <c r="I1027" s="64"/>
      <c r="J1027" s="64"/>
      <c r="K1027" s="64"/>
      <c r="L1027" s="64"/>
      <c r="M1027" s="64"/>
      <c r="N1027" s="64"/>
      <c r="O1027" s="64"/>
      <c r="P1027" s="64"/>
      <c r="Q1027" s="64"/>
      <c r="R1027" s="64"/>
      <c r="S1027" s="66"/>
      <c r="T1027" s="66">
        <v>169</v>
      </c>
      <c r="U1027" s="66">
        <v>75.599999999999994</v>
      </c>
      <c r="V1027" s="66"/>
      <c r="W1027" s="66">
        <v>23.1</v>
      </c>
      <c r="X1027" s="66">
        <f>SUM(T1027-W1027)</f>
        <v>145.9</v>
      </c>
      <c r="Y1027" s="66">
        <v>29.2</v>
      </c>
      <c r="Z1027" s="66">
        <v>26.5</v>
      </c>
      <c r="AA1027" s="66">
        <v>30.5</v>
      </c>
      <c r="AB1027" s="66"/>
      <c r="AC1027" s="66"/>
      <c r="AD1027" s="66"/>
      <c r="AE1027" s="66"/>
      <c r="AF1027" s="66"/>
      <c r="AG1027" s="66"/>
      <c r="AH1027" s="66"/>
      <c r="AI1027" s="66"/>
      <c r="AJ1027" s="66"/>
      <c r="AK1027" s="66"/>
      <c r="AL1027" s="66"/>
      <c r="AM1027" s="66"/>
      <c r="AN1027" s="66"/>
      <c r="AO1027" s="66"/>
      <c r="AP1027" s="66"/>
      <c r="AQ1027" s="20"/>
      <c r="AR1027" s="20"/>
      <c r="AS1027" s="20"/>
      <c r="AT1027" s="20"/>
      <c r="AU1027" s="20"/>
      <c r="AV1027" s="20"/>
      <c r="AW1027" s="20"/>
      <c r="AX1027" s="20"/>
      <c r="AY1027" s="41" t="str">
        <f t="shared" si="317"/>
        <v>Incomplete</v>
      </c>
      <c r="AZ1027" s="66"/>
      <c r="BA1027" s="20" t="str">
        <f t="shared" si="318"/>
        <v>Incomplete</v>
      </c>
      <c r="BB1027" s="66"/>
      <c r="BC1027" s="20" t="str">
        <f t="shared" si="319"/>
        <v>Incomplete</v>
      </c>
      <c r="BD1027" s="66"/>
      <c r="BE1027" s="20" t="str">
        <f t="shared" si="320"/>
        <v>Incomplete</v>
      </c>
      <c r="BF1027" s="66"/>
      <c r="BG1027" s="66"/>
      <c r="BH1027" s="66"/>
      <c r="BI1027" s="20" t="str">
        <f t="shared" si="316"/>
        <v>Incomplete</v>
      </c>
      <c r="BJ1027" s="66"/>
      <c r="BK1027" s="64"/>
      <c r="BL1027" s="66"/>
      <c r="BM1027" s="64"/>
      <c r="BN1027" s="66"/>
      <c r="BO1027" s="66"/>
      <c r="BP1027" s="66"/>
      <c r="BQ1027" s="66"/>
      <c r="BR1027" s="66"/>
      <c r="BS1027" s="66"/>
      <c r="BT1027" s="66"/>
      <c r="BU1027" s="66"/>
      <c r="BV1027" s="66"/>
      <c r="BW1027" s="91">
        <f t="shared" si="321"/>
        <v>0</v>
      </c>
      <c r="BX1027" s="91" t="str">
        <f>_xlfn.XLOOKUP(BW1027,'Normative data'!$V$3:$V$6,'Normative data'!$W$3:$W$6,"Not Found",-1)</f>
        <v>Not completed</v>
      </c>
      <c r="BY1027" s="91">
        <f t="shared" si="322"/>
        <v>0</v>
      </c>
      <c r="BZ1027" s="91" t="str">
        <f>_xlfn.XLOOKUP(BY1027,'Normative data'!$V$3:$V$6,'Normative data'!$W$3:$W$6,"Not Found",-1)</f>
        <v>Not completed</v>
      </c>
      <c r="CA1027" s="66"/>
      <c r="CB1027" s="66"/>
      <c r="CC1027" s="66"/>
      <c r="CD1027" s="66"/>
      <c r="CE1027" s="66"/>
      <c r="CF1027" s="66"/>
      <c r="CG1027" s="20"/>
      <c r="CH1027" s="20" t="str">
        <f>_xlfn.XLOOKUP(CG1027, 'Normative data'!$S$9:$S$15,'Normative data'!$T$9:$T$15, "Not Found", -1)</f>
        <v>not completed</v>
      </c>
      <c r="CI1027" s="20"/>
      <c r="CJ1027" s="20" t="str">
        <f>_xlfn.XLOOKUP(CI1027, 'Normative data'!$S$9:$S$15, 'Normative data'!$T$9:$T$15, "Not Found", -1)</f>
        <v>not completed</v>
      </c>
      <c r="CK1027" s="106">
        <v>2.31</v>
      </c>
      <c r="CL1027" s="106">
        <v>4.33</v>
      </c>
      <c r="CM1027" s="105"/>
      <c r="CN1027" s="106">
        <v>7.03</v>
      </c>
      <c r="CO1027" s="106">
        <v>7.11</v>
      </c>
      <c r="CP1027" s="110"/>
      <c r="CQ1027" s="68"/>
      <c r="CR1027" s="20" t="str" cm="1">
        <f t="array" ref="CR1027">IF(OR(ISBLANK(E1027),ISBLANK(CQ1027)),"Incomplete",_xlfn.XLOOKUP(CQ1027,_xlfn.XLOOKUP(E1027,'Normative data'!$Y$3:$Y$6,'Normative data'!$Z$3:$AG$6,,-1),'Normative data'!$Z$2:$AG$2,"Not Found",-1))</f>
        <v>Incomplete</v>
      </c>
      <c r="CS1027" s="68"/>
      <c r="CT1027" s="66"/>
      <c r="CU1027" s="20" t="str" cm="1">
        <f t="array" ref="CU1027">_xlfn.XLOOKUP(CS1027&amp;CT1027,(VLOOKUP!$A$3:$A$250)&amp;(VLOOKUP!$B$3:$B$250),VLOOKUP!$C$3:$C$250,"Incomplete",-1)</f>
        <v>Incomplete</v>
      </c>
      <c r="CV1027" s="20" t="str" cm="1">
        <f t="array" ref="CV1027">_xlfn.XLOOKUP(CU1027, _xlfn.XLOOKUP(E1027, 'Normative data'!$Y$11:$Y$14, 'Normative data'!$Z$11:$AG$14, ,-1), 'Normative data'!$Z$10:$AG$10, "Not Found", -1)</f>
        <v>Excellent</v>
      </c>
      <c r="CW1027" s="20" t="str" cm="1">
        <f t="array" ref="CW1027">IF(OR(ISBLANK(CS1027),ISBLANK(CT1027)),"Incomplete",_xlfn.XLOOKUP(CS1027&amp;CT1027,VLOOKUP!$A$4:$A$250&amp;VLOOKUP!$B$4:$B$250,VLOOKUP!$D$4:$D$250,"0"))</f>
        <v>Incomplete</v>
      </c>
    </row>
    <row r="1028" spans="1:101">
      <c r="A1028" s="93" t="s">
        <v>1038</v>
      </c>
      <c r="B1028" s="93" t="s">
        <v>1039</v>
      </c>
      <c r="C1028" s="64" t="s">
        <v>86</v>
      </c>
      <c r="D1028" s="96">
        <v>40319</v>
      </c>
      <c r="E1028" s="64"/>
      <c r="F1028" s="64">
        <v>9</v>
      </c>
      <c r="G1028" s="64">
        <v>2025</v>
      </c>
      <c r="H1028" s="66"/>
      <c r="I1028" s="64"/>
      <c r="J1028" s="64"/>
      <c r="K1028" s="64"/>
      <c r="L1028" s="64"/>
      <c r="M1028" s="64"/>
      <c r="N1028" s="64"/>
      <c r="O1028" s="64"/>
      <c r="P1028" s="64"/>
      <c r="Q1028" s="64"/>
      <c r="R1028" s="64"/>
      <c r="S1028" s="66"/>
      <c r="T1028" s="66"/>
      <c r="U1028" s="66"/>
      <c r="V1028" s="66"/>
      <c r="W1028" s="66"/>
      <c r="X1028" s="66"/>
      <c r="Y1028" s="66"/>
      <c r="Z1028" s="66"/>
      <c r="AA1028" s="66"/>
      <c r="AB1028" s="66"/>
      <c r="AC1028" s="66"/>
      <c r="AD1028" s="66"/>
      <c r="AE1028" s="66"/>
      <c r="AF1028" s="66"/>
      <c r="AG1028" s="66"/>
      <c r="AH1028" s="66"/>
      <c r="AI1028" s="66"/>
      <c r="AJ1028" s="66"/>
      <c r="AK1028" s="66"/>
      <c r="AL1028" s="66"/>
      <c r="AM1028" s="66"/>
      <c r="AN1028" s="66"/>
      <c r="AO1028" s="66"/>
      <c r="AP1028" s="66"/>
      <c r="AQ1028" s="66"/>
      <c r="AR1028" s="66"/>
      <c r="AS1028" s="66"/>
      <c r="AT1028" s="66"/>
      <c r="AU1028" s="66"/>
      <c r="AV1028" s="66"/>
      <c r="AW1028" s="66"/>
      <c r="AX1028" s="66"/>
      <c r="AY1028" s="41" t="str">
        <f t="shared" si="317"/>
        <v>Incomplete</v>
      </c>
      <c r="AZ1028" s="66"/>
      <c r="BA1028" s="20" t="str">
        <f t="shared" si="318"/>
        <v>Incomplete</v>
      </c>
      <c r="BB1028" s="66"/>
      <c r="BC1028" s="20" t="str">
        <f t="shared" si="319"/>
        <v>Incomplete</v>
      </c>
      <c r="BD1028" s="66"/>
      <c r="BE1028" s="20" t="str">
        <f t="shared" si="320"/>
        <v>Incomplete</v>
      </c>
      <c r="BF1028" s="66"/>
      <c r="BG1028" s="66">
        <v>15</v>
      </c>
      <c r="BH1028" s="66">
        <v>35.4</v>
      </c>
      <c r="BI1028" s="20">
        <f t="shared" si="316"/>
        <v>20.399999999999999</v>
      </c>
      <c r="BJ1028" s="66"/>
      <c r="BK1028" s="66"/>
      <c r="BL1028" s="66"/>
      <c r="BM1028" s="66"/>
      <c r="BN1028" s="66"/>
      <c r="BO1028" s="66"/>
      <c r="BP1028" s="66"/>
      <c r="BQ1028" s="66"/>
      <c r="BR1028" s="66"/>
      <c r="BS1028" s="66"/>
      <c r="BT1028" s="66"/>
      <c r="BU1028" s="66"/>
      <c r="BV1028" s="66"/>
      <c r="BW1028" s="91" t="str">
        <f t="shared" si="321"/>
        <v>Incomplete</v>
      </c>
      <c r="BX1028" s="91" t="str">
        <f>_xlfn.XLOOKUP(BW1028,'Normative data'!$V$3:$V$6,'Normative data'!$W$3:$W$6,"Not Found",-1)</f>
        <v>Very low risk</v>
      </c>
      <c r="BY1028" s="91" t="str">
        <f t="shared" si="322"/>
        <v>Incomplete</v>
      </c>
      <c r="BZ1028" s="91" t="str">
        <f>_xlfn.XLOOKUP(BY1028,'Normative data'!$V$3:$V$6,'Normative data'!$W$3:$W$6,"Not Found",-1)</f>
        <v>Very low risk</v>
      </c>
      <c r="CA1028" s="66"/>
      <c r="CB1028" s="66"/>
      <c r="CC1028" s="20"/>
      <c r="CD1028" s="66"/>
      <c r="CE1028" s="66">
        <v>21</v>
      </c>
      <c r="CF1028" s="66"/>
      <c r="CG1028" s="66"/>
      <c r="CH1028" s="20" t="str">
        <f>_xlfn.XLOOKUP(CG1028, 'Normative data'!$S$9:$S$15,'Normative data'!$T$9:$T$15, "Not Found", -1)</f>
        <v>not completed</v>
      </c>
      <c r="CI1028" s="66"/>
      <c r="CJ1028" s="20" t="str">
        <f>_xlfn.XLOOKUP(CI1028, 'Normative data'!$S$9:$S$15, 'Normative data'!$T$9:$T$15, "Not Found", -1)</f>
        <v>not completed</v>
      </c>
      <c r="CK1028" s="105">
        <v>2.15</v>
      </c>
      <c r="CL1028" s="105">
        <v>4.6500000000000004</v>
      </c>
      <c r="CM1028" s="105"/>
      <c r="CN1028" s="105">
        <v>6.86</v>
      </c>
      <c r="CO1028" s="105">
        <v>7.29</v>
      </c>
      <c r="CP1028" s="109"/>
      <c r="CQ1028" s="68"/>
      <c r="CR1028" s="20" t="str" cm="1">
        <f t="array" ref="CR1028">IF(OR(ISBLANK(E1028),ISBLANK(CQ1028)),"Incomplete",_xlfn.XLOOKUP(CQ1028,_xlfn.XLOOKUP(E1028,'Normative data'!$Y$3:$Y$6,'Normative data'!$Z$3:$AG$6,,-1),'Normative data'!$Z$2:$AG$2,"Not Found",-1))</f>
        <v>Incomplete</v>
      </c>
      <c r="CS1028" s="68"/>
      <c r="CT1028" s="66"/>
      <c r="CU1028" s="20" t="str" cm="1">
        <f t="array" ref="CU1028">_xlfn.XLOOKUP(CS1028&amp;CT1028,(VLOOKUP!$A$3:$A$250)&amp;(VLOOKUP!$B$3:$B$250),VLOOKUP!$C$3:$C$250,"Incomplete",-1)</f>
        <v>Incomplete</v>
      </c>
      <c r="CV1028" s="20" t="str" cm="1">
        <f t="array" ref="CV1028">_xlfn.XLOOKUP(CU1028, _xlfn.XLOOKUP(E1028, 'Normative data'!$Y$11:$Y$14, 'Normative data'!$Z$11:$AG$14, ,-1), 'Normative data'!$Z$10:$AG$10, "Not Found", -1)</f>
        <v>Excellent</v>
      </c>
      <c r="CW1028" s="20" t="str" cm="1">
        <f t="array" ref="CW1028">IF(OR(ISBLANK(CS1028),ISBLANK(CT1028)),"Incomplete",_xlfn.XLOOKUP(CS1028&amp;CT1028,VLOOKUP!$A$4:$A$250&amp;VLOOKUP!$B$4:$B$250,VLOOKUP!$D$4:$D$250,"0"))</f>
        <v>Incomplete</v>
      </c>
    </row>
    <row r="1029" spans="1:101">
      <c r="A1029" s="64" t="s">
        <v>1038</v>
      </c>
      <c r="B1029" s="64" t="s">
        <v>1039</v>
      </c>
      <c r="C1029" s="64" t="s">
        <v>86</v>
      </c>
      <c r="D1029" s="96">
        <v>40319</v>
      </c>
      <c r="E1029" s="64"/>
      <c r="F1029" s="64">
        <v>9</v>
      </c>
      <c r="G1029" s="64">
        <v>2025</v>
      </c>
      <c r="H1029" s="66"/>
      <c r="I1029" s="64"/>
      <c r="J1029" s="64"/>
      <c r="K1029" s="64"/>
      <c r="L1029" s="64"/>
      <c r="M1029" s="64"/>
      <c r="N1029" s="64"/>
      <c r="O1029" s="64"/>
      <c r="P1029" s="64"/>
      <c r="Q1029" s="64"/>
      <c r="R1029" s="64"/>
      <c r="S1029" s="66"/>
      <c r="T1029" s="66"/>
      <c r="U1029" s="66"/>
      <c r="V1029" s="66"/>
      <c r="W1029" s="66"/>
      <c r="X1029" s="66"/>
      <c r="Y1029" s="66"/>
      <c r="Z1029" s="66"/>
      <c r="AA1029" s="66"/>
      <c r="AB1029" s="66"/>
      <c r="AC1029" s="66"/>
      <c r="AD1029" s="66"/>
      <c r="AE1029" s="66"/>
      <c r="AF1029" s="66"/>
      <c r="AG1029" s="66"/>
      <c r="AH1029" s="66"/>
      <c r="AI1029" s="66"/>
      <c r="AJ1029" s="66"/>
      <c r="AK1029" s="66"/>
      <c r="AL1029" s="66"/>
      <c r="AM1029" s="66"/>
      <c r="AN1029" s="66"/>
      <c r="AO1029" s="66"/>
      <c r="AP1029" s="66"/>
      <c r="AQ1029" s="66"/>
      <c r="AR1029" s="66"/>
      <c r="AS1029" s="66"/>
      <c r="AT1029" s="66"/>
      <c r="AU1029" s="66"/>
      <c r="AV1029" s="66"/>
      <c r="AW1029" s="66"/>
      <c r="AX1029" s="66"/>
      <c r="AY1029" s="41" t="str">
        <f t="shared" si="317"/>
        <v>Incomplete</v>
      </c>
      <c r="AZ1029" s="66"/>
      <c r="BA1029" s="20" t="str">
        <f t="shared" si="318"/>
        <v>Incomplete</v>
      </c>
      <c r="BB1029" s="66"/>
      <c r="BC1029" s="20" t="str">
        <f t="shared" si="319"/>
        <v>Incomplete</v>
      </c>
      <c r="BD1029" s="66"/>
      <c r="BE1029" s="20" t="str">
        <f t="shared" si="320"/>
        <v>Incomplete</v>
      </c>
      <c r="BF1029" s="66"/>
      <c r="BG1029" s="66"/>
      <c r="BH1029" s="66"/>
      <c r="BI1029" s="20" t="str">
        <f t="shared" si="316"/>
        <v>Incomplete</v>
      </c>
      <c r="BJ1029" s="66"/>
      <c r="BK1029" s="66"/>
      <c r="BL1029" s="66"/>
      <c r="BM1029" s="66"/>
      <c r="BN1029" s="66"/>
      <c r="BO1029" s="66"/>
      <c r="BP1029" s="66"/>
      <c r="BQ1029" s="66"/>
      <c r="BR1029" s="66"/>
      <c r="BS1029" s="66"/>
      <c r="BT1029" s="66"/>
      <c r="BU1029" s="66"/>
      <c r="BV1029" s="66"/>
      <c r="BW1029" s="91" t="str">
        <f t="shared" si="321"/>
        <v>Incomplete</v>
      </c>
      <c r="BX1029" s="91" t="str">
        <f>_xlfn.XLOOKUP(BW1029,'Normative data'!$V$3:$V$6,'Normative data'!$W$3:$W$6,"Not Found",-1)</f>
        <v>Very low risk</v>
      </c>
      <c r="BY1029" s="91" t="str">
        <f t="shared" si="322"/>
        <v>Incomplete</v>
      </c>
      <c r="BZ1029" s="91" t="str">
        <f>_xlfn.XLOOKUP(BY1029,'Normative data'!$V$3:$V$6,'Normative data'!$W$3:$W$6,"Not Found",-1)</f>
        <v>Very low risk</v>
      </c>
      <c r="CA1029" s="66"/>
      <c r="CB1029" s="66"/>
      <c r="CC1029" s="20"/>
      <c r="CD1029" s="66"/>
      <c r="CE1029" s="66"/>
      <c r="CF1029" s="66"/>
      <c r="CG1029" s="66"/>
      <c r="CH1029" s="20" t="str">
        <f>_xlfn.XLOOKUP(CG1029, 'Normative data'!$S$9:$S$15,'Normative data'!$T$9:$T$15, "Not Found", -1)</f>
        <v>not completed</v>
      </c>
      <c r="CI1029" s="66"/>
      <c r="CJ1029" s="20" t="str">
        <f>_xlfn.XLOOKUP(CI1029, 'Normative data'!$S$9:$S$15, 'Normative data'!$T$9:$T$15, "Not Found", -1)</f>
        <v>not completed</v>
      </c>
      <c r="CK1029" s="20" t="s">
        <v>133</v>
      </c>
      <c r="CL1029" s="20" t="s">
        <v>134</v>
      </c>
      <c r="CN1029" s="20" t="s">
        <v>1415</v>
      </c>
      <c r="CO1029" s="20" t="s">
        <v>1281</v>
      </c>
      <c r="CP1029" s="68"/>
      <c r="CQ1029" s="68"/>
      <c r="CR1029" s="20" t="str" cm="1">
        <f t="array" ref="CR1029">IF(OR(ISBLANK(E1029),ISBLANK(CQ1029)),"Incomplete",_xlfn.XLOOKUP(CQ1029,_xlfn.XLOOKUP(E1029,'Normative data'!$Y$3:$Y$6,'Normative data'!$Z$3:$AG$6,,-1),'Normative data'!$Z$2:$AG$2,"Not Found",-1))</f>
        <v>Incomplete</v>
      </c>
      <c r="CS1029" s="68"/>
      <c r="CT1029" s="66"/>
      <c r="CU1029" s="20" t="str" cm="1">
        <f t="array" ref="CU1029">_xlfn.XLOOKUP(CS1029&amp;CT1029,(VLOOKUP!$A$3:$A$250)&amp;(VLOOKUP!$B$3:$B$250),VLOOKUP!$C$3:$C$250,"Incomplete",-1)</f>
        <v>Incomplete</v>
      </c>
      <c r="CV1029" s="20" t="str" cm="1">
        <f t="array" ref="CV1029">_xlfn.XLOOKUP(CU1029, _xlfn.XLOOKUP(E1029, 'Normative data'!$Y$11:$Y$14, 'Normative data'!$Z$11:$AG$14, ,-1), 'Normative data'!$Z$10:$AG$10, "Not Found", -1)</f>
        <v>Excellent</v>
      </c>
      <c r="CW1029" s="20" t="str" cm="1">
        <f t="array" ref="CW1029">IF(OR(ISBLANK(CS1029),ISBLANK(CT1029)),"Incomplete",_xlfn.XLOOKUP(CS1029&amp;CT1029,VLOOKUP!$A$4:$A$250&amp;VLOOKUP!$B$4:$B$250,VLOOKUP!$D$4:$D$250,"0"))</f>
        <v>Incomplete</v>
      </c>
    </row>
    <row r="1030" spans="1:101">
      <c r="A1030" s="64" t="s">
        <v>1424</v>
      </c>
      <c r="B1030" s="64" t="s">
        <v>1039</v>
      </c>
      <c r="C1030" s="64" t="s">
        <v>86</v>
      </c>
      <c r="D1030" s="120"/>
      <c r="E1030" s="64"/>
      <c r="F1030" s="64"/>
      <c r="G1030" s="64">
        <v>2026</v>
      </c>
      <c r="H1030" s="66" t="s">
        <v>114</v>
      </c>
      <c r="I1030" s="64">
        <v>1</v>
      </c>
      <c r="J1030" s="64"/>
      <c r="K1030" s="64"/>
      <c r="L1030" s="64"/>
      <c r="M1030" s="64"/>
      <c r="N1030" s="64"/>
      <c r="O1030" s="64"/>
      <c r="P1030" s="64"/>
      <c r="Q1030" s="64"/>
      <c r="R1030" s="64"/>
      <c r="S1030" s="66"/>
      <c r="T1030" s="66"/>
      <c r="U1030" s="66"/>
      <c r="V1030" s="66"/>
      <c r="W1030" s="66"/>
      <c r="X1030" s="66"/>
      <c r="Y1030" s="66"/>
      <c r="Z1030" s="66"/>
      <c r="AA1030" s="66"/>
      <c r="AB1030" s="66"/>
      <c r="AC1030" s="66"/>
      <c r="AD1030" s="66"/>
      <c r="AE1030" s="66"/>
      <c r="AF1030" s="66"/>
      <c r="AG1030" s="66"/>
      <c r="AH1030" s="66"/>
      <c r="AI1030" s="66"/>
      <c r="AJ1030" s="66"/>
      <c r="AK1030" s="66"/>
      <c r="AL1030" s="66"/>
      <c r="AM1030" s="66"/>
      <c r="AN1030" s="66"/>
      <c r="AO1030" s="66"/>
      <c r="AP1030" s="66"/>
      <c r="AQ1030" s="66">
        <v>20.6</v>
      </c>
      <c r="AR1030" s="66">
        <v>0.41</v>
      </c>
      <c r="AS1030" s="66">
        <v>21</v>
      </c>
      <c r="AT1030" s="66">
        <v>0.41399999999999998</v>
      </c>
      <c r="AU1030" s="66">
        <v>13</v>
      </c>
      <c r="AV1030" s="66">
        <v>0.32600000000000001</v>
      </c>
      <c r="AW1030" s="66">
        <v>13</v>
      </c>
      <c r="AX1030" s="66">
        <v>0.32600000000000001</v>
      </c>
      <c r="AY1030" s="41" t="str">
        <f t="shared" si="317"/>
        <v>Incomplete</v>
      </c>
      <c r="AZ1030" s="66"/>
      <c r="BA1030" s="20" t="str">
        <f t="shared" si="318"/>
        <v>Incomplete</v>
      </c>
      <c r="BB1030" s="66"/>
      <c r="BC1030" s="20" t="str">
        <f t="shared" si="319"/>
        <v>Incomplete</v>
      </c>
      <c r="BD1030" s="66"/>
      <c r="BE1030" s="20" t="str">
        <f t="shared" si="320"/>
        <v>Incomplete</v>
      </c>
      <c r="BF1030" s="66"/>
      <c r="BG1030" s="66">
        <v>13.5</v>
      </c>
      <c r="BH1030" s="66">
        <v>51</v>
      </c>
      <c r="BI1030" s="20">
        <f t="shared" si="316"/>
        <v>37.5</v>
      </c>
      <c r="BJ1030" s="66"/>
      <c r="BK1030" s="66"/>
      <c r="BL1030" s="66"/>
      <c r="BM1030" s="66"/>
      <c r="BN1030" s="66"/>
      <c r="BO1030" s="66"/>
      <c r="BP1030" s="66"/>
      <c r="BQ1030" s="66"/>
      <c r="BR1030" s="66"/>
      <c r="BS1030" s="66"/>
      <c r="BT1030" s="66"/>
      <c r="BU1030" s="66"/>
      <c r="BV1030" s="66"/>
      <c r="BW1030" s="91" t="str">
        <f t="shared" si="321"/>
        <v>Incomplete</v>
      </c>
      <c r="BX1030" s="91" t="str">
        <f>_xlfn.XLOOKUP(BW1030,'Normative data'!$V$3:$V$6,'Normative data'!$W$3:$W$6,"Not Found",-1)</f>
        <v>Very low risk</v>
      </c>
      <c r="BY1030" s="91" t="str">
        <f t="shared" si="322"/>
        <v>Incomplete</v>
      </c>
      <c r="BZ1030" s="91" t="str">
        <f>_xlfn.XLOOKUP(BY1030,'Normative data'!$V$3:$V$6,'Normative data'!$W$3:$W$6,"Not Found",-1)</f>
        <v>Very low risk</v>
      </c>
      <c r="CA1030" s="66"/>
      <c r="CB1030" s="66"/>
      <c r="CC1030" s="20">
        <v>40</v>
      </c>
      <c r="CD1030" s="66"/>
      <c r="CE1030" s="66">
        <v>11</v>
      </c>
      <c r="CF1030" s="66"/>
      <c r="CG1030" s="66"/>
      <c r="CH1030" s="20" t="str">
        <f>_xlfn.XLOOKUP(CG1030, 'Normative data'!$S$9:$S$15,'Normative data'!$T$9:$T$15, "Not Found", -1)</f>
        <v>not completed</v>
      </c>
      <c r="CI1030" s="66"/>
      <c r="CJ1030" s="20" t="str">
        <f>_xlfn.XLOOKUP(CI1030, 'Normative data'!$S$9:$S$15, 'Normative data'!$T$9:$T$15, "Not Found", -1)</f>
        <v>not completed</v>
      </c>
      <c r="CK1030" s="66">
        <v>1.21</v>
      </c>
      <c r="CL1030" s="66">
        <v>4.13</v>
      </c>
      <c r="CM1030" s="66"/>
      <c r="CN1030" s="66">
        <v>2.97</v>
      </c>
      <c r="CO1030" s="66">
        <v>6.73</v>
      </c>
      <c r="CP1030" s="68"/>
      <c r="CQ1030" s="68">
        <v>6.8</v>
      </c>
      <c r="CR1030" s="20" t="str" cm="1">
        <f t="array" ref="CR1030">IF(OR(ISBLANK(E1030),ISBLANK(CQ1030)),"Incomplete",_xlfn.XLOOKUP(CQ1030,_xlfn.XLOOKUP(E1030,'Normative data'!$Y$3:$Y$6,'Normative data'!$Z$3:$AG$6,,-1),'Normative data'!$Z$2:$AG$2,"Not Found",-1))</f>
        <v>Incomplete</v>
      </c>
      <c r="CS1030" s="68">
        <v>6</v>
      </c>
      <c r="CT1030" s="66">
        <v>8</v>
      </c>
      <c r="CU1030" s="20" cm="1">
        <f t="array" ref="CU1030">_xlfn.XLOOKUP(CS1030&amp;CT1030,(VLOOKUP!$A$3:$A$250)&amp;(VLOOKUP!$B$3:$B$250),VLOOKUP!$C$3:$C$250,"Incomplete",-1)</f>
        <v>980</v>
      </c>
      <c r="CV1030" s="20" t="str" cm="1">
        <f t="array" ref="CV1030">_xlfn.XLOOKUP(CU1030, _xlfn.XLOOKUP(E1030, 'Normative data'!$Y$11:$Y$14, 'Normative data'!$Z$11:$AG$14, ,-1), 'Normative data'!$Z$10:$AG$10, "Not Found", -1)</f>
        <v xml:space="preserve">Fair </v>
      </c>
      <c r="CW1030" s="20" cm="1">
        <f t="array" ref="CW1030">IF(OR(ISBLANK(CS1030),ISBLANK(CT1030)),"Incomplete",_xlfn.XLOOKUP(CS1030&amp;CT1030,VLOOKUP!$A$4:$A$250&amp;VLOOKUP!$B$4:$B$250,VLOOKUP!$D$4:$D$250,"0"))</f>
        <v>36</v>
      </c>
    </row>
    <row r="1031" spans="1:101">
      <c r="A1031" s="93" t="s">
        <v>1067</v>
      </c>
      <c r="B1031" s="93" t="s">
        <v>1068</v>
      </c>
      <c r="C1031" s="64" t="s">
        <v>86</v>
      </c>
      <c r="D1031" s="96">
        <v>40852</v>
      </c>
      <c r="E1031" s="64"/>
      <c r="F1031" s="64">
        <v>8</v>
      </c>
      <c r="G1031" s="64">
        <v>2025</v>
      </c>
      <c r="H1031" s="66"/>
      <c r="I1031" s="64"/>
      <c r="J1031" s="64"/>
      <c r="K1031" s="64"/>
      <c r="L1031" s="64"/>
      <c r="M1031" s="64"/>
      <c r="N1031" s="64"/>
      <c r="O1031" s="64"/>
      <c r="P1031" s="64"/>
      <c r="Q1031" s="64"/>
      <c r="R1031" s="64"/>
      <c r="S1031" s="66"/>
      <c r="T1031" s="66">
        <v>175</v>
      </c>
      <c r="U1031" s="66">
        <v>61.3</v>
      </c>
      <c r="V1031" s="66"/>
      <c r="W1031" s="66">
        <v>9.3000000000000007</v>
      </c>
      <c r="X1031" s="66">
        <f>SUM(T1031-W1031)</f>
        <v>165.7</v>
      </c>
      <c r="Y1031" s="66">
        <v>28.7</v>
      </c>
      <c r="Z1031" s="66">
        <v>20</v>
      </c>
      <c r="AA1031" s="66">
        <v>15.2</v>
      </c>
      <c r="AB1031" s="66"/>
      <c r="AC1031" s="66"/>
      <c r="AD1031" s="66"/>
      <c r="AE1031" s="66"/>
      <c r="AF1031" s="66"/>
      <c r="AG1031" s="66"/>
      <c r="AH1031" s="66"/>
      <c r="AI1031" s="66"/>
      <c r="AJ1031" s="66"/>
      <c r="AK1031" s="66"/>
      <c r="AL1031" s="66"/>
      <c r="AM1031" s="66"/>
      <c r="AN1031" s="66"/>
      <c r="AO1031" s="66"/>
      <c r="AP1031" s="66"/>
      <c r="AQ1031" s="66"/>
      <c r="AR1031" s="66"/>
      <c r="AS1031" s="66"/>
      <c r="AT1031" s="66"/>
      <c r="AU1031" s="66"/>
      <c r="AV1031" s="66"/>
      <c r="AW1031" s="66"/>
      <c r="AX1031" s="66"/>
      <c r="AY1031" s="41" t="str">
        <f t="shared" si="317"/>
        <v>Incomplete</v>
      </c>
      <c r="AZ1031" s="66"/>
      <c r="BA1031" s="20" t="str">
        <f t="shared" si="318"/>
        <v>Incomplete</v>
      </c>
      <c r="BB1031" s="66"/>
      <c r="BC1031" s="20" t="str">
        <f t="shared" si="319"/>
        <v>Incomplete</v>
      </c>
      <c r="BD1031" s="66"/>
      <c r="BE1031" s="20" t="str">
        <f t="shared" si="320"/>
        <v>Incomplete</v>
      </c>
      <c r="BF1031" s="66"/>
      <c r="BG1031" s="66">
        <v>16</v>
      </c>
      <c r="BH1031" s="66">
        <v>41</v>
      </c>
      <c r="BI1031" s="20" t="e">
        <f>IF(OR(ISBLANK(#REF!), ISBLANK(#REF!)),"Incomplete",(SUM(#REF!-#REF!)))</f>
        <v>#REF!</v>
      </c>
      <c r="BJ1031" s="66"/>
      <c r="BK1031" s="66">
        <v>8</v>
      </c>
      <c r="BL1031" s="66"/>
      <c r="BM1031" s="66">
        <v>7</v>
      </c>
      <c r="BN1031" s="66"/>
      <c r="BO1031" s="66"/>
      <c r="BP1031" s="66"/>
      <c r="BQ1031" s="66"/>
      <c r="BR1031" s="66"/>
      <c r="BS1031" s="66"/>
      <c r="BT1031" s="66"/>
      <c r="BU1031" s="66"/>
      <c r="BV1031" s="66"/>
      <c r="BW1031" s="91">
        <f t="shared" si="321"/>
        <v>0</v>
      </c>
      <c r="BX1031" s="91" t="str">
        <f>_xlfn.XLOOKUP(BW1031,'Normative data'!$V$3:$V$6,'Normative data'!$W$3:$W$6,"Not Found",-1)</f>
        <v>Not completed</v>
      </c>
      <c r="BY1031" s="91">
        <f t="shared" si="322"/>
        <v>0</v>
      </c>
      <c r="BZ1031" s="91" t="str">
        <f>_xlfn.XLOOKUP(BY1031,'Normative data'!$V$3:$V$6,'Normative data'!$W$3:$W$6,"Not Found",-1)</f>
        <v>Not completed</v>
      </c>
      <c r="CA1031" s="66"/>
      <c r="CB1031" s="66"/>
      <c r="CC1031" s="20"/>
      <c r="CD1031" s="66"/>
      <c r="CE1031" s="66"/>
      <c r="CF1031" s="66"/>
      <c r="CG1031" s="66"/>
      <c r="CH1031" s="20" t="str">
        <f>_xlfn.XLOOKUP(CG1031, 'Normative data'!$S$9:$S$15,'Normative data'!$T$9:$T$15, "Not Found", -1)</f>
        <v>not completed</v>
      </c>
      <c r="CI1031" s="66"/>
      <c r="CJ1031" s="20" t="str">
        <f>_xlfn.XLOOKUP(CI1031, 'Normative data'!$S$9:$S$15, 'Normative data'!$T$9:$T$15, "Not Found", -1)</f>
        <v>not completed</v>
      </c>
      <c r="CK1031" s="105"/>
      <c r="CL1031" s="105"/>
      <c r="CM1031" s="105"/>
      <c r="CN1031" s="105"/>
      <c r="CO1031" s="105"/>
      <c r="CP1031" s="109"/>
      <c r="CQ1031" s="68"/>
      <c r="CR1031" s="20" t="str" cm="1">
        <f t="array" ref="CR1031">IF(OR(ISBLANK(E1031),ISBLANK(CQ1031)),"Incomplete",_xlfn.XLOOKUP(CQ1031,_xlfn.XLOOKUP(E1031,'Normative data'!$Y$3:$Y$6,'Normative data'!$Z$3:$AG$6,,-1),'Normative data'!$Z$2:$AG$2,"Not Found",-1))</f>
        <v>Incomplete</v>
      </c>
      <c r="CS1031" s="68"/>
      <c r="CT1031" s="66"/>
      <c r="CU1031" s="20" t="str" cm="1">
        <f t="array" ref="CU1031">_xlfn.XLOOKUP(CS1031&amp;CT1031,(VLOOKUP!$A$3:$A$250)&amp;(VLOOKUP!$B$3:$B$250),VLOOKUP!$C$3:$C$250,"Incomplete",-1)</f>
        <v>Incomplete</v>
      </c>
      <c r="CV1031" s="20" t="str" cm="1">
        <f t="array" ref="CV1031">_xlfn.XLOOKUP(CU1031, _xlfn.XLOOKUP(E1031, 'Normative data'!$Y$11:$Y$14, 'Normative data'!$Z$11:$AG$14, ,-1), 'Normative data'!$Z$10:$AG$10, "Not Found", -1)</f>
        <v>Excellent</v>
      </c>
      <c r="CW1031" s="20" t="str" cm="1">
        <f t="array" ref="CW1031">IF(OR(ISBLANK(CS1031),ISBLANK(CT1031)),"Incomplete",_xlfn.XLOOKUP(CS1031&amp;CT1031,VLOOKUP!$A$4:$A$250&amp;VLOOKUP!$B$4:$B$250,VLOOKUP!$D$4:$D$250,"0"))</f>
        <v>Incomplete</v>
      </c>
    </row>
    <row r="1032" spans="1:101">
      <c r="A1032" s="93" t="s">
        <v>1067</v>
      </c>
      <c r="B1032" s="93" t="s">
        <v>1068</v>
      </c>
      <c r="C1032" s="64" t="s">
        <v>86</v>
      </c>
      <c r="D1032" s="96">
        <v>40852</v>
      </c>
      <c r="E1032" s="64"/>
      <c r="F1032" s="64">
        <v>8</v>
      </c>
      <c r="G1032" s="64">
        <v>2025</v>
      </c>
      <c r="H1032" s="66"/>
      <c r="I1032" s="64"/>
      <c r="J1032" s="64"/>
      <c r="K1032" s="64"/>
      <c r="L1032" s="64"/>
      <c r="M1032" s="64"/>
      <c r="N1032" s="64"/>
      <c r="O1032" s="64"/>
      <c r="P1032" s="64"/>
      <c r="Q1032" s="64"/>
      <c r="R1032" s="64"/>
      <c r="S1032" s="66"/>
      <c r="T1032" s="66" t="s">
        <v>1712</v>
      </c>
      <c r="U1032" s="66" t="s">
        <v>1713</v>
      </c>
      <c r="V1032" s="75"/>
      <c r="W1032" s="75"/>
      <c r="X1032" s="75"/>
      <c r="Y1032" s="75"/>
      <c r="Z1032" s="75"/>
      <c r="AA1032" s="75"/>
      <c r="AB1032" s="75"/>
      <c r="AC1032" s="75"/>
      <c r="AD1032" s="75"/>
      <c r="AE1032" s="75"/>
      <c r="AF1032" s="75"/>
      <c r="AG1032" s="75"/>
      <c r="AH1032" s="75"/>
      <c r="AI1032" s="75"/>
      <c r="AJ1032" s="75"/>
      <c r="AK1032" s="75"/>
      <c r="AL1032" s="75"/>
      <c r="AM1032" s="75"/>
      <c r="AN1032" s="75"/>
      <c r="AO1032" s="75"/>
      <c r="AP1032" s="75"/>
      <c r="AQ1032" s="20"/>
      <c r="AR1032" s="20"/>
      <c r="AS1032" s="20"/>
      <c r="AT1032" s="20"/>
      <c r="AU1032" s="20"/>
      <c r="AV1032" s="20"/>
      <c r="AW1032" s="20"/>
      <c r="AX1032" s="20"/>
      <c r="AY1032" s="41" t="str">
        <f>IF(OR(ISBLANK(#REF!), ISBLANK(AQ1032)), "Incomplete", (60.7*AQ1032)+(45.3*#REF!)-2055)</f>
        <v>Incomplete</v>
      </c>
      <c r="AZ1032" s="66"/>
      <c r="BA1032" s="20" t="str">
        <f>IF(OR(ISBLANK(#REF!), ISBLANK(AS1032)), "Incomplete", (60.7*AS1032)+(45.3*#REF!)-2055)</f>
        <v>Incomplete</v>
      </c>
      <c r="BB1032" s="66"/>
      <c r="BC1032" s="20" t="str">
        <f>IF(OR(ISBLANK(#REF!), ISBLANK(AU1032)), "Incomplete", (60.7*AU1032)+(45.3*#REF!)-2055)</f>
        <v>Incomplete</v>
      </c>
      <c r="BD1032" s="66"/>
      <c r="BE1032" s="20" t="str">
        <f>IF(OR(ISBLANK(#REF!), ISBLANK(AW1032)), "Incomplete", (60.7*AW1032)+(45.3*#REF!)-2055)</f>
        <v>Incomplete</v>
      </c>
      <c r="BF1032" s="66"/>
      <c r="BG1032" s="64"/>
      <c r="BH1032" s="64"/>
      <c r="BI1032" s="20">
        <f>IF(OR(ISBLANK(BG1031), ISBLANK(BH1031)),"Incomplete",(SUM(BH1031-BG1031)))</f>
        <v>25</v>
      </c>
      <c r="BJ1032" s="66"/>
      <c r="BK1032" s="66">
        <v>4</v>
      </c>
      <c r="BL1032" s="66"/>
      <c r="BM1032" s="66">
        <v>4</v>
      </c>
      <c r="BN1032" s="66"/>
      <c r="BO1032" s="66"/>
      <c r="BP1032" s="66"/>
      <c r="BQ1032" s="66"/>
      <c r="BR1032" s="66"/>
      <c r="BS1032" s="66"/>
      <c r="BT1032" s="66"/>
      <c r="BU1032" s="66"/>
      <c r="BV1032" s="66"/>
      <c r="BW1032" s="91" t="str">
        <f>IFERROR(SUM(BQ1032+BR1032+BS1032)/(3*(#REF!-S1032))*100, "Incomplete")</f>
        <v>Incomplete</v>
      </c>
      <c r="BX1032" s="91" t="str">
        <f>_xlfn.XLOOKUP(BW1032,'Normative data'!$V$3:$V$6,'Normative data'!$W$3:$W$6,"Not Found",-1)</f>
        <v>Very low risk</v>
      </c>
      <c r="BY1032" s="91" t="str">
        <f>IFERROR(SUM(BT1032+BU1032+BV1032)/(3*(#REF!-S1032))*100, "Incomplete")</f>
        <v>Incomplete</v>
      </c>
      <c r="BZ1032" s="91" t="str">
        <f>_xlfn.XLOOKUP(BY1032,'Normative data'!$V$3:$V$6,'Normative data'!$W$3:$W$6,"Not Found",-1)</f>
        <v>Very low risk</v>
      </c>
      <c r="CA1032" s="66"/>
      <c r="CB1032" s="66"/>
      <c r="CC1032" s="20"/>
      <c r="CD1032" s="66"/>
      <c r="CE1032" s="66">
        <v>22</v>
      </c>
      <c r="CF1032" s="66"/>
      <c r="CG1032" s="66"/>
      <c r="CH1032" s="20" t="str">
        <f>_xlfn.XLOOKUP(CG1032, 'Normative data'!$S$9:$S$15,'Normative data'!$T$9:$T$15, "Not Found", -1)</f>
        <v>not completed</v>
      </c>
      <c r="CI1032" s="66"/>
      <c r="CJ1032" s="20" t="str">
        <f>_xlfn.XLOOKUP(CI1032, 'Normative data'!$S$9:$S$15, 'Normative data'!$T$9:$T$15, "Not Found", -1)</f>
        <v>not completed</v>
      </c>
      <c r="CK1032" s="105">
        <v>2.29</v>
      </c>
      <c r="CL1032" s="105">
        <v>4.37</v>
      </c>
      <c r="CM1032" s="105"/>
      <c r="CN1032" s="105">
        <v>6.77</v>
      </c>
      <c r="CO1032" s="105">
        <v>7.39</v>
      </c>
      <c r="CP1032" s="109"/>
      <c r="CQ1032" s="68"/>
      <c r="CR1032" s="20" t="str" cm="1">
        <f t="array" ref="CR1032">IF(OR(ISBLANK(E1032),ISBLANK(CQ1032)),"Incomplete",_xlfn.XLOOKUP(CQ1032,_xlfn.XLOOKUP(E1032,'Normative data'!$Y$3:$Y$6,'Normative data'!$Z$3:$AG$6,,-1),'Normative data'!$Z$2:$AG$2,"Not Found",-1))</f>
        <v>Incomplete</v>
      </c>
      <c r="CS1032" s="68"/>
      <c r="CT1032" s="66"/>
      <c r="CU1032" s="20" t="str" cm="1">
        <f t="array" ref="CU1032">_xlfn.XLOOKUP(CS1032&amp;CT1032,(VLOOKUP!$A$3:$A$250)&amp;(VLOOKUP!$B$3:$B$250),VLOOKUP!$C$3:$C$250,"Incomplete",-1)</f>
        <v>Incomplete</v>
      </c>
      <c r="CV1032" s="20" t="str" cm="1">
        <f t="array" ref="CV1032">_xlfn.XLOOKUP(CU1032, _xlfn.XLOOKUP(E1032, 'Normative data'!$Y$11:$Y$14, 'Normative data'!$Z$11:$AG$14, ,-1), 'Normative data'!$Z$10:$AG$10, "Not Found", -1)</f>
        <v>Excellent</v>
      </c>
      <c r="CW1032" s="20" t="str" cm="1">
        <f t="array" ref="CW1032">IF(OR(ISBLANK(CS1032),ISBLANK(CT1032)),"Incomplete",_xlfn.XLOOKUP(CS1032&amp;CT1032,VLOOKUP!$A$4:$A$250&amp;VLOOKUP!$B$4:$B$250,VLOOKUP!$D$4:$D$250,"0"))</f>
        <v>Incomplete</v>
      </c>
    </row>
    <row r="1033" spans="1:101">
      <c r="A1033" s="94" t="s">
        <v>1714</v>
      </c>
      <c r="B1033" s="94" t="s">
        <v>213</v>
      </c>
      <c r="C1033" s="64" t="s">
        <v>86</v>
      </c>
      <c r="D1033" s="97">
        <v>39819</v>
      </c>
      <c r="E1033" s="64"/>
      <c r="F1033" s="64">
        <v>10</v>
      </c>
      <c r="G1033" s="64">
        <v>2025</v>
      </c>
      <c r="H1033" s="66"/>
      <c r="I1033" s="64"/>
      <c r="J1033" s="64" t="s">
        <v>88</v>
      </c>
      <c r="K1033" s="64"/>
      <c r="L1033" s="64"/>
      <c r="M1033" s="64"/>
      <c r="N1033" s="64"/>
      <c r="O1033" s="64"/>
      <c r="P1033" s="64"/>
      <c r="Q1033" s="64"/>
      <c r="R1033" s="64"/>
      <c r="S1033" s="66"/>
      <c r="T1033" s="66">
        <v>170.3</v>
      </c>
      <c r="U1033" s="68">
        <v>61.9</v>
      </c>
      <c r="V1033" s="68"/>
      <c r="W1033" s="66">
        <v>13.9</v>
      </c>
      <c r="X1033" s="66">
        <f>SUM(T1033-W1033)</f>
        <v>156.4</v>
      </c>
      <c r="Y1033" s="66">
        <v>26.6</v>
      </c>
      <c r="Z1033" s="66">
        <v>21.3</v>
      </c>
      <c r="AA1033" s="66">
        <v>22.5</v>
      </c>
      <c r="AB1033" s="66"/>
      <c r="AC1033" s="66"/>
      <c r="AD1033" s="66"/>
      <c r="AE1033" s="66"/>
      <c r="AF1033" s="66"/>
      <c r="AG1033" s="66"/>
      <c r="AH1033" s="66"/>
      <c r="AI1033" s="66"/>
      <c r="AJ1033" s="66"/>
      <c r="AK1033" s="66"/>
      <c r="AL1033" s="66"/>
      <c r="AM1033" s="66"/>
      <c r="AN1033" s="66"/>
      <c r="AO1033" s="66"/>
      <c r="AP1033" s="66"/>
      <c r="AQ1033" s="103">
        <v>29.6</v>
      </c>
      <c r="AR1033" s="66">
        <v>0.49099999999999999</v>
      </c>
      <c r="AS1033" s="66">
        <v>33.299999999999997</v>
      </c>
      <c r="AT1033" s="66">
        <v>0.52100000000000002</v>
      </c>
      <c r="AU1033" s="66">
        <v>15.9</v>
      </c>
      <c r="AV1033" s="66">
        <v>0.36</v>
      </c>
      <c r="AW1033" s="66">
        <v>18.100000000000001</v>
      </c>
      <c r="AX1033" s="66">
        <v>0.38400000000000001</v>
      </c>
      <c r="AY1033" s="41">
        <f>IF(OR(ISBLANK(U1033), ISBLANK(AQ1033)), "Incomplete", (60.7*AQ1033)+(45.3*U1033)-2055)</f>
        <v>2545.79</v>
      </c>
      <c r="AZ1033" s="66"/>
      <c r="BA1033" s="20">
        <f>IF(OR(ISBLANK(U1033), ISBLANK(AS1033)), "Incomplete", (60.7*AS1033)+(45.3*U1033)-2055)</f>
        <v>2770.3799999999992</v>
      </c>
      <c r="BB1033" s="66"/>
      <c r="BC1033" s="20">
        <f>IF(OR(ISBLANK(U1033), ISBLANK(AU1033)), "Incomplete", (60.7*AU1033)+(45.3*U1033)-2055)</f>
        <v>1714.1999999999998</v>
      </c>
      <c r="BD1033" s="66"/>
      <c r="BE1033" s="20">
        <f>IF(OR(ISBLANK(U1033), ISBLANK(AW1033)), "Incomplete", (60.7*AW1033)+(45.3*U1033)-2055)</f>
        <v>1847.7399999999998</v>
      </c>
      <c r="BF1033" s="66"/>
      <c r="BG1033" s="66">
        <v>16</v>
      </c>
      <c r="BH1033" s="66">
        <v>53.2</v>
      </c>
      <c r="BI1033" s="20" t="e">
        <f>IF(OR(ISBLANK(#REF!), ISBLANK(#REF!)),"Incomplete",(SUM(#REF!-#REF!)))</f>
        <v>#REF!</v>
      </c>
      <c r="BJ1033" s="66"/>
      <c r="BK1033" s="66">
        <v>6</v>
      </c>
      <c r="BL1033" s="66"/>
      <c r="BM1033" s="66">
        <v>8</v>
      </c>
      <c r="BN1033" s="66"/>
      <c r="BO1033" s="66"/>
      <c r="BP1033" s="66"/>
      <c r="BQ1033" s="66"/>
      <c r="BR1033" s="66"/>
      <c r="BS1033" s="66"/>
      <c r="BT1033" s="66"/>
      <c r="BU1033" s="66"/>
      <c r="BV1033" s="66"/>
      <c r="BW1033" s="91">
        <f>IFERROR(SUM(BQ1033+BR1033+BS1033)/(3*(T1033-S1033))*100, "Incomplete")</f>
        <v>0</v>
      </c>
      <c r="BX1033" s="91" t="str">
        <f>_xlfn.XLOOKUP(BW1033,'Normative data'!$V$3:$V$6,'Normative data'!$W$3:$W$6,"Not Found",-1)</f>
        <v>Not completed</v>
      </c>
      <c r="BY1033" s="91">
        <f>IFERROR(SUM(BT1033+BU1033+BV1033)/(3*(T1033-S1033))*100, "Incomplete")</f>
        <v>0</v>
      </c>
      <c r="BZ1033" s="91" t="str">
        <f>_xlfn.XLOOKUP(BY1033,'Normative data'!$V$3:$V$6,'Normative data'!$W$3:$W$6,"Not Found",-1)</f>
        <v>Not completed</v>
      </c>
      <c r="CA1033" s="66"/>
      <c r="CB1033" s="66"/>
      <c r="CC1033" s="20"/>
      <c r="CD1033" s="66"/>
      <c r="CE1033" s="66">
        <v>12</v>
      </c>
      <c r="CF1033" s="66"/>
      <c r="CG1033" s="66"/>
      <c r="CH1033" s="20" t="str">
        <f>_xlfn.XLOOKUP(CG1033, 'Normative data'!$S$9:$S$15,'Normative data'!$T$9:$T$15, "Not Found", -1)</f>
        <v>not completed</v>
      </c>
      <c r="CI1033" s="66"/>
      <c r="CJ1033" s="20" t="str">
        <f>_xlfn.XLOOKUP(CI1033, 'Normative data'!$S$9:$S$15, 'Normative data'!$T$9:$T$15, "Not Found", -1)</f>
        <v>not completed</v>
      </c>
      <c r="CK1033" s="24">
        <v>2.25</v>
      </c>
      <c r="CL1033" s="24">
        <v>4.4400000000000004</v>
      </c>
      <c r="CM1033" s="21"/>
      <c r="CN1033" s="24">
        <v>6.87</v>
      </c>
      <c r="CO1033" s="24">
        <v>7.28</v>
      </c>
      <c r="CP1033" s="68"/>
      <c r="CQ1033" s="68"/>
      <c r="CR1033" s="20" t="str" cm="1">
        <f t="array" ref="CR1033">IF(OR(ISBLANK(E1033),ISBLANK(CQ1033)),"Incomplete",_xlfn.XLOOKUP(CQ1033,_xlfn.XLOOKUP(E1033,'Normative data'!$Y$3:$Y$6,'Normative data'!$Z$3:$AG$6,,-1),'Normative data'!$Z$2:$AG$2,"Not Found",-1))</f>
        <v>Incomplete</v>
      </c>
      <c r="CS1033" s="68"/>
      <c r="CT1033" s="66"/>
      <c r="CU1033" s="20" t="str" cm="1">
        <f t="array" ref="CU1033">_xlfn.XLOOKUP(CS1033&amp;CT1033,(VLOOKUP!$A$3:$A$250)&amp;(VLOOKUP!$B$3:$B$250),VLOOKUP!$C$3:$C$250,"Incomplete",-1)</f>
        <v>Incomplete</v>
      </c>
      <c r="CV1033" s="20" t="str" cm="1">
        <f t="array" ref="CV1033">_xlfn.XLOOKUP(CU1033, _xlfn.XLOOKUP(E1033, 'Normative data'!$Y$11:$Y$14, 'Normative data'!$Z$11:$AG$14, ,-1), 'Normative data'!$Z$10:$AG$10, "Not Found", -1)</f>
        <v>Excellent</v>
      </c>
      <c r="CW1033" s="20" t="str" cm="1">
        <f t="array" ref="CW1033">IF(OR(ISBLANK(CS1033),ISBLANK(CT1033)),"Incomplete",_xlfn.XLOOKUP(CS1033&amp;CT1033,VLOOKUP!$A$4:$A$250&amp;VLOOKUP!$B$4:$B$250,VLOOKUP!$D$4:$D$250,"0"))</f>
        <v>Incomplete</v>
      </c>
    </row>
    <row r="1034" spans="1:101">
      <c r="A1034" s="94" t="s">
        <v>1714</v>
      </c>
      <c r="B1034" s="94" t="s">
        <v>213</v>
      </c>
      <c r="C1034" s="64" t="s">
        <v>86</v>
      </c>
      <c r="D1034" s="97">
        <v>39819</v>
      </c>
      <c r="E1034" s="64"/>
      <c r="F1034" s="64">
        <v>10</v>
      </c>
      <c r="G1034" s="64">
        <v>2025</v>
      </c>
      <c r="H1034" s="66"/>
      <c r="I1034" s="64"/>
      <c r="J1034" s="64" t="s">
        <v>88</v>
      </c>
      <c r="K1034" s="64"/>
      <c r="L1034" s="64"/>
      <c r="M1034" s="64"/>
      <c r="N1034" s="64"/>
      <c r="O1034" s="64"/>
      <c r="P1034" s="64"/>
      <c r="Q1034" s="64"/>
      <c r="R1034" s="64"/>
      <c r="S1034" s="66"/>
      <c r="T1034" s="66">
        <v>170.3</v>
      </c>
      <c r="U1034" s="66">
        <v>61.9</v>
      </c>
      <c r="V1034" s="61"/>
      <c r="W1034" s="61">
        <v>13.9</v>
      </c>
      <c r="X1034" s="61">
        <f>SUM(T1034-W1034)</f>
        <v>156.4</v>
      </c>
      <c r="Y1034" s="61">
        <v>26.6</v>
      </c>
      <c r="Z1034" s="61">
        <v>21.3</v>
      </c>
      <c r="AA1034" s="61">
        <v>22.5</v>
      </c>
      <c r="AB1034" s="61"/>
      <c r="AC1034" s="61"/>
      <c r="AD1034" s="61"/>
      <c r="AE1034" s="61"/>
      <c r="AF1034" s="61"/>
      <c r="AG1034" s="61"/>
      <c r="AH1034" s="61"/>
      <c r="AI1034" s="61"/>
      <c r="AJ1034" s="61"/>
      <c r="AK1034" s="61"/>
      <c r="AL1034" s="61"/>
      <c r="AM1034" s="61"/>
      <c r="AN1034" s="61"/>
      <c r="AO1034" s="61"/>
      <c r="AP1034" s="61"/>
      <c r="AQ1034" s="20">
        <v>24.3</v>
      </c>
      <c r="AR1034" s="20">
        <v>0.44500000000000001</v>
      </c>
      <c r="AS1034" s="20">
        <v>32</v>
      </c>
      <c r="AT1034" s="20">
        <v>0.51100000000000001</v>
      </c>
      <c r="AU1034" s="20">
        <v>19.100000000000001</v>
      </c>
      <c r="AV1034" s="20">
        <v>0.39500000000000002</v>
      </c>
      <c r="AW1034" s="20">
        <v>17.899999999999999</v>
      </c>
      <c r="AX1034" s="20">
        <v>0.38200000000000001</v>
      </c>
      <c r="AY1034" s="41" t="e">
        <f>IF(OR(ISBLANK(U1034), ISBLANK(#REF!)), "Incomplete", (60.7*#REF!)+(45.3*U1034)-2055)</f>
        <v>#REF!</v>
      </c>
      <c r="AZ1034" s="66"/>
      <c r="BA1034" s="20" t="e">
        <f>IF(OR(ISBLANK(U1034), ISBLANK(#REF!)), "Incomplete", (60.7*#REF!)+(45.3*U1034)-2055)</f>
        <v>#REF!</v>
      </c>
      <c r="BB1034" s="66"/>
      <c r="BC1034" s="20" t="e">
        <f>IF(OR(ISBLANK(U1034), ISBLANK(#REF!)), "Incomplete", (60.7*#REF!)+(45.3*U1034)-2055)</f>
        <v>#REF!</v>
      </c>
      <c r="BD1034" s="66"/>
      <c r="BE1034" s="20" t="e">
        <f>IF(OR(ISBLANK(U1034), ISBLANK(#REF!)), "Incomplete", (60.7*#REF!)+(45.3*U1034)-2055)</f>
        <v>#REF!</v>
      </c>
      <c r="BF1034" s="66"/>
      <c r="BG1034" s="66"/>
      <c r="BH1034" s="66"/>
      <c r="BI1034" s="20" t="str">
        <f>IF(OR(ISBLANK(BG1034), ISBLANK(BH1034)),"Incomplete",(SUM(BH1034-BG1034)))</f>
        <v>Incomplete</v>
      </c>
      <c r="BJ1034" s="66"/>
      <c r="BK1034" s="66"/>
      <c r="BL1034" s="66"/>
      <c r="BM1034" s="66"/>
      <c r="BN1034" s="66"/>
      <c r="BO1034" s="66"/>
      <c r="BP1034" s="66"/>
      <c r="BQ1034" s="66"/>
      <c r="BR1034" s="66"/>
      <c r="BS1034" s="66"/>
      <c r="BT1034" s="66"/>
      <c r="BU1034" s="66"/>
      <c r="BV1034" s="66"/>
      <c r="BW1034" s="91">
        <f>IFERROR(SUM(BQ1034+BR1034+BS1034)/(3*(T1034-S1034))*100, "Incomplete")</f>
        <v>0</v>
      </c>
      <c r="BX1034" s="91" t="str">
        <f>_xlfn.XLOOKUP(BW1034,'Normative data'!$V$3:$V$6,'Normative data'!$W$3:$W$6,"Not Found",-1)</f>
        <v>Not completed</v>
      </c>
      <c r="BY1034" s="91">
        <f>IFERROR(SUM(BT1034+BU1034+BV1034)/(3*(T1034-S1034))*100, "Incomplete")</f>
        <v>0</v>
      </c>
      <c r="BZ1034" s="91" t="str">
        <f>_xlfn.XLOOKUP(BY1034,'Normative data'!$V$3:$V$6,'Normative data'!$W$3:$W$6,"Not Found",-1)</f>
        <v>Not completed</v>
      </c>
      <c r="CA1034" s="66"/>
      <c r="CB1034" s="66"/>
      <c r="CC1034" s="66"/>
      <c r="CD1034" s="66"/>
      <c r="CE1034" s="64"/>
      <c r="CF1034" s="66"/>
      <c r="CG1034" s="20"/>
      <c r="CH1034" s="20" t="str">
        <f>_xlfn.XLOOKUP(CG1034, 'Normative data'!$S$9:$S$15,'Normative data'!$T$9:$T$15, "Not Found", -1)</f>
        <v>not completed</v>
      </c>
      <c r="CI1034" s="20"/>
      <c r="CJ1034" s="20" t="str">
        <f>_xlfn.XLOOKUP(CI1034, 'Normative data'!$S$9:$S$15, 'Normative data'!$T$9:$T$15, "Not Found", -1)</f>
        <v>not completed</v>
      </c>
      <c r="CK1034" s="20" t="s">
        <v>518</v>
      </c>
      <c r="CL1034" s="20" t="s">
        <v>825</v>
      </c>
      <c r="CM1034" s="21"/>
      <c r="CN1034" s="20" t="s">
        <v>662</v>
      </c>
      <c r="CO1034" s="20" t="s">
        <v>663</v>
      </c>
      <c r="CP1034" s="110"/>
      <c r="CQ1034" s="68"/>
      <c r="CR1034" s="20" t="str" cm="1">
        <f t="array" ref="CR1034">IF(OR(ISBLANK(E1034),ISBLANK(CQ1034)),"Incomplete",_xlfn.XLOOKUP(CQ1034,_xlfn.XLOOKUP(E1034,'Normative data'!$Y$3:$Y$6,'Normative data'!$Z$3:$AG$6,,-1),'Normative data'!$Z$2:$AG$2,"Not Found",-1))</f>
        <v>Incomplete</v>
      </c>
      <c r="CS1034" s="68"/>
      <c r="CT1034" s="66"/>
      <c r="CU1034" s="20" t="str" cm="1">
        <f t="array" ref="CU1034">_xlfn.XLOOKUP(CS1034&amp;CT1034,(VLOOKUP!$A$3:$A$250)&amp;(VLOOKUP!$B$3:$B$250),VLOOKUP!$C$3:$C$250,"Incomplete",-1)</f>
        <v>Incomplete</v>
      </c>
      <c r="CV1034" s="20" t="str" cm="1">
        <f t="array" ref="CV1034">_xlfn.XLOOKUP(CU1034, _xlfn.XLOOKUP(E1034, 'Normative data'!$Y$11:$Y$14, 'Normative data'!$Z$11:$AG$14, ,-1), 'Normative data'!$Z$10:$AG$10, "Not Found", -1)</f>
        <v>Excellent</v>
      </c>
      <c r="CW1034" s="20" t="str" cm="1">
        <f t="array" ref="CW1034">IF(OR(ISBLANK(CS1034),ISBLANK(CT1034)),"Incomplete",_xlfn.XLOOKUP(CS1034&amp;CT1034,VLOOKUP!$A$4:$A$250&amp;VLOOKUP!$B$4:$B$250,VLOOKUP!$D$4:$D$250,"0"))</f>
        <v>Incomplete</v>
      </c>
    </row>
    <row r="1035" spans="1:101">
      <c r="A1035" s="94" t="s">
        <v>1714</v>
      </c>
      <c r="B1035" s="94" t="s">
        <v>213</v>
      </c>
      <c r="C1035" s="64" t="s">
        <v>86</v>
      </c>
      <c r="D1035" s="97">
        <v>39819</v>
      </c>
      <c r="E1035" s="64"/>
      <c r="F1035" s="64">
        <v>10</v>
      </c>
      <c r="G1035" s="64">
        <v>2025</v>
      </c>
      <c r="H1035" s="66"/>
      <c r="I1035" s="64"/>
      <c r="J1035" s="64" t="s">
        <v>88</v>
      </c>
      <c r="K1035" s="64"/>
      <c r="L1035" s="64"/>
      <c r="M1035" s="64"/>
      <c r="N1035" s="64"/>
      <c r="O1035" s="64"/>
      <c r="P1035" s="64"/>
      <c r="Q1035" s="64"/>
      <c r="R1035" s="64"/>
      <c r="S1035" s="66"/>
      <c r="T1035" s="66" t="s">
        <v>1715</v>
      </c>
      <c r="U1035" s="66" t="s">
        <v>1716</v>
      </c>
      <c r="V1035" s="66"/>
      <c r="W1035" s="66">
        <v>13.9</v>
      </c>
      <c r="X1035" s="66" t="e">
        <f>SUM(T1035-W1035)</f>
        <v>#VALUE!</v>
      </c>
      <c r="Y1035" s="66">
        <v>26.6</v>
      </c>
      <c r="Z1035" s="66">
        <v>21.3</v>
      </c>
      <c r="AA1035" s="66">
        <v>22.5</v>
      </c>
      <c r="AB1035" s="66"/>
      <c r="AC1035" s="66"/>
      <c r="AD1035" s="66"/>
      <c r="AE1035" s="66"/>
      <c r="AF1035" s="66"/>
      <c r="AG1035" s="66"/>
      <c r="AH1035" s="66"/>
      <c r="AI1035" s="66"/>
      <c r="AJ1035" s="66"/>
      <c r="AK1035" s="66"/>
      <c r="AL1035" s="66"/>
      <c r="AM1035" s="66"/>
      <c r="AN1035" s="66"/>
      <c r="AO1035" s="66"/>
      <c r="AP1035" s="66"/>
      <c r="AQ1035" s="20"/>
      <c r="AR1035" s="20"/>
      <c r="AS1035" s="20" t="s">
        <v>1717</v>
      </c>
      <c r="AT1035" s="20" t="s">
        <v>1718</v>
      </c>
      <c r="AU1035" s="20" t="s">
        <v>534</v>
      </c>
      <c r="AV1035" s="20" t="s">
        <v>535</v>
      </c>
      <c r="AW1035" s="20" t="s">
        <v>1719</v>
      </c>
      <c r="AX1035" s="20" t="s">
        <v>1720</v>
      </c>
      <c r="AY1035" s="41" t="str">
        <f>IF(OR(ISBLANK(#REF!), ISBLANK(AQ1035)), "Incomplete", (60.7*AQ1035)+(45.3*#REF!)-2055)</f>
        <v>Incomplete</v>
      </c>
      <c r="AZ1035" s="66"/>
      <c r="BA1035" s="20" t="e">
        <f>IF(OR(ISBLANK(#REF!), ISBLANK(#REF!)), "Incomplete", (60.7*#REF!)+(45.3*#REF!)-2055)</f>
        <v>#REF!</v>
      </c>
      <c r="BB1035" s="66"/>
      <c r="BC1035" s="20" t="e">
        <f>IF(OR(ISBLANK(#REF!), ISBLANK(#REF!)), "Incomplete", (60.7*#REF!)+(45.3*#REF!)-2055)</f>
        <v>#REF!</v>
      </c>
      <c r="BD1035" s="66"/>
      <c r="BE1035" s="20" t="e">
        <f>IF(OR(ISBLANK(#REF!), ISBLANK(#REF!)), "Incomplete", (60.7*#REF!)+(45.3*#REF!)-2055)</f>
        <v>#REF!</v>
      </c>
      <c r="BF1035" s="66"/>
      <c r="BG1035" s="66"/>
      <c r="BH1035" s="66"/>
      <c r="BI1035" s="20" t="str">
        <f>IF(OR(ISBLANK(BG1035), ISBLANK(BH1035)),"Incomplete",(SUM(BH1035-BG1035)))</f>
        <v>Incomplete</v>
      </c>
      <c r="BJ1035" s="66"/>
      <c r="BK1035" s="66"/>
      <c r="BL1035" s="66"/>
      <c r="BM1035" s="66"/>
      <c r="BN1035" s="66"/>
      <c r="BO1035" s="66"/>
      <c r="BP1035" s="66"/>
      <c r="BQ1035" s="66"/>
      <c r="BR1035" s="66"/>
      <c r="BS1035" s="66"/>
      <c r="BT1035" s="66"/>
      <c r="BU1035" s="66"/>
      <c r="BV1035" s="66"/>
      <c r="BW1035" s="91" t="str">
        <f>IFERROR(SUM(BQ1035+BR1035+BS1035)/(3*(#REF!-S1035))*100, "Incomplete")</f>
        <v>Incomplete</v>
      </c>
      <c r="BX1035" s="91" t="str">
        <f>_xlfn.XLOOKUP(BW1035,'Normative data'!$V$3:$V$6,'Normative data'!$W$3:$W$6,"Not Found",-1)</f>
        <v>Very low risk</v>
      </c>
      <c r="BY1035" s="91" t="str">
        <f>IFERROR(SUM(BT1035+BU1035+BV1035)/(3*(#REF!-S1035))*100, "Incomplete")</f>
        <v>Incomplete</v>
      </c>
      <c r="BZ1035" s="91" t="str">
        <f>_xlfn.XLOOKUP(BY1035,'Normative data'!$V$3:$V$6,'Normative data'!$W$3:$W$6,"Not Found",-1)</f>
        <v>Very low risk</v>
      </c>
      <c r="CA1035" s="66"/>
      <c r="CB1035" s="66"/>
      <c r="CC1035" s="66"/>
      <c r="CD1035" s="66"/>
      <c r="CE1035" s="66"/>
      <c r="CF1035" s="66"/>
      <c r="CG1035" s="20"/>
      <c r="CH1035" s="20" t="str">
        <f>_xlfn.XLOOKUP(CG1035, 'Normative data'!$S$9:$S$15,'Normative data'!$T$9:$T$15, "Not Found", -1)</f>
        <v>not completed</v>
      </c>
      <c r="CI1035" s="20"/>
      <c r="CJ1035" s="20" t="str">
        <f>_xlfn.XLOOKUP(CI1035, 'Normative data'!$S$9:$S$15, 'Normative data'!$T$9:$T$15, "Not Found", -1)</f>
        <v>not completed</v>
      </c>
      <c r="CK1035" s="64"/>
      <c r="CL1035" s="64"/>
      <c r="CM1035" s="105"/>
      <c r="CN1035" s="105"/>
      <c r="CO1035" s="105"/>
      <c r="CP1035" s="110"/>
      <c r="CQ1035" s="68"/>
      <c r="CR1035" s="20" t="str" cm="1">
        <f t="array" ref="CR1035">IF(OR(ISBLANK(E1035),ISBLANK(CQ1035)),"Incomplete",_xlfn.XLOOKUP(CQ1035,_xlfn.XLOOKUP(E1035,'Normative data'!$Y$3:$Y$6,'Normative data'!$Z$3:$AG$6,,-1),'Normative data'!$Z$2:$AG$2,"Not Found",-1))</f>
        <v>Incomplete</v>
      </c>
      <c r="CS1035" s="68"/>
      <c r="CT1035" s="66"/>
      <c r="CU1035" s="20" t="str" cm="1">
        <f t="array" ref="CU1035">_xlfn.XLOOKUP(CS1035&amp;CT1035,(VLOOKUP!$A$3:$A$250)&amp;(VLOOKUP!$B$3:$B$250),VLOOKUP!$C$3:$C$250,"Incomplete",-1)</f>
        <v>Incomplete</v>
      </c>
      <c r="CV1035" s="20" t="str" cm="1">
        <f t="array" ref="CV1035">_xlfn.XLOOKUP(CU1035, _xlfn.XLOOKUP(E1035, 'Normative data'!$Y$11:$Y$14, 'Normative data'!$Z$11:$AG$14, ,-1), 'Normative data'!$Z$10:$AG$10, "Not Found", -1)</f>
        <v>Excellent</v>
      </c>
      <c r="CW1035" s="20" t="str" cm="1">
        <f t="array" ref="CW1035">IF(OR(ISBLANK(CS1035),ISBLANK(CT1035)),"Incomplete",_xlfn.XLOOKUP(CS1035&amp;CT1035,VLOOKUP!$A$4:$A$250&amp;VLOOKUP!$B$4:$B$250,VLOOKUP!$D$4:$D$250,"0"))</f>
        <v>Incomplete</v>
      </c>
    </row>
    <row r="1036" spans="1:101">
      <c r="A1036" s="64" t="s">
        <v>1714</v>
      </c>
      <c r="B1036" s="64" t="s">
        <v>213</v>
      </c>
      <c r="C1036" s="64" t="s">
        <v>86</v>
      </c>
      <c r="D1036" s="97">
        <v>39819</v>
      </c>
      <c r="E1036" s="64"/>
      <c r="F1036" s="64"/>
      <c r="G1036" s="64">
        <v>2026</v>
      </c>
      <c r="H1036" s="66" t="s">
        <v>114</v>
      </c>
      <c r="I1036" s="64">
        <v>1</v>
      </c>
      <c r="J1036" s="64"/>
      <c r="K1036" s="64"/>
      <c r="L1036" s="64"/>
      <c r="M1036" s="64"/>
      <c r="N1036" s="64"/>
      <c r="O1036" s="64"/>
      <c r="P1036" s="64"/>
      <c r="Q1036" s="64"/>
      <c r="R1036" s="64"/>
      <c r="S1036" s="66"/>
      <c r="T1036" s="66"/>
      <c r="U1036" s="66"/>
      <c r="V1036" s="66"/>
      <c r="W1036" s="66"/>
      <c r="X1036" s="66"/>
      <c r="Y1036" s="66"/>
      <c r="Z1036" s="66"/>
      <c r="AA1036" s="66"/>
      <c r="AB1036" s="66"/>
      <c r="AC1036" s="66"/>
      <c r="AD1036" s="66"/>
      <c r="AE1036" s="66"/>
      <c r="AF1036" s="66"/>
      <c r="AG1036" s="66"/>
      <c r="AH1036" s="66"/>
      <c r="AI1036" s="66"/>
      <c r="AJ1036" s="66"/>
      <c r="AK1036" s="66"/>
      <c r="AL1036" s="66"/>
      <c r="AM1036" s="66"/>
      <c r="AN1036" s="66"/>
      <c r="AO1036" s="66"/>
      <c r="AP1036" s="66"/>
      <c r="AQ1036" s="20">
        <v>23.4</v>
      </c>
      <c r="AR1036" s="20">
        <v>0.437</v>
      </c>
      <c r="AS1036" s="20">
        <v>30.5</v>
      </c>
      <c r="AT1036" s="20">
        <v>0.499</v>
      </c>
      <c r="AU1036" s="20">
        <v>16.5</v>
      </c>
      <c r="AV1036" s="20">
        <v>0.36699999999999999</v>
      </c>
      <c r="AW1036" s="20">
        <v>16.899999999999999</v>
      </c>
      <c r="AX1036" s="20">
        <v>0.371</v>
      </c>
      <c r="AY1036" s="41" t="str">
        <f t="shared" ref="AY1036:AY1043" si="323">IF(OR(ISBLANK(U1036), ISBLANK(AQ1036)), "Incomplete", (60.7*AQ1036)+(45.3*U1036)-2055)</f>
        <v>Incomplete</v>
      </c>
      <c r="AZ1036" s="66"/>
      <c r="BA1036" s="20" t="str">
        <f t="shared" ref="BA1036:BA1043" si="324">IF(OR(ISBLANK(U1036), ISBLANK(AS1036)), "Incomplete", (60.7*AS1036)+(45.3*U1036)-2055)</f>
        <v>Incomplete</v>
      </c>
      <c r="BB1036" s="66"/>
      <c r="BC1036" s="20" t="str">
        <f t="shared" ref="BC1036:BC1043" si="325">IF(OR(ISBLANK(U1036), ISBLANK(AU1036)), "Incomplete", (60.7*AU1036)+(45.3*U1036)-2055)</f>
        <v>Incomplete</v>
      </c>
      <c r="BD1036" s="66"/>
      <c r="BE1036" s="20" t="str">
        <f t="shared" ref="BE1036:BE1043" si="326">IF(OR(ISBLANK(U1036), ISBLANK(AW1036)), "Incomplete", (60.7*AW1036)+(45.3*U1036)-2055)</f>
        <v>Incomplete</v>
      </c>
      <c r="BF1036" s="66"/>
      <c r="BG1036" s="66">
        <v>16</v>
      </c>
      <c r="BH1036" s="66">
        <v>54</v>
      </c>
      <c r="BI1036" s="20">
        <f>IF(OR(ISBLANK(BG1036), ISBLANK(BH1036)),"Incomplete",(SUM(BH1036-BG1036)))</f>
        <v>38</v>
      </c>
      <c r="BJ1036" s="66"/>
      <c r="BK1036" s="66"/>
      <c r="BL1036" s="66"/>
      <c r="BM1036" s="66"/>
      <c r="BN1036" s="66"/>
      <c r="BO1036" s="66"/>
      <c r="BP1036" s="66"/>
      <c r="BQ1036" s="66"/>
      <c r="BR1036" s="66"/>
      <c r="BS1036" s="66"/>
      <c r="BT1036" s="66"/>
      <c r="BU1036" s="66"/>
      <c r="BV1036" s="66"/>
      <c r="BW1036" s="91" t="str">
        <f t="shared" ref="BW1036:BW1067" si="327">IFERROR(SUM(BQ1036+BR1036+BS1036)/(3*(T1036-S1036))*100, "Incomplete")</f>
        <v>Incomplete</v>
      </c>
      <c r="BX1036" s="91" t="str">
        <f>_xlfn.XLOOKUP(BW1036,'Normative data'!$V$3:$V$6,'Normative data'!$W$3:$W$6,"Not Found",-1)</f>
        <v>Very low risk</v>
      </c>
      <c r="BY1036" s="91" t="str">
        <f t="shared" ref="BY1036:BY1067" si="328">IFERROR(SUM(BT1036+BU1036+BV1036)/(3*(T1036-S1036))*100, "Incomplete")</f>
        <v>Incomplete</v>
      </c>
      <c r="BZ1036" s="91" t="str">
        <f>_xlfn.XLOOKUP(BY1036,'Normative data'!$V$3:$V$6,'Normative data'!$W$3:$W$6,"Not Found",-1)</f>
        <v>Very low risk</v>
      </c>
      <c r="CA1036" s="20"/>
      <c r="CB1036" s="66"/>
      <c r="CC1036" s="20">
        <v>40</v>
      </c>
      <c r="CD1036" s="66"/>
      <c r="CE1036" s="66">
        <v>6</v>
      </c>
      <c r="CF1036" s="66"/>
      <c r="CG1036" s="66"/>
      <c r="CH1036" s="20" t="str">
        <f>_xlfn.XLOOKUP(CG1036, 'Normative data'!$S$9:$S$15,'Normative data'!$T$9:$T$15, "Not Found", -1)</f>
        <v>not completed</v>
      </c>
      <c r="CI1036" s="66"/>
      <c r="CJ1036" s="20" t="str">
        <f>_xlfn.XLOOKUP(CI1036, 'Normative data'!$S$9:$S$15, 'Normative data'!$T$9:$T$15, "Not Found", -1)</f>
        <v>not completed</v>
      </c>
      <c r="CK1036" s="66" t="s">
        <v>518</v>
      </c>
      <c r="CL1036" s="66" t="s">
        <v>825</v>
      </c>
      <c r="CM1036" s="66"/>
      <c r="CN1036" s="66" t="s">
        <v>662</v>
      </c>
      <c r="CO1036" s="66" t="s">
        <v>663</v>
      </c>
      <c r="CP1036" s="68"/>
      <c r="CQ1036" s="68"/>
      <c r="CR1036" s="20" t="str" cm="1">
        <f t="array" ref="CR1036">IF(OR(ISBLANK(E1036),ISBLANK(CQ1036)),"Incomplete",_xlfn.XLOOKUP(CQ1036,_xlfn.XLOOKUP(E1036,'Normative data'!$Y$3:$Y$6,'Normative data'!$Z$3:$AG$6,,-1),'Normative data'!$Z$2:$AG$2,"Not Found",-1))</f>
        <v>Incomplete</v>
      </c>
      <c r="CS1036" s="68"/>
      <c r="CT1036" s="66"/>
      <c r="CU1036" s="20" t="str" cm="1">
        <f t="array" ref="CU1036">_xlfn.XLOOKUP(CS1036&amp;CT1036,(VLOOKUP!$A$3:$A$250)&amp;(VLOOKUP!$B$3:$B$250),VLOOKUP!$C$3:$C$250,"Incomplete",-1)</f>
        <v>Incomplete</v>
      </c>
      <c r="CV1036" s="20" t="str" cm="1">
        <f t="array" ref="CV1036">_xlfn.XLOOKUP(CU1036, _xlfn.XLOOKUP(E1036, 'Normative data'!$Y$11:$Y$14, 'Normative data'!$Z$11:$AG$14, ,-1), 'Normative data'!$Z$10:$AG$10, "Not Found", -1)</f>
        <v>Excellent</v>
      </c>
      <c r="CW1036" s="20" t="str" cm="1">
        <f t="array" ref="CW1036">IF(OR(ISBLANK(CS1036),ISBLANK(CT1036)),"Incomplete",_xlfn.XLOOKUP(CS1036&amp;CT1036,VLOOKUP!$A$4:$A$250&amp;VLOOKUP!$B$4:$B$250,VLOOKUP!$D$4:$D$250,"0"))</f>
        <v>Incomplete</v>
      </c>
    </row>
    <row r="1037" spans="1:101">
      <c r="A1037" s="93" t="s">
        <v>562</v>
      </c>
      <c r="B1037" s="93" t="s">
        <v>213</v>
      </c>
      <c r="C1037" s="64" t="s">
        <v>86</v>
      </c>
      <c r="D1037" s="96">
        <v>40207</v>
      </c>
      <c r="E1037" s="64"/>
      <c r="F1037" s="64">
        <v>9</v>
      </c>
      <c r="G1037" s="64">
        <v>2025</v>
      </c>
      <c r="H1037" s="66"/>
      <c r="I1037" s="64"/>
      <c r="J1037" s="64"/>
      <c r="K1037" s="64"/>
      <c r="L1037" s="64"/>
      <c r="M1037" s="64"/>
      <c r="N1037" s="64"/>
      <c r="O1037" s="64"/>
      <c r="P1037" s="64"/>
      <c r="Q1037" s="64"/>
      <c r="R1037" s="64"/>
      <c r="S1037" s="66"/>
      <c r="T1037" s="66"/>
      <c r="U1037" s="66"/>
      <c r="V1037" s="66"/>
      <c r="W1037" s="66"/>
      <c r="X1037" s="66"/>
      <c r="Y1037" s="66"/>
      <c r="Z1037" s="66"/>
      <c r="AA1037" s="66"/>
      <c r="AB1037" s="66"/>
      <c r="AC1037" s="66"/>
      <c r="AD1037" s="66"/>
      <c r="AE1037" s="66"/>
      <c r="AF1037" s="66"/>
      <c r="AG1037" s="66"/>
      <c r="AH1037" s="66"/>
      <c r="AI1037" s="66"/>
      <c r="AJ1037" s="66"/>
      <c r="AK1037" s="66"/>
      <c r="AL1037" s="66"/>
      <c r="AM1037" s="66"/>
      <c r="AN1037" s="66"/>
      <c r="AO1037" s="66"/>
      <c r="AP1037" s="66"/>
      <c r="AQ1037" s="66"/>
      <c r="AR1037" s="66"/>
      <c r="AS1037" s="66"/>
      <c r="AT1037" s="66"/>
      <c r="AU1037" s="66"/>
      <c r="AV1037" s="66"/>
      <c r="AW1037" s="66"/>
      <c r="AX1037" s="66"/>
      <c r="AY1037" s="41" t="str">
        <f t="shared" si="323"/>
        <v>Incomplete</v>
      </c>
      <c r="AZ1037" s="66"/>
      <c r="BA1037" s="20" t="str">
        <f t="shared" si="324"/>
        <v>Incomplete</v>
      </c>
      <c r="BB1037" s="66"/>
      <c r="BC1037" s="20" t="str">
        <f t="shared" si="325"/>
        <v>Incomplete</v>
      </c>
      <c r="BD1037" s="66"/>
      <c r="BE1037" s="20" t="str">
        <f t="shared" si="326"/>
        <v>Incomplete</v>
      </c>
      <c r="BF1037" s="66"/>
      <c r="BG1037" s="66">
        <v>13</v>
      </c>
      <c r="BH1037" s="66">
        <v>43</v>
      </c>
      <c r="BI1037" s="20" t="e">
        <f>IF(OR(ISBLANK(#REF!), ISBLANK(#REF!)),"Incomplete",(SUM(#REF!-#REF!)))</f>
        <v>#REF!</v>
      </c>
      <c r="BJ1037" s="66"/>
      <c r="BK1037" s="66"/>
      <c r="BL1037" s="66"/>
      <c r="BM1037" s="66"/>
      <c r="BN1037" s="66"/>
      <c r="BO1037" s="66"/>
      <c r="BP1037" s="66"/>
      <c r="BQ1037" s="66"/>
      <c r="BR1037" s="66"/>
      <c r="BS1037" s="66"/>
      <c r="BT1037" s="66"/>
      <c r="BU1037" s="66"/>
      <c r="BV1037" s="66"/>
      <c r="BW1037" s="91" t="str">
        <f t="shared" si="327"/>
        <v>Incomplete</v>
      </c>
      <c r="BX1037" s="91" t="str">
        <f>_xlfn.XLOOKUP(BW1037,'Normative data'!$V$3:$V$6,'Normative data'!$W$3:$W$6,"Not Found",-1)</f>
        <v>Very low risk</v>
      </c>
      <c r="BY1037" s="91" t="str">
        <f t="shared" si="328"/>
        <v>Incomplete</v>
      </c>
      <c r="BZ1037" s="91" t="str">
        <f>_xlfn.XLOOKUP(BY1037,'Normative data'!$V$3:$V$6,'Normative data'!$W$3:$W$6,"Not Found",-1)</f>
        <v>Very low risk</v>
      </c>
      <c r="CA1037" s="66"/>
      <c r="CB1037" s="66"/>
      <c r="CC1037" s="20"/>
      <c r="CD1037" s="66"/>
      <c r="CE1037" s="66"/>
      <c r="CF1037" s="66"/>
      <c r="CG1037" s="66"/>
      <c r="CH1037" s="20" t="str">
        <f>_xlfn.XLOOKUP(CG1037, 'Normative data'!$S$9:$S$15,'Normative data'!$T$9:$T$15, "Not Found", -1)</f>
        <v>not completed</v>
      </c>
      <c r="CI1037" s="66"/>
      <c r="CJ1037" s="20" t="str">
        <f>_xlfn.XLOOKUP(CI1037, 'Normative data'!$S$9:$S$15, 'Normative data'!$T$9:$T$15, "Not Found", -1)</f>
        <v>not completed</v>
      </c>
      <c r="CK1037" s="105">
        <v>2.4500000000000002</v>
      </c>
      <c r="CL1037" s="105">
        <v>4.08</v>
      </c>
      <c r="CM1037" s="105"/>
      <c r="CN1037" s="105">
        <v>7.89</v>
      </c>
      <c r="CO1037" s="105">
        <v>6.34</v>
      </c>
      <c r="CP1037" s="109"/>
      <c r="CQ1037" s="68"/>
      <c r="CR1037" s="20" t="str" cm="1">
        <f t="array" ref="CR1037">IF(OR(ISBLANK(E1037),ISBLANK(CQ1037)),"Incomplete",_xlfn.XLOOKUP(CQ1037,_xlfn.XLOOKUP(E1037,'Normative data'!$Y$3:$Y$6,'Normative data'!$Z$3:$AG$6,,-1),'Normative data'!$Z$2:$AG$2,"Not Found",-1))</f>
        <v>Incomplete</v>
      </c>
      <c r="CS1037" s="68"/>
      <c r="CT1037" s="66"/>
      <c r="CU1037" s="20" t="str" cm="1">
        <f t="array" ref="CU1037">_xlfn.XLOOKUP(CS1037&amp;CT1037,(VLOOKUP!$A$3:$A$250)&amp;(VLOOKUP!$B$3:$B$250),VLOOKUP!$C$3:$C$250,"Incomplete",-1)</f>
        <v>Incomplete</v>
      </c>
      <c r="CV1037" s="20" t="str" cm="1">
        <f t="array" ref="CV1037">_xlfn.XLOOKUP(CU1037, _xlfn.XLOOKUP(E1037, 'Normative data'!$Y$11:$Y$14, 'Normative data'!$Z$11:$AG$14, ,-1), 'Normative data'!$Z$10:$AG$10, "Not Found", -1)</f>
        <v>Excellent</v>
      </c>
      <c r="CW1037" s="20" t="str" cm="1">
        <f t="array" ref="CW1037">IF(OR(ISBLANK(CS1037),ISBLANK(CT1037)),"Incomplete",_xlfn.XLOOKUP(CS1037&amp;CT1037,VLOOKUP!$A$4:$A$250&amp;VLOOKUP!$B$4:$B$250,VLOOKUP!$D$4:$D$250,"0"))</f>
        <v>Incomplete</v>
      </c>
    </row>
    <row r="1038" spans="1:101">
      <c r="A1038" s="64" t="s">
        <v>562</v>
      </c>
      <c r="B1038" s="64" t="s">
        <v>213</v>
      </c>
      <c r="C1038" s="64" t="s">
        <v>86</v>
      </c>
      <c r="D1038" s="96">
        <v>40207</v>
      </c>
      <c r="E1038" s="64"/>
      <c r="F1038" s="64">
        <v>9</v>
      </c>
      <c r="G1038" s="64">
        <v>2025</v>
      </c>
      <c r="H1038" s="66"/>
      <c r="I1038" s="64"/>
      <c r="J1038" s="64"/>
      <c r="K1038" s="64"/>
      <c r="L1038" s="64"/>
      <c r="M1038" s="64"/>
      <c r="N1038" s="64"/>
      <c r="O1038" s="64"/>
      <c r="P1038" s="64"/>
      <c r="Q1038" s="64"/>
      <c r="R1038" s="64"/>
      <c r="S1038" s="66"/>
      <c r="T1038" s="66"/>
      <c r="U1038" s="66"/>
      <c r="V1038" s="66"/>
      <c r="W1038" s="66"/>
      <c r="X1038" s="66"/>
      <c r="Y1038" s="66"/>
      <c r="Z1038" s="66"/>
      <c r="AA1038" s="66"/>
      <c r="AB1038" s="66"/>
      <c r="AC1038" s="66"/>
      <c r="AD1038" s="66"/>
      <c r="AE1038" s="66"/>
      <c r="AF1038" s="66"/>
      <c r="AG1038" s="66"/>
      <c r="AH1038" s="66"/>
      <c r="AI1038" s="66"/>
      <c r="AJ1038" s="66"/>
      <c r="AK1038" s="66"/>
      <c r="AL1038" s="66"/>
      <c r="AM1038" s="66"/>
      <c r="AN1038" s="66"/>
      <c r="AO1038" s="66"/>
      <c r="AP1038" s="66"/>
      <c r="AQ1038" s="20"/>
      <c r="AR1038" s="20"/>
      <c r="AS1038" s="20"/>
      <c r="AT1038" s="20"/>
      <c r="AU1038" s="20"/>
      <c r="AV1038" s="20"/>
      <c r="AW1038" s="20"/>
      <c r="AX1038" s="20"/>
      <c r="AY1038" s="41" t="str">
        <f t="shared" si="323"/>
        <v>Incomplete</v>
      </c>
      <c r="AZ1038" s="66"/>
      <c r="BA1038" s="20" t="str">
        <f t="shared" si="324"/>
        <v>Incomplete</v>
      </c>
      <c r="BB1038" s="66"/>
      <c r="BC1038" s="20" t="str">
        <f t="shared" si="325"/>
        <v>Incomplete</v>
      </c>
      <c r="BD1038" s="66"/>
      <c r="BE1038" s="20" t="str">
        <f t="shared" si="326"/>
        <v>Incomplete</v>
      </c>
      <c r="BF1038" s="66"/>
      <c r="BG1038" s="66"/>
      <c r="BH1038" s="66"/>
      <c r="BI1038" s="20" t="str">
        <f>IF(OR(ISBLANK(BG1038), ISBLANK(BH1038)),"Incomplete",(SUM(BH1038-BG1038)))</f>
        <v>Incomplete</v>
      </c>
      <c r="BJ1038" s="66"/>
      <c r="BK1038" s="66"/>
      <c r="BL1038" s="66"/>
      <c r="BM1038" s="66"/>
      <c r="BN1038" s="66"/>
      <c r="BO1038" s="66"/>
      <c r="BP1038" s="66"/>
      <c r="BQ1038" s="66"/>
      <c r="BR1038" s="66"/>
      <c r="BS1038" s="66"/>
      <c r="BT1038" s="66"/>
      <c r="BU1038" s="66"/>
      <c r="BV1038" s="66"/>
      <c r="BW1038" s="91" t="str">
        <f t="shared" si="327"/>
        <v>Incomplete</v>
      </c>
      <c r="BX1038" s="91" t="str">
        <f>_xlfn.XLOOKUP(BW1038,'Normative data'!$V$3:$V$6,'Normative data'!$W$3:$W$6,"Not Found",-1)</f>
        <v>Very low risk</v>
      </c>
      <c r="BY1038" s="91" t="str">
        <f t="shared" si="328"/>
        <v>Incomplete</v>
      </c>
      <c r="BZ1038" s="91" t="str">
        <f>_xlfn.XLOOKUP(BY1038,'Normative data'!$V$3:$V$6,'Normative data'!$W$3:$W$6,"Not Found",-1)</f>
        <v>Very low risk</v>
      </c>
      <c r="CA1038" s="66"/>
      <c r="CB1038" s="66"/>
      <c r="CC1038" s="20"/>
      <c r="CD1038" s="66"/>
      <c r="CE1038" s="66"/>
      <c r="CF1038" s="66"/>
      <c r="CG1038" s="20"/>
      <c r="CH1038" s="20" t="str">
        <f>_xlfn.XLOOKUP(CG1038, 'Normative data'!$S$9:$S$15,'Normative data'!$T$9:$T$15, "Not Found", -1)</f>
        <v>not completed</v>
      </c>
      <c r="CI1038" s="20"/>
      <c r="CJ1038" s="20" t="str">
        <f>_xlfn.XLOOKUP(CI1038, 'Normative data'!$S$9:$S$15, 'Normative data'!$T$9:$T$15, "Not Found", -1)</f>
        <v>not completed</v>
      </c>
      <c r="CK1038" s="66" t="s">
        <v>1577</v>
      </c>
      <c r="CL1038" s="66" t="s">
        <v>1578</v>
      </c>
      <c r="CM1038" s="66"/>
      <c r="CN1038" s="66" t="s">
        <v>1721</v>
      </c>
      <c r="CO1038" s="66" t="s">
        <v>1722</v>
      </c>
      <c r="CP1038" s="68"/>
      <c r="CQ1038" s="68"/>
      <c r="CR1038" s="20" t="str" cm="1">
        <f t="array" ref="CR1038">IF(OR(ISBLANK(E1038),ISBLANK(CQ1038)),"Incomplete",_xlfn.XLOOKUP(CQ1038,_xlfn.XLOOKUP(E1038,'Normative data'!$Y$3:$Y$6,'Normative data'!$Z$3:$AG$6,,-1),'Normative data'!$Z$2:$AG$2,"Not Found",-1))</f>
        <v>Incomplete</v>
      </c>
      <c r="CS1038" s="68"/>
      <c r="CT1038" s="66"/>
      <c r="CU1038" s="20" t="str" cm="1">
        <f t="array" ref="CU1038">_xlfn.XLOOKUP(CS1038&amp;CT1038,(VLOOKUP!$A$3:$A$250)&amp;(VLOOKUP!$B$3:$B$250),VLOOKUP!$C$3:$C$250,"Incomplete",-1)</f>
        <v>Incomplete</v>
      </c>
      <c r="CV1038" s="20" t="str" cm="1">
        <f t="array" ref="CV1038">_xlfn.XLOOKUP(CU1038, _xlfn.XLOOKUP(E1038, 'Normative data'!$Y$11:$Y$14, 'Normative data'!$Z$11:$AG$14, ,-1), 'Normative data'!$Z$10:$AG$10, "Not Found", -1)</f>
        <v>Excellent</v>
      </c>
      <c r="CW1038" s="20" t="str" cm="1">
        <f t="array" ref="CW1038">IF(OR(ISBLANK(CS1038),ISBLANK(CT1038)),"Incomplete",_xlfn.XLOOKUP(CS1038&amp;CT1038,VLOOKUP!$A$4:$A$250&amp;VLOOKUP!$B$4:$B$250,VLOOKUP!$D$4:$D$250,"0"))</f>
        <v>Incomplete</v>
      </c>
    </row>
    <row r="1039" spans="1:101">
      <c r="A1039" s="94" t="s">
        <v>390</v>
      </c>
      <c r="B1039" s="94" t="s">
        <v>213</v>
      </c>
      <c r="C1039" s="64" t="s">
        <v>86</v>
      </c>
      <c r="D1039" s="97">
        <v>39694</v>
      </c>
      <c r="E1039" s="64"/>
      <c r="F1039" s="64">
        <v>11</v>
      </c>
      <c r="G1039" s="64">
        <v>2025</v>
      </c>
      <c r="H1039" s="66"/>
      <c r="I1039" s="64"/>
      <c r="J1039" s="64"/>
      <c r="K1039" s="64"/>
      <c r="L1039" s="64"/>
      <c r="M1039" s="64"/>
      <c r="N1039" s="64"/>
      <c r="O1039" s="64"/>
      <c r="P1039" s="64"/>
      <c r="Q1039" s="64"/>
      <c r="R1039" s="64"/>
      <c r="S1039" s="66"/>
      <c r="T1039" s="66"/>
      <c r="U1039" s="66"/>
      <c r="V1039" s="66"/>
      <c r="W1039" s="66"/>
      <c r="X1039" s="66"/>
      <c r="Y1039" s="66"/>
      <c r="Z1039" s="66"/>
      <c r="AA1039" s="66"/>
      <c r="AB1039" s="66"/>
      <c r="AC1039" s="66"/>
      <c r="AD1039" s="66"/>
      <c r="AE1039" s="66"/>
      <c r="AF1039" s="66"/>
      <c r="AG1039" s="66"/>
      <c r="AH1039" s="66"/>
      <c r="AI1039" s="66"/>
      <c r="AJ1039" s="66"/>
      <c r="AK1039" s="66"/>
      <c r="AL1039" s="66"/>
      <c r="AM1039" s="66"/>
      <c r="AN1039" s="66"/>
      <c r="AO1039" s="66"/>
      <c r="AP1039" s="66"/>
      <c r="AQ1039" s="20"/>
      <c r="AR1039" s="20"/>
      <c r="AS1039" s="20"/>
      <c r="AT1039" s="20"/>
      <c r="AU1039" s="20"/>
      <c r="AV1039" s="20"/>
      <c r="AW1039" s="20"/>
      <c r="AX1039" s="20"/>
      <c r="AY1039" s="41" t="str">
        <f t="shared" si="323"/>
        <v>Incomplete</v>
      </c>
      <c r="AZ1039" s="66"/>
      <c r="BA1039" s="20" t="str">
        <f t="shared" si="324"/>
        <v>Incomplete</v>
      </c>
      <c r="BB1039" s="66"/>
      <c r="BC1039" s="20" t="str">
        <f t="shared" si="325"/>
        <v>Incomplete</v>
      </c>
      <c r="BD1039" s="66"/>
      <c r="BE1039" s="20" t="str">
        <f t="shared" si="326"/>
        <v>Incomplete</v>
      </c>
      <c r="BF1039" s="66"/>
      <c r="BG1039" s="66">
        <v>13.5</v>
      </c>
      <c r="BH1039" s="20">
        <v>33</v>
      </c>
      <c r="BI1039" s="20">
        <f>IF(OR(ISBLANK(BG1039), ISBLANK(BH1039)),"Incomplete",(SUM(BH1039-BG1039)))</f>
        <v>19.5</v>
      </c>
      <c r="BJ1039" s="66"/>
      <c r="BK1039" s="66">
        <v>11</v>
      </c>
      <c r="BL1039" s="66"/>
      <c r="BM1039" s="20">
        <v>10</v>
      </c>
      <c r="BN1039" s="66"/>
      <c r="BO1039" s="66"/>
      <c r="BP1039" s="66"/>
      <c r="BQ1039" s="66"/>
      <c r="BR1039" s="66"/>
      <c r="BS1039" s="66"/>
      <c r="BT1039" s="66"/>
      <c r="BU1039" s="66"/>
      <c r="BV1039" s="66"/>
      <c r="BW1039" s="91" t="str">
        <f t="shared" si="327"/>
        <v>Incomplete</v>
      </c>
      <c r="BX1039" s="91" t="str">
        <f>_xlfn.XLOOKUP(BW1039,'Normative data'!$V$3:$V$6,'Normative data'!$W$3:$W$6,"Not Found",-1)</f>
        <v>Very low risk</v>
      </c>
      <c r="BY1039" s="91" t="str">
        <f t="shared" si="328"/>
        <v>Incomplete</v>
      </c>
      <c r="BZ1039" s="91" t="str">
        <f>_xlfn.XLOOKUP(BY1039,'Normative data'!$V$3:$V$6,'Normative data'!$W$3:$W$6,"Not Found",-1)</f>
        <v>Very low risk</v>
      </c>
      <c r="CA1039" s="66"/>
      <c r="CB1039" s="66"/>
      <c r="CC1039" s="66"/>
      <c r="CD1039" s="66"/>
      <c r="CE1039" s="66"/>
      <c r="CF1039" s="66"/>
      <c r="CG1039" s="20"/>
      <c r="CH1039" s="20" t="str">
        <f>_xlfn.XLOOKUP(CG1039, 'Normative data'!$S$9:$S$15,'Normative data'!$T$9:$T$15, "Not Found", -1)</f>
        <v>not completed</v>
      </c>
      <c r="CI1039" s="20"/>
      <c r="CJ1039" s="20" t="str">
        <f>_xlfn.XLOOKUP(CI1039, 'Normative data'!$S$9:$S$15, 'Normative data'!$T$9:$T$15, "Not Found", -1)</f>
        <v>not completed</v>
      </c>
      <c r="CK1039" s="21"/>
      <c r="CL1039" s="21"/>
      <c r="CM1039" s="21"/>
      <c r="CN1039" s="21"/>
      <c r="CO1039" s="21"/>
      <c r="CP1039" s="110"/>
      <c r="CQ1039" s="68"/>
      <c r="CR1039" s="20" t="str" cm="1">
        <f t="array" ref="CR1039">IF(OR(ISBLANK(E1039),ISBLANK(CQ1039)),"Incomplete",_xlfn.XLOOKUP(CQ1039,_xlfn.XLOOKUP(E1039,'Normative data'!$Y$3:$Y$6,'Normative data'!$Z$3:$AG$6,,-1),'Normative data'!$Z$2:$AG$2,"Not Found",-1))</f>
        <v>Incomplete</v>
      </c>
      <c r="CS1039" s="68"/>
      <c r="CT1039" s="66"/>
      <c r="CU1039" s="20" t="str" cm="1">
        <f t="array" ref="CU1039">_xlfn.XLOOKUP(CS1039&amp;CT1039,(VLOOKUP!$A$3:$A$250)&amp;(VLOOKUP!$B$3:$B$250),VLOOKUP!$C$3:$C$250,"Incomplete",-1)</f>
        <v>Incomplete</v>
      </c>
      <c r="CV1039" s="20" t="str" cm="1">
        <f t="array" ref="CV1039">_xlfn.XLOOKUP(CU1039, _xlfn.XLOOKUP(E1039, 'Normative data'!$Y$11:$Y$14, 'Normative data'!$Z$11:$AG$14, ,-1), 'Normative data'!$Z$10:$AG$10, "Not Found", -1)</f>
        <v>Excellent</v>
      </c>
      <c r="CW1039" s="20" t="str" cm="1">
        <f t="array" ref="CW1039">IF(OR(ISBLANK(CS1039),ISBLANK(CT1039)),"Incomplete",_xlfn.XLOOKUP(CS1039&amp;CT1039,VLOOKUP!$A$4:$A$250&amp;VLOOKUP!$B$4:$B$250,VLOOKUP!$D$4:$D$250,"0"))</f>
        <v>Incomplete</v>
      </c>
    </row>
    <row r="1040" spans="1:101">
      <c r="A1040" s="94" t="s">
        <v>1126</v>
      </c>
      <c r="B1040" s="94" t="s">
        <v>213</v>
      </c>
      <c r="C1040" s="64" t="s">
        <v>86</v>
      </c>
      <c r="D1040" s="97">
        <v>40368</v>
      </c>
      <c r="E1040" s="64"/>
      <c r="F1040" s="64">
        <v>9</v>
      </c>
      <c r="G1040" s="64">
        <v>2025</v>
      </c>
      <c r="H1040" s="66"/>
      <c r="I1040" s="64"/>
      <c r="J1040" s="64"/>
      <c r="K1040" s="64"/>
      <c r="L1040" s="64"/>
      <c r="M1040" s="64"/>
      <c r="N1040" s="64"/>
      <c r="O1040" s="64"/>
      <c r="P1040" s="64"/>
      <c r="Q1040" s="64"/>
      <c r="R1040" s="64"/>
      <c r="S1040" s="66"/>
      <c r="T1040" s="66"/>
      <c r="U1040" s="66"/>
      <c r="V1040" s="66"/>
      <c r="W1040" s="66"/>
      <c r="X1040" s="66"/>
      <c r="Y1040" s="66"/>
      <c r="Z1040" s="66"/>
      <c r="AA1040" s="66"/>
      <c r="AB1040" s="66"/>
      <c r="AC1040" s="66"/>
      <c r="AD1040" s="66"/>
      <c r="AE1040" s="66"/>
      <c r="AF1040" s="66"/>
      <c r="AG1040" s="66"/>
      <c r="AH1040" s="66"/>
      <c r="AI1040" s="66"/>
      <c r="AJ1040" s="66"/>
      <c r="AK1040" s="66"/>
      <c r="AL1040" s="66"/>
      <c r="AM1040" s="66"/>
      <c r="AN1040" s="66"/>
      <c r="AO1040" s="66"/>
      <c r="AP1040" s="66"/>
      <c r="AQ1040" s="20"/>
      <c r="AR1040" s="20"/>
      <c r="AS1040" s="20"/>
      <c r="AT1040" s="20"/>
      <c r="AU1040" s="20"/>
      <c r="AV1040" s="20"/>
      <c r="AW1040" s="20"/>
      <c r="AX1040" s="20"/>
      <c r="AY1040" s="41" t="str">
        <f t="shared" si="323"/>
        <v>Incomplete</v>
      </c>
      <c r="AZ1040" s="66"/>
      <c r="BA1040" s="20" t="str">
        <f t="shared" si="324"/>
        <v>Incomplete</v>
      </c>
      <c r="BB1040" s="66"/>
      <c r="BC1040" s="20" t="str">
        <f t="shared" si="325"/>
        <v>Incomplete</v>
      </c>
      <c r="BD1040" s="66"/>
      <c r="BE1040" s="20" t="str">
        <f t="shared" si="326"/>
        <v>Incomplete</v>
      </c>
      <c r="BF1040" s="66"/>
      <c r="BG1040" s="66">
        <v>13</v>
      </c>
      <c r="BH1040" s="66">
        <v>27</v>
      </c>
      <c r="BI1040" s="20">
        <f>IF(OR(ISBLANK(BG1040), ISBLANK(BH1040)),"Incomplete",(SUM(BH1040-BG1040)))</f>
        <v>14</v>
      </c>
      <c r="BJ1040" s="66"/>
      <c r="BK1040" s="66">
        <v>7</v>
      </c>
      <c r="BL1040" s="66"/>
      <c r="BM1040" s="20">
        <v>8</v>
      </c>
      <c r="BN1040" s="66"/>
      <c r="BO1040" s="66"/>
      <c r="BP1040" s="66"/>
      <c r="BQ1040" s="66"/>
      <c r="BR1040" s="66"/>
      <c r="BS1040" s="66"/>
      <c r="BT1040" s="66"/>
      <c r="BU1040" s="66"/>
      <c r="BV1040" s="66"/>
      <c r="BW1040" s="91" t="str">
        <f t="shared" si="327"/>
        <v>Incomplete</v>
      </c>
      <c r="BX1040" s="91" t="str">
        <f>_xlfn.XLOOKUP(BW1040,'Normative data'!$V$3:$V$6,'Normative data'!$W$3:$W$6,"Not Found",-1)</f>
        <v>Very low risk</v>
      </c>
      <c r="BY1040" s="91" t="str">
        <f t="shared" si="328"/>
        <v>Incomplete</v>
      </c>
      <c r="BZ1040" s="91" t="str">
        <f>_xlfn.XLOOKUP(BY1040,'Normative data'!$V$3:$V$6,'Normative data'!$W$3:$W$6,"Not Found",-1)</f>
        <v>Very low risk</v>
      </c>
      <c r="CA1040" s="20"/>
      <c r="CB1040" s="66"/>
      <c r="CC1040" s="20"/>
      <c r="CD1040" s="66"/>
      <c r="CE1040" s="66"/>
      <c r="CF1040" s="66"/>
      <c r="CG1040" s="66"/>
      <c r="CH1040" s="20" t="str">
        <f>_xlfn.XLOOKUP(CG1040, 'Normative data'!$S$9:$S$15,'Normative data'!$T$9:$T$15, "Not Found", -1)</f>
        <v>not completed</v>
      </c>
      <c r="CI1040" s="66"/>
      <c r="CJ1040" s="20" t="str">
        <f>_xlfn.XLOOKUP(CI1040, 'Normative data'!$S$9:$S$15, 'Normative data'!$T$9:$T$15, "Not Found", -1)</f>
        <v>not completed</v>
      </c>
      <c r="CK1040" s="106">
        <v>2.4</v>
      </c>
      <c r="CL1040" s="106">
        <v>4.17</v>
      </c>
      <c r="CM1040" s="105"/>
      <c r="CN1040" s="106">
        <v>7.88</v>
      </c>
      <c r="CO1040" s="106">
        <v>6.35</v>
      </c>
      <c r="CP1040" s="111"/>
      <c r="CQ1040" s="68"/>
      <c r="CR1040" s="20" t="str" cm="1">
        <f t="array" ref="CR1040">IF(OR(ISBLANK(E1040),ISBLANK(CQ1040)),"Incomplete",_xlfn.XLOOKUP(CQ1040,_xlfn.XLOOKUP(E1040,'Normative data'!$Y$3:$Y$6,'Normative data'!$Z$3:$AG$6,,-1),'Normative data'!$Z$2:$AG$2,"Not Found",-1))</f>
        <v>Incomplete</v>
      </c>
      <c r="CS1040" s="68"/>
      <c r="CT1040" s="66"/>
      <c r="CU1040" s="20" t="str" cm="1">
        <f t="array" ref="CU1040">_xlfn.XLOOKUP(CS1040&amp;CT1040,(VLOOKUP!$A$3:$A$250)&amp;(VLOOKUP!$B$3:$B$250),VLOOKUP!$C$3:$C$250,"Incomplete",-1)</f>
        <v>Incomplete</v>
      </c>
      <c r="CV1040" s="20" t="str" cm="1">
        <f t="array" ref="CV1040">_xlfn.XLOOKUP(CU1040, _xlfn.XLOOKUP(E1040, 'Normative data'!$Y$11:$Y$14, 'Normative data'!$Z$11:$AG$14, ,-1), 'Normative data'!$Z$10:$AG$10, "Not Found", -1)</f>
        <v>Excellent</v>
      </c>
      <c r="CW1040" s="20" t="str" cm="1">
        <f t="array" ref="CW1040">IF(OR(ISBLANK(CS1040),ISBLANK(CT1040)),"Incomplete",_xlfn.XLOOKUP(CS1040&amp;CT1040,VLOOKUP!$A$4:$A$250&amp;VLOOKUP!$B$4:$B$250,VLOOKUP!$D$4:$D$250,"0"))</f>
        <v>Incomplete</v>
      </c>
    </row>
    <row r="1041" spans="1:101">
      <c r="A1041" s="64" t="s">
        <v>1714</v>
      </c>
      <c r="B1041" s="64" t="s">
        <v>1723</v>
      </c>
      <c r="C1041" s="64" t="s">
        <v>86</v>
      </c>
      <c r="D1041" s="97">
        <v>39819</v>
      </c>
      <c r="E1041" s="64"/>
      <c r="F1041" s="64"/>
      <c r="G1041" s="64">
        <v>2026</v>
      </c>
      <c r="H1041" s="66" t="s">
        <v>114</v>
      </c>
      <c r="I1041" s="64">
        <v>1</v>
      </c>
      <c r="J1041" s="64"/>
      <c r="K1041" s="64"/>
      <c r="L1041" s="64"/>
      <c r="M1041" s="64"/>
      <c r="N1041" s="64"/>
      <c r="O1041" s="64"/>
      <c r="P1041" s="64"/>
      <c r="Q1041" s="64"/>
      <c r="R1041" s="64"/>
      <c r="S1041" s="66"/>
      <c r="T1041" s="66"/>
      <c r="U1041" s="66"/>
      <c r="V1041" s="66"/>
      <c r="W1041" s="66"/>
      <c r="X1041" s="66"/>
      <c r="Y1041" s="66"/>
      <c r="Z1041" s="66"/>
      <c r="AA1041" s="66"/>
      <c r="AB1041" s="66"/>
      <c r="AC1041" s="66"/>
      <c r="AD1041" s="66"/>
      <c r="AE1041" s="66"/>
      <c r="AF1041" s="66"/>
      <c r="AG1041" s="66"/>
      <c r="AH1041" s="66"/>
      <c r="AI1041" s="66"/>
      <c r="AJ1041" s="66"/>
      <c r="AK1041" s="66"/>
      <c r="AL1041" s="66"/>
      <c r="AM1041" s="66"/>
      <c r="AN1041" s="66"/>
      <c r="AO1041" s="66"/>
      <c r="AP1041" s="66"/>
      <c r="AQ1041" s="66">
        <v>21.2</v>
      </c>
      <c r="AR1041" s="66">
        <v>0.41599999999999998</v>
      </c>
      <c r="AS1041" s="66">
        <v>29.7</v>
      </c>
      <c r="AT1041" s="66">
        <v>0.49199999999999999</v>
      </c>
      <c r="AU1041" s="66">
        <v>15.7</v>
      </c>
      <c r="AV1041" s="66">
        <v>0.35799999999999998</v>
      </c>
      <c r="AW1041" s="66">
        <v>14.9</v>
      </c>
      <c r="AX1041" s="66">
        <v>0.34899999999999998</v>
      </c>
      <c r="AY1041" s="41" t="str">
        <f t="shared" si="323"/>
        <v>Incomplete</v>
      </c>
      <c r="AZ1041" s="66"/>
      <c r="BA1041" s="20" t="str">
        <f t="shared" si="324"/>
        <v>Incomplete</v>
      </c>
      <c r="BB1041" s="66"/>
      <c r="BC1041" s="20" t="str">
        <f t="shared" si="325"/>
        <v>Incomplete</v>
      </c>
      <c r="BD1041" s="66"/>
      <c r="BE1041" s="20" t="str">
        <f t="shared" si="326"/>
        <v>Incomplete</v>
      </c>
      <c r="BF1041" s="66"/>
      <c r="BG1041" s="66">
        <v>17</v>
      </c>
      <c r="BH1041" s="66">
        <v>57</v>
      </c>
      <c r="BI1041" s="20">
        <f>IF(OR(ISBLANK(BG1041), ISBLANK(BH1041)),"Incomplete",(SUM(BH1041-BG1041)))</f>
        <v>40</v>
      </c>
      <c r="BJ1041" s="66"/>
      <c r="BK1041" s="66"/>
      <c r="BL1041" s="66"/>
      <c r="BM1041" s="66"/>
      <c r="BN1041" s="66"/>
      <c r="BO1041" s="66"/>
      <c r="BP1041" s="66"/>
      <c r="BQ1041" s="66"/>
      <c r="BR1041" s="66"/>
      <c r="BS1041" s="66"/>
      <c r="BT1041" s="66"/>
      <c r="BU1041" s="66"/>
      <c r="BV1041" s="66"/>
      <c r="BW1041" s="91" t="str">
        <f t="shared" si="327"/>
        <v>Incomplete</v>
      </c>
      <c r="BX1041" s="91" t="str">
        <f>_xlfn.XLOOKUP(BW1041,'Normative data'!$V$3:$V$6,'Normative data'!$W$3:$W$6,"Not Found",-1)</f>
        <v>Very low risk</v>
      </c>
      <c r="BY1041" s="91" t="str">
        <f t="shared" si="328"/>
        <v>Incomplete</v>
      </c>
      <c r="BZ1041" s="91" t="str">
        <f>_xlfn.XLOOKUP(BY1041,'Normative data'!$V$3:$V$6,'Normative data'!$W$3:$W$6,"Not Found",-1)</f>
        <v>Very low risk</v>
      </c>
      <c r="CA1041" s="66"/>
      <c r="CB1041" s="66"/>
      <c r="CC1041" s="20">
        <v>42</v>
      </c>
      <c r="CD1041" s="66"/>
      <c r="CE1041" s="66">
        <v>13</v>
      </c>
      <c r="CF1041" s="66"/>
      <c r="CG1041" s="66"/>
      <c r="CH1041" s="20" t="str">
        <f>_xlfn.XLOOKUP(CG1041, 'Normative data'!$S$9:$S$15,'Normative data'!$T$9:$T$15, "Not Found", -1)</f>
        <v>not completed</v>
      </c>
      <c r="CI1041" s="66"/>
      <c r="CJ1041" s="20" t="str">
        <f>_xlfn.XLOOKUP(CI1041, 'Normative data'!$S$9:$S$15, 'Normative data'!$T$9:$T$15, "Not Found", -1)</f>
        <v>not completed</v>
      </c>
      <c r="CK1041" s="66">
        <v>2.0699999999999998</v>
      </c>
      <c r="CL1041" s="66">
        <v>4.83</v>
      </c>
      <c r="CM1041" s="66"/>
      <c r="CN1041" s="66">
        <v>6.62</v>
      </c>
      <c r="CO1041" s="66">
        <v>7.55</v>
      </c>
      <c r="CP1041" s="68"/>
      <c r="CQ1041" s="68"/>
      <c r="CR1041" s="20" t="str" cm="1">
        <f t="array" ref="CR1041">IF(OR(ISBLANK(E1041),ISBLANK(CQ1041)),"Incomplete",_xlfn.XLOOKUP(CQ1041,_xlfn.XLOOKUP(E1041,'Normative data'!$Y$3:$Y$6,'Normative data'!$Z$3:$AG$6,,-1),'Normative data'!$Z$2:$AG$2,"Not Found",-1))</f>
        <v>Incomplete</v>
      </c>
      <c r="CS1041" s="68"/>
      <c r="CT1041" s="66"/>
      <c r="CU1041" s="20" t="str" cm="1">
        <f t="array" ref="CU1041">_xlfn.XLOOKUP(CS1041&amp;CT1041,(VLOOKUP!$A$3:$A$250)&amp;(VLOOKUP!$B$3:$B$250),VLOOKUP!$C$3:$C$250,"Incomplete",-1)</f>
        <v>Incomplete</v>
      </c>
      <c r="CV1041" s="20" t="str" cm="1">
        <f t="array" ref="CV1041">_xlfn.XLOOKUP(CU1041, _xlfn.XLOOKUP(E1041, 'Normative data'!$Y$11:$Y$14, 'Normative data'!$Z$11:$AG$14, ,-1), 'Normative data'!$Z$10:$AG$10, "Not Found", -1)</f>
        <v>Excellent</v>
      </c>
      <c r="CW1041" s="20" t="str" cm="1">
        <f t="array" ref="CW1041">IF(OR(ISBLANK(CS1041),ISBLANK(CT1041)),"Incomplete",_xlfn.XLOOKUP(CS1041&amp;CT1041,VLOOKUP!$A$4:$A$250&amp;VLOOKUP!$B$4:$B$250,VLOOKUP!$D$4:$D$250,"0"))</f>
        <v>Incomplete</v>
      </c>
    </row>
    <row r="1042" spans="1:101">
      <c r="A1042" s="64" t="s">
        <v>1724</v>
      </c>
      <c r="B1042" s="64" t="s">
        <v>1723</v>
      </c>
      <c r="C1042" s="64" t="s">
        <v>86</v>
      </c>
      <c r="D1042" s="97">
        <v>40368</v>
      </c>
      <c r="E1042" s="64"/>
      <c r="F1042" s="64">
        <v>9</v>
      </c>
      <c r="G1042" s="64">
        <v>2025</v>
      </c>
      <c r="H1042" s="66"/>
      <c r="I1042" s="64"/>
      <c r="J1042" s="64"/>
      <c r="K1042" s="64"/>
      <c r="L1042" s="64"/>
      <c r="M1042" s="64"/>
      <c r="N1042" s="64"/>
      <c r="O1042" s="64"/>
      <c r="P1042" s="64"/>
      <c r="Q1042" s="64"/>
      <c r="R1042" s="64"/>
      <c r="S1042" s="66"/>
      <c r="T1042" s="66"/>
      <c r="U1042" s="66"/>
      <c r="V1042" s="66"/>
      <c r="W1042" s="66"/>
      <c r="X1042" s="66"/>
      <c r="Y1042" s="66"/>
      <c r="Z1042" s="66"/>
      <c r="AA1042" s="66"/>
      <c r="AB1042" s="66"/>
      <c r="AC1042" s="66"/>
      <c r="AD1042" s="66"/>
      <c r="AE1042" s="66"/>
      <c r="AF1042" s="66"/>
      <c r="AG1042" s="66"/>
      <c r="AH1042" s="66"/>
      <c r="AI1042" s="66"/>
      <c r="AJ1042" s="66"/>
      <c r="AK1042" s="66"/>
      <c r="AL1042" s="66"/>
      <c r="AM1042" s="66"/>
      <c r="AN1042" s="66"/>
      <c r="AO1042" s="66"/>
      <c r="AP1042" s="66"/>
      <c r="AQ1042" s="20"/>
      <c r="AR1042" s="20"/>
      <c r="AS1042" s="20"/>
      <c r="AT1042" s="20"/>
      <c r="AU1042" s="20"/>
      <c r="AV1042" s="20"/>
      <c r="AW1042" s="20"/>
      <c r="AX1042" s="20"/>
      <c r="AY1042" s="41" t="str">
        <f t="shared" si="323"/>
        <v>Incomplete</v>
      </c>
      <c r="AZ1042" s="66"/>
      <c r="BA1042" s="20" t="str">
        <f t="shared" si="324"/>
        <v>Incomplete</v>
      </c>
      <c r="BB1042" s="66"/>
      <c r="BC1042" s="20" t="str">
        <f t="shared" si="325"/>
        <v>Incomplete</v>
      </c>
      <c r="BD1042" s="66"/>
      <c r="BE1042" s="20" t="str">
        <f t="shared" si="326"/>
        <v>Incomplete</v>
      </c>
      <c r="BF1042" s="66"/>
      <c r="BG1042" s="66"/>
      <c r="BH1042" s="66"/>
      <c r="BI1042" s="20" t="str">
        <f>IF(OR(ISBLANK(BG1042), ISBLANK(BH1042)),"Incomplete",(SUM(BH1042-BG1042)))</f>
        <v>Incomplete</v>
      </c>
      <c r="BJ1042" s="66"/>
      <c r="BK1042" s="66"/>
      <c r="BL1042" s="66"/>
      <c r="BM1042" s="20"/>
      <c r="BN1042" s="66"/>
      <c r="BO1042" s="66"/>
      <c r="BP1042" s="66"/>
      <c r="BQ1042" s="66"/>
      <c r="BR1042" s="66"/>
      <c r="BS1042" s="66"/>
      <c r="BT1042" s="66"/>
      <c r="BU1042" s="66"/>
      <c r="BV1042" s="66"/>
      <c r="BW1042" s="91" t="str">
        <f t="shared" si="327"/>
        <v>Incomplete</v>
      </c>
      <c r="BX1042" s="91" t="str">
        <f>_xlfn.XLOOKUP(BW1042,'Normative data'!$V$3:$V$6,'Normative data'!$W$3:$W$6,"Not Found",-1)</f>
        <v>Very low risk</v>
      </c>
      <c r="BY1042" s="91" t="str">
        <f t="shared" si="328"/>
        <v>Incomplete</v>
      </c>
      <c r="BZ1042" s="91" t="str">
        <f>_xlfn.XLOOKUP(BY1042,'Normative data'!$V$3:$V$6,'Normative data'!$W$3:$W$6,"Not Found",-1)</f>
        <v>Very low risk</v>
      </c>
      <c r="CA1042" s="20"/>
      <c r="CB1042" s="66"/>
      <c r="CC1042" s="20"/>
      <c r="CD1042" s="66"/>
      <c r="CE1042" s="66"/>
      <c r="CF1042" s="66"/>
      <c r="CG1042" s="66"/>
      <c r="CH1042" s="20" t="str">
        <f>_xlfn.XLOOKUP(CG1042, 'Normative data'!$S$9:$S$15,'Normative data'!$T$9:$T$15, "Not Found", -1)</f>
        <v>not completed</v>
      </c>
      <c r="CI1042" s="66"/>
      <c r="CJ1042" s="20" t="str">
        <f>_xlfn.XLOOKUP(CI1042, 'Normative data'!$S$9:$S$15, 'Normative data'!$T$9:$T$15, "Not Found", -1)</f>
        <v>not completed</v>
      </c>
      <c r="CK1042" s="66" t="s">
        <v>735</v>
      </c>
      <c r="CL1042" s="66" t="s">
        <v>361</v>
      </c>
      <c r="CM1042" s="66"/>
      <c r="CN1042" s="66" t="s">
        <v>551</v>
      </c>
      <c r="CO1042" s="66" t="s">
        <v>718</v>
      </c>
      <c r="CP1042" s="68"/>
      <c r="CQ1042" s="68"/>
      <c r="CR1042" s="20" t="str" cm="1">
        <f t="array" ref="CR1042">IF(OR(ISBLANK(E1042),ISBLANK(CQ1042)),"Incomplete",_xlfn.XLOOKUP(CQ1042,_xlfn.XLOOKUP(E1042,'Normative data'!$Y$3:$Y$6,'Normative data'!$Z$3:$AG$6,,-1),'Normative data'!$Z$2:$AG$2,"Not Found",-1))</f>
        <v>Incomplete</v>
      </c>
      <c r="CS1042" s="68"/>
      <c r="CT1042" s="66"/>
      <c r="CU1042" s="20" t="str" cm="1">
        <f t="array" ref="CU1042">_xlfn.XLOOKUP(CS1042&amp;CT1042,(VLOOKUP!$A$3:$A$250)&amp;(VLOOKUP!$B$3:$B$250),VLOOKUP!$C$3:$C$250,"Incomplete",-1)</f>
        <v>Incomplete</v>
      </c>
      <c r="CV1042" s="20" t="str" cm="1">
        <f t="array" ref="CV1042">_xlfn.XLOOKUP(CU1042, _xlfn.XLOOKUP(E1042, 'Normative data'!$Y$11:$Y$14, 'Normative data'!$Z$11:$AG$14, ,-1), 'Normative data'!$Z$10:$AG$10, "Not Found", -1)</f>
        <v>Excellent</v>
      </c>
      <c r="CW1042" s="20" t="str" cm="1">
        <f t="array" ref="CW1042">IF(OR(ISBLANK(CS1042),ISBLANK(CT1042)),"Incomplete",_xlfn.XLOOKUP(CS1042&amp;CT1042,VLOOKUP!$A$4:$A$250&amp;VLOOKUP!$B$4:$B$250,VLOOKUP!$D$4:$D$250,"0"))</f>
        <v>Incomplete</v>
      </c>
    </row>
    <row r="1043" spans="1:101">
      <c r="A1043" s="93" t="s">
        <v>917</v>
      </c>
      <c r="B1043" s="93" t="s">
        <v>1398</v>
      </c>
      <c r="C1043" s="64" t="s">
        <v>86</v>
      </c>
      <c r="D1043" s="96">
        <v>39989</v>
      </c>
      <c r="E1043" s="64"/>
      <c r="F1043" s="64">
        <v>10</v>
      </c>
      <c r="G1043" s="64">
        <v>2025</v>
      </c>
      <c r="H1043" s="66"/>
      <c r="I1043" s="64"/>
      <c r="J1043" s="64" t="s">
        <v>122</v>
      </c>
      <c r="K1043" s="64"/>
      <c r="L1043" s="64"/>
      <c r="M1043" s="64"/>
      <c r="N1043" s="64"/>
      <c r="O1043" s="64"/>
      <c r="P1043" s="64"/>
      <c r="Q1043" s="64"/>
      <c r="R1043" s="64"/>
      <c r="S1043" s="66"/>
      <c r="T1043" s="66"/>
      <c r="U1043" s="66"/>
      <c r="V1043" s="66"/>
      <c r="W1043" s="66"/>
      <c r="X1043" s="66"/>
      <c r="Y1043" s="66"/>
      <c r="Z1043" s="66"/>
      <c r="AA1043" s="66"/>
      <c r="AB1043" s="66"/>
      <c r="AC1043" s="66"/>
      <c r="AD1043" s="66"/>
      <c r="AE1043" s="66"/>
      <c r="AF1043" s="66"/>
      <c r="AG1043" s="66"/>
      <c r="AH1043" s="66"/>
      <c r="AI1043" s="66"/>
      <c r="AJ1043" s="66"/>
      <c r="AK1043" s="66"/>
      <c r="AL1043" s="66"/>
      <c r="AM1043" s="66"/>
      <c r="AN1043" s="66"/>
      <c r="AO1043" s="66"/>
      <c r="AP1043" s="66"/>
      <c r="AQ1043" s="20"/>
      <c r="AR1043" s="20"/>
      <c r="AS1043" s="20"/>
      <c r="AT1043" s="20"/>
      <c r="AU1043" s="20"/>
      <c r="AV1043" s="20"/>
      <c r="AW1043" s="20"/>
      <c r="AX1043" s="20"/>
      <c r="AY1043" s="41" t="str">
        <f t="shared" si="323"/>
        <v>Incomplete</v>
      </c>
      <c r="AZ1043" s="66"/>
      <c r="BA1043" s="20" t="str">
        <f t="shared" si="324"/>
        <v>Incomplete</v>
      </c>
      <c r="BB1043" s="66"/>
      <c r="BC1043" s="20" t="str">
        <f t="shared" si="325"/>
        <v>Incomplete</v>
      </c>
      <c r="BD1043" s="66"/>
      <c r="BE1043" s="20" t="str">
        <f t="shared" si="326"/>
        <v>Incomplete</v>
      </c>
      <c r="BF1043" s="66"/>
      <c r="BG1043" s="66">
        <v>14</v>
      </c>
      <c r="BH1043" s="20">
        <v>34.700000000000003</v>
      </c>
      <c r="BI1043" s="20" t="e">
        <f>IF(OR(ISBLANK(#REF!), ISBLANK(#REF!)),"Incomplete",(SUM(#REF!-#REF!)))</f>
        <v>#REF!</v>
      </c>
      <c r="BJ1043" s="66"/>
      <c r="BK1043" s="66"/>
      <c r="BL1043" s="66"/>
      <c r="BM1043" s="20"/>
      <c r="BN1043" s="66"/>
      <c r="BO1043" s="66"/>
      <c r="BP1043" s="66"/>
      <c r="BQ1043" s="66"/>
      <c r="BR1043" s="66"/>
      <c r="BS1043" s="66"/>
      <c r="BT1043" s="66"/>
      <c r="BU1043" s="66"/>
      <c r="BV1043" s="66"/>
      <c r="BW1043" s="91" t="str">
        <f t="shared" si="327"/>
        <v>Incomplete</v>
      </c>
      <c r="BX1043" s="91" t="str">
        <f>_xlfn.XLOOKUP(BW1043,'Normative data'!$V$3:$V$6,'Normative data'!$W$3:$W$6,"Not Found",-1)</f>
        <v>Very low risk</v>
      </c>
      <c r="BY1043" s="91" t="str">
        <f t="shared" si="328"/>
        <v>Incomplete</v>
      </c>
      <c r="BZ1043" s="91" t="str">
        <f>_xlfn.XLOOKUP(BY1043,'Normative data'!$V$3:$V$6,'Normative data'!$W$3:$W$6,"Not Found",-1)</f>
        <v>Very low risk</v>
      </c>
      <c r="CA1043" s="66"/>
      <c r="CB1043" s="66"/>
      <c r="CC1043" s="20"/>
      <c r="CD1043" s="66"/>
      <c r="CE1043" s="66"/>
      <c r="CF1043" s="66"/>
      <c r="CG1043" s="20">
        <v>17.36</v>
      </c>
      <c r="CH1043" s="20" t="str">
        <f>_xlfn.XLOOKUP(CG1043, 'Normative data'!$S$9:$S$15,'Normative data'!$T$9:$T$15, "Not Found", -1)</f>
        <v>Above Average</v>
      </c>
      <c r="CI1043" s="20">
        <v>17.34</v>
      </c>
      <c r="CJ1043" s="20" t="str">
        <f>_xlfn.XLOOKUP(CI1043, 'Normative data'!$S$9:$S$15, 'Normative data'!$T$9:$T$15, "Not Found", -1)</f>
        <v>Above Average</v>
      </c>
      <c r="CK1043" s="105">
        <v>2.2400000000000002</v>
      </c>
      <c r="CL1043" s="105">
        <v>4.46</v>
      </c>
      <c r="CM1043" s="105"/>
      <c r="CN1043" s="105">
        <v>6.77</v>
      </c>
      <c r="CO1043" s="105">
        <v>7.39</v>
      </c>
      <c r="CP1043" s="68"/>
      <c r="CQ1043" s="68"/>
      <c r="CR1043" s="20" t="str" cm="1">
        <f t="array" ref="CR1043">IF(OR(ISBLANK(E1043),ISBLANK(CQ1043)),"Incomplete",_xlfn.XLOOKUP(CQ1043,_xlfn.XLOOKUP(E1043,'Normative data'!$Y$3:$Y$6,'Normative data'!$Z$3:$AG$6,,-1),'Normative data'!$Z$2:$AG$2,"Not Found",-1))</f>
        <v>Incomplete</v>
      </c>
      <c r="CS1043" s="68"/>
      <c r="CT1043" s="66"/>
      <c r="CU1043" s="20" t="str" cm="1">
        <f t="array" ref="CU1043">_xlfn.XLOOKUP(CS1043&amp;CT1043,(VLOOKUP!$A$3:$A$250)&amp;(VLOOKUP!$B$3:$B$250),VLOOKUP!$C$3:$C$250,"Incomplete",-1)</f>
        <v>Incomplete</v>
      </c>
      <c r="CV1043" s="20" t="str" cm="1">
        <f t="array" ref="CV1043">_xlfn.XLOOKUP(CU1043, _xlfn.XLOOKUP(E1043, 'Normative data'!$Y$11:$Y$14, 'Normative data'!$Z$11:$AG$14, ,-1), 'Normative data'!$Z$10:$AG$10, "Not Found", -1)</f>
        <v>Excellent</v>
      </c>
      <c r="CW1043" s="20" t="str" cm="1">
        <f t="array" ref="CW1043">IF(OR(ISBLANK(CS1043),ISBLANK(CT1043)),"Incomplete",_xlfn.XLOOKUP(CS1043&amp;CT1043,VLOOKUP!$A$4:$A$250&amp;VLOOKUP!$B$4:$B$250,VLOOKUP!$D$4:$D$250,"0"))</f>
        <v>Incomplete</v>
      </c>
    </row>
    <row r="1044" spans="1:101">
      <c r="A1044" s="64" t="s">
        <v>917</v>
      </c>
      <c r="B1044" s="64" t="s">
        <v>1398</v>
      </c>
      <c r="C1044" s="64" t="s">
        <v>86</v>
      </c>
      <c r="D1044" s="65"/>
      <c r="E1044" s="64"/>
      <c r="F1044" s="64"/>
      <c r="G1044" s="64">
        <v>2025</v>
      </c>
      <c r="H1044" s="66"/>
      <c r="I1044" s="64"/>
      <c r="J1044" s="64"/>
      <c r="K1044" s="64"/>
      <c r="L1044" s="64"/>
      <c r="M1044" s="64"/>
      <c r="N1044" s="64"/>
      <c r="O1044" s="64"/>
      <c r="P1044" s="64"/>
      <c r="Q1044" s="64"/>
      <c r="R1044" s="64"/>
      <c r="S1044" s="66"/>
      <c r="T1044" s="66">
        <v>164</v>
      </c>
      <c r="U1044" s="66" t="s">
        <v>1725</v>
      </c>
      <c r="V1044" s="66"/>
      <c r="W1044" s="66"/>
      <c r="X1044" s="66"/>
      <c r="Y1044" s="66"/>
      <c r="Z1044" s="66"/>
      <c r="AA1044" s="66"/>
      <c r="AB1044" s="66"/>
      <c r="AC1044" s="66"/>
      <c r="AD1044" s="66"/>
      <c r="AE1044" s="66"/>
      <c r="AF1044" s="66"/>
      <c r="AG1044" s="66"/>
      <c r="AH1044" s="66"/>
      <c r="AI1044" s="66"/>
      <c r="AJ1044" s="66"/>
      <c r="AK1044" s="66"/>
      <c r="AL1044" s="66"/>
      <c r="AM1044" s="66"/>
      <c r="AN1044" s="66"/>
      <c r="AO1044" s="66"/>
      <c r="AP1044" s="66"/>
      <c r="AQ1044" s="66">
        <v>19.2</v>
      </c>
      <c r="AR1044" s="66">
        <v>0.39600000000000002</v>
      </c>
      <c r="AS1044" s="66">
        <v>18</v>
      </c>
      <c r="AT1044" s="66">
        <v>0.38300000000000001</v>
      </c>
      <c r="AU1044" s="66">
        <v>10.8</v>
      </c>
      <c r="AV1044" s="66">
        <v>0.29699999999999999</v>
      </c>
      <c r="AW1044" s="66">
        <v>13</v>
      </c>
      <c r="AX1044" s="66">
        <v>0.32600000000000001</v>
      </c>
      <c r="AY1044" s="41" t="e">
        <f>IF(OR(ISBLANK(U1044), ISBLANK(#REF!)), "Incomplete", (60.7*#REF!)+(45.3*U1044)-2055)</f>
        <v>#REF!</v>
      </c>
      <c r="AZ1044" s="66"/>
      <c r="BA1044" s="20" t="e">
        <f>IF(OR(ISBLANK(U1044), ISBLANK(#REF!)), "Incomplete", (60.7*#REF!)+(45.3*U1044)-2055)</f>
        <v>#REF!</v>
      </c>
      <c r="BB1044" s="66"/>
      <c r="BC1044" s="20" t="e">
        <f>IF(OR(ISBLANK(U1044), ISBLANK(#REF!)), "Incomplete", (60.7*#REF!)+(45.3*U1044)-2055)</f>
        <v>#REF!</v>
      </c>
      <c r="BD1044" s="66"/>
      <c r="BE1044" s="20" t="e">
        <f>IF(OR(ISBLANK(U1044), ISBLANK(#REF!)), "Incomplete", (60.7*#REF!)+(45.3*U1044)-2055)</f>
        <v>#REF!</v>
      </c>
      <c r="BF1044" s="66"/>
      <c r="BG1044" s="66"/>
      <c r="BH1044" s="66"/>
      <c r="BI1044" s="20" t="str">
        <f t="shared" ref="BI1044:BI1070" si="329">IF(OR(ISBLANK(BG1044), ISBLANK(BH1044)),"Incomplete",(SUM(BH1044-BG1044)))</f>
        <v>Incomplete</v>
      </c>
      <c r="BJ1044" s="66"/>
      <c r="BK1044" s="66"/>
      <c r="BL1044" s="66"/>
      <c r="BM1044" s="66"/>
      <c r="BN1044" s="66"/>
      <c r="BO1044" s="66"/>
      <c r="BP1044" s="66"/>
      <c r="BQ1044" s="66"/>
      <c r="BR1044" s="66"/>
      <c r="BS1044" s="66"/>
      <c r="BT1044" s="66"/>
      <c r="BU1044" s="66"/>
      <c r="BV1044" s="66"/>
      <c r="BW1044" s="91">
        <f t="shared" si="327"/>
        <v>0</v>
      </c>
      <c r="BX1044" s="91" t="str">
        <f>_xlfn.XLOOKUP(BW1044,'Normative data'!$V$3:$V$6,'Normative data'!$W$3:$W$6,"Not Found",-1)</f>
        <v>Not completed</v>
      </c>
      <c r="BY1044" s="91">
        <f t="shared" si="328"/>
        <v>0</v>
      </c>
      <c r="BZ1044" s="91" t="str">
        <f>_xlfn.XLOOKUP(BY1044,'Normative data'!$V$3:$V$6,'Normative data'!$W$3:$W$6,"Not Found",-1)</f>
        <v>Not completed</v>
      </c>
      <c r="CA1044" s="66"/>
      <c r="CB1044" s="66"/>
      <c r="CC1044" s="20"/>
      <c r="CD1044" s="66"/>
      <c r="CE1044" s="66">
        <v>4</v>
      </c>
      <c r="CF1044" s="66"/>
      <c r="CG1044" s="66">
        <v>17.62</v>
      </c>
      <c r="CH1044" s="20" t="e">
        <f>_xlfn.XLOOKUP(#REF!, 'Normative data'!$S$9:$S$15,'Normative data'!$T$9:$T$15, "Not Found", -1)</f>
        <v>#REF!</v>
      </c>
      <c r="CI1044" s="66">
        <v>17.39</v>
      </c>
      <c r="CJ1044" s="20" t="e">
        <f>_xlfn.XLOOKUP(#REF!, 'Normative data'!$S$9:$S$15, 'Normative data'!$T$9:$T$15, "Not Found", -1)</f>
        <v>#REF!</v>
      </c>
      <c r="CK1044" s="66" t="s">
        <v>397</v>
      </c>
      <c r="CL1044" s="66" t="s">
        <v>398</v>
      </c>
      <c r="CM1044" s="105"/>
      <c r="CN1044" s="66" t="s">
        <v>413</v>
      </c>
      <c r="CO1044" s="66" t="s">
        <v>412</v>
      </c>
      <c r="CP1044" s="68"/>
      <c r="CQ1044" s="68"/>
      <c r="CR1044" s="20" t="str" cm="1">
        <f t="array" ref="CR1044">IF(OR(ISBLANK(E1044),ISBLANK(CQ1044)),"Incomplete",_xlfn.XLOOKUP(CQ1044,_xlfn.XLOOKUP(E1044,'Normative data'!$Y$3:$Y$6,'Normative data'!$Z$3:$AG$6,,-1),'Normative data'!$Z$2:$AG$2,"Not Found",-1))</f>
        <v>Incomplete</v>
      </c>
      <c r="CS1044" s="68"/>
      <c r="CT1044" s="66"/>
      <c r="CU1044" s="20" t="str" cm="1">
        <f t="array" ref="CU1044">_xlfn.XLOOKUP(CS1044&amp;CT1044,(VLOOKUP!$A$3:$A$250)&amp;(VLOOKUP!$B$3:$B$250),VLOOKUP!$C$3:$C$250,"Incomplete",-1)</f>
        <v>Incomplete</v>
      </c>
      <c r="CV1044" s="20" t="str" cm="1">
        <f t="array" ref="CV1044">_xlfn.XLOOKUP(CU1044, _xlfn.XLOOKUP(E1044, 'Normative data'!$Y$11:$Y$14, 'Normative data'!$Z$11:$AG$14, ,-1), 'Normative data'!$Z$10:$AG$10, "Not Found", -1)</f>
        <v>Excellent</v>
      </c>
      <c r="CW1044" s="20" t="str" cm="1">
        <f t="array" ref="CW1044">IF(OR(ISBLANK(CS1044),ISBLANK(CT1044)),"Incomplete",_xlfn.XLOOKUP(CS1044&amp;CT1044,VLOOKUP!$A$4:$A$250&amp;VLOOKUP!$B$4:$B$250,VLOOKUP!$D$4:$D$250,"0"))</f>
        <v>Incomplete</v>
      </c>
    </row>
    <row r="1045" spans="1:101">
      <c r="A1045" s="64" t="s">
        <v>675</v>
      </c>
      <c r="B1045" s="64" t="s">
        <v>674</v>
      </c>
      <c r="C1045" s="64" t="s">
        <v>86</v>
      </c>
      <c r="D1045" s="65"/>
      <c r="E1045" s="64"/>
      <c r="F1045" s="66" t="s">
        <v>104</v>
      </c>
      <c r="G1045" s="64">
        <v>2026</v>
      </c>
      <c r="H1045" s="66"/>
      <c r="I1045" s="66">
        <v>2</v>
      </c>
      <c r="J1045" s="66" t="s">
        <v>100</v>
      </c>
      <c r="K1045" s="66" t="s">
        <v>173</v>
      </c>
      <c r="L1045" s="66"/>
      <c r="M1045" s="64"/>
      <c r="N1045" s="64"/>
      <c r="O1045" s="64"/>
      <c r="P1045" s="64"/>
      <c r="Q1045" s="64"/>
      <c r="R1045" s="64"/>
      <c r="S1045" s="66">
        <v>87.7</v>
      </c>
      <c r="T1045" s="66">
        <v>168.8</v>
      </c>
      <c r="U1045" s="64"/>
      <c r="V1045" s="64"/>
      <c r="W1045" s="64"/>
      <c r="X1045" s="64"/>
      <c r="Y1045" s="64"/>
      <c r="Z1045" s="64"/>
      <c r="AA1045" s="64"/>
      <c r="AB1045" s="64"/>
      <c r="AC1045" s="64"/>
      <c r="AD1045" s="64"/>
      <c r="AE1045" s="64"/>
      <c r="AF1045" s="64"/>
      <c r="AG1045" s="64"/>
      <c r="AH1045" s="64"/>
      <c r="AI1045" s="64"/>
      <c r="AJ1045" s="64"/>
      <c r="AK1045" s="64"/>
      <c r="AL1045" s="64"/>
      <c r="AM1045" s="64"/>
      <c r="AN1045" s="64"/>
      <c r="AO1045" s="64"/>
      <c r="AP1045" s="64"/>
      <c r="AQ1045" s="20"/>
      <c r="AR1045" s="20"/>
      <c r="AS1045" s="20"/>
      <c r="AT1045" s="20"/>
      <c r="AU1045" s="20"/>
      <c r="AV1045" s="20"/>
      <c r="AW1045" s="20"/>
      <c r="AX1045" s="20"/>
      <c r="AY1045" s="41" t="str">
        <f t="shared" ref="AY1045:AY1090" si="330">IF(OR(ISBLANK(U1045), ISBLANK(AQ1045)), "Incomplete", (60.7*AQ1045)+(45.3*U1045)-2055)</f>
        <v>Incomplete</v>
      </c>
      <c r="AZ1045" s="64"/>
      <c r="BA1045" s="20" t="str">
        <f t="shared" ref="BA1045:BA1090" si="331">IF(OR(ISBLANK(U1045), ISBLANK(AS1045)), "Incomplete", (60.7*AS1045)+(45.3*U1045)-2055)</f>
        <v>Incomplete</v>
      </c>
      <c r="BB1045" s="64"/>
      <c r="BC1045" s="20" t="str">
        <f t="shared" ref="BC1045:BC1090" si="332">IF(OR(ISBLANK(U1045), ISBLANK(AU1045)), "Incomplete", (60.7*AU1045)+(45.3*U1045)-2055)</f>
        <v>Incomplete</v>
      </c>
      <c r="BD1045" s="64"/>
      <c r="BE1045" s="20" t="str">
        <f t="shared" ref="BE1045:BE1090" si="333">IF(OR(ISBLANK(U1045), ISBLANK(AW1045)), "Incomplete", (60.7*AW1045)+(45.3*U1045)-2055)</f>
        <v>Incomplete</v>
      </c>
      <c r="BF1045" s="64"/>
      <c r="BG1045" s="64">
        <v>9.1</v>
      </c>
      <c r="BH1045" s="17">
        <v>33.200000000000003</v>
      </c>
      <c r="BI1045" s="20">
        <f t="shared" si="329"/>
        <v>24.1</v>
      </c>
      <c r="BJ1045" s="66"/>
      <c r="BK1045" s="64">
        <v>6</v>
      </c>
      <c r="BL1045" s="66"/>
      <c r="BM1045" s="17">
        <v>6</v>
      </c>
      <c r="BN1045" s="66"/>
      <c r="BO1045" s="64">
        <v>46</v>
      </c>
      <c r="BP1045" s="64">
        <v>44.5</v>
      </c>
      <c r="BQ1045" s="64">
        <v>72</v>
      </c>
      <c r="BR1045" s="64">
        <v>83</v>
      </c>
      <c r="BS1045" s="64">
        <v>73</v>
      </c>
      <c r="BT1045" s="64">
        <v>63</v>
      </c>
      <c r="BU1045" s="64">
        <v>89</v>
      </c>
      <c r="BV1045" s="64">
        <v>69</v>
      </c>
      <c r="BW1045" s="91">
        <f t="shared" si="327"/>
        <v>93.711467324290993</v>
      </c>
      <c r="BX1045" s="91" t="str">
        <f>_xlfn.XLOOKUP(BW1045,'Normative data'!$V$3:$V$6,'Normative data'!$W$3:$W$6,"Not Found",-1)</f>
        <v>High risk</v>
      </c>
      <c r="BY1045" s="91">
        <f t="shared" si="328"/>
        <v>90.834360871352231</v>
      </c>
      <c r="BZ1045" s="91" t="str">
        <f>_xlfn.XLOOKUP(BY1045,'Normative data'!$V$3:$V$6,'Normative data'!$W$3:$W$6,"Not Found",-1)</f>
        <v>High risk</v>
      </c>
      <c r="CA1045" s="64"/>
      <c r="CB1045" s="66"/>
      <c r="CD1045" s="66"/>
      <c r="CE1045" s="64"/>
      <c r="CF1045" s="66"/>
      <c r="CG1045" s="20"/>
      <c r="CH1045" s="20" t="str">
        <f>_xlfn.XLOOKUP(CG1045, 'Normative data'!$S$9:$S$15,'Normative data'!$T$9:$T$15, "Not Found", -1)</f>
        <v>not completed</v>
      </c>
      <c r="CI1045" s="20"/>
      <c r="CJ1045" s="20" t="str">
        <f>_xlfn.XLOOKUP(CI1045, 'Normative data'!$S$9:$S$15, 'Normative data'!$T$9:$T$15, "Not Found", -1)</f>
        <v>not completed</v>
      </c>
      <c r="CK1045" s="105"/>
      <c r="CL1045" s="105"/>
      <c r="CM1045" s="105"/>
      <c r="CN1045" s="105"/>
      <c r="CO1045" s="105"/>
      <c r="CP1045" s="68"/>
      <c r="CQ1045" s="67"/>
      <c r="CR1045" s="20" t="str" cm="1">
        <f t="array" ref="CR1045">IF(OR(ISBLANK(E1045),ISBLANK(CQ1045)),"Incomplete",_xlfn.XLOOKUP(CQ1045,_xlfn.XLOOKUP(E1045,'Normative data'!$Y$3:$Y$6,'Normative data'!$Z$3:$AG$6,,-1),'Normative data'!$Z$2:$AG$2,"Not Found",-1))</f>
        <v>Incomplete</v>
      </c>
      <c r="CS1045" s="68"/>
      <c r="CT1045" s="66"/>
      <c r="CU1045" s="20" t="str" cm="1">
        <f t="array" ref="CU1045">_xlfn.XLOOKUP(CS1045&amp;CT1045,(VLOOKUP!$A$3:$A$250)&amp;(VLOOKUP!$B$3:$B$250),VLOOKUP!$C$3:$C$250,"Incomplete",-1)</f>
        <v>Incomplete</v>
      </c>
      <c r="CV1045" s="20" t="str" cm="1">
        <f t="array" ref="CV1045">_xlfn.XLOOKUP(CU1045, _xlfn.XLOOKUP(E1045, 'Normative data'!$Y$11:$Y$14, 'Normative data'!$Z$11:$AG$14, ,-1), 'Normative data'!$Z$10:$AG$10, "Not Found", -1)</f>
        <v>Excellent</v>
      </c>
      <c r="CW1045" s="20" t="str" cm="1">
        <f t="array" ref="CW1045">IF(OR(ISBLANK(CS1045),ISBLANK(CT1045)),"Incomplete",_xlfn.XLOOKUP(CS1045&amp;CT1045,VLOOKUP!$A$4:$A$250&amp;VLOOKUP!$B$4:$B$250,VLOOKUP!$D$4:$D$250,"0"))</f>
        <v>Incomplete</v>
      </c>
    </row>
    <row r="1046" spans="1:101">
      <c r="A1046" s="64" t="s">
        <v>1496</v>
      </c>
      <c r="B1046" s="64" t="s">
        <v>674</v>
      </c>
      <c r="C1046" s="64" t="s">
        <v>86</v>
      </c>
      <c r="D1046" s="65"/>
      <c r="E1046" s="64"/>
      <c r="F1046" s="66" t="s">
        <v>162</v>
      </c>
      <c r="G1046" s="64">
        <v>2026</v>
      </c>
      <c r="H1046" s="66"/>
      <c r="I1046" s="66">
        <v>2</v>
      </c>
      <c r="J1046" s="66" t="s">
        <v>88</v>
      </c>
      <c r="K1046" s="66" t="s">
        <v>297</v>
      </c>
      <c r="L1046" s="66"/>
      <c r="M1046" s="64"/>
      <c r="N1046" s="64"/>
      <c r="O1046" s="64"/>
      <c r="P1046" s="64"/>
      <c r="Q1046" s="64"/>
      <c r="R1046" s="64"/>
      <c r="S1046" s="66"/>
      <c r="T1046" s="66"/>
      <c r="U1046" s="64"/>
      <c r="V1046" s="64"/>
      <c r="W1046" s="64"/>
      <c r="X1046" s="64"/>
      <c r="Y1046" s="64"/>
      <c r="Z1046" s="64"/>
      <c r="AA1046" s="64"/>
      <c r="AB1046" s="64"/>
      <c r="AC1046" s="64"/>
      <c r="AD1046" s="64"/>
      <c r="AE1046" s="64"/>
      <c r="AF1046" s="64"/>
      <c r="AG1046" s="64"/>
      <c r="AH1046" s="64"/>
      <c r="AI1046" s="64"/>
      <c r="AJ1046" s="64"/>
      <c r="AK1046" s="64"/>
      <c r="AL1046" s="64"/>
      <c r="AM1046" s="64"/>
      <c r="AN1046" s="64"/>
      <c r="AO1046" s="64"/>
      <c r="AP1046" s="64"/>
      <c r="AY1046" s="41" t="str">
        <f t="shared" si="330"/>
        <v>Incomplete</v>
      </c>
      <c r="AZ1046" s="64"/>
      <c r="BA1046" s="20" t="str">
        <f t="shared" si="331"/>
        <v>Incomplete</v>
      </c>
      <c r="BB1046" s="64"/>
      <c r="BC1046" s="20" t="str">
        <f t="shared" si="332"/>
        <v>Incomplete</v>
      </c>
      <c r="BD1046" s="64"/>
      <c r="BE1046" s="20" t="str">
        <f t="shared" si="333"/>
        <v>Incomplete</v>
      </c>
      <c r="BF1046" s="64"/>
      <c r="BG1046" s="64"/>
      <c r="BH1046" s="66"/>
      <c r="BI1046" s="20" t="str">
        <f t="shared" si="329"/>
        <v>Incomplete</v>
      </c>
      <c r="BJ1046" s="66"/>
      <c r="BK1046" s="64"/>
      <c r="BL1046" s="66"/>
      <c r="BM1046" s="66"/>
      <c r="BN1046" s="66"/>
      <c r="BO1046" s="64"/>
      <c r="BP1046" s="64"/>
      <c r="BQ1046" s="64"/>
      <c r="BR1046" s="64"/>
      <c r="BS1046" s="64"/>
      <c r="BT1046" s="64"/>
      <c r="BU1046" s="64"/>
      <c r="BV1046" s="64"/>
      <c r="BW1046" s="91" t="str">
        <f t="shared" si="327"/>
        <v>Incomplete</v>
      </c>
      <c r="BX1046" s="91" t="str">
        <f>_xlfn.XLOOKUP(BW1046,'Normative data'!$V$3:$V$6,'Normative data'!$W$3:$W$6,"Not Found",-1)</f>
        <v>Very low risk</v>
      </c>
      <c r="BY1046" s="91" t="str">
        <f t="shared" si="328"/>
        <v>Incomplete</v>
      </c>
      <c r="BZ1046" s="91" t="str">
        <f>_xlfn.XLOOKUP(BY1046,'Normative data'!$V$3:$V$6,'Normative data'!$W$3:$W$6,"Not Found",-1)</f>
        <v>Very low risk</v>
      </c>
      <c r="CA1046" s="66"/>
      <c r="CB1046" s="66"/>
      <c r="CC1046" s="20"/>
      <c r="CD1046" s="66"/>
      <c r="CE1046" s="64">
        <v>20</v>
      </c>
      <c r="CF1046" s="66"/>
      <c r="CG1046" s="20"/>
      <c r="CH1046" s="20" t="str">
        <f>_xlfn.XLOOKUP(CG1046, 'Normative data'!$S$9:$S$15,'Normative data'!$T$9:$T$15, "Not Found", -1)</f>
        <v>not completed</v>
      </c>
      <c r="CI1046" s="20"/>
      <c r="CJ1046" s="20" t="str">
        <f>_xlfn.XLOOKUP(CI1046, 'Normative data'!$S$9:$S$15, 'Normative data'!$T$9:$T$15, "Not Found", -1)</f>
        <v>not completed</v>
      </c>
      <c r="CK1046" s="64">
        <v>2.0299999999999998</v>
      </c>
      <c r="CL1046" s="64">
        <v>4.93</v>
      </c>
      <c r="CM1046" s="66"/>
      <c r="CN1046" s="64">
        <v>6.18</v>
      </c>
      <c r="CO1046" s="64">
        <v>8.09</v>
      </c>
      <c r="CP1046" s="68"/>
      <c r="CQ1046" s="67"/>
      <c r="CR1046" s="20" t="str" cm="1">
        <f t="array" ref="CR1046">IF(OR(ISBLANK(E1046),ISBLANK(CQ1046)),"Incomplete",_xlfn.XLOOKUP(CQ1046,_xlfn.XLOOKUP(E1046,'Normative data'!$Y$3:$Y$6,'Normative data'!$Z$3:$AG$6,,-1),'Normative data'!$Z$2:$AG$2,"Not Found",-1))</f>
        <v>Incomplete</v>
      </c>
      <c r="CS1046" s="68"/>
      <c r="CT1046" s="66"/>
      <c r="CU1046" s="20" t="str" cm="1">
        <f t="array" ref="CU1046">_xlfn.XLOOKUP(CS1046&amp;CT1046,(VLOOKUP!$A$3:$A$250)&amp;(VLOOKUP!$B$3:$B$250),VLOOKUP!$C$3:$C$250,"Incomplete",-1)</f>
        <v>Incomplete</v>
      </c>
      <c r="CV1046" s="20" t="str" cm="1">
        <f t="array" ref="CV1046">_xlfn.XLOOKUP(CU1046, _xlfn.XLOOKUP(E1046, 'Normative data'!$Y$11:$Y$14, 'Normative data'!$Z$11:$AG$14, ,-1), 'Normative data'!$Z$10:$AG$10, "Not Found", -1)</f>
        <v>Excellent</v>
      </c>
      <c r="CW1046" s="20" t="str" cm="1">
        <f t="array" ref="CW1046">IF(OR(ISBLANK(CS1046),ISBLANK(CT1046)),"Incomplete",_xlfn.XLOOKUP(CS1046&amp;CT1046,VLOOKUP!$A$4:$A$250&amp;VLOOKUP!$B$4:$B$250,VLOOKUP!$D$4:$D$250,"0"))</f>
        <v>Incomplete</v>
      </c>
    </row>
    <row r="1047" spans="1:101">
      <c r="A1047" s="64" t="s">
        <v>1513</v>
      </c>
      <c r="B1047" s="64" t="s">
        <v>674</v>
      </c>
      <c r="C1047" s="64" t="s">
        <v>86</v>
      </c>
      <c r="D1047" s="65">
        <v>40680</v>
      </c>
      <c r="E1047" s="64">
        <v>14.7</v>
      </c>
      <c r="F1047" s="66" t="s">
        <v>87</v>
      </c>
      <c r="G1047" s="64">
        <v>2026</v>
      </c>
      <c r="H1047" s="66"/>
      <c r="I1047" s="66">
        <v>2</v>
      </c>
      <c r="J1047" s="66" t="s">
        <v>100</v>
      </c>
      <c r="K1047" s="66" t="s">
        <v>105</v>
      </c>
      <c r="L1047" s="66"/>
      <c r="M1047" s="64"/>
      <c r="N1047" s="64"/>
      <c r="O1047" s="64"/>
      <c r="P1047" s="64"/>
      <c r="Q1047" s="64"/>
      <c r="R1047" s="64"/>
      <c r="S1047" s="66">
        <v>84.6</v>
      </c>
      <c r="T1047" s="66">
        <v>163.9</v>
      </c>
      <c r="U1047" s="64">
        <v>62.7</v>
      </c>
      <c r="V1047" s="64">
        <v>36.799999999999997</v>
      </c>
      <c r="W1047" s="64">
        <v>12.5</v>
      </c>
      <c r="X1047" s="64">
        <v>50.2</v>
      </c>
      <c r="Y1047" s="64">
        <v>27.9</v>
      </c>
      <c r="Z1047" s="64">
        <v>23.3</v>
      </c>
      <c r="AA1047" s="64">
        <v>19.899999999999999</v>
      </c>
      <c r="AB1047" s="64">
        <v>7.17</v>
      </c>
      <c r="AC1047" s="64">
        <v>104.7</v>
      </c>
      <c r="AD1047" s="64">
        <v>7.21</v>
      </c>
      <c r="AE1047" s="64">
        <v>105.3</v>
      </c>
      <c r="AF1047" s="64">
        <v>1.9</v>
      </c>
      <c r="AG1047" s="64">
        <v>75.900000000000006</v>
      </c>
      <c r="AH1047" s="64">
        <v>1.9</v>
      </c>
      <c r="AI1047" s="64">
        <v>75.7</v>
      </c>
      <c r="AJ1047" s="64">
        <v>263.5</v>
      </c>
      <c r="AK1047" s="64">
        <v>258.5</v>
      </c>
      <c r="AL1047" s="64">
        <v>233.4</v>
      </c>
      <c r="AM1047" s="64">
        <v>229.6</v>
      </c>
      <c r="AN1047" s="64">
        <v>108</v>
      </c>
      <c r="AO1047" s="64">
        <v>0.85</v>
      </c>
      <c r="AP1047" s="64">
        <v>7.4</v>
      </c>
      <c r="AY1047" s="41" t="str">
        <f t="shared" si="330"/>
        <v>Incomplete</v>
      </c>
      <c r="AZ1047" s="64"/>
      <c r="BA1047" s="20" t="str">
        <f t="shared" si="331"/>
        <v>Incomplete</v>
      </c>
      <c r="BB1047" s="64"/>
      <c r="BC1047" s="20" t="str">
        <f t="shared" si="332"/>
        <v>Incomplete</v>
      </c>
      <c r="BD1047" s="64"/>
      <c r="BE1047" s="20" t="str">
        <f t="shared" si="333"/>
        <v>Incomplete</v>
      </c>
      <c r="BF1047" s="64"/>
      <c r="BG1047" s="64">
        <v>24</v>
      </c>
      <c r="BH1047" s="64">
        <v>32</v>
      </c>
      <c r="BI1047" s="20">
        <f t="shared" si="329"/>
        <v>8</v>
      </c>
      <c r="BJ1047" s="66"/>
      <c r="BK1047" s="64">
        <v>13</v>
      </c>
      <c r="BL1047" s="66"/>
      <c r="BM1047" s="17">
        <v>12</v>
      </c>
      <c r="BN1047" s="66"/>
      <c r="BO1047" s="64">
        <v>50</v>
      </c>
      <c r="BP1047" s="64">
        <v>51</v>
      </c>
      <c r="BQ1047" s="64">
        <v>80</v>
      </c>
      <c r="BR1047" s="64">
        <v>85</v>
      </c>
      <c r="BS1047" s="64">
        <v>82</v>
      </c>
      <c r="BT1047" s="64">
        <v>80</v>
      </c>
      <c r="BU1047" s="64">
        <v>77</v>
      </c>
      <c r="BV1047" s="64">
        <v>83</v>
      </c>
      <c r="BW1047" s="91">
        <f t="shared" si="327"/>
        <v>103.82513661202184</v>
      </c>
      <c r="BX1047" s="91" t="str">
        <f>_xlfn.XLOOKUP(BW1047,'Normative data'!$V$3:$V$6,'Normative data'!$W$3:$W$6,"Not Found",-1)</f>
        <v>Low risk</v>
      </c>
      <c r="BY1047" s="91">
        <f t="shared" si="328"/>
        <v>100.88272383354348</v>
      </c>
      <c r="BZ1047" s="91" t="str">
        <f>_xlfn.XLOOKUP(BY1047,'Normative data'!$V$3:$V$6,'Normative data'!$W$3:$W$6,"Not Found",-1)</f>
        <v>Low risk</v>
      </c>
      <c r="CB1047" s="66"/>
      <c r="CD1047" s="66"/>
      <c r="CE1047" s="64"/>
      <c r="CF1047" s="66"/>
      <c r="CG1047" s="17">
        <v>17.579999999999998</v>
      </c>
      <c r="CH1047" s="20" t="str">
        <f>_xlfn.XLOOKUP(CG1047, 'Normative data'!$S$9:$S$15,'Normative data'!$T$9:$T$15, "Not Found", -1)</f>
        <v>Above Average</v>
      </c>
      <c r="CI1047" s="17">
        <v>18.920000000000002</v>
      </c>
      <c r="CJ1047" s="20" t="str">
        <f>_xlfn.XLOOKUP(CI1047, 'Normative data'!$S$9:$S$15, 'Normative data'!$T$9:$T$15, "Not Found", -1)</f>
        <v>Average</v>
      </c>
      <c r="CK1047" s="105"/>
      <c r="CL1047" s="105"/>
      <c r="CM1047" s="105"/>
      <c r="CN1047" s="105"/>
      <c r="CO1047" s="105"/>
      <c r="CP1047" s="68"/>
      <c r="CQ1047" s="67"/>
      <c r="CR1047" s="20" t="str" cm="1">
        <f t="array" ref="CR1047">IF(OR(ISBLANK(E1047),ISBLANK(CQ1047)),"Incomplete",_xlfn.XLOOKUP(CQ1047,_xlfn.XLOOKUP(E1047,'Normative data'!$Y$3:$Y$6,'Normative data'!$Z$3:$AG$6,,-1),'Normative data'!$Z$2:$AG$2,"Not Found",-1))</f>
        <v>Incomplete</v>
      </c>
      <c r="CS1047" s="68"/>
      <c r="CT1047" s="66"/>
      <c r="CU1047" s="20" t="str" cm="1">
        <f t="array" ref="CU1047">_xlfn.XLOOKUP(CS1047&amp;CT1047,(VLOOKUP!$A$3:$A$250)&amp;(VLOOKUP!$B$3:$B$250),VLOOKUP!$C$3:$C$250,"Incomplete",-1)</f>
        <v>Incomplete</v>
      </c>
      <c r="CV1047" s="20" t="str" cm="1">
        <f t="array" ref="CV1047">_xlfn.XLOOKUP(CU1047, _xlfn.XLOOKUP(E1047, 'Normative data'!$Y$11:$Y$14, 'Normative data'!$Z$11:$AG$14, ,-1), 'Normative data'!$Z$10:$AG$10, "Not Found", -1)</f>
        <v>Excellent</v>
      </c>
      <c r="CW1047" s="20" t="str" cm="1">
        <f t="array" ref="CW1047">IF(OR(ISBLANK(CS1047),ISBLANK(CT1047)),"Incomplete",_xlfn.XLOOKUP(CS1047&amp;CT1047,VLOOKUP!$A$4:$A$250&amp;VLOOKUP!$B$4:$B$250,VLOOKUP!$D$4:$D$250,"0"))</f>
        <v>Incomplete</v>
      </c>
    </row>
    <row r="1048" spans="1:101">
      <c r="A1048" s="64" t="s">
        <v>1546</v>
      </c>
      <c r="B1048" s="64" t="s">
        <v>674</v>
      </c>
      <c r="C1048" s="64" t="s">
        <v>86</v>
      </c>
      <c r="D1048" s="65"/>
      <c r="E1048" s="64"/>
      <c r="F1048" s="66" t="s">
        <v>181</v>
      </c>
      <c r="G1048" s="64">
        <v>2026</v>
      </c>
      <c r="H1048" s="66"/>
      <c r="I1048" s="66">
        <v>2</v>
      </c>
      <c r="J1048" s="66"/>
      <c r="K1048" s="66"/>
      <c r="L1048" s="66"/>
      <c r="M1048" s="64"/>
      <c r="N1048" s="64"/>
      <c r="O1048" s="64"/>
      <c r="P1048" s="64"/>
      <c r="Q1048" s="64"/>
      <c r="R1048" s="64"/>
      <c r="S1048" s="66"/>
      <c r="T1048" s="66"/>
      <c r="U1048" s="64"/>
      <c r="V1048" s="64"/>
      <c r="W1048" s="64"/>
      <c r="X1048" s="64"/>
      <c r="Y1048" s="64"/>
      <c r="Z1048" s="64"/>
      <c r="AA1048" s="64"/>
      <c r="AB1048" s="64"/>
      <c r="AC1048" s="64"/>
      <c r="AD1048" s="64"/>
      <c r="AE1048" s="64"/>
      <c r="AF1048" s="64"/>
      <c r="AG1048" s="64"/>
      <c r="AH1048" s="64"/>
      <c r="AI1048" s="64"/>
      <c r="AJ1048" s="64"/>
      <c r="AK1048" s="64"/>
      <c r="AL1048" s="64"/>
      <c r="AM1048" s="64"/>
      <c r="AN1048" s="64"/>
      <c r="AO1048" s="64"/>
      <c r="AP1048" s="64"/>
      <c r="AY1048" s="41" t="str">
        <f t="shared" si="330"/>
        <v>Incomplete</v>
      </c>
      <c r="AZ1048" s="64"/>
      <c r="BA1048" s="20" t="str">
        <f t="shared" si="331"/>
        <v>Incomplete</v>
      </c>
      <c r="BB1048" s="64"/>
      <c r="BC1048" s="20" t="str">
        <f t="shared" si="332"/>
        <v>Incomplete</v>
      </c>
      <c r="BD1048" s="64"/>
      <c r="BE1048" s="20" t="str">
        <f t="shared" si="333"/>
        <v>Incomplete</v>
      </c>
      <c r="BF1048" s="64"/>
      <c r="BG1048" s="64"/>
      <c r="BH1048" s="66"/>
      <c r="BI1048" s="20" t="str">
        <f t="shared" si="329"/>
        <v>Incomplete</v>
      </c>
      <c r="BJ1048" s="66"/>
      <c r="BK1048" s="64"/>
      <c r="BL1048" s="66"/>
      <c r="BM1048" s="20"/>
      <c r="BN1048" s="66"/>
      <c r="BO1048" s="64"/>
      <c r="BP1048" s="64"/>
      <c r="BQ1048" s="64"/>
      <c r="BR1048" s="64"/>
      <c r="BS1048" s="64"/>
      <c r="BT1048" s="64"/>
      <c r="BU1048" s="64"/>
      <c r="BV1048" s="64"/>
      <c r="BW1048" s="91" t="str">
        <f t="shared" si="327"/>
        <v>Incomplete</v>
      </c>
      <c r="BX1048" s="91" t="str">
        <f>_xlfn.XLOOKUP(BW1048,'Normative data'!$V$3:$V$6,'Normative data'!$W$3:$W$6,"Not Found",-1)</f>
        <v>Very low risk</v>
      </c>
      <c r="BY1048" s="91" t="str">
        <f t="shared" si="328"/>
        <v>Incomplete</v>
      </c>
      <c r="BZ1048" s="91" t="str">
        <f>_xlfn.XLOOKUP(BY1048,'Normative data'!$V$3:$V$6,'Normative data'!$W$3:$W$6,"Not Found",-1)</f>
        <v>Very low risk</v>
      </c>
      <c r="CB1048" s="66"/>
      <c r="CD1048" s="66"/>
      <c r="CE1048" s="64"/>
      <c r="CF1048" s="66"/>
      <c r="CG1048" s="66"/>
      <c r="CH1048" s="20" t="str">
        <f>_xlfn.XLOOKUP(CG1048, 'Normative data'!$S$9:$S$15,'Normative data'!$T$9:$T$15, "Not Found", -1)</f>
        <v>not completed</v>
      </c>
      <c r="CI1048" s="66"/>
      <c r="CJ1048" s="20" t="str">
        <f>_xlfn.XLOOKUP(CI1048, 'Normative data'!$S$9:$S$15, 'Normative data'!$T$9:$T$15, "Not Found", -1)</f>
        <v>not completed</v>
      </c>
      <c r="CK1048" s="105"/>
      <c r="CL1048" s="105"/>
      <c r="CM1048" s="105"/>
      <c r="CN1048" s="105"/>
      <c r="CO1048" s="105"/>
      <c r="CP1048" s="68"/>
      <c r="CQ1048" s="67"/>
      <c r="CR1048" s="20" t="str" cm="1">
        <f t="array" ref="CR1048">IF(OR(ISBLANK(E1048),ISBLANK(CQ1048)),"Incomplete",_xlfn.XLOOKUP(CQ1048,_xlfn.XLOOKUP(E1048,'Normative data'!$Y$3:$Y$6,'Normative data'!$Z$3:$AG$6,,-1),'Normative data'!$Z$2:$AG$2,"Not Found",-1))</f>
        <v>Incomplete</v>
      </c>
      <c r="CS1048" s="68"/>
      <c r="CT1048" s="66"/>
      <c r="CU1048" s="20" t="str" cm="1">
        <f t="array" ref="CU1048">_xlfn.XLOOKUP(CS1048&amp;CT1048,(VLOOKUP!$A$3:$A$250)&amp;(VLOOKUP!$B$3:$B$250),VLOOKUP!$C$3:$C$250,"Incomplete",-1)</f>
        <v>Incomplete</v>
      </c>
      <c r="CV1048" s="20" t="str" cm="1">
        <f t="array" ref="CV1048">_xlfn.XLOOKUP(CU1048, _xlfn.XLOOKUP(E1048, 'Normative data'!$Y$11:$Y$14, 'Normative data'!$Z$11:$AG$14, ,-1), 'Normative data'!$Z$10:$AG$10, "Not Found", -1)</f>
        <v>Excellent</v>
      </c>
      <c r="CW1048" s="20" t="str" cm="1">
        <f t="array" ref="CW1048">IF(OR(ISBLANK(CS1048),ISBLANK(CT1048)),"Incomplete",_xlfn.XLOOKUP(CS1048&amp;CT1048,VLOOKUP!$A$4:$A$250&amp;VLOOKUP!$B$4:$B$250,VLOOKUP!$D$4:$D$250,"0"))</f>
        <v>Incomplete</v>
      </c>
    </row>
    <row r="1049" spans="1:101">
      <c r="A1049" s="64" t="s">
        <v>176</v>
      </c>
      <c r="B1049" s="64" t="s">
        <v>1726</v>
      </c>
      <c r="C1049" s="64" t="s">
        <v>86</v>
      </c>
      <c r="D1049" s="65">
        <v>41189</v>
      </c>
      <c r="E1049" s="64">
        <v>13.8</v>
      </c>
      <c r="F1049" s="66" t="s">
        <v>157</v>
      </c>
      <c r="G1049" s="64">
        <v>2026</v>
      </c>
      <c r="H1049" s="66"/>
      <c r="I1049" s="66">
        <v>2</v>
      </c>
      <c r="J1049" s="66" t="s">
        <v>100</v>
      </c>
      <c r="K1049" s="66" t="s">
        <v>108</v>
      </c>
      <c r="L1049" s="66"/>
      <c r="M1049" s="64"/>
      <c r="N1049" s="64"/>
      <c r="O1049" s="64"/>
      <c r="P1049" s="64"/>
      <c r="Q1049" s="64"/>
      <c r="R1049" s="64"/>
      <c r="S1049" s="66">
        <v>83.2</v>
      </c>
      <c r="T1049" s="66">
        <v>161.80000000000001</v>
      </c>
      <c r="U1049" s="64">
        <v>49.6</v>
      </c>
      <c r="V1049" s="64">
        <v>28.6</v>
      </c>
      <c r="W1049" s="64">
        <v>10.6</v>
      </c>
      <c r="X1049" s="64">
        <v>39</v>
      </c>
      <c r="Y1049" s="64">
        <v>21</v>
      </c>
      <c r="Z1049" s="64">
        <v>18.899999999999999</v>
      </c>
      <c r="AA1049" s="64">
        <v>21.3</v>
      </c>
      <c r="AB1049" s="64">
        <v>5.64</v>
      </c>
      <c r="AC1049" s="64">
        <v>98.3</v>
      </c>
      <c r="AD1049" s="64">
        <v>5.56</v>
      </c>
      <c r="AE1049" s="64">
        <v>97</v>
      </c>
      <c r="AF1049" s="64">
        <v>1.7</v>
      </c>
      <c r="AG1049" s="64">
        <v>73.3</v>
      </c>
      <c r="AH1049" s="64">
        <v>1.7</v>
      </c>
      <c r="AI1049" s="64">
        <v>72.900000000000006</v>
      </c>
      <c r="AJ1049" s="64">
        <v>328.6</v>
      </c>
      <c r="AK1049" s="64">
        <v>337.9</v>
      </c>
      <c r="AL1049" s="64">
        <v>297.8</v>
      </c>
      <c r="AM1049" s="64">
        <v>306.60000000000002</v>
      </c>
      <c r="AN1049" s="64">
        <v>101</v>
      </c>
      <c r="AO1049" s="64">
        <v>0.84</v>
      </c>
      <c r="AP1049" s="64">
        <v>5.6</v>
      </c>
      <c r="AQ1049" s="20"/>
      <c r="AR1049" s="20"/>
      <c r="AS1049" s="20"/>
      <c r="AT1049" s="20"/>
      <c r="AU1049" s="20"/>
      <c r="AV1049" s="20"/>
      <c r="AW1049" s="20"/>
      <c r="AX1049" s="20"/>
      <c r="AY1049" s="41" t="str">
        <f t="shared" si="330"/>
        <v>Incomplete</v>
      </c>
      <c r="AZ1049" s="64"/>
      <c r="BA1049" s="20" t="str">
        <f t="shared" si="331"/>
        <v>Incomplete</v>
      </c>
      <c r="BB1049" s="64"/>
      <c r="BC1049" s="20" t="str">
        <f t="shared" si="332"/>
        <v>Incomplete</v>
      </c>
      <c r="BD1049" s="64"/>
      <c r="BE1049" s="20" t="str">
        <f t="shared" si="333"/>
        <v>Incomplete</v>
      </c>
      <c r="BF1049" s="64"/>
      <c r="BG1049" s="64"/>
      <c r="BH1049" s="66"/>
      <c r="BI1049" s="20" t="str">
        <f t="shared" si="329"/>
        <v>Incomplete</v>
      </c>
      <c r="BJ1049" s="66"/>
      <c r="BK1049" s="64"/>
      <c r="BL1049" s="66"/>
      <c r="BM1049" s="66"/>
      <c r="BN1049" s="66"/>
      <c r="BO1049" s="64"/>
      <c r="BP1049" s="64"/>
      <c r="BQ1049" s="64">
        <v>75</v>
      </c>
      <c r="BR1049" s="64">
        <v>84</v>
      </c>
      <c r="BS1049" s="64">
        <v>79</v>
      </c>
      <c r="BT1049" s="64">
        <v>82</v>
      </c>
      <c r="BU1049" s="64">
        <v>67</v>
      </c>
      <c r="BV1049" s="64">
        <v>71</v>
      </c>
      <c r="BW1049" s="91">
        <f t="shared" si="327"/>
        <v>100.93299406276506</v>
      </c>
      <c r="BX1049" s="91" t="str">
        <f>_xlfn.XLOOKUP(BW1049,'Normative data'!$V$3:$V$6,'Normative data'!$W$3:$W$6,"Not Found",-1)</f>
        <v>Low risk</v>
      </c>
      <c r="BY1049" s="91">
        <f t="shared" si="328"/>
        <v>93.299406276505508</v>
      </c>
      <c r="BZ1049" s="91" t="str">
        <f>_xlfn.XLOOKUP(BY1049,'Normative data'!$V$3:$V$6,'Normative data'!$W$3:$W$6,"Not Found",-1)</f>
        <v>High risk</v>
      </c>
      <c r="CB1049" s="66"/>
      <c r="CD1049" s="66"/>
      <c r="CE1049" s="64"/>
      <c r="CF1049" s="66"/>
      <c r="CG1049" s="66"/>
      <c r="CH1049" s="20" t="str">
        <f>_xlfn.XLOOKUP(CG1049, 'Normative data'!$S$9:$S$15,'Normative data'!$T$9:$T$15, "Not Found", -1)</f>
        <v>not completed</v>
      </c>
      <c r="CI1049" s="66"/>
      <c r="CJ1049" s="20" t="str">
        <f>_xlfn.XLOOKUP(CI1049, 'Normative data'!$S$9:$S$15, 'Normative data'!$T$9:$T$15, "Not Found", -1)</f>
        <v>not completed</v>
      </c>
      <c r="CK1049" s="64">
        <v>2.2200000000000002</v>
      </c>
      <c r="CL1049" s="64">
        <v>4.5</v>
      </c>
      <c r="CM1049" s="66"/>
      <c r="CN1049" s="64">
        <v>8.0500000000000007</v>
      </c>
      <c r="CO1049" s="64">
        <v>6.21</v>
      </c>
      <c r="CP1049" s="68"/>
      <c r="CQ1049" s="67">
        <v>4.5</v>
      </c>
      <c r="CR1049" s="20" t="str" cm="1">
        <f t="array" ref="CR1049">IF(OR(ISBLANK(E1049),ISBLANK(CQ1049)),"Incomplete",_xlfn.XLOOKUP(CQ1049,_xlfn.XLOOKUP(E1049,'Normative data'!$Y$3:$Y$6,'Normative data'!$Z$3:$AG$6,,-1),'Normative data'!$Z$2:$AG$2,"Not Found",-1))</f>
        <v>Fair</v>
      </c>
      <c r="CS1049" s="68">
        <v>4</v>
      </c>
      <c r="CT1049" s="66">
        <v>5</v>
      </c>
      <c r="CU1049" s="20" cm="1">
        <f t="array" ref="CU1049">_xlfn.XLOOKUP(CS1049&amp;CT1049,(VLOOKUP!$A$3:$A$250)&amp;(VLOOKUP!$B$3:$B$250),VLOOKUP!$C$3:$C$250,"Incomplete",-1)</f>
        <v>560</v>
      </c>
      <c r="CV1049" s="20" t="str" cm="1">
        <f t="array" ref="CV1049">_xlfn.XLOOKUP(CU1049, _xlfn.XLOOKUP(E1049, 'Normative data'!$Y$11:$Y$14, 'Normative data'!$Z$11:$AG$14, ,-1), 'Normative data'!$Z$10:$AG$10, "Not Found", -1)</f>
        <v xml:space="preserve">Fair </v>
      </c>
      <c r="CW1049" s="20" cm="1">
        <f t="array" ref="CW1049">IF(OR(ISBLANK(CS1049),ISBLANK(CT1049)),"Incomplete",_xlfn.XLOOKUP(CS1049&amp;CT1049,VLOOKUP!$A$4:$A$250&amp;VLOOKUP!$B$4:$B$250,VLOOKUP!$D$4:$D$250,"0"))</f>
        <v>28</v>
      </c>
    </row>
    <row r="1050" spans="1:101">
      <c r="A1050" s="64" t="s">
        <v>1157</v>
      </c>
      <c r="B1050" s="64" t="s">
        <v>1166</v>
      </c>
      <c r="C1050" s="64" t="s">
        <v>86</v>
      </c>
      <c r="D1050" s="65">
        <v>40795</v>
      </c>
      <c r="E1050" s="64">
        <v>14.6</v>
      </c>
      <c r="F1050" s="66" t="s">
        <v>92</v>
      </c>
      <c r="G1050" s="64">
        <v>2026</v>
      </c>
      <c r="H1050" s="66"/>
      <c r="I1050" s="66">
        <v>2</v>
      </c>
      <c r="J1050" s="66"/>
      <c r="K1050" s="66"/>
      <c r="L1050" s="66"/>
      <c r="M1050" s="64"/>
      <c r="N1050" s="64"/>
      <c r="O1050" s="64"/>
      <c r="P1050" s="64"/>
      <c r="Q1050" s="64"/>
      <c r="R1050" s="64"/>
      <c r="S1050" s="66">
        <v>81.8</v>
      </c>
      <c r="T1050" s="66">
        <v>169.4</v>
      </c>
      <c r="U1050" s="64">
        <v>63.5</v>
      </c>
      <c r="V1050" s="64">
        <v>30</v>
      </c>
      <c r="W1050" s="64">
        <v>22.3</v>
      </c>
      <c r="X1050" s="64">
        <v>41.2</v>
      </c>
      <c r="Y1050" s="64">
        <v>22.1</v>
      </c>
      <c r="Z1050" s="64">
        <v>22.1</v>
      </c>
      <c r="AA1050" s="64">
        <v>35.1</v>
      </c>
      <c r="AB1050" s="64">
        <v>6.44</v>
      </c>
      <c r="AC1050" s="64">
        <v>89.4</v>
      </c>
      <c r="AD1050" s="64">
        <v>6.47</v>
      </c>
      <c r="AE1050" s="64">
        <v>89.9</v>
      </c>
      <c r="AF1050" s="64">
        <v>3.4</v>
      </c>
      <c r="AG1050" s="64">
        <v>130.19999999999999</v>
      </c>
      <c r="AH1050" s="64">
        <v>3.4</v>
      </c>
      <c r="AI1050" s="64">
        <v>130.4</v>
      </c>
      <c r="AJ1050" s="64">
        <v>375.6</v>
      </c>
      <c r="AK1050" s="64">
        <v>371.1</v>
      </c>
      <c r="AL1050" s="64">
        <v>338.5</v>
      </c>
      <c r="AM1050" s="64">
        <v>335.3</v>
      </c>
      <c r="AN1050" s="64">
        <v>94</v>
      </c>
      <c r="AO1050" s="64">
        <v>0.92</v>
      </c>
      <c r="AP1050" s="64">
        <v>5.8</v>
      </c>
      <c r="AQ1050" s="20"/>
      <c r="AR1050" s="20"/>
      <c r="AS1050" s="20"/>
      <c r="AT1050" s="20"/>
      <c r="AU1050" s="20"/>
      <c r="AV1050" s="20"/>
      <c r="AW1050" s="20"/>
      <c r="AX1050" s="20"/>
      <c r="AY1050" s="41" t="str">
        <f t="shared" si="330"/>
        <v>Incomplete</v>
      </c>
      <c r="AZ1050" s="64"/>
      <c r="BA1050" s="20" t="str">
        <f t="shared" si="331"/>
        <v>Incomplete</v>
      </c>
      <c r="BB1050" s="64"/>
      <c r="BC1050" s="20" t="str">
        <f t="shared" si="332"/>
        <v>Incomplete</v>
      </c>
      <c r="BD1050" s="64"/>
      <c r="BE1050" s="20" t="str">
        <f t="shared" si="333"/>
        <v>Incomplete</v>
      </c>
      <c r="BF1050" s="64"/>
      <c r="BG1050" s="64">
        <v>12.5</v>
      </c>
      <c r="BH1050" s="17">
        <v>34.5</v>
      </c>
      <c r="BI1050" s="20">
        <f t="shared" si="329"/>
        <v>22</v>
      </c>
      <c r="BJ1050" s="66"/>
      <c r="BK1050" s="64">
        <v>19.5</v>
      </c>
      <c r="BL1050" s="66"/>
      <c r="BM1050" s="17">
        <v>18.5</v>
      </c>
      <c r="BN1050" s="66"/>
      <c r="BO1050" s="64">
        <v>43.2</v>
      </c>
      <c r="BP1050" s="64">
        <v>45.7</v>
      </c>
      <c r="BQ1050" s="64">
        <v>76</v>
      </c>
      <c r="BR1050" s="64">
        <v>85</v>
      </c>
      <c r="BS1050" s="64">
        <v>77</v>
      </c>
      <c r="BT1050" s="64">
        <v>81</v>
      </c>
      <c r="BU1050" s="64">
        <v>89</v>
      </c>
      <c r="BV1050" s="64">
        <v>77</v>
      </c>
      <c r="BW1050" s="91">
        <f t="shared" si="327"/>
        <v>90.563165905631664</v>
      </c>
      <c r="BX1050" s="91" t="str">
        <f>_xlfn.XLOOKUP(BW1050,'Normative data'!$V$3:$V$6,'Normative data'!$W$3:$W$6,"Not Found",-1)</f>
        <v>High risk</v>
      </c>
      <c r="BY1050" s="91">
        <f t="shared" si="328"/>
        <v>93.987823439878227</v>
      </c>
      <c r="BZ1050" s="91" t="str">
        <f>_xlfn.XLOOKUP(BY1050,'Normative data'!$V$3:$V$6,'Normative data'!$W$3:$W$6,"Not Found",-1)</f>
        <v>High risk</v>
      </c>
      <c r="CA1050" s="64">
        <v>21</v>
      </c>
      <c r="CB1050" s="66"/>
      <c r="CC1050" s="20"/>
      <c r="CD1050" s="66"/>
      <c r="CE1050" s="64">
        <v>2</v>
      </c>
      <c r="CF1050" s="66"/>
      <c r="CH1050" s="20" t="str">
        <f>_xlfn.XLOOKUP(CG1050, 'Normative data'!$S$9:$S$15,'Normative data'!$T$9:$T$15, "Not Found", -1)</f>
        <v>not completed</v>
      </c>
      <c r="CI1050" s="17">
        <v>23.24</v>
      </c>
      <c r="CJ1050" s="20" t="str">
        <f>_xlfn.XLOOKUP(CI1050, 'Normative data'!$S$9:$S$15, 'Normative data'!$T$9:$T$15, "Not Found", -1)</f>
        <v>Poor</v>
      </c>
      <c r="CK1050" s="64">
        <v>2.4300000000000002</v>
      </c>
      <c r="CL1050" s="64">
        <v>4.12</v>
      </c>
      <c r="CM1050" s="66"/>
      <c r="CN1050" s="64">
        <v>8.35</v>
      </c>
      <c r="CO1050" s="64">
        <v>5.99</v>
      </c>
      <c r="CP1050" s="68"/>
      <c r="CQ1050" s="67"/>
      <c r="CR1050" s="20" t="str" cm="1">
        <f t="array" ref="CR1050">IF(OR(ISBLANK(E1050),ISBLANK(CQ1050)),"Incomplete",_xlfn.XLOOKUP(CQ1050,_xlfn.XLOOKUP(E1050,'Normative data'!$Y$3:$Y$6,'Normative data'!$Z$3:$AG$6,,-1),'Normative data'!$Z$2:$AG$2,"Not Found",-1))</f>
        <v>Incomplete</v>
      </c>
      <c r="CS1050" s="68"/>
      <c r="CT1050" s="66"/>
      <c r="CU1050" s="20" t="str" cm="1">
        <f t="array" ref="CU1050">_xlfn.XLOOKUP(CS1050&amp;CT1050,(VLOOKUP!$A$3:$A$250)&amp;(VLOOKUP!$B$3:$B$250),VLOOKUP!$C$3:$C$250,"Incomplete",-1)</f>
        <v>Incomplete</v>
      </c>
      <c r="CV1050" s="20" t="str" cm="1">
        <f t="array" ref="CV1050">_xlfn.XLOOKUP(CU1050, _xlfn.XLOOKUP(E1050, 'Normative data'!$Y$11:$Y$14, 'Normative data'!$Z$11:$AG$14, ,-1), 'Normative data'!$Z$10:$AG$10, "Not Found", -1)</f>
        <v>Excellent</v>
      </c>
      <c r="CW1050" s="20" t="str" cm="1">
        <f t="array" ref="CW1050">IF(OR(ISBLANK(CS1050),ISBLANK(CT1050)),"Incomplete",_xlfn.XLOOKUP(CS1050&amp;CT1050,VLOOKUP!$A$4:$A$250&amp;VLOOKUP!$B$4:$B$250,VLOOKUP!$D$4:$D$250,"0"))</f>
        <v>Incomplete</v>
      </c>
    </row>
    <row r="1051" spans="1:101">
      <c r="A1051" s="64" t="s">
        <v>1727</v>
      </c>
      <c r="B1051" s="64" t="s">
        <v>1728</v>
      </c>
      <c r="C1051" s="64" t="s">
        <v>86</v>
      </c>
      <c r="D1051" s="65"/>
      <c r="E1051" s="64"/>
      <c r="F1051" s="66" t="s">
        <v>157</v>
      </c>
      <c r="G1051" s="64">
        <v>2026</v>
      </c>
      <c r="H1051" s="66"/>
      <c r="I1051" s="66">
        <v>2</v>
      </c>
      <c r="J1051" s="66" t="s">
        <v>88</v>
      </c>
      <c r="K1051" s="66" t="s">
        <v>184</v>
      </c>
      <c r="L1051" s="66"/>
      <c r="M1051" s="64"/>
      <c r="N1051" s="64"/>
      <c r="O1051" s="64"/>
      <c r="P1051" s="64"/>
      <c r="Q1051" s="64"/>
      <c r="R1051" s="64"/>
      <c r="S1051" s="66">
        <v>81.099999999999994</v>
      </c>
      <c r="T1051" s="66">
        <v>162.5</v>
      </c>
      <c r="U1051" s="64"/>
      <c r="V1051" s="64"/>
      <c r="W1051" s="64"/>
      <c r="X1051" s="64"/>
      <c r="Y1051" s="64"/>
      <c r="Z1051" s="64"/>
      <c r="AA1051" s="64"/>
      <c r="AB1051" s="64"/>
      <c r="AC1051" s="64"/>
      <c r="AD1051" s="64"/>
      <c r="AE1051" s="64"/>
      <c r="AF1051" s="64"/>
      <c r="AG1051" s="64"/>
      <c r="AH1051" s="64"/>
      <c r="AI1051" s="64"/>
      <c r="AJ1051" s="64"/>
      <c r="AK1051" s="64"/>
      <c r="AL1051" s="64"/>
      <c r="AM1051" s="64"/>
      <c r="AN1051" s="64"/>
      <c r="AO1051" s="64"/>
      <c r="AP1051" s="64"/>
      <c r="AQ1051" s="20"/>
      <c r="AR1051" s="20"/>
      <c r="AS1051" s="20"/>
      <c r="AT1051" s="20"/>
      <c r="AU1051" s="20"/>
      <c r="AV1051" s="20"/>
      <c r="AW1051" s="20"/>
      <c r="AX1051" s="20"/>
      <c r="AY1051" s="41" t="str">
        <f t="shared" si="330"/>
        <v>Incomplete</v>
      </c>
      <c r="AZ1051" s="64"/>
      <c r="BA1051" s="20" t="str">
        <f t="shared" si="331"/>
        <v>Incomplete</v>
      </c>
      <c r="BB1051" s="64"/>
      <c r="BC1051" s="20" t="str">
        <f t="shared" si="332"/>
        <v>Incomplete</v>
      </c>
      <c r="BD1051" s="64"/>
      <c r="BE1051" s="20" t="str">
        <f t="shared" si="333"/>
        <v>Incomplete</v>
      </c>
      <c r="BF1051" s="64"/>
      <c r="BG1051" s="64"/>
      <c r="BH1051" s="17">
        <v>36.5</v>
      </c>
      <c r="BI1051" s="20" t="str">
        <f t="shared" si="329"/>
        <v>Incomplete</v>
      </c>
      <c r="BJ1051" s="66"/>
      <c r="BK1051" s="64">
        <v>7.7</v>
      </c>
      <c r="BL1051" s="66"/>
      <c r="BM1051" s="64">
        <v>7.5</v>
      </c>
      <c r="BN1051" s="66"/>
      <c r="BO1051" s="64"/>
      <c r="BP1051" s="64"/>
      <c r="BQ1051" s="64">
        <v>72</v>
      </c>
      <c r="BR1051" s="64">
        <v>67</v>
      </c>
      <c r="BS1051" s="64">
        <v>65</v>
      </c>
      <c r="BT1051" s="64">
        <v>71</v>
      </c>
      <c r="BU1051" s="64">
        <v>69</v>
      </c>
      <c r="BV1051" s="64">
        <v>68</v>
      </c>
      <c r="BW1051" s="91">
        <f t="shared" si="327"/>
        <v>83.538083538083526</v>
      </c>
      <c r="BX1051" s="91" t="str">
        <f>_xlfn.XLOOKUP(BW1051,'Normative data'!$V$3:$V$6,'Normative data'!$W$3:$W$6,"Not Found",-1)</f>
        <v>High risk</v>
      </c>
      <c r="BY1051" s="91">
        <f t="shared" si="328"/>
        <v>85.176085176085166</v>
      </c>
      <c r="BZ1051" s="91" t="str">
        <f>_xlfn.XLOOKUP(BY1051,'Normative data'!$V$3:$V$6,'Normative data'!$W$3:$W$6,"Not Found",-1)</f>
        <v>High risk</v>
      </c>
      <c r="CA1051" s="66"/>
      <c r="CB1051" s="66"/>
      <c r="CC1051" s="20"/>
      <c r="CD1051" s="66"/>
      <c r="CE1051" s="66"/>
      <c r="CF1051" s="66"/>
      <c r="CG1051" s="20"/>
      <c r="CH1051" s="20" t="str">
        <f>_xlfn.XLOOKUP(CG1051, 'Normative data'!$S$9:$S$15,'Normative data'!$T$9:$T$15, "Not Found", -1)</f>
        <v>not completed</v>
      </c>
      <c r="CI1051" s="20"/>
      <c r="CJ1051" s="20" t="str">
        <f>_xlfn.XLOOKUP(CI1051, 'Normative data'!$S$9:$S$15, 'Normative data'!$T$9:$T$15, "Not Found", -1)</f>
        <v>not completed</v>
      </c>
      <c r="CK1051" s="64">
        <v>2.21</v>
      </c>
      <c r="CL1051" s="64">
        <v>4.5199999999999996</v>
      </c>
      <c r="CM1051" s="66"/>
      <c r="CN1051" s="64">
        <v>7.66</v>
      </c>
      <c r="CO1051" s="64">
        <v>6.53</v>
      </c>
      <c r="CP1051" s="68"/>
      <c r="CQ1051" s="67">
        <v>3.7</v>
      </c>
      <c r="CR1051" s="20" t="str" cm="1">
        <f t="array" ref="CR1051">IF(OR(ISBLANK(E1051),ISBLANK(CQ1051)),"Incomplete",_xlfn.XLOOKUP(CQ1051,_xlfn.XLOOKUP(E1051,'Normative data'!$Y$3:$Y$6,'Normative data'!$Z$3:$AG$6,,-1),'Normative data'!$Z$2:$AG$2,"Not Found",-1))</f>
        <v>Incomplete</v>
      </c>
      <c r="CS1051" s="68">
        <v>3</v>
      </c>
      <c r="CT1051" s="66">
        <v>7</v>
      </c>
      <c r="CU1051" s="20" cm="1">
        <f t="array" ref="CU1051">_xlfn.XLOOKUP(CS1051&amp;CT1051,(VLOOKUP!$A$3:$A$250)&amp;(VLOOKUP!$B$3:$B$250),VLOOKUP!$C$3:$C$250,"Incomplete",-1)</f>
        <v>440</v>
      </c>
      <c r="CV1051" s="20" t="str" cm="1">
        <f t="array" ref="CV1051">_xlfn.XLOOKUP(CU1051, _xlfn.XLOOKUP(E1051, 'Normative data'!$Y$11:$Y$14, 'Normative data'!$Z$11:$AG$14, ,-1), 'Normative data'!$Z$10:$AG$10, "Not Found", -1)</f>
        <v xml:space="preserve">Very poor </v>
      </c>
      <c r="CW1051" s="20" cm="1">
        <f t="array" ref="CW1051">IF(OR(ISBLANK(CS1051),ISBLANK(CT1051)),"Incomplete",_xlfn.XLOOKUP(CS1051&amp;CT1051,VLOOKUP!$A$4:$A$250&amp;VLOOKUP!$B$4:$B$250,VLOOKUP!$D$4:$D$250,"0"))</f>
        <v>25</v>
      </c>
    </row>
    <row r="1052" spans="1:101">
      <c r="A1052" s="64" t="s">
        <v>1729</v>
      </c>
      <c r="B1052" s="64" t="s">
        <v>1217</v>
      </c>
      <c r="C1052" s="64" t="s">
        <v>86</v>
      </c>
      <c r="D1052" s="65"/>
      <c r="E1052" s="64"/>
      <c r="F1052" s="66" t="s">
        <v>251</v>
      </c>
      <c r="G1052" s="64">
        <v>2026</v>
      </c>
      <c r="H1052" s="66"/>
      <c r="I1052" s="66">
        <v>2</v>
      </c>
      <c r="J1052" s="66"/>
      <c r="K1052" s="66"/>
      <c r="L1052" s="66"/>
      <c r="M1052" s="64"/>
      <c r="N1052" s="64"/>
      <c r="O1052" s="64"/>
      <c r="P1052" s="64"/>
      <c r="Q1052" s="64"/>
      <c r="R1052" s="64"/>
      <c r="S1052" s="66">
        <v>88.3</v>
      </c>
      <c r="T1052" s="66">
        <v>174.6</v>
      </c>
      <c r="U1052" s="64"/>
      <c r="V1052" s="64"/>
      <c r="W1052" s="64"/>
      <c r="X1052" s="64"/>
      <c r="Y1052" s="64"/>
      <c r="Z1052" s="64"/>
      <c r="AA1052" s="64"/>
      <c r="AB1052" s="64"/>
      <c r="AC1052" s="64"/>
      <c r="AD1052" s="64"/>
      <c r="AE1052" s="64"/>
      <c r="AF1052" s="64"/>
      <c r="AG1052" s="64"/>
      <c r="AH1052" s="64"/>
      <c r="AI1052" s="64"/>
      <c r="AJ1052" s="64"/>
      <c r="AK1052" s="64"/>
      <c r="AL1052" s="64"/>
      <c r="AM1052" s="64"/>
      <c r="AN1052" s="64"/>
      <c r="AO1052" s="64"/>
      <c r="AP1052" s="64"/>
      <c r="AQ1052" s="20"/>
      <c r="AR1052" s="20"/>
      <c r="AS1052" s="20"/>
      <c r="AT1052" s="20"/>
      <c r="AU1052" s="20"/>
      <c r="AV1052" s="20"/>
      <c r="AW1052" s="20"/>
      <c r="AX1052" s="20"/>
      <c r="AY1052" s="41" t="str">
        <f t="shared" si="330"/>
        <v>Incomplete</v>
      </c>
      <c r="AZ1052" s="64"/>
      <c r="BA1052" s="20" t="str">
        <f t="shared" si="331"/>
        <v>Incomplete</v>
      </c>
      <c r="BB1052" s="64"/>
      <c r="BC1052" s="20" t="str">
        <f t="shared" si="332"/>
        <v>Incomplete</v>
      </c>
      <c r="BD1052" s="64"/>
      <c r="BE1052" s="20" t="str">
        <f t="shared" si="333"/>
        <v>Incomplete</v>
      </c>
      <c r="BF1052" s="64"/>
      <c r="BG1052" s="64"/>
      <c r="BH1052" s="66"/>
      <c r="BI1052" s="20" t="str">
        <f t="shared" si="329"/>
        <v>Incomplete</v>
      </c>
      <c r="BJ1052" s="66"/>
      <c r="BK1052" s="64">
        <v>10</v>
      </c>
      <c r="BL1052" s="66"/>
      <c r="BM1052" s="64">
        <v>12</v>
      </c>
      <c r="BN1052" s="66"/>
      <c r="BO1052" s="64"/>
      <c r="BP1052" s="64"/>
      <c r="BQ1052" s="64"/>
      <c r="BR1052" s="64"/>
      <c r="BS1052" s="64"/>
      <c r="BT1052" s="64"/>
      <c r="BU1052" s="64"/>
      <c r="BV1052" s="64"/>
      <c r="BW1052" s="91">
        <f t="shared" si="327"/>
        <v>0</v>
      </c>
      <c r="BX1052" s="91" t="str">
        <f>_xlfn.XLOOKUP(BW1052,'Normative data'!$V$3:$V$6,'Normative data'!$W$3:$W$6,"Not Found",-1)</f>
        <v>Not completed</v>
      </c>
      <c r="BY1052" s="91">
        <f t="shared" si="328"/>
        <v>0</v>
      </c>
      <c r="BZ1052" s="91" t="str">
        <f>_xlfn.XLOOKUP(BY1052,'Normative data'!$V$3:$V$6,'Normative data'!$W$3:$W$6,"Not Found",-1)</f>
        <v>Not completed</v>
      </c>
      <c r="CA1052" s="64"/>
      <c r="CB1052" s="66"/>
      <c r="CD1052" s="66"/>
      <c r="CE1052" s="64"/>
      <c r="CF1052" s="66"/>
      <c r="CG1052" s="64">
        <v>19.14</v>
      </c>
      <c r="CH1052" s="20" t="str">
        <f>_xlfn.XLOOKUP(CG1052, 'Normative data'!$S$9:$S$15,'Normative data'!$T$9:$T$15, "Not Found", -1)</f>
        <v>Average</v>
      </c>
      <c r="CI1052" s="64">
        <v>18.559999999999999</v>
      </c>
      <c r="CJ1052" s="20" t="str">
        <f>_xlfn.XLOOKUP(CI1052, 'Normative data'!$S$9:$S$15, 'Normative data'!$T$9:$T$15, "Not Found", -1)</f>
        <v>Average</v>
      </c>
      <c r="CK1052" s="64">
        <v>2.25</v>
      </c>
      <c r="CL1052" s="64">
        <v>4.4400000000000004</v>
      </c>
      <c r="CM1052" s="66"/>
      <c r="CN1052" s="64">
        <v>7.17</v>
      </c>
      <c r="CO1052" s="64">
        <v>6.97</v>
      </c>
      <c r="CP1052" s="68"/>
      <c r="CQ1052" s="67">
        <v>5.2</v>
      </c>
      <c r="CR1052" s="20" t="str" cm="1">
        <f t="array" ref="CR1052">IF(OR(ISBLANK(E1052),ISBLANK(CQ1052)),"Incomplete",_xlfn.XLOOKUP(CQ1052,_xlfn.XLOOKUP(E1052,'Normative data'!$Y$3:$Y$6,'Normative data'!$Z$3:$AG$6,,-1),'Normative data'!$Z$2:$AG$2,"Not Found",-1))</f>
        <v>Incomplete</v>
      </c>
      <c r="CS1052" s="68">
        <v>6</v>
      </c>
      <c r="CT1052" s="66">
        <v>1</v>
      </c>
      <c r="CU1052" s="20" cm="1">
        <f t="array" ref="CU1052">_xlfn.XLOOKUP(CS1052&amp;CT1052,(VLOOKUP!$A$3:$A$250)&amp;(VLOOKUP!$B$3:$B$250),VLOOKUP!$C$3:$C$250,"Incomplete",-1)</f>
        <v>840</v>
      </c>
      <c r="CV1052" s="20" t="str" cm="1">
        <f t="array" ref="CV1052">_xlfn.XLOOKUP(CU1052, _xlfn.XLOOKUP(E1052, 'Normative data'!$Y$11:$Y$14, 'Normative data'!$Z$11:$AG$14, ,-1), 'Normative data'!$Z$10:$AG$10, "Not Found", -1)</f>
        <v xml:space="preserve">Fair </v>
      </c>
      <c r="CW1052" s="20" cm="1">
        <f t="array" ref="CW1052">IF(OR(ISBLANK(CS1052),ISBLANK(CT1052)),"Incomplete",_xlfn.XLOOKUP(CS1052&amp;CT1052,VLOOKUP!$A$4:$A$250&amp;VLOOKUP!$B$4:$B$250,VLOOKUP!$D$4:$D$250,"0"))</f>
        <v>33</v>
      </c>
    </row>
    <row r="1053" spans="1:101">
      <c r="A1053" s="64" t="s">
        <v>1730</v>
      </c>
      <c r="B1053" s="64" t="s">
        <v>1217</v>
      </c>
      <c r="C1053" s="64" t="s">
        <v>86</v>
      </c>
      <c r="D1053" s="65">
        <v>39583</v>
      </c>
      <c r="E1053" s="64"/>
      <c r="F1053" s="66">
        <v>12</v>
      </c>
      <c r="G1053" s="64">
        <v>2026</v>
      </c>
      <c r="H1053" s="66"/>
      <c r="I1053" s="66">
        <v>2</v>
      </c>
      <c r="J1053" s="66" t="s">
        <v>88</v>
      </c>
      <c r="K1053" s="66" t="s">
        <v>101</v>
      </c>
      <c r="L1053" s="66"/>
      <c r="M1053" s="64"/>
      <c r="N1053" s="64"/>
      <c r="O1053" s="64"/>
      <c r="P1053" s="64"/>
      <c r="Q1053" s="64"/>
      <c r="R1053" s="64"/>
      <c r="S1053" s="66">
        <v>80.8</v>
      </c>
      <c r="T1053" s="66">
        <v>163.5</v>
      </c>
      <c r="U1053" s="64">
        <v>65.099999999999994</v>
      </c>
      <c r="V1053" s="64">
        <v>34.299999999999997</v>
      </c>
      <c r="W1053" s="64">
        <v>18.100000000000001</v>
      </c>
      <c r="X1053" s="64">
        <v>47</v>
      </c>
      <c r="Y1053" s="64">
        <v>26.1</v>
      </c>
      <c r="Z1053" s="64"/>
      <c r="AA1053" s="64">
        <v>27.9</v>
      </c>
      <c r="AB1053" s="64">
        <v>7.01</v>
      </c>
      <c r="AC1053" s="64">
        <v>103</v>
      </c>
      <c r="AD1053" s="64">
        <v>7.01</v>
      </c>
      <c r="AE1053" s="64">
        <v>103</v>
      </c>
      <c r="AF1053" s="64">
        <v>2.8</v>
      </c>
      <c r="AG1053" s="64">
        <v>116.1</v>
      </c>
      <c r="AH1053" s="64">
        <v>2.8</v>
      </c>
      <c r="AI1053" s="64">
        <v>115.7</v>
      </c>
      <c r="AJ1053" s="64">
        <v>295.5</v>
      </c>
      <c r="AK1053" s="64">
        <v>294.2</v>
      </c>
      <c r="AL1053" s="64">
        <v>257.60000000000002</v>
      </c>
      <c r="AM1053" s="64">
        <v>257.10000000000002</v>
      </c>
      <c r="AN1053" s="64">
        <v>80</v>
      </c>
      <c r="AO1053" s="64"/>
      <c r="AP1053" s="64"/>
      <c r="AQ1053" s="17">
        <v>18.5</v>
      </c>
      <c r="AR1053" s="17">
        <v>0.38900000000000001</v>
      </c>
      <c r="AS1053" s="17">
        <v>17.8</v>
      </c>
      <c r="AT1053" s="17">
        <v>0.38100000000000001</v>
      </c>
      <c r="AU1053" s="17">
        <v>11.3</v>
      </c>
      <c r="AV1053" s="17">
        <v>0.30399999999999999</v>
      </c>
      <c r="AW1053" s="17">
        <v>12.3</v>
      </c>
      <c r="AX1053" s="17">
        <v>0.317</v>
      </c>
      <c r="AY1053" s="41">
        <f t="shared" si="330"/>
        <v>2016.9799999999996</v>
      </c>
      <c r="AZ1053" s="64"/>
      <c r="BA1053" s="20">
        <f t="shared" si="331"/>
        <v>1974.4899999999998</v>
      </c>
      <c r="BB1053" s="64"/>
      <c r="BC1053" s="20">
        <f t="shared" si="332"/>
        <v>1579.9399999999996</v>
      </c>
      <c r="BD1053" s="64"/>
      <c r="BE1053" s="20">
        <f t="shared" si="333"/>
        <v>1640.6399999999999</v>
      </c>
      <c r="BF1053" s="64"/>
      <c r="BG1053" s="64">
        <v>10.5</v>
      </c>
      <c r="BH1053" s="64">
        <v>35</v>
      </c>
      <c r="BI1053" s="20">
        <f t="shared" si="329"/>
        <v>24.5</v>
      </c>
      <c r="BJ1053" s="66"/>
      <c r="BK1053" s="64">
        <v>8.5</v>
      </c>
      <c r="BL1053" s="66"/>
      <c r="BM1053" s="64">
        <v>5.5</v>
      </c>
      <c r="BN1053" s="66"/>
      <c r="BO1053" s="64">
        <v>55</v>
      </c>
      <c r="BP1053" s="64">
        <v>53.5</v>
      </c>
      <c r="BQ1053" s="64">
        <v>78</v>
      </c>
      <c r="BR1053" s="64">
        <v>88</v>
      </c>
      <c r="BS1053" s="64">
        <v>82</v>
      </c>
      <c r="BT1053" s="64">
        <v>81</v>
      </c>
      <c r="BU1053" s="64">
        <v>87</v>
      </c>
      <c r="BV1053" s="64">
        <v>76</v>
      </c>
      <c r="BW1053" s="91">
        <f t="shared" si="327"/>
        <v>99.959693671906479</v>
      </c>
      <c r="BX1053" s="91" t="str">
        <f>_xlfn.XLOOKUP(BW1053,'Normative data'!$V$3:$V$6,'Normative data'!$W$3:$W$6,"Not Found",-1)</f>
        <v>Low risk</v>
      </c>
      <c r="BY1053" s="91">
        <f t="shared" si="328"/>
        <v>98.347440548166048</v>
      </c>
      <c r="BZ1053" s="91" t="str">
        <f>_xlfn.XLOOKUP(BY1053,'Normative data'!$V$3:$V$6,'Normative data'!$W$3:$W$6,"Not Found",-1)</f>
        <v>Low risk</v>
      </c>
      <c r="CA1053" s="64">
        <v>36</v>
      </c>
      <c r="CB1053" s="66"/>
      <c r="CC1053" s="20"/>
      <c r="CD1053" s="66"/>
      <c r="CE1053" s="64">
        <v>15</v>
      </c>
      <c r="CF1053" s="66"/>
      <c r="CG1053" s="64">
        <v>17.14</v>
      </c>
      <c r="CH1053" s="20" t="str">
        <f>_xlfn.XLOOKUP(CG1053, 'Normative data'!$S$9:$S$15,'Normative data'!$T$9:$T$15, "Not Found", -1)</f>
        <v>Above Average</v>
      </c>
      <c r="CI1053" s="64">
        <v>17.239999999999998</v>
      </c>
      <c r="CJ1053" s="20" t="str">
        <f>_xlfn.XLOOKUP(CI1053, 'Normative data'!$S$9:$S$15, 'Normative data'!$T$9:$T$15, "Not Found", -1)</f>
        <v>Above Average</v>
      </c>
      <c r="CK1053" s="105"/>
      <c r="CL1053" s="105"/>
      <c r="CM1053" s="105"/>
      <c r="CN1053" s="105"/>
      <c r="CO1053" s="105"/>
      <c r="CP1053" s="68"/>
      <c r="CQ1053" s="67"/>
      <c r="CR1053" s="20" t="str" cm="1">
        <f t="array" ref="CR1053">IF(OR(ISBLANK(E1053),ISBLANK(CQ1053)),"Incomplete",_xlfn.XLOOKUP(CQ1053,_xlfn.XLOOKUP(E1053,'Normative data'!$Y$3:$Y$6,'Normative data'!$Z$3:$AG$6,,-1),'Normative data'!$Z$2:$AG$2,"Not Found",-1))</f>
        <v>Incomplete</v>
      </c>
      <c r="CS1053" s="68"/>
      <c r="CT1053" s="66"/>
      <c r="CU1053" s="20" t="str" cm="1">
        <f t="array" ref="CU1053">_xlfn.XLOOKUP(CS1053&amp;CT1053,(VLOOKUP!$A$3:$A$250)&amp;(VLOOKUP!$B$3:$B$250),VLOOKUP!$C$3:$C$250,"Incomplete",-1)</f>
        <v>Incomplete</v>
      </c>
      <c r="CV1053" s="20" t="str" cm="1">
        <f t="array" ref="CV1053">_xlfn.XLOOKUP(CU1053, _xlfn.XLOOKUP(E1053, 'Normative data'!$Y$11:$Y$14, 'Normative data'!$Z$11:$AG$14, ,-1), 'Normative data'!$Z$10:$AG$10, "Not Found", -1)</f>
        <v>Excellent</v>
      </c>
      <c r="CW1053" s="20" t="str" cm="1">
        <f t="array" ref="CW1053">IF(OR(ISBLANK(CS1053),ISBLANK(CT1053)),"Incomplete",_xlfn.XLOOKUP(CS1053&amp;CT1053,VLOOKUP!$A$4:$A$250&amp;VLOOKUP!$B$4:$B$250,VLOOKUP!$D$4:$D$250,"0"))</f>
        <v>Incomplete</v>
      </c>
    </row>
    <row r="1054" spans="1:101">
      <c r="A1054" s="64" t="s">
        <v>1288</v>
      </c>
      <c r="B1054" s="64" t="s">
        <v>1217</v>
      </c>
      <c r="C1054" s="64" t="s">
        <v>86</v>
      </c>
      <c r="D1054" s="65">
        <v>40045</v>
      </c>
      <c r="E1054" s="64">
        <v>16.8</v>
      </c>
      <c r="F1054" s="66" t="s">
        <v>181</v>
      </c>
      <c r="G1054" s="64">
        <v>2026</v>
      </c>
      <c r="H1054" s="66"/>
      <c r="I1054" s="66">
        <v>2</v>
      </c>
      <c r="J1054" s="66" t="s">
        <v>122</v>
      </c>
      <c r="K1054" s="66" t="s">
        <v>101</v>
      </c>
      <c r="L1054" s="66" t="s">
        <v>567</v>
      </c>
      <c r="M1054" s="64"/>
      <c r="N1054" s="64"/>
      <c r="O1054" s="64"/>
      <c r="P1054" s="64"/>
      <c r="Q1054" s="64"/>
      <c r="R1054" s="64"/>
      <c r="S1054" s="66">
        <v>84.8</v>
      </c>
      <c r="T1054" s="66">
        <v>161.1</v>
      </c>
      <c r="U1054" s="64">
        <v>54</v>
      </c>
      <c r="V1054" s="64">
        <v>30.2</v>
      </c>
      <c r="W1054" s="64">
        <v>12.7</v>
      </c>
      <c r="X1054" s="64">
        <v>41.3</v>
      </c>
      <c r="Y1054" s="64">
        <v>22.5</v>
      </c>
      <c r="Z1054" s="64">
        <v>20.8</v>
      </c>
      <c r="AA1054" s="64">
        <v>23.5</v>
      </c>
      <c r="AB1054" s="64">
        <v>6.41</v>
      </c>
      <c r="AC1054" s="64">
        <v>104.8</v>
      </c>
      <c r="AD1054" s="64">
        <v>6.4</v>
      </c>
      <c r="AE1054" s="64">
        <v>104.7</v>
      </c>
      <c r="AF1054" s="64">
        <v>2.2000000000000002</v>
      </c>
      <c r="AG1054" s="64">
        <v>98.7</v>
      </c>
      <c r="AH1054" s="64">
        <v>2.2000000000000002</v>
      </c>
      <c r="AI1054" s="64">
        <v>98.5</v>
      </c>
      <c r="AJ1054" s="64">
        <v>273.2</v>
      </c>
      <c r="AK1054" s="64">
        <v>272.3</v>
      </c>
      <c r="AL1054" s="64">
        <v>244.6</v>
      </c>
      <c r="AM1054" s="64">
        <v>243.9</v>
      </c>
      <c r="AN1054" s="64">
        <v>100</v>
      </c>
      <c r="AO1054" s="64"/>
      <c r="AP1054" s="64"/>
      <c r="AQ1054" s="64">
        <v>23.9</v>
      </c>
      <c r="AR1054" s="64">
        <v>0.442</v>
      </c>
      <c r="AS1054" s="64">
        <v>28.7</v>
      </c>
      <c r="AT1054" s="64">
        <v>0.48399999999999999</v>
      </c>
      <c r="AU1054" s="64">
        <v>15.1</v>
      </c>
      <c r="AV1054" s="64">
        <v>0.35099999999999998</v>
      </c>
      <c r="AW1054" s="64">
        <v>15</v>
      </c>
      <c r="AX1054" s="64">
        <v>0.35</v>
      </c>
      <c r="AY1054" s="41">
        <f t="shared" si="330"/>
        <v>1841.9299999999998</v>
      </c>
      <c r="AZ1054" s="64"/>
      <c r="BA1054" s="20">
        <f t="shared" si="331"/>
        <v>2133.29</v>
      </c>
      <c r="BB1054" s="64"/>
      <c r="BC1054" s="20">
        <f t="shared" si="332"/>
        <v>1307.77</v>
      </c>
      <c r="BD1054" s="64"/>
      <c r="BE1054" s="20">
        <f t="shared" si="333"/>
        <v>1301.6999999999998</v>
      </c>
      <c r="BF1054" s="64"/>
      <c r="BG1054" s="64">
        <v>8</v>
      </c>
      <c r="BH1054" s="64">
        <v>38.5</v>
      </c>
      <c r="BI1054" s="20">
        <f t="shared" si="329"/>
        <v>30.5</v>
      </c>
      <c r="BJ1054" s="66"/>
      <c r="BK1054" s="64">
        <v>11.5</v>
      </c>
      <c r="BL1054" s="66"/>
      <c r="BM1054" s="64">
        <v>11.5</v>
      </c>
      <c r="BN1054" s="66"/>
      <c r="BO1054" s="64">
        <v>49</v>
      </c>
      <c r="BP1054" s="64">
        <v>50</v>
      </c>
      <c r="BQ1054" s="64">
        <v>80</v>
      </c>
      <c r="BR1054" s="64">
        <v>86</v>
      </c>
      <c r="BS1054" s="64">
        <v>79</v>
      </c>
      <c r="BT1054" s="64">
        <v>76</v>
      </c>
      <c r="BU1054" s="64">
        <v>80</v>
      </c>
      <c r="BV1054" s="64">
        <v>81</v>
      </c>
      <c r="BW1054" s="91">
        <f t="shared" si="327"/>
        <v>107.03363914373089</v>
      </c>
      <c r="BX1054" s="91" t="str">
        <f>_xlfn.XLOOKUP(BW1054,'Normative data'!$V$3:$V$6,'Normative data'!$W$3:$W$6,"Not Found",-1)</f>
        <v>Low risk</v>
      </c>
      <c r="BY1054" s="91">
        <f t="shared" si="328"/>
        <v>103.53866317169071</v>
      </c>
      <c r="BZ1054" s="91" t="str">
        <f>_xlfn.XLOOKUP(BY1054,'Normative data'!$V$3:$V$6,'Normative data'!$W$3:$W$6,"Not Found",-1)</f>
        <v>Low risk</v>
      </c>
      <c r="CA1054" s="64">
        <v>39</v>
      </c>
      <c r="CB1054" s="66"/>
      <c r="CC1054" s="20"/>
      <c r="CD1054" s="66"/>
      <c r="CE1054" s="64">
        <v>19</v>
      </c>
      <c r="CF1054" s="66"/>
      <c r="CG1054" s="17">
        <v>17.53</v>
      </c>
      <c r="CH1054" s="20" t="str">
        <f>_xlfn.XLOOKUP(CG1054, 'Normative data'!$S$9:$S$15,'Normative data'!$T$9:$T$15, "Not Found", -1)</f>
        <v>Above Average</v>
      </c>
      <c r="CI1054" s="17">
        <v>17.559999999999999</v>
      </c>
      <c r="CJ1054" s="20" t="str">
        <f>_xlfn.XLOOKUP(CI1054, 'Normative data'!$S$9:$S$15, 'Normative data'!$T$9:$T$15, "Not Found", -1)</f>
        <v>Above Average</v>
      </c>
      <c r="CK1054" s="64">
        <v>2.27</v>
      </c>
      <c r="CL1054" s="64">
        <v>4.41</v>
      </c>
      <c r="CM1054" s="66"/>
      <c r="CN1054" s="64">
        <v>7.1</v>
      </c>
      <c r="CO1054" s="64">
        <v>7.04</v>
      </c>
      <c r="CP1054" s="68"/>
      <c r="CQ1054" s="67">
        <v>8.1</v>
      </c>
      <c r="CR1054" s="20" t="str" cm="1">
        <f t="array" ref="CR1054">IF(OR(ISBLANK(E1054),ISBLANK(CQ1054)),"Incomplete",_xlfn.XLOOKUP(CQ1054,_xlfn.XLOOKUP(E1054,'Normative data'!$Y$3:$Y$6,'Normative data'!$Z$3:$AG$6,,-1),'Normative data'!$Z$2:$AG$2,"Not Found",-1))</f>
        <v>Average</v>
      </c>
      <c r="CS1054" s="68">
        <v>8</v>
      </c>
      <c r="CT1054" s="66">
        <v>1</v>
      </c>
      <c r="CU1054" s="20" cm="1">
        <f t="array" ref="CU1054">_xlfn.XLOOKUP(CS1054&amp;CT1054,(VLOOKUP!$A$3:$A$250)&amp;(VLOOKUP!$B$3:$B$250),VLOOKUP!$C$3:$C$250,"Incomplete",-1)</f>
        <v>1240</v>
      </c>
      <c r="CV1054" s="20" t="str" cm="1">
        <f t="array" ref="CV1054">_xlfn.XLOOKUP(CU1054, _xlfn.XLOOKUP(E1054, 'Normative data'!$Y$11:$Y$14, 'Normative data'!$Z$11:$AG$14, ,-1), 'Normative data'!$Z$10:$AG$10, "Not Found", -1)</f>
        <v>Average</v>
      </c>
      <c r="CW1054" s="20" cm="1">
        <f t="array" ref="CW1054">IF(OR(ISBLANK(CS1054),ISBLANK(CT1054)),"Incomplete",_xlfn.XLOOKUP(CS1054&amp;CT1054,VLOOKUP!$A$4:$A$250&amp;VLOOKUP!$B$4:$B$250,VLOOKUP!$D$4:$D$250,"0"))</f>
        <v>40</v>
      </c>
    </row>
    <row r="1055" spans="1:101">
      <c r="A1055" s="64" t="s">
        <v>1580</v>
      </c>
      <c r="B1055" s="64" t="s">
        <v>1217</v>
      </c>
      <c r="C1055" s="64" t="s">
        <v>86</v>
      </c>
      <c r="D1055" s="65"/>
      <c r="E1055" s="64"/>
      <c r="F1055" s="66" t="s">
        <v>181</v>
      </c>
      <c r="G1055" s="64">
        <v>2026</v>
      </c>
      <c r="H1055" s="66"/>
      <c r="I1055" s="66">
        <v>2</v>
      </c>
      <c r="J1055" s="66"/>
      <c r="K1055" s="66"/>
      <c r="L1055" s="66"/>
      <c r="M1055" s="64"/>
      <c r="N1055" s="64"/>
      <c r="O1055" s="64"/>
      <c r="P1055" s="64"/>
      <c r="Q1055" s="64"/>
      <c r="R1055" s="64"/>
      <c r="S1055" s="66"/>
      <c r="T1055" s="66"/>
      <c r="U1055" s="64"/>
      <c r="V1055" s="64"/>
      <c r="W1055" s="64"/>
      <c r="X1055" s="64"/>
      <c r="Y1055" s="64"/>
      <c r="Z1055" s="64"/>
      <c r="AA1055" s="64"/>
      <c r="AB1055" s="64"/>
      <c r="AC1055" s="64"/>
      <c r="AD1055" s="64"/>
      <c r="AE1055" s="64"/>
      <c r="AF1055" s="64"/>
      <c r="AG1055" s="64"/>
      <c r="AH1055" s="64"/>
      <c r="AI1055" s="64"/>
      <c r="AJ1055" s="64"/>
      <c r="AK1055" s="64"/>
      <c r="AL1055" s="64"/>
      <c r="AM1055" s="64"/>
      <c r="AN1055" s="64"/>
      <c r="AO1055" s="64"/>
      <c r="AP1055" s="64"/>
      <c r="AY1055" s="41" t="str">
        <f t="shared" si="330"/>
        <v>Incomplete</v>
      </c>
      <c r="AZ1055" s="64"/>
      <c r="BA1055" s="20" t="str">
        <f t="shared" si="331"/>
        <v>Incomplete</v>
      </c>
      <c r="BB1055" s="64"/>
      <c r="BC1055" s="20" t="str">
        <f t="shared" si="332"/>
        <v>Incomplete</v>
      </c>
      <c r="BD1055" s="64"/>
      <c r="BE1055" s="20" t="str">
        <f t="shared" si="333"/>
        <v>Incomplete</v>
      </c>
      <c r="BF1055" s="64"/>
      <c r="BG1055" s="64"/>
      <c r="BH1055" s="66"/>
      <c r="BI1055" s="20" t="str">
        <f t="shared" si="329"/>
        <v>Incomplete</v>
      </c>
      <c r="BJ1055" s="66"/>
      <c r="BK1055" s="64"/>
      <c r="BL1055" s="66"/>
      <c r="BM1055" s="20"/>
      <c r="BN1055" s="66"/>
      <c r="BO1055" s="64"/>
      <c r="BP1055" s="64"/>
      <c r="BQ1055" s="64"/>
      <c r="BR1055" s="64"/>
      <c r="BS1055" s="64"/>
      <c r="BT1055" s="64"/>
      <c r="BU1055" s="64"/>
      <c r="BV1055" s="64"/>
      <c r="BW1055" s="91" t="str">
        <f t="shared" si="327"/>
        <v>Incomplete</v>
      </c>
      <c r="BX1055" s="91" t="str">
        <f>_xlfn.XLOOKUP(BW1055,'Normative data'!$V$3:$V$6,'Normative data'!$W$3:$W$6,"Not Found",-1)</f>
        <v>Very low risk</v>
      </c>
      <c r="BY1055" s="91" t="str">
        <f t="shared" si="328"/>
        <v>Incomplete</v>
      </c>
      <c r="BZ1055" s="91" t="str">
        <f>_xlfn.XLOOKUP(BY1055,'Normative data'!$V$3:$V$6,'Normative data'!$W$3:$W$6,"Not Found",-1)</f>
        <v>Very low risk</v>
      </c>
      <c r="CA1055" s="64"/>
      <c r="CB1055" s="66"/>
      <c r="CC1055" s="64"/>
      <c r="CD1055" s="66"/>
      <c r="CE1055" s="64"/>
      <c r="CF1055" s="66"/>
      <c r="CG1055" s="20"/>
      <c r="CH1055" s="20" t="str">
        <f>_xlfn.XLOOKUP(CG1055, 'Normative data'!$S$9:$S$15,'Normative data'!$T$9:$T$15, "Not Found", -1)</f>
        <v>not completed</v>
      </c>
      <c r="CI1055" s="20"/>
      <c r="CJ1055" s="20" t="str">
        <f>_xlfn.XLOOKUP(CI1055, 'Normative data'!$S$9:$S$15, 'Normative data'!$T$9:$T$15, "Not Found", -1)</f>
        <v>not completed</v>
      </c>
      <c r="CK1055" s="21"/>
      <c r="CL1055" s="21"/>
      <c r="CM1055" s="21"/>
      <c r="CN1055" s="21"/>
      <c r="CO1055" s="21"/>
      <c r="CP1055" s="68"/>
      <c r="CQ1055" s="67"/>
      <c r="CR1055" s="20" t="str" cm="1">
        <f t="array" ref="CR1055">IF(OR(ISBLANK(E1055),ISBLANK(CQ1055)),"Incomplete",_xlfn.XLOOKUP(CQ1055,_xlfn.XLOOKUP(E1055,'Normative data'!$Y$3:$Y$6,'Normative data'!$Z$3:$AG$6,,-1),'Normative data'!$Z$2:$AG$2,"Not Found",-1))</f>
        <v>Incomplete</v>
      </c>
      <c r="CS1055" s="68"/>
      <c r="CT1055" s="66"/>
      <c r="CU1055" s="20" t="str" cm="1">
        <f t="array" ref="CU1055">_xlfn.XLOOKUP(CS1055&amp;CT1055,(VLOOKUP!$A$3:$A$250)&amp;(VLOOKUP!$B$3:$B$250),VLOOKUP!$C$3:$C$250,"Incomplete",-1)</f>
        <v>Incomplete</v>
      </c>
      <c r="CV1055" s="20" t="str" cm="1">
        <f t="array" ref="CV1055">_xlfn.XLOOKUP(CU1055, _xlfn.XLOOKUP(E1055, 'Normative data'!$Y$11:$Y$14, 'Normative data'!$Z$11:$AG$14, ,-1), 'Normative data'!$Z$10:$AG$10, "Not Found", -1)</f>
        <v>Excellent</v>
      </c>
      <c r="CW1055" s="20" t="str" cm="1">
        <f t="array" ref="CW1055">IF(OR(ISBLANK(CS1055),ISBLANK(CT1055)),"Incomplete",_xlfn.XLOOKUP(CS1055&amp;CT1055,VLOOKUP!$A$4:$A$250&amp;VLOOKUP!$B$4:$B$250,VLOOKUP!$D$4:$D$250,"0"))</f>
        <v>Incomplete</v>
      </c>
    </row>
    <row r="1056" spans="1:101">
      <c r="A1056" s="64" t="s">
        <v>1731</v>
      </c>
      <c r="B1056" s="64" t="s">
        <v>1217</v>
      </c>
      <c r="C1056" s="64" t="s">
        <v>86</v>
      </c>
      <c r="D1056" s="65"/>
      <c r="E1056" s="64"/>
      <c r="F1056" s="66" t="s">
        <v>110</v>
      </c>
      <c r="G1056" s="64">
        <v>2026</v>
      </c>
      <c r="H1056" s="66"/>
      <c r="I1056" s="66">
        <v>2</v>
      </c>
      <c r="J1056" s="66"/>
      <c r="K1056" s="66"/>
      <c r="L1056" s="66"/>
      <c r="M1056" s="64"/>
      <c r="N1056" s="64"/>
      <c r="O1056" s="64"/>
      <c r="P1056" s="64"/>
      <c r="Q1056" s="64"/>
      <c r="R1056" s="64"/>
      <c r="S1056" s="66">
        <v>84.9</v>
      </c>
      <c r="T1056" s="66">
        <v>162.6</v>
      </c>
      <c r="U1056" s="64"/>
      <c r="V1056" s="64"/>
      <c r="W1056" s="64"/>
      <c r="X1056" s="64"/>
      <c r="Y1056" s="64"/>
      <c r="Z1056" s="64"/>
      <c r="AA1056" s="64"/>
      <c r="AB1056" s="64"/>
      <c r="AC1056" s="64"/>
      <c r="AD1056" s="64"/>
      <c r="AE1056" s="64"/>
      <c r="AF1056" s="64"/>
      <c r="AG1056" s="64"/>
      <c r="AH1056" s="64"/>
      <c r="AI1056" s="64"/>
      <c r="AJ1056" s="64"/>
      <c r="AK1056" s="64"/>
      <c r="AL1056" s="64"/>
      <c r="AM1056" s="64"/>
      <c r="AN1056" s="64"/>
      <c r="AO1056" s="64"/>
      <c r="AP1056" s="64"/>
      <c r="AQ1056" s="64"/>
      <c r="AR1056" s="64"/>
      <c r="AS1056" s="64"/>
      <c r="AT1056" s="64"/>
      <c r="AU1056" s="64"/>
      <c r="AV1056" s="64"/>
      <c r="AW1056" s="64"/>
      <c r="AX1056" s="64"/>
      <c r="AY1056" s="41" t="str">
        <f t="shared" si="330"/>
        <v>Incomplete</v>
      </c>
      <c r="AZ1056" s="64"/>
      <c r="BA1056" s="20" t="str">
        <f t="shared" si="331"/>
        <v>Incomplete</v>
      </c>
      <c r="BB1056" s="64"/>
      <c r="BC1056" s="20" t="str">
        <f t="shared" si="332"/>
        <v>Incomplete</v>
      </c>
      <c r="BD1056" s="64"/>
      <c r="BE1056" s="20" t="str">
        <f t="shared" si="333"/>
        <v>Incomplete</v>
      </c>
      <c r="BF1056" s="64"/>
      <c r="BG1056" s="64">
        <v>15.1</v>
      </c>
      <c r="BH1056" s="64">
        <v>42.8</v>
      </c>
      <c r="BI1056" s="20">
        <f t="shared" si="329"/>
        <v>27.699999999999996</v>
      </c>
      <c r="BJ1056" s="66"/>
      <c r="BK1056" s="64"/>
      <c r="BL1056" s="66"/>
      <c r="BM1056" s="64"/>
      <c r="BN1056" s="66"/>
      <c r="BO1056" s="64"/>
      <c r="BP1056" s="64"/>
      <c r="BQ1056" s="64"/>
      <c r="BR1056" s="64"/>
      <c r="BS1056" s="64"/>
      <c r="BT1056" s="64"/>
      <c r="BU1056" s="64"/>
      <c r="BV1056" s="64"/>
      <c r="BW1056" s="91">
        <f t="shared" si="327"/>
        <v>0</v>
      </c>
      <c r="BX1056" s="91" t="str">
        <f>_xlfn.XLOOKUP(BW1056,'Normative data'!$V$3:$V$6,'Normative data'!$W$3:$W$6,"Not Found",-1)</f>
        <v>Not completed</v>
      </c>
      <c r="BY1056" s="91">
        <f t="shared" si="328"/>
        <v>0</v>
      </c>
      <c r="BZ1056" s="91" t="str">
        <f>_xlfn.XLOOKUP(BY1056,'Normative data'!$V$3:$V$6,'Normative data'!$W$3:$W$6,"Not Found",-1)</f>
        <v>Not completed</v>
      </c>
      <c r="CA1056" s="64"/>
      <c r="CB1056" s="66"/>
      <c r="CD1056" s="66"/>
      <c r="CE1056" s="64"/>
      <c r="CF1056" s="66"/>
      <c r="CG1056" s="20"/>
      <c r="CH1056" s="20" t="str">
        <f>_xlfn.XLOOKUP(CG1056, 'Normative data'!$S$9:$S$15,'Normative data'!$T$9:$T$15, "Not Found", -1)</f>
        <v>not completed</v>
      </c>
      <c r="CI1056" s="20"/>
      <c r="CJ1056" s="20" t="str">
        <f>_xlfn.XLOOKUP(CI1056, 'Normative data'!$S$9:$S$15, 'Normative data'!$T$9:$T$15, "Not Found", -1)</f>
        <v>not completed</v>
      </c>
      <c r="CK1056" s="105"/>
      <c r="CL1056" s="105"/>
      <c r="CM1056" s="105"/>
      <c r="CN1056" s="105"/>
      <c r="CO1056" s="105"/>
      <c r="CP1056" s="68"/>
      <c r="CQ1056" s="67"/>
      <c r="CR1056" s="20" t="str" cm="1">
        <f t="array" ref="CR1056">IF(OR(ISBLANK(E1056),ISBLANK(CQ1056)),"Incomplete",_xlfn.XLOOKUP(CQ1056,_xlfn.XLOOKUP(E1056,'Normative data'!$Y$3:$Y$6,'Normative data'!$Z$3:$AG$6,,-1),'Normative data'!$Z$2:$AG$2,"Not Found",-1))</f>
        <v>Incomplete</v>
      </c>
      <c r="CS1056" s="68"/>
      <c r="CT1056" s="66"/>
      <c r="CU1056" s="20" t="str" cm="1">
        <f t="array" ref="CU1056">_xlfn.XLOOKUP(CS1056&amp;CT1056,(VLOOKUP!$A$3:$A$250)&amp;(VLOOKUP!$B$3:$B$250),VLOOKUP!$C$3:$C$250,"Incomplete",-1)</f>
        <v>Incomplete</v>
      </c>
      <c r="CV1056" s="20" t="str" cm="1">
        <f t="array" ref="CV1056">_xlfn.XLOOKUP(CU1056, _xlfn.XLOOKUP(E1056, 'Normative data'!$Y$11:$Y$14, 'Normative data'!$Z$11:$AG$14, ,-1), 'Normative data'!$Z$10:$AG$10, "Not Found", -1)</f>
        <v>Excellent</v>
      </c>
      <c r="CW1056" s="20" t="str" cm="1">
        <f t="array" ref="CW1056">IF(OR(ISBLANK(CS1056),ISBLANK(CT1056)),"Incomplete",_xlfn.XLOOKUP(CS1056&amp;CT1056,VLOOKUP!$A$4:$A$250&amp;VLOOKUP!$B$4:$B$250,VLOOKUP!$D$4:$D$250,"0"))</f>
        <v>Incomplete</v>
      </c>
    </row>
    <row r="1057" spans="1:101">
      <c r="A1057" s="64" t="s">
        <v>106</v>
      </c>
      <c r="B1057" s="64" t="s">
        <v>1217</v>
      </c>
      <c r="C1057" s="64" t="s">
        <v>86</v>
      </c>
      <c r="D1057" s="65"/>
      <c r="E1057" s="64"/>
      <c r="F1057" s="66" t="s">
        <v>110</v>
      </c>
      <c r="G1057" s="64">
        <v>2026</v>
      </c>
      <c r="H1057" s="66"/>
      <c r="I1057" s="66">
        <v>2</v>
      </c>
      <c r="J1057" s="66" t="s">
        <v>122</v>
      </c>
      <c r="K1057" s="66" t="s">
        <v>228</v>
      </c>
      <c r="L1057" s="66"/>
      <c r="M1057" s="64"/>
      <c r="N1057" s="64"/>
      <c r="O1057" s="64"/>
      <c r="P1057" s="64"/>
      <c r="Q1057" s="64"/>
      <c r="R1057" s="64"/>
      <c r="S1057" s="66">
        <v>84.1</v>
      </c>
      <c r="T1057" s="66">
        <v>164.4</v>
      </c>
      <c r="U1057" s="64"/>
      <c r="V1057" s="64"/>
      <c r="W1057" s="64"/>
      <c r="X1057" s="64"/>
      <c r="Y1057" s="64"/>
      <c r="Z1057" s="64"/>
      <c r="AA1057" s="64"/>
      <c r="AB1057" s="64"/>
      <c r="AC1057" s="64"/>
      <c r="AD1057" s="64"/>
      <c r="AE1057" s="64"/>
      <c r="AF1057" s="64"/>
      <c r="AG1057" s="64"/>
      <c r="AH1057" s="64"/>
      <c r="AI1057" s="64"/>
      <c r="AJ1057" s="64"/>
      <c r="AK1057" s="64"/>
      <c r="AL1057" s="64"/>
      <c r="AM1057" s="64"/>
      <c r="AN1057" s="64"/>
      <c r="AO1057" s="64"/>
      <c r="AP1057" s="64"/>
      <c r="AY1057" s="41" t="str">
        <f t="shared" si="330"/>
        <v>Incomplete</v>
      </c>
      <c r="AZ1057" s="64"/>
      <c r="BA1057" s="20" t="str">
        <f t="shared" si="331"/>
        <v>Incomplete</v>
      </c>
      <c r="BB1057" s="64"/>
      <c r="BC1057" s="20" t="str">
        <f t="shared" si="332"/>
        <v>Incomplete</v>
      </c>
      <c r="BD1057" s="64"/>
      <c r="BE1057" s="20" t="str">
        <f t="shared" si="333"/>
        <v>Incomplete</v>
      </c>
      <c r="BF1057" s="64"/>
      <c r="BG1057" s="64">
        <v>11.6</v>
      </c>
      <c r="BH1057" s="17">
        <v>30</v>
      </c>
      <c r="BI1057" s="20">
        <f t="shared" si="329"/>
        <v>18.399999999999999</v>
      </c>
      <c r="BJ1057" s="66"/>
      <c r="BK1057" s="64"/>
      <c r="BL1057" s="66"/>
      <c r="BN1057" s="66"/>
      <c r="BO1057" s="64"/>
      <c r="BP1057" s="64"/>
      <c r="BQ1057" s="64"/>
      <c r="BR1057" s="64"/>
      <c r="BS1057" s="64"/>
      <c r="BT1057" s="64"/>
      <c r="BU1057" s="64"/>
      <c r="BV1057" s="64"/>
      <c r="BW1057" s="91">
        <f t="shared" si="327"/>
        <v>0</v>
      </c>
      <c r="BX1057" s="91" t="str">
        <f>_xlfn.XLOOKUP(BW1057,'Normative data'!$V$3:$V$6,'Normative data'!$W$3:$W$6,"Not Found",-1)</f>
        <v>Not completed</v>
      </c>
      <c r="BY1057" s="91">
        <f t="shared" si="328"/>
        <v>0</v>
      </c>
      <c r="BZ1057" s="91" t="str">
        <f>_xlfn.XLOOKUP(BY1057,'Normative data'!$V$3:$V$6,'Normative data'!$W$3:$W$6,"Not Found",-1)</f>
        <v>Not completed</v>
      </c>
      <c r="CA1057" s="64"/>
      <c r="CB1057" s="66"/>
      <c r="CC1057" s="64"/>
      <c r="CD1057" s="66"/>
      <c r="CE1057" s="64"/>
      <c r="CF1057" s="66"/>
      <c r="CG1057" s="20"/>
      <c r="CH1057" s="20" t="str">
        <f>_xlfn.XLOOKUP(CG1057, 'Normative data'!$S$9:$S$15,'Normative data'!$T$9:$T$15, "Not Found", -1)</f>
        <v>not completed</v>
      </c>
      <c r="CI1057" s="20"/>
      <c r="CJ1057" s="20" t="str">
        <f>_xlfn.XLOOKUP(CI1057, 'Normative data'!$S$9:$S$15, 'Normative data'!$T$9:$T$15, "Not Found", -1)</f>
        <v>not completed</v>
      </c>
      <c r="CK1057" s="21"/>
      <c r="CL1057" s="21"/>
      <c r="CM1057" s="21"/>
      <c r="CN1057" s="21"/>
      <c r="CO1057" s="21"/>
      <c r="CP1057" s="68"/>
      <c r="CQ1057" s="67"/>
      <c r="CR1057" s="20" t="str" cm="1">
        <f t="array" ref="CR1057">IF(OR(ISBLANK(E1057),ISBLANK(CQ1057)),"Incomplete",_xlfn.XLOOKUP(CQ1057,_xlfn.XLOOKUP(E1057,'Normative data'!$Y$3:$Y$6,'Normative data'!$Z$3:$AG$6,,-1),'Normative data'!$Z$2:$AG$2,"Not Found",-1))</f>
        <v>Incomplete</v>
      </c>
      <c r="CS1057" s="68"/>
      <c r="CT1057" s="66"/>
      <c r="CU1057" s="20" t="str" cm="1">
        <f t="array" ref="CU1057">_xlfn.XLOOKUP(CS1057&amp;CT1057,(VLOOKUP!$A$3:$A$250)&amp;(VLOOKUP!$B$3:$B$250),VLOOKUP!$C$3:$C$250,"Incomplete",-1)</f>
        <v>Incomplete</v>
      </c>
      <c r="CV1057" s="20" t="str" cm="1">
        <f t="array" ref="CV1057">_xlfn.XLOOKUP(CU1057, _xlfn.XLOOKUP(E1057, 'Normative data'!$Y$11:$Y$14, 'Normative data'!$Z$11:$AG$14, ,-1), 'Normative data'!$Z$10:$AG$10, "Not Found", -1)</f>
        <v>Excellent</v>
      </c>
      <c r="CW1057" s="20" t="str" cm="1">
        <f t="array" ref="CW1057">IF(OR(ISBLANK(CS1057),ISBLANK(CT1057)),"Incomplete",_xlfn.XLOOKUP(CS1057&amp;CT1057,VLOOKUP!$A$4:$A$250&amp;VLOOKUP!$B$4:$B$250,VLOOKUP!$D$4:$D$250,"0"))</f>
        <v>Incomplete</v>
      </c>
    </row>
    <row r="1058" spans="1:101">
      <c r="A1058" s="64" t="s">
        <v>1270</v>
      </c>
      <c r="B1058" s="64" t="s">
        <v>1666</v>
      </c>
      <c r="C1058" s="64" t="s">
        <v>86</v>
      </c>
      <c r="D1058" s="65">
        <v>40592</v>
      </c>
      <c r="E1058" s="64"/>
      <c r="F1058" s="66" t="s">
        <v>87</v>
      </c>
      <c r="G1058" s="64">
        <v>2026</v>
      </c>
      <c r="H1058" s="66"/>
      <c r="I1058" s="66">
        <v>2</v>
      </c>
      <c r="J1058" s="66" t="s">
        <v>88</v>
      </c>
      <c r="K1058" s="66" t="s">
        <v>93</v>
      </c>
      <c r="L1058" s="66"/>
      <c r="M1058" s="64"/>
      <c r="N1058" s="64"/>
      <c r="O1058" s="64"/>
      <c r="P1058" s="64"/>
      <c r="Q1058" s="64"/>
      <c r="R1058" s="64"/>
      <c r="S1058" s="66">
        <v>85.2</v>
      </c>
      <c r="T1058" s="66">
        <v>170.4</v>
      </c>
      <c r="U1058" s="64">
        <v>57.7</v>
      </c>
      <c r="V1058" s="64">
        <v>28.8</v>
      </c>
      <c r="W1058" s="64">
        <v>18.2</v>
      </c>
      <c r="X1058" s="64">
        <v>39.5</v>
      </c>
      <c r="Y1058" s="64">
        <v>21.2</v>
      </c>
      <c r="Z1058" s="64"/>
      <c r="AA1058" s="64">
        <v>31.5</v>
      </c>
      <c r="AB1058" s="64">
        <v>6.45</v>
      </c>
      <c r="AC1058" s="64">
        <v>96.7</v>
      </c>
      <c r="AD1058" s="64">
        <v>6.49</v>
      </c>
      <c r="AE1058" s="64">
        <v>97.3</v>
      </c>
      <c r="AF1058" s="64">
        <v>3</v>
      </c>
      <c r="AG1058" s="64">
        <v>112.7</v>
      </c>
      <c r="AH1058" s="64">
        <v>3</v>
      </c>
      <c r="AI1058" s="64">
        <v>113</v>
      </c>
      <c r="AJ1058" s="64">
        <v>372.8</v>
      </c>
      <c r="AK1058" s="64">
        <v>368.3</v>
      </c>
      <c r="AL1058" s="64">
        <v>337.1</v>
      </c>
      <c r="AM1058" s="64">
        <v>333.6</v>
      </c>
      <c r="AN1058" s="64">
        <v>92</v>
      </c>
      <c r="AO1058" s="64"/>
      <c r="AP1058" s="64"/>
      <c r="AQ1058" s="64">
        <v>16.100000000000001</v>
      </c>
      <c r="AR1058" s="64">
        <v>0.36199999999999999</v>
      </c>
      <c r="AS1058" s="64">
        <v>17.100000000000001</v>
      </c>
      <c r="AT1058" s="64">
        <v>0.373</v>
      </c>
      <c r="AU1058" s="64">
        <v>9.4</v>
      </c>
      <c r="AV1058" s="64">
        <v>0.27700000000000002</v>
      </c>
      <c r="AW1058" s="64">
        <v>8</v>
      </c>
      <c r="AX1058" s="64">
        <v>0.255</v>
      </c>
      <c r="AY1058" s="41">
        <f t="shared" si="330"/>
        <v>1536.08</v>
      </c>
      <c r="AZ1058" s="64"/>
      <c r="BA1058" s="20">
        <f t="shared" si="331"/>
        <v>1596.7799999999997</v>
      </c>
      <c r="BB1058" s="64"/>
      <c r="BC1058" s="20">
        <f t="shared" si="332"/>
        <v>1129.3899999999999</v>
      </c>
      <c r="BD1058" s="64"/>
      <c r="BE1058" s="20">
        <f t="shared" si="333"/>
        <v>1044.4099999999999</v>
      </c>
      <c r="BF1058" s="64"/>
      <c r="BG1058" s="64">
        <v>15</v>
      </c>
      <c r="BH1058" s="64">
        <v>48</v>
      </c>
      <c r="BI1058" s="20">
        <f t="shared" si="329"/>
        <v>33</v>
      </c>
      <c r="BJ1058" s="66"/>
      <c r="BK1058" s="64">
        <v>10</v>
      </c>
      <c r="BL1058" s="66"/>
      <c r="BM1058" s="64">
        <v>9</v>
      </c>
      <c r="BN1058" s="66"/>
      <c r="BO1058" s="64">
        <v>45</v>
      </c>
      <c r="BP1058" s="64">
        <v>45</v>
      </c>
      <c r="BQ1058" s="64">
        <v>83</v>
      </c>
      <c r="BR1058" s="64">
        <v>86</v>
      </c>
      <c r="BS1058" s="64">
        <v>70</v>
      </c>
      <c r="BT1058" s="64">
        <v>90</v>
      </c>
      <c r="BU1058" s="64">
        <v>84</v>
      </c>
      <c r="BV1058" s="64">
        <v>78</v>
      </c>
      <c r="BW1058" s="91">
        <f t="shared" si="327"/>
        <v>93.505477308294203</v>
      </c>
      <c r="BX1058" s="91" t="str">
        <f>_xlfn.XLOOKUP(BW1058,'Normative data'!$V$3:$V$6,'Normative data'!$W$3:$W$6,"Not Found",-1)</f>
        <v>High risk</v>
      </c>
      <c r="BY1058" s="91">
        <f t="shared" si="328"/>
        <v>98.591549295774641</v>
      </c>
      <c r="BZ1058" s="91" t="str">
        <f>_xlfn.XLOOKUP(BY1058,'Normative data'!$V$3:$V$6,'Normative data'!$W$3:$W$6,"Not Found",-1)</f>
        <v>Low risk</v>
      </c>
      <c r="CA1058" s="64">
        <v>21</v>
      </c>
      <c r="CB1058" s="66"/>
      <c r="CC1058" s="20"/>
      <c r="CD1058" s="66"/>
      <c r="CE1058" s="64"/>
      <c r="CF1058" s="66"/>
      <c r="CG1058" s="64">
        <v>19.59</v>
      </c>
      <c r="CH1058" s="20" t="str">
        <f>_xlfn.XLOOKUP(CG1058, 'Normative data'!$S$9:$S$15,'Normative data'!$T$9:$T$15, "Not Found", -1)</f>
        <v>Average</v>
      </c>
      <c r="CI1058" s="64">
        <v>19.18</v>
      </c>
      <c r="CJ1058" s="20" t="str">
        <f>_xlfn.XLOOKUP(CI1058, 'Normative data'!$S$9:$S$15, 'Normative data'!$T$9:$T$15, "Not Found", -1)</f>
        <v>Average</v>
      </c>
      <c r="CK1058" s="64">
        <v>3.38</v>
      </c>
      <c r="CL1058" s="64">
        <v>2.96</v>
      </c>
      <c r="CM1058" s="66"/>
      <c r="CN1058" s="64">
        <v>9.08</v>
      </c>
      <c r="CO1058" s="64">
        <v>5.51</v>
      </c>
      <c r="CP1058" s="68"/>
      <c r="CQ1058" s="67">
        <v>4.3</v>
      </c>
      <c r="CR1058" s="20" t="str" cm="1">
        <f t="array" ref="CR1058">IF(OR(ISBLANK(E1058),ISBLANK(CQ1058)),"Incomplete",_xlfn.XLOOKUP(CQ1058,_xlfn.XLOOKUP(E1058,'Normative data'!$Y$3:$Y$6,'Normative data'!$Z$3:$AG$6,,-1),'Normative data'!$Z$2:$AG$2,"Not Found",-1))</f>
        <v>Incomplete</v>
      </c>
      <c r="CS1058" s="68">
        <v>4</v>
      </c>
      <c r="CT1058" s="66">
        <v>3</v>
      </c>
      <c r="CU1058" s="20" cm="1">
        <f t="array" ref="CU1058">_xlfn.XLOOKUP(CS1058&amp;CT1058,(VLOOKUP!$A$3:$A$250)&amp;(VLOOKUP!$B$3:$B$250),VLOOKUP!$C$3:$C$250,"Incomplete",-1)</f>
        <v>520</v>
      </c>
      <c r="CV1058" s="20" t="str" cm="1">
        <f t="array" ref="CV1058">_xlfn.XLOOKUP(CU1058, _xlfn.XLOOKUP(E1058, 'Normative data'!$Y$11:$Y$14, 'Normative data'!$Z$11:$AG$14, ,-1), 'Normative data'!$Z$10:$AG$10, "Not Found", -1)</f>
        <v xml:space="preserve">Very poor </v>
      </c>
      <c r="CW1058" s="20" cm="1">
        <f t="array" ref="CW1058">IF(OR(ISBLANK(CS1058),ISBLANK(CT1058)),"Incomplete",_xlfn.XLOOKUP(CS1058&amp;CT1058,VLOOKUP!$A$4:$A$250&amp;VLOOKUP!$B$4:$B$250,VLOOKUP!$D$4:$D$250,"0"))</f>
        <v>27</v>
      </c>
    </row>
    <row r="1059" spans="1:101">
      <c r="A1059" s="64" t="s">
        <v>644</v>
      </c>
      <c r="B1059" s="64" t="s">
        <v>645</v>
      </c>
      <c r="C1059" s="64" t="s">
        <v>86</v>
      </c>
      <c r="D1059" s="65">
        <v>40435</v>
      </c>
      <c r="E1059" s="64">
        <v>15.6</v>
      </c>
      <c r="F1059" s="66" t="s">
        <v>178</v>
      </c>
      <c r="G1059" s="64">
        <v>2026</v>
      </c>
      <c r="H1059" s="66"/>
      <c r="I1059" s="66">
        <v>2</v>
      </c>
      <c r="J1059" s="66" t="s">
        <v>100</v>
      </c>
      <c r="K1059" s="66" t="s">
        <v>173</v>
      </c>
      <c r="L1059" s="66"/>
      <c r="M1059" s="64"/>
      <c r="N1059" s="64"/>
      <c r="O1059" s="64"/>
      <c r="P1059" s="64"/>
      <c r="Q1059" s="64"/>
      <c r="R1059" s="64"/>
      <c r="S1059" s="66">
        <v>90</v>
      </c>
      <c r="T1059" s="66">
        <v>167.1</v>
      </c>
      <c r="U1059" s="64">
        <v>68.2</v>
      </c>
      <c r="V1059" s="64">
        <v>35.1</v>
      </c>
      <c r="W1059" s="64">
        <v>20.100000000000001</v>
      </c>
      <c r="X1059" s="64">
        <v>48.1</v>
      </c>
      <c r="Y1059" s="64">
        <v>26.6</v>
      </c>
      <c r="Z1059" s="64">
        <v>24.5</v>
      </c>
      <c r="AA1059" s="64">
        <v>29.5</v>
      </c>
      <c r="AB1059" s="64">
        <v>7.14</v>
      </c>
      <c r="AC1059" s="64">
        <v>98.8</v>
      </c>
      <c r="AD1059" s="64">
        <v>7.23</v>
      </c>
      <c r="AE1059" s="64">
        <v>100.1</v>
      </c>
      <c r="AF1059" s="64">
        <v>2.9</v>
      </c>
      <c r="AG1059" s="64">
        <v>113.1</v>
      </c>
      <c r="AH1059" s="64">
        <v>2.9</v>
      </c>
      <c r="AI1059" s="64">
        <v>113.5</v>
      </c>
      <c r="AJ1059" s="64">
        <v>284.3</v>
      </c>
      <c r="AK1059" s="64">
        <v>275.7</v>
      </c>
      <c r="AL1059" s="64">
        <v>251.2</v>
      </c>
      <c r="AM1059" s="64">
        <v>243</v>
      </c>
      <c r="AN1059" s="64">
        <v>90</v>
      </c>
      <c r="AO1059" s="64">
        <v>0.91</v>
      </c>
      <c r="AP1059" s="64">
        <v>6.9</v>
      </c>
      <c r="AQ1059" s="66"/>
      <c r="AR1059" s="66"/>
      <c r="AS1059" s="66"/>
      <c r="AT1059" s="66"/>
      <c r="AU1059" s="66"/>
      <c r="AV1059" s="66"/>
      <c r="AW1059" s="66"/>
      <c r="AX1059" s="66"/>
      <c r="AY1059" s="41" t="str">
        <f t="shared" si="330"/>
        <v>Incomplete</v>
      </c>
      <c r="AZ1059" s="64"/>
      <c r="BA1059" s="20" t="str">
        <f t="shared" si="331"/>
        <v>Incomplete</v>
      </c>
      <c r="BB1059" s="64"/>
      <c r="BC1059" s="20" t="str">
        <f t="shared" si="332"/>
        <v>Incomplete</v>
      </c>
      <c r="BD1059" s="64"/>
      <c r="BE1059" s="20" t="str">
        <f t="shared" si="333"/>
        <v>Incomplete</v>
      </c>
      <c r="BF1059" s="64"/>
      <c r="BG1059" s="64"/>
      <c r="BH1059" s="66"/>
      <c r="BI1059" s="20" t="str">
        <f t="shared" si="329"/>
        <v>Incomplete</v>
      </c>
      <c r="BJ1059" s="66"/>
      <c r="BK1059" s="64">
        <v>9.6999999999999993</v>
      </c>
      <c r="BL1059" s="66"/>
      <c r="BM1059" s="64">
        <v>10.5</v>
      </c>
      <c r="BN1059" s="66"/>
      <c r="BO1059" s="64"/>
      <c r="BP1059" s="64"/>
      <c r="BQ1059" s="64"/>
      <c r="BR1059" s="64"/>
      <c r="BS1059" s="64"/>
      <c r="BT1059" s="64"/>
      <c r="BU1059" s="64"/>
      <c r="BV1059" s="64"/>
      <c r="BW1059" s="91">
        <f t="shared" si="327"/>
        <v>0</v>
      </c>
      <c r="BX1059" s="91" t="str">
        <f>_xlfn.XLOOKUP(BW1059,'Normative data'!$V$3:$V$6,'Normative data'!$W$3:$W$6,"Not Found",-1)</f>
        <v>Not completed</v>
      </c>
      <c r="BY1059" s="91">
        <f t="shared" si="328"/>
        <v>0</v>
      </c>
      <c r="BZ1059" s="91" t="str">
        <f>_xlfn.XLOOKUP(BY1059,'Normative data'!$V$3:$V$6,'Normative data'!$W$3:$W$6,"Not Found",-1)</f>
        <v>Not completed</v>
      </c>
      <c r="CA1059" s="64">
        <v>7</v>
      </c>
      <c r="CB1059" s="66"/>
      <c r="CD1059" s="66"/>
      <c r="CE1059" s="64"/>
      <c r="CF1059" s="66"/>
      <c r="CG1059" s="64">
        <v>18.61</v>
      </c>
      <c r="CH1059" s="20" t="str">
        <f>_xlfn.XLOOKUP(CG1059, 'Normative data'!$S$9:$S$15,'Normative data'!$T$9:$T$15, "Not Found", -1)</f>
        <v>Average</v>
      </c>
      <c r="CI1059" s="64">
        <v>18.39</v>
      </c>
      <c r="CJ1059" s="20" t="str">
        <f>_xlfn.XLOOKUP(CI1059, 'Normative data'!$S$9:$S$15, 'Normative data'!$T$9:$T$15, "Not Found", -1)</f>
        <v>Average</v>
      </c>
      <c r="CK1059" s="64">
        <v>2.2799999999999998</v>
      </c>
      <c r="CL1059" s="64">
        <v>4.3899999999999997</v>
      </c>
      <c r="CM1059" s="66"/>
      <c r="CN1059" s="64">
        <v>7.04</v>
      </c>
      <c r="CO1059" s="64">
        <v>7.1</v>
      </c>
      <c r="CP1059" s="68"/>
      <c r="CQ1059" s="67">
        <v>7.2</v>
      </c>
      <c r="CR1059" s="20" t="str" cm="1">
        <f t="array" ref="CR1059">IF(OR(ISBLANK(E1059),ISBLANK(CQ1059)),"Incomplete",_xlfn.XLOOKUP(CQ1059,_xlfn.XLOOKUP(E1059,'Normative data'!$Y$3:$Y$6,'Normative data'!$Z$3:$AG$6,,-1),'Normative data'!$Z$2:$AG$2,"Not Found",-1))</f>
        <v>Average</v>
      </c>
      <c r="CS1059" s="68">
        <v>7</v>
      </c>
      <c r="CT1059" s="66">
        <v>2</v>
      </c>
      <c r="CU1059" s="20" cm="1">
        <f t="array" ref="CU1059">_xlfn.XLOOKUP(CS1059&amp;CT1059,(VLOOKUP!$A$3:$A$250)&amp;(VLOOKUP!$B$3:$B$250),VLOOKUP!$C$3:$C$250,"Incomplete",-1)</f>
        <v>1060</v>
      </c>
      <c r="CV1059" s="20" t="str" cm="1">
        <f t="array" ref="CV1059">_xlfn.XLOOKUP(CU1059, _xlfn.XLOOKUP(E1059, 'Normative data'!$Y$11:$Y$14, 'Normative data'!$Z$11:$AG$14, ,-1), 'Normative data'!$Z$10:$AG$10, "Not Found", -1)</f>
        <v>Average</v>
      </c>
      <c r="CW1059" s="20" cm="1">
        <f t="array" ref="CW1059">IF(OR(ISBLANK(CS1059),ISBLANK(CT1059)),"Incomplete",_xlfn.XLOOKUP(CS1059&amp;CT1059,VLOOKUP!$A$4:$A$250&amp;VLOOKUP!$B$4:$B$250,VLOOKUP!$D$4:$D$250,"0"))</f>
        <v>37</v>
      </c>
    </row>
    <row r="1060" spans="1:101">
      <c r="A1060" s="64" t="s">
        <v>701</v>
      </c>
      <c r="B1060" s="64" t="s">
        <v>645</v>
      </c>
      <c r="C1060" s="64" t="s">
        <v>86</v>
      </c>
      <c r="D1060" s="66"/>
      <c r="E1060" s="64"/>
      <c r="F1060" s="66" t="s">
        <v>107</v>
      </c>
      <c r="G1060" s="64">
        <v>2026</v>
      </c>
      <c r="H1060" s="66"/>
      <c r="I1060" s="66">
        <v>2</v>
      </c>
      <c r="J1060" s="66" t="s">
        <v>1062</v>
      </c>
      <c r="K1060" s="66" t="s">
        <v>184</v>
      </c>
      <c r="L1060" s="66"/>
      <c r="M1060" s="64"/>
      <c r="N1060" s="64"/>
      <c r="O1060" s="64"/>
      <c r="P1060" s="64"/>
      <c r="Q1060" s="64"/>
      <c r="R1060" s="64"/>
      <c r="S1060" s="66">
        <v>81.7</v>
      </c>
      <c r="T1060" s="66">
        <v>165.3</v>
      </c>
      <c r="U1060" s="64"/>
      <c r="V1060" s="64"/>
      <c r="W1060" s="64"/>
      <c r="X1060" s="64"/>
      <c r="Y1060" s="64"/>
      <c r="Z1060" s="64"/>
      <c r="AA1060" s="64"/>
      <c r="AB1060" s="64"/>
      <c r="AC1060" s="64"/>
      <c r="AD1060" s="64"/>
      <c r="AE1060" s="64"/>
      <c r="AF1060" s="64"/>
      <c r="AG1060" s="64"/>
      <c r="AH1060" s="64"/>
      <c r="AI1060" s="64"/>
      <c r="AJ1060" s="64"/>
      <c r="AK1060" s="64"/>
      <c r="AL1060" s="64"/>
      <c r="AM1060" s="64"/>
      <c r="AN1060" s="64"/>
      <c r="AO1060" s="64"/>
      <c r="AP1060" s="64"/>
      <c r="AQ1060" s="20"/>
      <c r="AR1060" s="20"/>
      <c r="AS1060" s="20"/>
      <c r="AT1060" s="20"/>
      <c r="AU1060" s="20"/>
      <c r="AV1060" s="20"/>
      <c r="AW1060" s="20"/>
      <c r="AX1060" s="20"/>
      <c r="AY1060" s="41" t="str">
        <f t="shared" si="330"/>
        <v>Incomplete</v>
      </c>
      <c r="AZ1060" s="64"/>
      <c r="BA1060" s="20" t="str">
        <f t="shared" si="331"/>
        <v>Incomplete</v>
      </c>
      <c r="BB1060" s="64"/>
      <c r="BC1060" s="20" t="str">
        <f t="shared" si="332"/>
        <v>Incomplete</v>
      </c>
      <c r="BD1060" s="64"/>
      <c r="BE1060" s="20" t="str">
        <f t="shared" si="333"/>
        <v>Incomplete</v>
      </c>
      <c r="BF1060" s="64"/>
      <c r="BG1060" s="64"/>
      <c r="BH1060" s="64">
        <v>23</v>
      </c>
      <c r="BI1060" s="20" t="str">
        <f t="shared" si="329"/>
        <v>Incomplete</v>
      </c>
      <c r="BJ1060" s="66"/>
      <c r="BK1060" s="64">
        <v>10.9</v>
      </c>
      <c r="BL1060" s="66"/>
      <c r="BM1060" s="64">
        <v>9.1</v>
      </c>
      <c r="BN1060" s="66"/>
      <c r="BO1060" s="64"/>
      <c r="BP1060" s="64"/>
      <c r="BQ1060" s="64"/>
      <c r="BR1060" s="64"/>
      <c r="BS1060" s="64"/>
      <c r="BT1060" s="64"/>
      <c r="BU1060" s="64"/>
      <c r="BV1060" s="64"/>
      <c r="BW1060" s="91">
        <f t="shared" si="327"/>
        <v>0</v>
      </c>
      <c r="BX1060" s="91" t="str">
        <f>_xlfn.XLOOKUP(BW1060,'Normative data'!$V$3:$V$6,'Normative data'!$W$3:$W$6,"Not Found",-1)</f>
        <v>Not completed</v>
      </c>
      <c r="BY1060" s="91">
        <f t="shared" si="328"/>
        <v>0</v>
      </c>
      <c r="BZ1060" s="91" t="str">
        <f>_xlfn.XLOOKUP(BY1060,'Normative data'!$V$3:$V$6,'Normative data'!$W$3:$W$6,"Not Found",-1)</f>
        <v>Not completed</v>
      </c>
      <c r="CA1060" s="66"/>
      <c r="CB1060" s="66"/>
      <c r="CC1060" s="66"/>
      <c r="CD1060" s="66"/>
      <c r="CE1060" s="64">
        <v>3</v>
      </c>
      <c r="CF1060" s="66"/>
      <c r="CG1060" s="17">
        <v>19.77</v>
      </c>
      <c r="CH1060" s="20" t="str">
        <f>_xlfn.XLOOKUP(CG1060, 'Normative data'!$S$9:$S$15,'Normative data'!$T$9:$T$15, "Not Found", -1)</f>
        <v>Average</v>
      </c>
      <c r="CI1060" s="17">
        <v>19.670000000000002</v>
      </c>
      <c r="CJ1060" s="20" t="str">
        <f>_xlfn.XLOOKUP(CI1060, 'Normative data'!$S$9:$S$15, 'Normative data'!$T$9:$T$15, "Not Found", -1)</f>
        <v>Average</v>
      </c>
      <c r="CK1060" s="64">
        <v>2.29</v>
      </c>
      <c r="CL1060" s="64">
        <v>4.37</v>
      </c>
      <c r="CM1060" s="66"/>
      <c r="CN1060" s="64">
        <v>7.23</v>
      </c>
      <c r="CO1060" s="64">
        <v>6.92</v>
      </c>
      <c r="CP1060" s="68"/>
      <c r="CQ1060" s="67">
        <v>4.2</v>
      </c>
      <c r="CR1060" s="20" t="str" cm="1">
        <f t="array" ref="CR1060">IF(OR(ISBLANK(E1060),ISBLANK(CQ1060)),"Incomplete",_xlfn.XLOOKUP(CQ1060,_xlfn.XLOOKUP(E1060,'Normative data'!$Y$3:$Y$6,'Normative data'!$Z$3:$AG$6,,-1),'Normative data'!$Z$2:$AG$2,"Not Found",-1))</f>
        <v>Incomplete</v>
      </c>
      <c r="CS1060" s="68">
        <v>4</v>
      </c>
      <c r="CT1060" s="66">
        <v>2</v>
      </c>
      <c r="CU1060" s="20" cm="1">
        <f t="array" ref="CU1060">_xlfn.XLOOKUP(CS1060&amp;CT1060,(VLOOKUP!$A$3:$A$250)&amp;(VLOOKUP!$B$3:$B$250),VLOOKUP!$C$3:$C$250,"Incomplete",-1)</f>
        <v>500</v>
      </c>
      <c r="CV1060" s="20" t="str" cm="1">
        <f t="array" ref="CV1060">_xlfn.XLOOKUP(CU1060, _xlfn.XLOOKUP(E1060, 'Normative data'!$Y$11:$Y$14, 'Normative data'!$Z$11:$AG$14, ,-1), 'Normative data'!$Z$10:$AG$10, "Not Found", -1)</f>
        <v xml:space="preserve">Very poor </v>
      </c>
      <c r="CW1060" s="20" cm="1">
        <f t="array" ref="CW1060">IF(OR(ISBLANK(CS1060),ISBLANK(CT1060)),"Incomplete",_xlfn.XLOOKUP(CS1060&amp;CT1060,VLOOKUP!$A$4:$A$250&amp;VLOOKUP!$B$4:$B$250,VLOOKUP!$D$4:$D$250,"0"))</f>
        <v>27</v>
      </c>
    </row>
    <row r="1061" spans="1:101">
      <c r="A1061" s="64" t="s">
        <v>1218</v>
      </c>
      <c r="B1061" s="64" t="s">
        <v>645</v>
      </c>
      <c r="C1061" s="64" t="s">
        <v>86</v>
      </c>
      <c r="D1061" s="65">
        <v>40084</v>
      </c>
      <c r="E1061" s="64">
        <v>16.7</v>
      </c>
      <c r="F1061" s="66" t="s">
        <v>151</v>
      </c>
      <c r="G1061" s="64">
        <v>2026</v>
      </c>
      <c r="H1061" s="66"/>
      <c r="I1061" s="66">
        <v>2</v>
      </c>
      <c r="J1061" s="66" t="s">
        <v>122</v>
      </c>
      <c r="K1061" s="66" t="s">
        <v>101</v>
      </c>
      <c r="L1061" s="66" t="s">
        <v>102</v>
      </c>
      <c r="M1061" s="64"/>
      <c r="N1061" s="64"/>
      <c r="O1061" s="64"/>
      <c r="P1061" s="64"/>
      <c r="Q1061" s="64"/>
      <c r="R1061" s="64"/>
      <c r="S1061" s="66">
        <v>163.1</v>
      </c>
      <c r="T1061" s="66">
        <v>85.8</v>
      </c>
      <c r="U1061" s="64">
        <v>60.9</v>
      </c>
      <c r="V1061" s="64">
        <v>32.299999999999997</v>
      </c>
      <c r="W1061" s="64">
        <v>16.600000000000001</v>
      </c>
      <c r="X1061" s="64">
        <v>44.3</v>
      </c>
      <c r="Y1061" s="64">
        <v>24.4</v>
      </c>
      <c r="Z1061" s="64">
        <v>22.9</v>
      </c>
      <c r="AA1061" s="64">
        <v>27.3</v>
      </c>
      <c r="AB1061" s="64">
        <v>6.78</v>
      </c>
      <c r="AC1061" s="64">
        <v>100.8</v>
      </c>
      <c r="AD1061" s="64">
        <v>7.03</v>
      </c>
      <c r="AE1061" s="64">
        <v>104.7</v>
      </c>
      <c r="AF1061" s="64">
        <v>2.7</v>
      </c>
      <c r="AG1061" s="64">
        <v>111.5</v>
      </c>
      <c r="AH1061" s="64">
        <v>2.7</v>
      </c>
      <c r="AI1061" s="64">
        <v>112.2</v>
      </c>
      <c r="AJ1061" s="64">
        <v>303.10000000000002</v>
      </c>
      <c r="AK1061" s="64">
        <v>277.60000000000002</v>
      </c>
      <c r="AL1061" s="64">
        <v>265.7</v>
      </c>
      <c r="AM1061" s="64">
        <v>244.7</v>
      </c>
      <c r="AN1061" s="64">
        <v>98</v>
      </c>
      <c r="AO1061" s="64">
        <v>0.83</v>
      </c>
      <c r="AP1061" s="64">
        <v>6.8</v>
      </c>
      <c r="AQ1061" s="17">
        <v>27.1</v>
      </c>
      <c r="AR1061" s="17">
        <v>0.47</v>
      </c>
      <c r="AS1061" s="17">
        <v>30.4</v>
      </c>
      <c r="AT1061" s="17">
        <v>0.498</v>
      </c>
      <c r="AU1061" s="17">
        <v>17.3</v>
      </c>
      <c r="AV1061" s="17">
        <v>0.376</v>
      </c>
      <c r="AW1061" s="17">
        <v>15.4</v>
      </c>
      <c r="AX1061" s="17">
        <v>0.35499999999999998</v>
      </c>
      <c r="AY1061" s="41">
        <f t="shared" si="330"/>
        <v>2348.7399999999998</v>
      </c>
      <c r="AZ1061" s="64"/>
      <c r="BA1061" s="20">
        <f t="shared" si="331"/>
        <v>2549.0500000000002</v>
      </c>
      <c r="BB1061" s="64"/>
      <c r="BC1061" s="20">
        <f t="shared" si="332"/>
        <v>1753.88</v>
      </c>
      <c r="BD1061" s="64"/>
      <c r="BE1061" s="20">
        <f t="shared" si="333"/>
        <v>1638.5500000000002</v>
      </c>
      <c r="BF1061" s="64"/>
      <c r="BG1061" s="64">
        <v>11</v>
      </c>
      <c r="BH1061" s="64">
        <v>58</v>
      </c>
      <c r="BI1061" s="20">
        <f t="shared" si="329"/>
        <v>47</v>
      </c>
      <c r="BJ1061" s="66"/>
      <c r="BK1061" s="64">
        <v>9</v>
      </c>
      <c r="BL1061" s="66"/>
      <c r="BM1061" s="17">
        <v>9.5</v>
      </c>
      <c r="BN1061" s="66"/>
      <c r="BO1061" s="64">
        <v>48</v>
      </c>
      <c r="BP1061" s="64">
        <v>49</v>
      </c>
      <c r="BQ1061" s="64">
        <v>68</v>
      </c>
      <c r="BR1061" s="64">
        <v>80</v>
      </c>
      <c r="BS1061" s="64">
        <v>73</v>
      </c>
      <c r="BT1061" s="64">
        <v>70</v>
      </c>
      <c r="BU1061" s="64">
        <v>80</v>
      </c>
      <c r="BV1061" s="64">
        <v>76</v>
      </c>
      <c r="BW1061" s="91">
        <f t="shared" si="327"/>
        <v>-95.299698145752487</v>
      </c>
      <c r="BX1061" s="91" t="str">
        <f>_xlfn.XLOOKUP(BW1061,'Normative data'!$V$3:$V$6,'Normative data'!$W$3:$W$6,"Not Found",-1)</f>
        <v>Not Found</v>
      </c>
      <c r="BY1061" s="91">
        <f t="shared" si="328"/>
        <v>-97.455799913755939</v>
      </c>
      <c r="BZ1061" s="91" t="str">
        <f>_xlfn.XLOOKUP(BY1061,'Normative data'!$V$3:$V$6,'Normative data'!$W$3:$W$6,"Not Found",-1)</f>
        <v>Not Found</v>
      </c>
      <c r="CA1061" s="17">
        <v>26</v>
      </c>
      <c r="CB1061" s="66"/>
      <c r="CC1061" s="20"/>
      <c r="CD1061" s="66"/>
      <c r="CE1061" s="64">
        <v>17</v>
      </c>
      <c r="CF1061" s="66"/>
      <c r="CG1061" s="17">
        <v>17.190000000000001</v>
      </c>
      <c r="CH1061" s="20" t="str">
        <f>_xlfn.XLOOKUP(CG1061, 'Normative data'!$S$9:$S$15,'Normative data'!$T$9:$T$15, "Not Found", -1)</f>
        <v>Above Average</v>
      </c>
      <c r="CI1061" s="17">
        <v>19.190000000000001</v>
      </c>
      <c r="CJ1061" s="20" t="str">
        <f>_xlfn.XLOOKUP(CI1061, 'Normative data'!$S$9:$S$15, 'Normative data'!$T$9:$T$15, "Not Found", -1)</f>
        <v>Average</v>
      </c>
      <c r="CK1061" s="64">
        <v>1.98</v>
      </c>
      <c r="CL1061" s="64">
        <v>5.05</v>
      </c>
      <c r="CM1061" s="66"/>
      <c r="CN1061" s="64">
        <v>6.36</v>
      </c>
      <c r="CO1061" s="64">
        <v>7.86</v>
      </c>
      <c r="CP1061" s="68"/>
      <c r="CQ1061" s="67">
        <v>9.4</v>
      </c>
      <c r="CR1061" s="20" t="str" cm="1">
        <f t="array" ref="CR1061">IF(OR(ISBLANK(E1061),ISBLANK(CQ1061)),"Incomplete",_xlfn.XLOOKUP(CQ1061,_xlfn.XLOOKUP(E1061,'Normative data'!$Y$3:$Y$6,'Normative data'!$Z$3:$AG$6,,-1),'Normative data'!$Z$2:$AG$2,"Not Found",-1))</f>
        <v>Good</v>
      </c>
      <c r="CS1061" s="68">
        <v>9</v>
      </c>
      <c r="CT1061" s="66">
        <v>4</v>
      </c>
      <c r="CU1061" s="20" cm="1">
        <f t="array" ref="CU1061">_xlfn.XLOOKUP(CS1061&amp;CT1061,(VLOOKUP!$A$3:$A$250)&amp;(VLOOKUP!$B$3:$B$250),VLOOKUP!$C$3:$C$250,"Incomplete",-1)</f>
        <v>1520</v>
      </c>
      <c r="CV1061" s="20" t="str" cm="1">
        <f t="array" ref="CV1061">_xlfn.XLOOKUP(CU1061, _xlfn.XLOOKUP(E1061, 'Normative data'!$Y$11:$Y$14, 'Normative data'!$Z$11:$AG$14, ,-1), 'Normative data'!$Z$10:$AG$10, "Not Found", -1)</f>
        <v>Average</v>
      </c>
      <c r="CW1061" s="20" cm="1">
        <f t="array" ref="CW1061">IF(OR(ISBLANK(CS1061),ISBLANK(CT1061)),"Incomplete",_xlfn.XLOOKUP(CS1061&amp;CT1061,VLOOKUP!$A$4:$A$250&amp;VLOOKUP!$B$4:$B$250,VLOOKUP!$D$4:$D$250,"0"))</f>
        <v>45</v>
      </c>
    </row>
    <row r="1062" spans="1:101">
      <c r="A1062" s="64" t="s">
        <v>1243</v>
      </c>
      <c r="B1062" s="64" t="s">
        <v>645</v>
      </c>
      <c r="C1062" s="64" t="s">
        <v>86</v>
      </c>
      <c r="D1062" s="65"/>
      <c r="E1062" s="64"/>
      <c r="F1062" s="66">
        <v>12</v>
      </c>
      <c r="G1062" s="64">
        <v>2026</v>
      </c>
      <c r="H1062" s="66"/>
      <c r="I1062" s="66">
        <v>2</v>
      </c>
      <c r="J1062" s="66" t="s">
        <v>122</v>
      </c>
      <c r="K1062" s="66" t="s">
        <v>228</v>
      </c>
      <c r="L1062" s="66"/>
      <c r="M1062" s="64"/>
      <c r="N1062" s="64"/>
      <c r="O1062" s="64"/>
      <c r="P1062" s="64"/>
      <c r="Q1062" s="64"/>
      <c r="R1062" s="64"/>
      <c r="S1062" s="66"/>
      <c r="T1062" s="66"/>
      <c r="U1062" s="64"/>
      <c r="V1062" s="64"/>
      <c r="W1062" s="64"/>
      <c r="X1062" s="64"/>
      <c r="Y1062" s="64"/>
      <c r="Z1062" s="64"/>
      <c r="AA1062" s="64"/>
      <c r="AB1062" s="64"/>
      <c r="AC1062" s="64"/>
      <c r="AD1062" s="64"/>
      <c r="AE1062" s="64"/>
      <c r="AF1062" s="64"/>
      <c r="AG1062" s="64"/>
      <c r="AH1062" s="64"/>
      <c r="AI1062" s="64"/>
      <c r="AJ1062" s="64"/>
      <c r="AK1062" s="64"/>
      <c r="AL1062" s="64"/>
      <c r="AM1062" s="64"/>
      <c r="AN1062" s="64"/>
      <c r="AO1062" s="64"/>
      <c r="AP1062" s="64"/>
      <c r="AQ1062" s="20"/>
      <c r="AR1062" s="20"/>
      <c r="AS1062" s="20"/>
      <c r="AT1062" s="20"/>
      <c r="AU1062" s="20"/>
      <c r="AV1062" s="20"/>
      <c r="AW1062" s="20"/>
      <c r="AX1062" s="20"/>
      <c r="AY1062" s="41" t="str">
        <f t="shared" si="330"/>
        <v>Incomplete</v>
      </c>
      <c r="AZ1062" s="64"/>
      <c r="BA1062" s="20" t="str">
        <f t="shared" si="331"/>
        <v>Incomplete</v>
      </c>
      <c r="BB1062" s="64"/>
      <c r="BC1062" s="20" t="str">
        <f t="shared" si="332"/>
        <v>Incomplete</v>
      </c>
      <c r="BD1062" s="64"/>
      <c r="BE1062" s="20" t="str">
        <f t="shared" si="333"/>
        <v>Incomplete</v>
      </c>
      <c r="BF1062" s="64"/>
      <c r="BG1062" s="64"/>
      <c r="BH1062" s="66"/>
      <c r="BI1062" s="20" t="str">
        <f t="shared" si="329"/>
        <v>Incomplete</v>
      </c>
      <c r="BJ1062" s="66"/>
      <c r="BK1062" s="64"/>
      <c r="BL1062" s="66"/>
      <c r="BM1062" s="20"/>
      <c r="BN1062" s="66"/>
      <c r="BO1062" s="64"/>
      <c r="BP1062" s="64"/>
      <c r="BQ1062" s="64"/>
      <c r="BR1062" s="64"/>
      <c r="BS1062" s="64"/>
      <c r="BT1062" s="64"/>
      <c r="BU1062" s="64"/>
      <c r="BV1062" s="64"/>
      <c r="BW1062" s="91" t="str">
        <f t="shared" si="327"/>
        <v>Incomplete</v>
      </c>
      <c r="BX1062" s="91" t="str">
        <f>_xlfn.XLOOKUP(BW1062,'Normative data'!$V$3:$V$6,'Normative data'!$W$3:$W$6,"Not Found",-1)</f>
        <v>Very low risk</v>
      </c>
      <c r="BY1062" s="91" t="str">
        <f t="shared" si="328"/>
        <v>Incomplete</v>
      </c>
      <c r="BZ1062" s="91" t="str">
        <f>_xlfn.XLOOKUP(BY1062,'Normative data'!$V$3:$V$6,'Normative data'!$W$3:$W$6,"Not Found",-1)</f>
        <v>Very low risk</v>
      </c>
      <c r="CA1062" s="64"/>
      <c r="CB1062" s="66"/>
      <c r="CD1062" s="66"/>
      <c r="CE1062" s="64"/>
      <c r="CF1062" s="66"/>
      <c r="CG1062" s="20"/>
      <c r="CH1062" s="20" t="str">
        <f>_xlfn.XLOOKUP(CG1062, 'Normative data'!$S$9:$S$15,'Normative data'!$T$9:$T$15, "Not Found", -1)</f>
        <v>not completed</v>
      </c>
      <c r="CI1062" s="20"/>
      <c r="CJ1062" s="20" t="str">
        <f>_xlfn.XLOOKUP(CI1062, 'Normative data'!$S$9:$S$15, 'Normative data'!$T$9:$T$15, "Not Found", -1)</f>
        <v>not completed</v>
      </c>
      <c r="CK1062" s="105"/>
      <c r="CL1062" s="105"/>
      <c r="CM1062" s="105"/>
      <c r="CN1062" s="105"/>
      <c r="CO1062" s="105"/>
      <c r="CP1062" s="68"/>
      <c r="CQ1062" s="67"/>
      <c r="CR1062" s="20" t="str" cm="1">
        <f t="array" ref="CR1062">IF(OR(ISBLANK(E1062),ISBLANK(CQ1062)),"Incomplete",_xlfn.XLOOKUP(CQ1062,_xlfn.XLOOKUP(E1062,'Normative data'!$Y$3:$Y$6,'Normative data'!$Z$3:$AG$6,,-1),'Normative data'!$Z$2:$AG$2,"Not Found",-1))</f>
        <v>Incomplete</v>
      </c>
      <c r="CS1062" s="68"/>
      <c r="CT1062" s="66"/>
      <c r="CU1062" s="20" t="str" cm="1">
        <f t="array" ref="CU1062">_xlfn.XLOOKUP(CS1062&amp;CT1062,(VLOOKUP!$A$3:$A$250)&amp;(VLOOKUP!$B$3:$B$250),VLOOKUP!$C$3:$C$250,"Incomplete",-1)</f>
        <v>Incomplete</v>
      </c>
      <c r="CV1062" s="20" t="str" cm="1">
        <f t="array" ref="CV1062">_xlfn.XLOOKUP(CU1062, _xlfn.XLOOKUP(E1062, 'Normative data'!$Y$11:$Y$14, 'Normative data'!$Z$11:$AG$14, ,-1), 'Normative data'!$Z$10:$AG$10, "Not Found", -1)</f>
        <v>Excellent</v>
      </c>
      <c r="CW1062" s="20" t="str" cm="1">
        <f t="array" ref="CW1062">IF(OR(ISBLANK(CS1062),ISBLANK(CT1062)),"Incomplete",_xlfn.XLOOKUP(CS1062&amp;CT1062,VLOOKUP!$A$4:$A$250&amp;VLOOKUP!$B$4:$B$250,VLOOKUP!$D$4:$D$250,"0"))</f>
        <v>Incomplete</v>
      </c>
    </row>
    <row r="1063" spans="1:101">
      <c r="A1063" s="64" t="s">
        <v>893</v>
      </c>
      <c r="B1063" s="64" t="s">
        <v>645</v>
      </c>
      <c r="C1063" s="64" t="s">
        <v>86</v>
      </c>
      <c r="D1063" s="65" t="s">
        <v>1732</v>
      </c>
      <c r="E1063" s="64">
        <v>18.2</v>
      </c>
      <c r="F1063" s="66">
        <v>12</v>
      </c>
      <c r="G1063" s="64">
        <v>2026</v>
      </c>
      <c r="H1063" s="66"/>
      <c r="I1063" s="66">
        <v>2</v>
      </c>
      <c r="J1063" s="66" t="s">
        <v>122</v>
      </c>
      <c r="K1063" s="66" t="s">
        <v>101</v>
      </c>
      <c r="L1063" s="66" t="s">
        <v>102</v>
      </c>
      <c r="M1063" s="64"/>
      <c r="N1063" s="64"/>
      <c r="O1063" s="64"/>
      <c r="P1063" s="64"/>
      <c r="Q1063" s="64"/>
      <c r="R1063" s="64"/>
      <c r="S1063" s="66">
        <v>85.9</v>
      </c>
      <c r="T1063" s="66">
        <v>168.5</v>
      </c>
      <c r="U1063" s="64">
        <v>61.7</v>
      </c>
      <c r="V1063" s="64">
        <v>33.5</v>
      </c>
      <c r="W1063" s="64">
        <v>15.8</v>
      </c>
      <c r="X1063" s="64">
        <v>45.9</v>
      </c>
      <c r="Y1063" s="64">
        <v>25.3</v>
      </c>
      <c r="Z1063" s="64">
        <v>21.7</v>
      </c>
      <c r="AA1063" s="64">
        <v>25.5</v>
      </c>
      <c r="AB1063" s="64">
        <v>6.9</v>
      </c>
      <c r="AC1063" s="64">
        <v>99.1</v>
      </c>
      <c r="AD1063" s="64">
        <v>6.87</v>
      </c>
      <c r="AE1063" s="64">
        <v>98.6</v>
      </c>
      <c r="AF1063" s="64">
        <v>2.4</v>
      </c>
      <c r="AG1063" s="64">
        <v>92.7</v>
      </c>
      <c r="AH1063" s="64">
        <v>2.4</v>
      </c>
      <c r="AI1063" s="64">
        <v>92.6</v>
      </c>
      <c r="AJ1063" s="64">
        <v>341.8</v>
      </c>
      <c r="AK1063" s="64">
        <v>346.1</v>
      </c>
      <c r="AL1063" s="64">
        <v>302.7</v>
      </c>
      <c r="AM1063" s="64">
        <v>306.39999999999998</v>
      </c>
      <c r="AN1063" s="64">
        <v>78</v>
      </c>
      <c r="AO1063" s="64">
        <v>0.89</v>
      </c>
      <c r="AP1063" s="64">
        <v>6.4</v>
      </c>
      <c r="AQ1063" s="17">
        <v>20.3</v>
      </c>
      <c r="AR1063" s="17">
        <v>0.40699999999999997</v>
      </c>
      <c r="AS1063" s="17">
        <v>22.2</v>
      </c>
      <c r="AT1063" s="17">
        <v>0.42599999999999999</v>
      </c>
      <c r="AU1063" s="17">
        <v>12.2</v>
      </c>
      <c r="AV1063" s="17">
        <v>0.315</v>
      </c>
      <c r="AW1063" s="17">
        <v>11</v>
      </c>
      <c r="AX1063" s="17">
        <v>0.3</v>
      </c>
      <c r="AY1063" s="41">
        <f t="shared" si="330"/>
        <v>1972.2199999999998</v>
      </c>
      <c r="AZ1063" s="64"/>
      <c r="BA1063" s="20">
        <f t="shared" si="331"/>
        <v>2087.5499999999993</v>
      </c>
      <c r="BB1063" s="64"/>
      <c r="BC1063" s="20">
        <f t="shared" si="332"/>
        <v>1480.5499999999997</v>
      </c>
      <c r="BD1063" s="64"/>
      <c r="BE1063" s="20">
        <f t="shared" si="333"/>
        <v>1407.71</v>
      </c>
      <c r="BF1063" s="64"/>
      <c r="BG1063" s="64">
        <v>17</v>
      </c>
      <c r="BH1063" s="64">
        <v>28</v>
      </c>
      <c r="BI1063" s="20">
        <f t="shared" si="329"/>
        <v>11</v>
      </c>
      <c r="BJ1063" s="66"/>
      <c r="BK1063" s="64">
        <v>18.5</v>
      </c>
      <c r="BL1063" s="66"/>
      <c r="BM1063" s="64">
        <v>18.5</v>
      </c>
      <c r="BN1063" s="66"/>
      <c r="BO1063" s="64">
        <v>49</v>
      </c>
      <c r="BP1063" s="64">
        <v>49.5</v>
      </c>
      <c r="BQ1063" s="64">
        <v>91</v>
      </c>
      <c r="BR1063" s="64">
        <v>84</v>
      </c>
      <c r="BS1063" s="64">
        <v>77</v>
      </c>
      <c r="BT1063" s="64">
        <v>92</v>
      </c>
      <c r="BU1063" s="64">
        <v>80</v>
      </c>
      <c r="BV1063" s="64">
        <v>72</v>
      </c>
      <c r="BW1063" s="91">
        <f t="shared" si="327"/>
        <v>101.6949152542373</v>
      </c>
      <c r="BX1063" s="91" t="str">
        <f>_xlfn.XLOOKUP(BW1063,'Normative data'!$V$3:$V$6,'Normative data'!$W$3:$W$6,"Not Found",-1)</f>
        <v>Low risk</v>
      </c>
      <c r="BY1063" s="91">
        <f t="shared" si="328"/>
        <v>98.466505246166264</v>
      </c>
      <c r="BZ1063" s="91" t="str">
        <f>_xlfn.XLOOKUP(BY1063,'Normative data'!$V$3:$V$6,'Normative data'!$W$3:$W$6,"Not Found",-1)</f>
        <v>Low risk</v>
      </c>
      <c r="CA1063" s="64">
        <v>30</v>
      </c>
      <c r="CB1063" s="66"/>
      <c r="CC1063" s="66"/>
      <c r="CD1063" s="66"/>
      <c r="CE1063" s="64">
        <v>16</v>
      </c>
      <c r="CF1063" s="66"/>
      <c r="CG1063" s="64">
        <v>18</v>
      </c>
      <c r="CH1063" s="20" t="str">
        <f>_xlfn.XLOOKUP(CG1063, 'Normative data'!$S$9:$S$15,'Normative data'!$T$9:$T$15, "Not Found", -1)</f>
        <v>Average</v>
      </c>
      <c r="CI1063" s="64">
        <v>17.54</v>
      </c>
      <c r="CJ1063" s="20" t="str">
        <f>_xlfn.XLOOKUP(CI1063, 'Normative data'!$S$9:$S$15, 'Normative data'!$T$9:$T$15, "Not Found", -1)</f>
        <v>Above Average</v>
      </c>
      <c r="CK1063" s="21"/>
      <c r="CL1063" s="21"/>
      <c r="CM1063" s="21"/>
      <c r="CN1063" s="21"/>
      <c r="CO1063" s="21"/>
      <c r="CP1063" s="68"/>
      <c r="CQ1063" s="67">
        <v>9.3000000000000007</v>
      </c>
      <c r="CR1063" s="20" t="str" cm="1">
        <f t="array" ref="CR1063">IF(OR(ISBLANK(E1063),ISBLANK(CQ1063)),"Incomplete",_xlfn.XLOOKUP(CQ1063,_xlfn.XLOOKUP(E1063,'Normative data'!$Y$3:$Y$6,'Normative data'!$Z$3:$AG$6,,-1),'Normative data'!$Z$2:$AG$2,"Not Found",-1))</f>
        <v>Good</v>
      </c>
      <c r="CS1063" s="68">
        <v>9</v>
      </c>
      <c r="CT1063" s="66">
        <v>3</v>
      </c>
      <c r="CU1063" s="20" cm="1">
        <f t="array" ref="CU1063">_xlfn.XLOOKUP(CS1063&amp;CT1063,(VLOOKUP!$A$3:$A$250)&amp;(VLOOKUP!$B$3:$B$250),VLOOKUP!$C$3:$C$250,"Incomplete",-1)</f>
        <v>1500</v>
      </c>
      <c r="CV1063" s="20" t="str" cm="1">
        <f t="array" ref="CV1063">_xlfn.XLOOKUP(CU1063, _xlfn.XLOOKUP(E1063, 'Normative data'!$Y$11:$Y$14, 'Normative data'!$Z$11:$AG$14, ,-1), 'Normative data'!$Z$10:$AG$10, "Not Found", -1)</f>
        <v>Average</v>
      </c>
      <c r="CW1063" s="20" cm="1">
        <f t="array" ref="CW1063">IF(OR(ISBLANK(CS1063),ISBLANK(CT1063)),"Incomplete",_xlfn.XLOOKUP(CS1063&amp;CT1063,VLOOKUP!$A$4:$A$250&amp;VLOOKUP!$B$4:$B$250,VLOOKUP!$D$4:$D$250,"0"))</f>
        <v>44</v>
      </c>
    </row>
    <row r="1064" spans="1:101">
      <c r="A1064" s="64" t="s">
        <v>1553</v>
      </c>
      <c r="B1064" s="64" t="s">
        <v>645</v>
      </c>
      <c r="C1064" s="64" t="s">
        <v>86</v>
      </c>
      <c r="D1064" s="65"/>
      <c r="E1064" s="64"/>
      <c r="F1064" s="66" t="s">
        <v>181</v>
      </c>
      <c r="G1064" s="64">
        <v>2026</v>
      </c>
      <c r="H1064" s="66"/>
      <c r="I1064" s="66">
        <v>2</v>
      </c>
      <c r="J1064" s="66" t="s">
        <v>1062</v>
      </c>
      <c r="K1064" s="66" t="s">
        <v>95</v>
      </c>
      <c r="L1064" s="66"/>
      <c r="M1064" s="64"/>
      <c r="N1064" s="64"/>
      <c r="O1064" s="64"/>
      <c r="P1064" s="64"/>
      <c r="Q1064" s="64"/>
      <c r="R1064" s="64"/>
      <c r="S1064" s="66"/>
      <c r="T1064" s="66"/>
      <c r="U1064" s="64"/>
      <c r="V1064" s="64"/>
      <c r="W1064" s="64"/>
      <c r="X1064" s="64"/>
      <c r="Y1064" s="64"/>
      <c r="Z1064" s="64"/>
      <c r="AA1064" s="64"/>
      <c r="AB1064" s="64"/>
      <c r="AC1064" s="64"/>
      <c r="AD1064" s="64"/>
      <c r="AE1064" s="64"/>
      <c r="AF1064" s="64"/>
      <c r="AG1064" s="64"/>
      <c r="AH1064" s="64"/>
      <c r="AI1064" s="64"/>
      <c r="AJ1064" s="64"/>
      <c r="AK1064" s="64"/>
      <c r="AL1064" s="64"/>
      <c r="AM1064" s="64"/>
      <c r="AN1064" s="64"/>
      <c r="AO1064" s="64"/>
      <c r="AP1064" s="64"/>
      <c r="AY1064" s="41" t="str">
        <f t="shared" si="330"/>
        <v>Incomplete</v>
      </c>
      <c r="AZ1064" s="64"/>
      <c r="BA1064" s="20" t="str">
        <f t="shared" si="331"/>
        <v>Incomplete</v>
      </c>
      <c r="BB1064" s="64"/>
      <c r="BC1064" s="20" t="str">
        <f t="shared" si="332"/>
        <v>Incomplete</v>
      </c>
      <c r="BD1064" s="64"/>
      <c r="BE1064" s="20" t="str">
        <f t="shared" si="333"/>
        <v>Incomplete</v>
      </c>
      <c r="BF1064" s="64"/>
      <c r="BG1064" s="64">
        <v>16.5</v>
      </c>
      <c r="BH1064" s="64">
        <v>52.5</v>
      </c>
      <c r="BI1064" s="20">
        <f t="shared" si="329"/>
        <v>36</v>
      </c>
      <c r="BJ1064" s="66"/>
      <c r="BK1064" s="64">
        <v>49</v>
      </c>
      <c r="BL1064" s="66"/>
      <c r="BM1064" s="64">
        <v>50</v>
      </c>
      <c r="BN1064" s="66"/>
      <c r="BO1064" s="64"/>
      <c r="BP1064" s="64"/>
      <c r="BQ1064" s="64">
        <v>77</v>
      </c>
      <c r="BR1064" s="64">
        <v>77</v>
      </c>
      <c r="BS1064" s="64">
        <v>76</v>
      </c>
      <c r="BT1064" s="64">
        <v>72</v>
      </c>
      <c r="BU1064" s="64">
        <v>89</v>
      </c>
      <c r="BV1064" s="64">
        <v>83</v>
      </c>
      <c r="BW1064" s="91" t="str">
        <f t="shared" si="327"/>
        <v>Incomplete</v>
      </c>
      <c r="BX1064" s="91" t="str">
        <f>_xlfn.XLOOKUP(BW1064,'Normative data'!$V$3:$V$6,'Normative data'!$W$3:$W$6,"Not Found",-1)</f>
        <v>Very low risk</v>
      </c>
      <c r="BY1064" s="91" t="str">
        <f t="shared" si="328"/>
        <v>Incomplete</v>
      </c>
      <c r="BZ1064" s="91" t="str">
        <f>_xlfn.XLOOKUP(BY1064,'Normative data'!$V$3:$V$6,'Normative data'!$W$3:$W$6,"Not Found",-1)</f>
        <v>Very low risk</v>
      </c>
      <c r="CA1064" s="64">
        <v>29</v>
      </c>
      <c r="CB1064" s="66"/>
      <c r="CC1064" s="20"/>
      <c r="CD1064" s="66"/>
      <c r="CE1064" s="64">
        <v>20</v>
      </c>
      <c r="CF1064" s="66"/>
      <c r="CG1064" s="66"/>
      <c r="CH1064" s="20" t="str">
        <f>_xlfn.XLOOKUP(CG1064, 'Normative data'!$S$9:$S$15,'Normative data'!$T$9:$T$15, "Not Found", -1)</f>
        <v>not completed</v>
      </c>
      <c r="CI1064" s="66"/>
      <c r="CJ1064" s="20" t="str">
        <f>_xlfn.XLOOKUP(CI1064, 'Normative data'!$S$9:$S$15, 'Normative data'!$T$9:$T$15, "Not Found", -1)</f>
        <v>not completed</v>
      </c>
      <c r="CK1064" s="64">
        <v>2.2400000000000002</v>
      </c>
      <c r="CL1064" s="64">
        <v>4.46</v>
      </c>
      <c r="CM1064" s="66"/>
      <c r="CN1064" s="64">
        <v>6.75</v>
      </c>
      <c r="CO1064" s="64">
        <v>7.41</v>
      </c>
      <c r="CP1064" s="68"/>
      <c r="CQ1064" s="67"/>
      <c r="CR1064" s="20" t="str" cm="1">
        <f t="array" ref="CR1064">IF(OR(ISBLANK(E1064),ISBLANK(CQ1064)),"Incomplete",_xlfn.XLOOKUP(CQ1064,_xlfn.XLOOKUP(E1064,'Normative data'!$Y$3:$Y$6,'Normative data'!$Z$3:$AG$6,,-1),'Normative data'!$Z$2:$AG$2,"Not Found",-1))</f>
        <v>Incomplete</v>
      </c>
      <c r="CS1064" s="68"/>
      <c r="CT1064" s="66"/>
      <c r="CU1064" s="20" t="str" cm="1">
        <f t="array" ref="CU1064">_xlfn.XLOOKUP(CS1064&amp;CT1064,(VLOOKUP!$A$3:$A$250)&amp;(VLOOKUP!$B$3:$B$250),VLOOKUP!$C$3:$C$250,"Incomplete",-1)</f>
        <v>Incomplete</v>
      </c>
      <c r="CV1064" s="20" t="str" cm="1">
        <f t="array" ref="CV1064">_xlfn.XLOOKUP(CU1064, _xlfn.XLOOKUP(E1064, 'Normative data'!$Y$11:$Y$14, 'Normative data'!$Z$11:$AG$14, ,-1), 'Normative data'!$Z$10:$AG$10, "Not Found", -1)</f>
        <v>Excellent</v>
      </c>
      <c r="CW1064" s="20" t="str" cm="1">
        <f t="array" ref="CW1064">IF(OR(ISBLANK(CS1064),ISBLANK(CT1064)),"Incomplete",_xlfn.XLOOKUP(CS1064&amp;CT1064,VLOOKUP!$A$4:$A$250&amp;VLOOKUP!$B$4:$B$250,VLOOKUP!$D$4:$D$250,"0"))</f>
        <v>Incomplete</v>
      </c>
    </row>
    <row r="1065" spans="1:101">
      <c r="A1065" s="64" t="s">
        <v>1733</v>
      </c>
      <c r="B1065" s="64" t="s">
        <v>645</v>
      </c>
      <c r="C1065" s="64" t="s">
        <v>86</v>
      </c>
      <c r="D1065" s="65">
        <v>41024</v>
      </c>
      <c r="E1065" s="64">
        <v>13.9</v>
      </c>
      <c r="F1065" s="66" t="s">
        <v>251</v>
      </c>
      <c r="G1065" s="64">
        <v>2026</v>
      </c>
      <c r="H1065" s="66"/>
      <c r="I1065" s="66">
        <v>2</v>
      </c>
      <c r="J1065" s="66" t="s">
        <v>100</v>
      </c>
      <c r="K1065" s="66" t="s">
        <v>236</v>
      </c>
      <c r="L1065" s="66"/>
      <c r="M1065" s="64"/>
      <c r="N1065" s="64"/>
      <c r="O1065" s="64"/>
      <c r="P1065" s="64"/>
      <c r="Q1065" s="64"/>
      <c r="R1065" s="64"/>
      <c r="S1065" s="66"/>
      <c r="T1065" s="66">
        <v>159.6</v>
      </c>
      <c r="U1065" s="64">
        <v>64</v>
      </c>
      <c r="V1065" s="64">
        <v>33.9</v>
      </c>
      <c r="W1065" s="64">
        <v>17.7</v>
      </c>
      <c r="X1065" s="64">
        <v>46.3</v>
      </c>
      <c r="Y1065" s="64">
        <v>25.7</v>
      </c>
      <c r="Z1065" s="64">
        <v>24.8</v>
      </c>
      <c r="AA1065" s="64">
        <v>27.6</v>
      </c>
      <c r="AB1065" s="64">
        <v>6.64</v>
      </c>
      <c r="AC1065" s="64">
        <v>104.3</v>
      </c>
      <c r="AD1065" s="64">
        <v>6.59</v>
      </c>
      <c r="AE1065" s="64">
        <v>103.5</v>
      </c>
      <c r="AF1065" s="64">
        <v>2.6</v>
      </c>
      <c r="AG1065" s="64">
        <v>117.8</v>
      </c>
      <c r="AH1065" s="64">
        <v>2.6</v>
      </c>
      <c r="AI1065" s="64">
        <v>116.7</v>
      </c>
      <c r="AJ1065" s="64">
        <v>282.3</v>
      </c>
      <c r="AK1065" s="64">
        <v>284.8</v>
      </c>
      <c r="AL1065" s="64">
        <v>245.9</v>
      </c>
      <c r="AM1065" s="64">
        <v>249.6</v>
      </c>
      <c r="AN1065" s="64">
        <v>94</v>
      </c>
      <c r="AO1065" s="64">
        <v>0.88</v>
      </c>
      <c r="AP1065" s="64">
        <v>7</v>
      </c>
      <c r="AQ1065" s="17">
        <v>16.899999999999999</v>
      </c>
      <c r="AR1065" s="17">
        <v>0.371</v>
      </c>
      <c r="AS1065" s="17">
        <v>23.3</v>
      </c>
      <c r="AT1065" s="17">
        <v>0.436</v>
      </c>
      <c r="AU1065" s="17">
        <v>7.8</v>
      </c>
      <c r="AV1065" s="17">
        <v>0.252</v>
      </c>
      <c r="AW1065" s="17">
        <v>9.5</v>
      </c>
      <c r="AX1065" s="17">
        <v>0.27900000000000003</v>
      </c>
      <c r="AY1065" s="41">
        <f t="shared" si="330"/>
        <v>1870.0299999999997</v>
      </c>
      <c r="AZ1065" s="64"/>
      <c r="BA1065" s="20">
        <f t="shared" si="331"/>
        <v>2258.5100000000002</v>
      </c>
      <c r="BB1065" s="64"/>
      <c r="BC1065" s="20">
        <f t="shared" si="332"/>
        <v>1317.6599999999999</v>
      </c>
      <c r="BD1065" s="64"/>
      <c r="BE1065" s="20">
        <f t="shared" si="333"/>
        <v>1420.85</v>
      </c>
      <c r="BF1065" s="64"/>
      <c r="BG1065" s="64"/>
      <c r="BH1065" s="17">
        <v>32.700000000000003</v>
      </c>
      <c r="BI1065" s="20" t="str">
        <f t="shared" si="329"/>
        <v>Incomplete</v>
      </c>
      <c r="BJ1065" s="66"/>
      <c r="BK1065" s="64">
        <v>11</v>
      </c>
      <c r="BL1065" s="66"/>
      <c r="BM1065" s="64">
        <v>9.5</v>
      </c>
      <c r="BN1065" s="66"/>
      <c r="BO1065" s="64">
        <v>46</v>
      </c>
      <c r="BP1065" s="64">
        <v>50.5</v>
      </c>
      <c r="BQ1065" s="64">
        <v>73</v>
      </c>
      <c r="BR1065" s="64">
        <v>83</v>
      </c>
      <c r="BS1065" s="64"/>
      <c r="BT1065" s="64">
        <v>86</v>
      </c>
      <c r="BU1065" s="64">
        <v>73</v>
      </c>
      <c r="BV1065" s="64"/>
      <c r="BW1065" s="91">
        <f t="shared" si="327"/>
        <v>32.581453634085214</v>
      </c>
      <c r="BX1065" s="91" t="str">
        <f>_xlfn.XLOOKUP(BW1065,'Normative data'!$V$3:$V$6,'Normative data'!$W$3:$W$6,"Not Found",-1)</f>
        <v>High risk</v>
      </c>
      <c r="BY1065" s="91">
        <f t="shared" si="328"/>
        <v>33.208020050125313</v>
      </c>
      <c r="BZ1065" s="91" t="str">
        <f>_xlfn.XLOOKUP(BY1065,'Normative data'!$V$3:$V$6,'Normative data'!$W$3:$W$6,"Not Found",-1)</f>
        <v>High risk</v>
      </c>
      <c r="CA1065" s="64">
        <v>22</v>
      </c>
      <c r="CB1065" s="66"/>
      <c r="CC1065" s="66"/>
      <c r="CD1065" s="66"/>
      <c r="CE1065" s="64">
        <v>18</v>
      </c>
      <c r="CF1065" s="66"/>
      <c r="CG1065" s="17">
        <v>19.38</v>
      </c>
      <c r="CH1065" s="20" t="str">
        <f>_xlfn.XLOOKUP(CG1065, 'Normative data'!$S$9:$S$15,'Normative data'!$T$9:$T$15, "Not Found", -1)</f>
        <v>Average</v>
      </c>
      <c r="CI1065" s="17">
        <v>18.75</v>
      </c>
      <c r="CJ1065" s="20" t="str">
        <f>_xlfn.XLOOKUP(CI1065, 'Normative data'!$S$9:$S$15, 'Normative data'!$T$9:$T$15, "Not Found", -1)</f>
        <v>Average</v>
      </c>
      <c r="CK1065" s="17">
        <v>2.35</v>
      </c>
      <c r="CL1065" s="17">
        <v>4.26</v>
      </c>
      <c r="CN1065" s="17">
        <v>7.24</v>
      </c>
      <c r="CO1065" s="17">
        <v>6.91</v>
      </c>
      <c r="CP1065" s="68"/>
      <c r="CQ1065" s="67">
        <v>5.7</v>
      </c>
      <c r="CR1065" s="20" t="str" cm="1">
        <f t="array" ref="CR1065">IF(OR(ISBLANK(E1065),ISBLANK(CQ1065)),"Incomplete",_xlfn.XLOOKUP(CQ1065,_xlfn.XLOOKUP(E1065,'Normative data'!$Y$3:$Y$6,'Normative data'!$Z$3:$AG$6,,-1),'Normative data'!$Z$2:$AG$2,"Not Found",-1))</f>
        <v>Average</v>
      </c>
      <c r="CS1065" s="68">
        <v>5</v>
      </c>
      <c r="CT1065" s="66">
        <v>7</v>
      </c>
      <c r="CU1065" s="20" cm="1">
        <f t="array" ref="CU1065">_xlfn.XLOOKUP(CS1065&amp;CT1065,(VLOOKUP!$A$3:$A$250)&amp;(VLOOKUP!$B$3:$B$250),VLOOKUP!$C$3:$C$250,"Incomplete",-1)</f>
        <v>780</v>
      </c>
      <c r="CV1065" s="20" t="str" cm="1">
        <f t="array" ref="CV1065">_xlfn.XLOOKUP(CU1065, _xlfn.XLOOKUP(E1065, 'Normative data'!$Y$11:$Y$14, 'Normative data'!$Z$11:$AG$14, ,-1), 'Normative data'!$Z$10:$AG$10, "Not Found", -1)</f>
        <v>Average</v>
      </c>
      <c r="CW1065" s="20" cm="1">
        <f t="array" ref="CW1065">IF(OR(ISBLANK(CS1065),ISBLANK(CT1065)),"Incomplete",_xlfn.XLOOKUP(CS1065&amp;CT1065,VLOOKUP!$A$4:$A$250&amp;VLOOKUP!$B$4:$B$250,VLOOKUP!$D$4:$D$250,"0"))</f>
        <v>32</v>
      </c>
    </row>
    <row r="1066" spans="1:101">
      <c r="A1066" s="64" t="s">
        <v>1646</v>
      </c>
      <c r="B1066" s="64" t="s">
        <v>645</v>
      </c>
      <c r="C1066" s="64" t="s">
        <v>86</v>
      </c>
      <c r="D1066" s="65">
        <v>40274</v>
      </c>
      <c r="E1066" s="64"/>
      <c r="F1066" s="66" t="s">
        <v>186</v>
      </c>
      <c r="G1066" s="64">
        <v>2026</v>
      </c>
      <c r="H1066" s="66"/>
      <c r="I1066" s="66">
        <v>2</v>
      </c>
      <c r="J1066" s="66" t="s">
        <v>100</v>
      </c>
      <c r="K1066" s="66" t="s">
        <v>173</v>
      </c>
      <c r="L1066" s="66"/>
      <c r="M1066" s="64"/>
      <c r="N1066" s="64"/>
      <c r="O1066" s="64"/>
      <c r="P1066" s="64"/>
      <c r="Q1066" s="64"/>
      <c r="R1066" s="64"/>
      <c r="S1066" s="66"/>
      <c r="T1066" s="66"/>
      <c r="U1066" s="64"/>
      <c r="V1066" s="64"/>
      <c r="W1066" s="64"/>
      <c r="X1066" s="64"/>
      <c r="Y1066" s="64"/>
      <c r="Z1066" s="64"/>
      <c r="AA1066" s="64"/>
      <c r="AB1066" s="64"/>
      <c r="AC1066" s="64"/>
      <c r="AD1066" s="64"/>
      <c r="AE1066" s="64"/>
      <c r="AF1066" s="64"/>
      <c r="AG1066" s="64"/>
      <c r="AH1066" s="64"/>
      <c r="AI1066" s="64"/>
      <c r="AJ1066" s="64"/>
      <c r="AK1066" s="64"/>
      <c r="AL1066" s="64"/>
      <c r="AM1066" s="64"/>
      <c r="AN1066" s="64"/>
      <c r="AO1066" s="64"/>
      <c r="AP1066" s="64"/>
      <c r="AY1066" s="41" t="str">
        <f t="shared" si="330"/>
        <v>Incomplete</v>
      </c>
      <c r="AZ1066" s="64"/>
      <c r="BA1066" s="20" t="str">
        <f t="shared" si="331"/>
        <v>Incomplete</v>
      </c>
      <c r="BB1066" s="64"/>
      <c r="BC1066" s="20" t="str">
        <f t="shared" si="332"/>
        <v>Incomplete</v>
      </c>
      <c r="BD1066" s="64"/>
      <c r="BE1066" s="20" t="str">
        <f t="shared" si="333"/>
        <v>Incomplete</v>
      </c>
      <c r="BF1066" s="64"/>
      <c r="BG1066" s="64"/>
      <c r="BH1066" s="66"/>
      <c r="BI1066" s="20" t="str">
        <f t="shared" si="329"/>
        <v>Incomplete</v>
      </c>
      <c r="BJ1066" s="66"/>
      <c r="BK1066" s="64">
        <v>13</v>
      </c>
      <c r="BL1066" s="66"/>
      <c r="BM1066" s="17">
        <v>14.2</v>
      </c>
      <c r="BN1066" s="66"/>
      <c r="BO1066" s="64"/>
      <c r="BP1066" s="64"/>
      <c r="BQ1066" s="64">
        <v>79</v>
      </c>
      <c r="BR1066" s="64">
        <v>69</v>
      </c>
      <c r="BS1066" s="64">
        <v>73</v>
      </c>
      <c r="BT1066" s="64">
        <v>78</v>
      </c>
      <c r="BU1066" s="64">
        <v>72</v>
      </c>
      <c r="BV1066" s="64">
        <v>71</v>
      </c>
      <c r="BW1066" s="91" t="str">
        <f t="shared" si="327"/>
        <v>Incomplete</v>
      </c>
      <c r="BX1066" s="91" t="str">
        <f>_xlfn.XLOOKUP(BW1066,'Normative data'!$V$3:$V$6,'Normative data'!$W$3:$W$6,"Not Found",-1)</f>
        <v>Very low risk</v>
      </c>
      <c r="BY1066" s="91" t="str">
        <f t="shared" si="328"/>
        <v>Incomplete</v>
      </c>
      <c r="BZ1066" s="91" t="str">
        <f>_xlfn.XLOOKUP(BY1066,'Normative data'!$V$3:$V$6,'Normative data'!$W$3:$W$6,"Not Found",-1)</f>
        <v>Very low risk</v>
      </c>
      <c r="CA1066" s="17">
        <v>14</v>
      </c>
      <c r="CB1066" s="66"/>
      <c r="CC1066" s="20"/>
      <c r="CD1066" s="66"/>
      <c r="CE1066" s="64">
        <v>15</v>
      </c>
      <c r="CF1066" s="66"/>
      <c r="CG1066" s="64">
        <v>19.64</v>
      </c>
      <c r="CH1066" s="20" t="str">
        <f>_xlfn.XLOOKUP(CG1066, 'Normative data'!$S$9:$S$15,'Normative data'!$T$9:$T$15, "Not Found", -1)</f>
        <v>Average</v>
      </c>
      <c r="CI1066" s="64">
        <v>18.989999999999998</v>
      </c>
      <c r="CJ1066" s="20" t="str">
        <f>_xlfn.XLOOKUP(CI1066, 'Normative data'!$S$9:$S$15, 'Normative data'!$T$9:$T$15, "Not Found", -1)</f>
        <v>Average</v>
      </c>
      <c r="CK1066" s="64">
        <v>2.15</v>
      </c>
      <c r="CL1066" s="64">
        <v>4.6500000000000004</v>
      </c>
      <c r="CM1066" s="66"/>
      <c r="CN1066" s="64">
        <v>7.01</v>
      </c>
      <c r="CO1066" s="64">
        <v>7.13</v>
      </c>
      <c r="CP1066" s="68"/>
      <c r="CQ1066" s="67"/>
      <c r="CR1066" s="20" t="str" cm="1">
        <f t="array" ref="CR1066">IF(OR(ISBLANK(E1066),ISBLANK(CQ1066)),"Incomplete",_xlfn.XLOOKUP(CQ1066,_xlfn.XLOOKUP(E1066,'Normative data'!$Y$3:$Y$6,'Normative data'!$Z$3:$AG$6,,-1),'Normative data'!$Z$2:$AG$2,"Not Found",-1))</f>
        <v>Incomplete</v>
      </c>
      <c r="CS1066" s="68"/>
      <c r="CT1066" s="66"/>
      <c r="CU1066" s="20" t="str" cm="1">
        <f t="array" ref="CU1066">_xlfn.XLOOKUP(CS1066&amp;CT1066,(VLOOKUP!$A$3:$A$250)&amp;(VLOOKUP!$B$3:$B$250),VLOOKUP!$C$3:$C$250,"Incomplete",-1)</f>
        <v>Incomplete</v>
      </c>
      <c r="CV1066" s="20" t="str" cm="1">
        <f t="array" ref="CV1066">_xlfn.XLOOKUP(CU1066, _xlfn.XLOOKUP(E1066, 'Normative data'!$Y$11:$Y$14, 'Normative data'!$Z$11:$AG$14, ,-1), 'Normative data'!$Z$10:$AG$10, "Not Found", -1)</f>
        <v>Excellent</v>
      </c>
      <c r="CW1066" s="20" t="str" cm="1">
        <f t="array" ref="CW1066">IF(OR(ISBLANK(CS1066),ISBLANK(CT1066)),"Incomplete",_xlfn.XLOOKUP(CS1066&amp;CT1066,VLOOKUP!$A$4:$A$250&amp;VLOOKUP!$B$4:$B$250,VLOOKUP!$D$4:$D$250,"0"))</f>
        <v>Incomplete</v>
      </c>
    </row>
    <row r="1067" spans="1:101">
      <c r="A1067" s="64" t="s">
        <v>1183</v>
      </c>
      <c r="B1067" s="64" t="s">
        <v>1289</v>
      </c>
      <c r="C1067" s="64" t="s">
        <v>86</v>
      </c>
      <c r="D1067" s="65">
        <v>40879</v>
      </c>
      <c r="E1067" s="64">
        <v>15.2</v>
      </c>
      <c r="F1067" s="66" t="s">
        <v>104</v>
      </c>
      <c r="G1067" s="64">
        <v>2026</v>
      </c>
      <c r="H1067" s="66"/>
      <c r="I1067" s="66">
        <v>2</v>
      </c>
      <c r="J1067" s="66" t="s">
        <v>88</v>
      </c>
      <c r="K1067" s="66" t="s">
        <v>765</v>
      </c>
      <c r="L1067" s="66"/>
      <c r="M1067" s="64"/>
      <c r="N1067" s="64"/>
      <c r="O1067" s="64"/>
      <c r="P1067" s="64"/>
      <c r="Q1067" s="64"/>
      <c r="R1067" s="64"/>
      <c r="S1067" s="66">
        <v>87.8</v>
      </c>
      <c r="T1067" s="66">
        <v>166</v>
      </c>
      <c r="U1067" s="64">
        <v>61</v>
      </c>
      <c r="V1067" s="64">
        <v>35.200000000000003</v>
      </c>
      <c r="W1067" s="64">
        <v>12.8</v>
      </c>
      <c r="X1067" s="64">
        <v>48.2</v>
      </c>
      <c r="Y1067" s="64">
        <v>26.9</v>
      </c>
      <c r="Z1067" s="64">
        <v>22.1</v>
      </c>
      <c r="AA1067" s="64">
        <v>21.1</v>
      </c>
      <c r="AB1067" s="64">
        <v>7.32</v>
      </c>
      <c r="AC1067" s="64">
        <v>106</v>
      </c>
      <c r="AD1067" s="64">
        <v>7.58</v>
      </c>
      <c r="AE1067" s="64">
        <v>109.7</v>
      </c>
      <c r="AF1067" s="64">
        <v>2.1</v>
      </c>
      <c r="AG1067" s="64">
        <v>82.1</v>
      </c>
      <c r="AH1067" s="64">
        <v>2.1</v>
      </c>
      <c r="AI1067" s="64">
        <v>83.1</v>
      </c>
      <c r="AJ1067" s="64">
        <v>309.5</v>
      </c>
      <c r="AK1067" s="64">
        <v>284.5</v>
      </c>
      <c r="AL1067" s="64">
        <v>268.7</v>
      </c>
      <c r="AM1067" s="64">
        <v>247.3</v>
      </c>
      <c r="AN1067" s="64">
        <v>110</v>
      </c>
      <c r="AO1067" s="64">
        <v>0.82</v>
      </c>
      <c r="AP1067" s="64">
        <v>7.1</v>
      </c>
      <c r="AQ1067" s="64">
        <v>28.6</v>
      </c>
      <c r="AR1067" s="64">
        <v>0.48299999999999998</v>
      </c>
      <c r="AS1067" s="64">
        <v>25</v>
      </c>
      <c r="AT1067" s="64">
        <v>0.45200000000000001</v>
      </c>
      <c r="AU1067" s="64">
        <v>11.9</v>
      </c>
      <c r="AV1067" s="64">
        <v>0.311</v>
      </c>
      <c r="AW1067" s="64">
        <v>15.8</v>
      </c>
      <c r="AX1067" s="64">
        <v>0.35899999999999999</v>
      </c>
      <c r="AY1067" s="41">
        <f t="shared" si="330"/>
        <v>2444.3199999999997</v>
      </c>
      <c r="AZ1067" s="64"/>
      <c r="BA1067" s="20">
        <f t="shared" si="331"/>
        <v>2225.7999999999993</v>
      </c>
      <c r="BB1067" s="64"/>
      <c r="BC1067" s="20">
        <f t="shared" si="332"/>
        <v>1430.6299999999997</v>
      </c>
      <c r="BD1067" s="64"/>
      <c r="BE1067" s="20">
        <f t="shared" si="333"/>
        <v>1667.3599999999997</v>
      </c>
      <c r="BF1067" s="64"/>
      <c r="BG1067" s="64">
        <v>11.9</v>
      </c>
      <c r="BH1067" s="64">
        <v>50.3</v>
      </c>
      <c r="BI1067" s="20">
        <f t="shared" si="329"/>
        <v>38.4</v>
      </c>
      <c r="BJ1067" s="66"/>
      <c r="BK1067" s="64">
        <v>8</v>
      </c>
      <c r="BL1067" s="66"/>
      <c r="BM1067" s="64">
        <v>10.5</v>
      </c>
      <c r="BN1067" s="66"/>
      <c r="BO1067" s="64"/>
      <c r="BP1067" s="64"/>
      <c r="BQ1067" s="64">
        <v>86</v>
      </c>
      <c r="BR1067" s="64">
        <v>92</v>
      </c>
      <c r="BS1067" s="64">
        <v>92</v>
      </c>
      <c r="BT1067" s="64">
        <v>78</v>
      </c>
      <c r="BU1067" s="64">
        <v>92</v>
      </c>
      <c r="BV1067" s="64">
        <v>93</v>
      </c>
      <c r="BW1067" s="91">
        <f t="shared" si="327"/>
        <v>115.08951406649615</v>
      </c>
      <c r="BX1067" s="91" t="str">
        <f>_xlfn.XLOOKUP(BW1067,'Normative data'!$V$3:$V$6,'Normative data'!$W$3:$W$6,"Not Found",-1)</f>
        <v>Low risk</v>
      </c>
      <c r="BY1067" s="91">
        <f t="shared" si="328"/>
        <v>112.10571184995737</v>
      </c>
      <c r="BZ1067" s="91" t="str">
        <f>_xlfn.XLOOKUP(BY1067,'Normative data'!$V$3:$V$6,'Normative data'!$W$3:$W$6,"Not Found",-1)</f>
        <v>Low risk</v>
      </c>
      <c r="CA1067" s="64">
        <v>43</v>
      </c>
      <c r="CB1067" s="66"/>
      <c r="CC1067" s="20"/>
      <c r="CD1067" s="66"/>
      <c r="CE1067" s="64">
        <v>37</v>
      </c>
      <c r="CF1067" s="66"/>
      <c r="CG1067" s="17">
        <v>17.54</v>
      </c>
      <c r="CH1067" s="20" t="str">
        <f>_xlfn.XLOOKUP(CG1067, 'Normative data'!$S$9:$S$15,'Normative data'!$T$9:$T$15, "Not Found", -1)</f>
        <v>Above Average</v>
      </c>
      <c r="CI1067" s="17">
        <v>17.22</v>
      </c>
      <c r="CJ1067" s="20" t="str">
        <f>_xlfn.XLOOKUP(CI1067, 'Normative data'!$S$9:$S$15, 'Normative data'!$T$9:$T$15, "Not Found", -1)</f>
        <v>Above Average</v>
      </c>
      <c r="CK1067" s="64">
        <v>2.2200000000000002</v>
      </c>
      <c r="CL1067" s="64">
        <v>4.5</v>
      </c>
      <c r="CM1067" s="66"/>
      <c r="CN1067" s="64">
        <v>6.74</v>
      </c>
      <c r="CO1067" s="64">
        <v>7.42</v>
      </c>
      <c r="CP1067" s="68"/>
      <c r="CQ1067" s="67">
        <v>10.1</v>
      </c>
      <c r="CR1067" s="20" t="str" cm="1">
        <f t="array" ref="CR1067">IF(OR(ISBLANK(E1067),ISBLANK(CQ1067)),"Incomplete",_xlfn.XLOOKUP(CQ1067,_xlfn.XLOOKUP(E1067,'Normative data'!$Y$3:$Y$6,'Normative data'!$Z$3:$AG$6,,-1),'Normative data'!$Z$2:$AG$2,"Not Found",-1))</f>
        <v>Very good</v>
      </c>
      <c r="CS1067" s="68">
        <v>6</v>
      </c>
      <c r="CT1067" s="66">
        <v>7</v>
      </c>
      <c r="CU1067" s="20" cm="1">
        <f t="array" ref="CU1067">_xlfn.XLOOKUP(CS1067&amp;CT1067,(VLOOKUP!$A$3:$A$250)&amp;(VLOOKUP!$B$3:$B$250),VLOOKUP!$C$3:$C$250,"Incomplete",-1)</f>
        <v>960</v>
      </c>
      <c r="CV1067" s="20" t="str" cm="1">
        <f t="array" ref="CV1067">_xlfn.XLOOKUP(CU1067, _xlfn.XLOOKUP(E1067, 'Normative data'!$Y$11:$Y$14, 'Normative data'!$Z$11:$AG$14, ,-1), 'Normative data'!$Z$10:$AG$10, "Not Found", -1)</f>
        <v>Average</v>
      </c>
      <c r="CW1067" s="20" cm="1">
        <f t="array" ref="CW1067">IF(OR(ISBLANK(CS1067),ISBLANK(CT1067)),"Incomplete",_xlfn.XLOOKUP(CS1067&amp;CT1067,VLOOKUP!$A$4:$A$250&amp;VLOOKUP!$B$4:$B$250,VLOOKUP!$D$4:$D$250,"0"))</f>
        <v>35</v>
      </c>
    </row>
    <row r="1068" spans="1:101">
      <c r="A1068" s="94" t="s">
        <v>1734</v>
      </c>
      <c r="B1068" s="94" t="s">
        <v>1735</v>
      </c>
      <c r="C1068" s="64" t="s">
        <v>86</v>
      </c>
      <c r="D1068" s="97">
        <v>39524</v>
      </c>
      <c r="E1068" s="64"/>
      <c r="F1068" s="64">
        <v>11</v>
      </c>
      <c r="G1068" s="64">
        <v>2025</v>
      </c>
      <c r="H1068" s="66"/>
      <c r="I1068" s="64"/>
      <c r="J1068" s="64"/>
      <c r="K1068" s="64"/>
      <c r="L1068" s="64"/>
      <c r="M1068" s="64"/>
      <c r="N1068" s="64"/>
      <c r="O1068" s="64"/>
      <c r="P1068" s="64"/>
      <c r="Q1068" s="64"/>
      <c r="R1068" s="64"/>
      <c r="S1068" s="66"/>
      <c r="T1068" s="66"/>
      <c r="U1068" s="66"/>
      <c r="V1068" s="66"/>
      <c r="W1068" s="66"/>
      <c r="X1068" s="66"/>
      <c r="Y1068" s="66"/>
      <c r="Z1068" s="66"/>
      <c r="AA1068" s="66"/>
      <c r="AB1068" s="66"/>
      <c r="AC1068" s="66"/>
      <c r="AD1068" s="66"/>
      <c r="AE1068" s="66"/>
      <c r="AF1068" s="66"/>
      <c r="AG1068" s="66"/>
      <c r="AH1068" s="66"/>
      <c r="AI1068" s="66"/>
      <c r="AJ1068" s="66"/>
      <c r="AK1068" s="66"/>
      <c r="AL1068" s="66"/>
      <c r="AM1068" s="66"/>
      <c r="AN1068" s="66"/>
      <c r="AO1068" s="66"/>
      <c r="AP1068" s="66"/>
      <c r="AQ1068" s="66"/>
      <c r="AR1068" s="66"/>
      <c r="AS1068" s="66"/>
      <c r="AT1068" s="66"/>
      <c r="AU1068" s="66"/>
      <c r="AV1068" s="66"/>
      <c r="AW1068" s="66"/>
      <c r="AX1068" s="66"/>
      <c r="AY1068" s="41" t="str">
        <f t="shared" si="330"/>
        <v>Incomplete</v>
      </c>
      <c r="AZ1068" s="66"/>
      <c r="BA1068" s="20" t="str">
        <f t="shared" si="331"/>
        <v>Incomplete</v>
      </c>
      <c r="BB1068" s="66"/>
      <c r="BC1068" s="20" t="str">
        <f t="shared" si="332"/>
        <v>Incomplete</v>
      </c>
      <c r="BD1068" s="66"/>
      <c r="BE1068" s="20" t="str">
        <f t="shared" si="333"/>
        <v>Incomplete</v>
      </c>
      <c r="BF1068" s="66"/>
      <c r="BG1068" s="66"/>
      <c r="BH1068" s="66"/>
      <c r="BI1068" s="20" t="str">
        <f t="shared" si="329"/>
        <v>Incomplete</v>
      </c>
      <c r="BJ1068" s="66"/>
      <c r="BK1068" s="66"/>
      <c r="BL1068" s="66"/>
      <c r="BM1068" s="66"/>
      <c r="BN1068" s="66"/>
      <c r="BO1068" s="66"/>
      <c r="BP1068" s="66"/>
      <c r="BQ1068" s="66"/>
      <c r="BR1068" s="66"/>
      <c r="BS1068" s="66"/>
      <c r="BT1068" s="66"/>
      <c r="BU1068" s="66"/>
      <c r="BV1068" s="66"/>
      <c r="BW1068" s="91" t="str">
        <f t="shared" ref="BW1068:BW1090" si="334">IFERROR(SUM(BQ1068+BR1068+BS1068)/(3*(T1068-S1068))*100, "Incomplete")</f>
        <v>Incomplete</v>
      </c>
      <c r="BX1068" s="91" t="str">
        <f>_xlfn.XLOOKUP(BW1068,'Normative data'!$V$3:$V$6,'Normative data'!$W$3:$W$6,"Not Found",-1)</f>
        <v>Very low risk</v>
      </c>
      <c r="BY1068" s="91" t="str">
        <f t="shared" ref="BY1068:BY1090" si="335">IFERROR(SUM(BT1068+BU1068+BV1068)/(3*(T1068-S1068))*100, "Incomplete")</f>
        <v>Incomplete</v>
      </c>
      <c r="BZ1068" s="91" t="str">
        <f>_xlfn.XLOOKUP(BY1068,'Normative data'!$V$3:$V$6,'Normative data'!$W$3:$W$6,"Not Found",-1)</f>
        <v>Very low risk</v>
      </c>
      <c r="CA1068" s="66"/>
      <c r="CB1068" s="66"/>
      <c r="CC1068" s="20"/>
      <c r="CD1068" s="66"/>
      <c r="CE1068" s="66"/>
      <c r="CF1068" s="66"/>
      <c r="CG1068" s="20"/>
      <c r="CH1068" s="20" t="str">
        <f>_xlfn.XLOOKUP(CG1068, 'Normative data'!$S$9:$S$15,'Normative data'!$T$9:$T$15, "Not Found", -1)</f>
        <v>not completed</v>
      </c>
      <c r="CI1068" s="20"/>
      <c r="CJ1068" s="20" t="str">
        <f>_xlfn.XLOOKUP(CI1068, 'Normative data'!$S$9:$S$15, 'Normative data'!$T$9:$T$15, "Not Found", -1)</f>
        <v>not completed</v>
      </c>
      <c r="CK1068" s="106">
        <v>2.0699999999999998</v>
      </c>
      <c r="CL1068" s="106">
        <v>4.83</v>
      </c>
      <c r="CM1068" s="106"/>
      <c r="CN1068" s="106">
        <v>6.7</v>
      </c>
      <c r="CO1068" s="106">
        <v>7.46</v>
      </c>
      <c r="CP1068" s="110"/>
      <c r="CQ1068" s="68"/>
      <c r="CR1068" s="20" t="str" cm="1">
        <f t="array" ref="CR1068">IF(OR(ISBLANK(E1068),ISBLANK(CQ1068)),"Incomplete",_xlfn.XLOOKUP(CQ1068,_xlfn.XLOOKUP(E1068,'Normative data'!$Y$3:$Y$6,'Normative data'!$Z$3:$AG$6,,-1),'Normative data'!$Z$2:$AG$2,"Not Found",-1))</f>
        <v>Incomplete</v>
      </c>
      <c r="CS1068" s="68"/>
      <c r="CT1068" s="66"/>
      <c r="CU1068" s="20" t="str" cm="1">
        <f t="array" ref="CU1068">_xlfn.XLOOKUP(CS1068&amp;CT1068,(VLOOKUP!$A$3:$A$250)&amp;(VLOOKUP!$B$3:$B$250),VLOOKUP!$C$3:$C$250,"Incomplete",-1)</f>
        <v>Incomplete</v>
      </c>
      <c r="CV1068" s="20" t="str" cm="1">
        <f t="array" ref="CV1068">_xlfn.XLOOKUP(CU1068, _xlfn.XLOOKUP(E1068, 'Normative data'!$Y$11:$Y$14, 'Normative data'!$Z$11:$AG$14, ,-1), 'Normative data'!$Z$10:$AG$10, "Not Found", -1)</f>
        <v>Excellent</v>
      </c>
      <c r="CW1068" s="20" t="str" cm="1">
        <f t="array" ref="CW1068">IF(OR(ISBLANK(CS1068),ISBLANK(CT1068)),"Incomplete",_xlfn.XLOOKUP(CS1068&amp;CT1068,VLOOKUP!$A$4:$A$250&amp;VLOOKUP!$B$4:$B$250,VLOOKUP!$D$4:$D$250,"0"))</f>
        <v>Incomplete</v>
      </c>
    </row>
    <row r="1069" spans="1:101">
      <c r="A1069" s="64" t="s">
        <v>1734</v>
      </c>
      <c r="B1069" s="64" t="s">
        <v>1735</v>
      </c>
      <c r="C1069" s="64" t="s">
        <v>86</v>
      </c>
      <c r="D1069" s="97">
        <v>39524</v>
      </c>
      <c r="E1069" s="64"/>
      <c r="F1069" s="64">
        <v>11</v>
      </c>
      <c r="G1069" s="64">
        <v>2025</v>
      </c>
      <c r="H1069" s="66"/>
      <c r="I1069" s="64"/>
      <c r="J1069" s="64"/>
      <c r="K1069" s="64"/>
      <c r="L1069" s="64"/>
      <c r="M1069" s="64"/>
      <c r="N1069" s="64"/>
      <c r="O1069" s="64"/>
      <c r="P1069" s="64"/>
      <c r="Q1069" s="64"/>
      <c r="R1069" s="64"/>
      <c r="S1069" s="66"/>
      <c r="T1069" s="66"/>
      <c r="U1069" s="66"/>
      <c r="V1069" s="66"/>
      <c r="W1069" s="66"/>
      <c r="X1069" s="66"/>
      <c r="Y1069" s="66"/>
      <c r="Z1069" s="66"/>
      <c r="AA1069" s="66"/>
      <c r="AB1069" s="66"/>
      <c r="AC1069" s="66"/>
      <c r="AD1069" s="66"/>
      <c r="AE1069" s="66"/>
      <c r="AF1069" s="66"/>
      <c r="AG1069" s="66"/>
      <c r="AH1069" s="66"/>
      <c r="AI1069" s="66"/>
      <c r="AJ1069" s="66"/>
      <c r="AK1069" s="66"/>
      <c r="AL1069" s="66"/>
      <c r="AM1069" s="66"/>
      <c r="AN1069" s="66"/>
      <c r="AO1069" s="66"/>
      <c r="AP1069" s="66"/>
      <c r="AQ1069" s="66"/>
      <c r="AR1069" s="66"/>
      <c r="AS1069" s="66"/>
      <c r="AT1069" s="66"/>
      <c r="AU1069" s="66"/>
      <c r="AV1069" s="66"/>
      <c r="AW1069" s="66"/>
      <c r="AX1069" s="66"/>
      <c r="AY1069" s="41" t="str">
        <f t="shared" si="330"/>
        <v>Incomplete</v>
      </c>
      <c r="AZ1069" s="66"/>
      <c r="BA1069" s="20" t="str">
        <f t="shared" si="331"/>
        <v>Incomplete</v>
      </c>
      <c r="BB1069" s="66"/>
      <c r="BC1069" s="20" t="str">
        <f t="shared" si="332"/>
        <v>Incomplete</v>
      </c>
      <c r="BD1069" s="66"/>
      <c r="BE1069" s="20" t="str">
        <f t="shared" si="333"/>
        <v>Incomplete</v>
      </c>
      <c r="BF1069" s="66"/>
      <c r="BG1069" s="66"/>
      <c r="BH1069" s="66"/>
      <c r="BI1069" s="20" t="str">
        <f t="shared" si="329"/>
        <v>Incomplete</v>
      </c>
      <c r="BJ1069" s="66"/>
      <c r="BK1069" s="66"/>
      <c r="BL1069" s="66"/>
      <c r="BM1069" s="66"/>
      <c r="BN1069" s="66"/>
      <c r="BO1069" s="66"/>
      <c r="BP1069" s="66"/>
      <c r="BQ1069" s="66"/>
      <c r="BR1069" s="66"/>
      <c r="BS1069" s="66"/>
      <c r="BT1069" s="66"/>
      <c r="BU1069" s="66"/>
      <c r="BV1069" s="66"/>
      <c r="BW1069" s="91" t="str">
        <f t="shared" si="334"/>
        <v>Incomplete</v>
      </c>
      <c r="BX1069" s="91" t="str">
        <f>_xlfn.XLOOKUP(BW1069,'Normative data'!$V$3:$V$6,'Normative data'!$W$3:$W$6,"Not Found",-1)</f>
        <v>Very low risk</v>
      </c>
      <c r="BY1069" s="91" t="str">
        <f t="shared" si="335"/>
        <v>Incomplete</v>
      </c>
      <c r="BZ1069" s="91" t="str">
        <f>_xlfn.XLOOKUP(BY1069,'Normative data'!$V$3:$V$6,'Normative data'!$W$3:$W$6,"Not Found",-1)</f>
        <v>Very low risk</v>
      </c>
      <c r="CA1069" s="66"/>
      <c r="CB1069" s="66"/>
      <c r="CC1069" s="20"/>
      <c r="CD1069" s="66"/>
      <c r="CE1069" s="66"/>
      <c r="CF1069" s="66"/>
      <c r="CG1069" s="66"/>
      <c r="CH1069" s="20" t="str">
        <f>_xlfn.XLOOKUP(CG1069, 'Normative data'!$S$9:$S$15,'Normative data'!$T$9:$T$15, "Not Found", -1)</f>
        <v>not completed</v>
      </c>
      <c r="CI1069" s="66"/>
      <c r="CJ1069" s="20" t="str">
        <f>_xlfn.XLOOKUP(CI1069, 'Normative data'!$S$9:$S$15, 'Normative data'!$T$9:$T$15, "Not Found", -1)</f>
        <v>not completed</v>
      </c>
      <c r="CK1069" s="66" t="s">
        <v>518</v>
      </c>
      <c r="CL1069" s="66" t="s">
        <v>938</v>
      </c>
      <c r="CM1069" s="66"/>
      <c r="CN1069" s="66" t="s">
        <v>1146</v>
      </c>
      <c r="CO1069" s="66" t="s">
        <v>1736</v>
      </c>
      <c r="CP1069" s="68"/>
      <c r="CQ1069" s="68"/>
      <c r="CR1069" s="20" t="str" cm="1">
        <f t="array" ref="CR1069">IF(OR(ISBLANK(E1069),ISBLANK(CQ1069)),"Incomplete",_xlfn.XLOOKUP(CQ1069,_xlfn.XLOOKUP(E1069,'Normative data'!$Y$3:$Y$6,'Normative data'!$Z$3:$AG$6,,-1),'Normative data'!$Z$2:$AG$2,"Not Found",-1))</f>
        <v>Incomplete</v>
      </c>
      <c r="CS1069" s="68"/>
      <c r="CT1069" s="66"/>
      <c r="CU1069" s="20" t="str" cm="1">
        <f t="array" ref="CU1069">_xlfn.XLOOKUP(CS1069&amp;CT1069,(VLOOKUP!$A$3:$A$250)&amp;(VLOOKUP!$B$3:$B$250),VLOOKUP!$C$3:$C$250,"Incomplete",-1)</f>
        <v>Incomplete</v>
      </c>
      <c r="CV1069" s="20" t="str" cm="1">
        <f t="array" ref="CV1069">_xlfn.XLOOKUP(CU1069, _xlfn.XLOOKUP(E1069, 'Normative data'!$Y$11:$Y$14, 'Normative data'!$Z$11:$AG$14, ,-1), 'Normative data'!$Z$10:$AG$10, "Not Found", -1)</f>
        <v>Excellent</v>
      </c>
      <c r="CW1069" s="20" t="str" cm="1">
        <f t="array" ref="CW1069">IF(OR(ISBLANK(CS1069),ISBLANK(CT1069)),"Incomplete",_xlfn.XLOOKUP(CS1069&amp;CT1069,VLOOKUP!$A$4:$A$250&amp;VLOOKUP!$B$4:$B$250,VLOOKUP!$D$4:$D$250,"0"))</f>
        <v>Incomplete</v>
      </c>
    </row>
    <row r="1070" spans="1:101">
      <c r="A1070" s="64" t="s">
        <v>442</v>
      </c>
      <c r="B1070" s="64" t="s">
        <v>508</v>
      </c>
      <c r="C1070" s="64" t="s">
        <v>86</v>
      </c>
      <c r="D1070" s="65">
        <v>40095</v>
      </c>
      <c r="E1070" s="64"/>
      <c r="F1070" s="66" t="s">
        <v>192</v>
      </c>
      <c r="G1070" s="64">
        <v>2026</v>
      </c>
      <c r="H1070" s="66"/>
      <c r="I1070" s="66">
        <v>2</v>
      </c>
      <c r="J1070" s="66" t="s">
        <v>88</v>
      </c>
      <c r="K1070" s="66" t="s">
        <v>95</v>
      </c>
      <c r="L1070" s="66"/>
      <c r="M1070" s="64"/>
      <c r="N1070" s="64"/>
      <c r="O1070" s="64"/>
      <c r="P1070" s="64"/>
      <c r="Q1070" s="64"/>
      <c r="R1070" s="64"/>
      <c r="S1070" s="66">
        <v>87.5</v>
      </c>
      <c r="T1070" s="66">
        <v>169.4</v>
      </c>
      <c r="U1070" s="64">
        <v>64.7</v>
      </c>
      <c r="V1070" s="64">
        <v>37.700000000000003</v>
      </c>
      <c r="W1070" s="64">
        <v>13.1</v>
      </c>
      <c r="X1070" s="64">
        <v>51.6</v>
      </c>
      <c r="Y1070" s="64">
        <v>28.9</v>
      </c>
      <c r="Z1070" s="64">
        <v>22.5</v>
      </c>
      <c r="AA1070" s="64">
        <v>20.2</v>
      </c>
      <c r="AB1070" s="64">
        <v>7.98</v>
      </c>
      <c r="AC1070" s="64">
        <v>110</v>
      </c>
      <c r="AD1070" s="64">
        <v>7.96</v>
      </c>
      <c r="AE1070" s="64">
        <v>109.8</v>
      </c>
      <c r="AF1070" s="64">
        <v>2.1</v>
      </c>
      <c r="AG1070" s="64">
        <v>78.900000000000006</v>
      </c>
      <c r="AH1070" s="64">
        <v>2.1</v>
      </c>
      <c r="AI1070" s="64">
        <v>78.599999999999994</v>
      </c>
      <c r="AJ1070" s="64">
        <v>283.8</v>
      </c>
      <c r="AK1070" s="64">
        <v>283.89999999999998</v>
      </c>
      <c r="AL1070" s="64">
        <v>248.6</v>
      </c>
      <c r="AM1070" s="64">
        <v>249</v>
      </c>
      <c r="AN1070" s="64">
        <v>114</v>
      </c>
      <c r="AO1070" s="64">
        <v>0.82</v>
      </c>
      <c r="AP1070" s="64">
        <v>7.3</v>
      </c>
      <c r="AQ1070" s="64">
        <v>28.6</v>
      </c>
      <c r="AR1070" s="64">
        <v>0.48299999999999998</v>
      </c>
      <c r="AS1070" s="64">
        <v>33.799999999999997</v>
      </c>
      <c r="AT1070" s="64">
        <v>0.52500000000000002</v>
      </c>
      <c r="AU1070" s="64">
        <v>15.3</v>
      </c>
      <c r="AV1070" s="64">
        <v>0.35299999999999998</v>
      </c>
      <c r="AW1070" s="64">
        <v>16.2</v>
      </c>
      <c r="AX1070" s="64">
        <v>0.36299999999999999</v>
      </c>
      <c r="AY1070" s="41">
        <f t="shared" si="330"/>
        <v>2611.9300000000003</v>
      </c>
      <c r="AZ1070" s="64"/>
      <c r="BA1070" s="20">
        <f t="shared" si="331"/>
        <v>2927.5699999999997</v>
      </c>
      <c r="BB1070" s="64"/>
      <c r="BC1070" s="20">
        <f t="shared" si="332"/>
        <v>1804.62</v>
      </c>
      <c r="BD1070" s="64"/>
      <c r="BE1070" s="20">
        <f t="shared" si="333"/>
        <v>1859.25</v>
      </c>
      <c r="BF1070" s="64"/>
      <c r="BG1070" s="64">
        <v>12.1</v>
      </c>
      <c r="BH1070" s="64">
        <v>58.4</v>
      </c>
      <c r="BI1070" s="20">
        <f t="shared" si="329"/>
        <v>46.3</v>
      </c>
      <c r="BJ1070" s="66"/>
      <c r="BK1070" s="64">
        <v>12.8</v>
      </c>
      <c r="BL1070" s="66"/>
      <c r="BM1070" s="64">
        <v>13</v>
      </c>
      <c r="BN1070" s="66"/>
      <c r="BO1070" s="64">
        <v>50</v>
      </c>
      <c r="BP1070" s="64">
        <v>49</v>
      </c>
      <c r="BQ1070" s="64">
        <v>88</v>
      </c>
      <c r="BR1070" s="64">
        <v>84</v>
      </c>
      <c r="BS1070" s="64">
        <v>88</v>
      </c>
      <c r="BT1070" s="64">
        <v>87</v>
      </c>
      <c r="BU1070" s="64">
        <v>86</v>
      </c>
      <c r="BV1070" s="64">
        <v>98</v>
      </c>
      <c r="BW1070" s="91">
        <f t="shared" si="334"/>
        <v>105.82010582010581</v>
      </c>
      <c r="BX1070" s="91" t="str">
        <f>_xlfn.XLOOKUP(BW1070,'Normative data'!$V$3:$V$6,'Normative data'!$W$3:$W$6,"Not Found",-1)</f>
        <v>Low risk</v>
      </c>
      <c r="BY1070" s="91">
        <f t="shared" si="335"/>
        <v>110.29711029711029</v>
      </c>
      <c r="BZ1070" s="91" t="str">
        <f>_xlfn.XLOOKUP(BY1070,'Normative data'!$V$3:$V$6,'Normative data'!$W$3:$W$6,"Not Found",-1)</f>
        <v>Low risk</v>
      </c>
      <c r="CA1070" s="64">
        <v>41</v>
      </c>
      <c r="CB1070" s="66"/>
      <c r="CC1070" s="20"/>
      <c r="CD1070" s="66"/>
      <c r="CE1070" s="64">
        <v>24</v>
      </c>
      <c r="CF1070" s="66"/>
      <c r="CG1070" s="66"/>
      <c r="CH1070" s="20" t="str">
        <f>_xlfn.XLOOKUP(CG1070, 'Normative data'!$S$9:$S$15,'Normative data'!$T$9:$T$15, "Not Found", -1)</f>
        <v>not completed</v>
      </c>
      <c r="CI1070" s="66"/>
      <c r="CJ1070" s="20" t="str">
        <f>_xlfn.XLOOKUP(CI1070, 'Normative data'!$S$9:$S$15, 'Normative data'!$T$9:$T$15, "Not Found", -1)</f>
        <v>not completed</v>
      </c>
      <c r="CK1070" s="105"/>
      <c r="CL1070" s="105"/>
      <c r="CM1070" s="105"/>
      <c r="CN1070" s="105"/>
      <c r="CO1070" s="105"/>
      <c r="CP1070" s="127"/>
      <c r="CQ1070" s="67">
        <v>8.5</v>
      </c>
      <c r="CR1070" s="20" t="str" cm="1">
        <f t="array" ref="CR1070">IF(OR(ISBLANK(E1070),ISBLANK(CQ1070)),"Incomplete",_xlfn.XLOOKUP(CQ1070,_xlfn.XLOOKUP(E1070,'Normative data'!$Y$3:$Y$6,'Normative data'!$Z$3:$AG$6,,-1),'Normative data'!$Z$2:$AG$2,"Not Found",-1))</f>
        <v>Incomplete</v>
      </c>
      <c r="CS1070" s="68">
        <v>8</v>
      </c>
      <c r="CT1070" s="66">
        <v>5</v>
      </c>
      <c r="CU1070" s="20" cm="1">
        <f t="array" ref="CU1070">_xlfn.XLOOKUP(CS1070&amp;CT1070,(VLOOKUP!$A$3:$A$250)&amp;(VLOOKUP!$B$3:$B$250),VLOOKUP!$C$3:$C$250,"Incomplete",-1)</f>
        <v>1320</v>
      </c>
      <c r="CV1070" s="20" t="str" cm="1">
        <f t="array" ref="CV1070">_xlfn.XLOOKUP(CU1070, _xlfn.XLOOKUP(E1070, 'Normative data'!$Y$11:$Y$14, 'Normative data'!$Z$11:$AG$14, ,-1), 'Normative data'!$Z$10:$AG$10, "Not Found", -1)</f>
        <v>Average</v>
      </c>
      <c r="CW1070" s="20" cm="1">
        <f t="array" ref="CW1070">IF(OR(ISBLANK(CS1070),ISBLANK(CT1070)),"Incomplete",_xlfn.XLOOKUP(CS1070&amp;CT1070,VLOOKUP!$A$4:$A$250&amp;VLOOKUP!$B$4:$B$250,VLOOKUP!$D$4:$D$250,"0"))</f>
        <v>42</v>
      </c>
    </row>
    <row r="1071" spans="1:101">
      <c r="A1071" s="64" t="s">
        <v>357</v>
      </c>
      <c r="B1071" s="64" t="s">
        <v>1129</v>
      </c>
      <c r="C1071" s="64" t="s">
        <v>86</v>
      </c>
      <c r="D1071" s="65">
        <v>40783</v>
      </c>
      <c r="E1071" s="64"/>
      <c r="F1071" s="64">
        <v>8</v>
      </c>
      <c r="G1071" s="64">
        <v>2025</v>
      </c>
      <c r="H1071" s="66"/>
      <c r="I1071" s="64"/>
      <c r="J1071" s="64"/>
      <c r="K1071" s="64"/>
      <c r="L1071" s="64"/>
      <c r="M1071" s="64"/>
      <c r="N1071" s="64"/>
      <c r="O1071" s="64"/>
      <c r="P1071" s="64"/>
      <c r="Q1071" s="64"/>
      <c r="R1071" s="64"/>
      <c r="S1071" s="66"/>
      <c r="T1071" s="66"/>
      <c r="U1071" s="66"/>
      <c r="V1071" s="66"/>
      <c r="W1071" s="66"/>
      <c r="X1071" s="66"/>
      <c r="Y1071" s="66"/>
      <c r="Z1071" s="66"/>
      <c r="AA1071" s="66"/>
      <c r="AB1071" s="66"/>
      <c r="AC1071" s="66"/>
      <c r="AD1071" s="66"/>
      <c r="AE1071" s="66"/>
      <c r="AF1071" s="66"/>
      <c r="AG1071" s="66"/>
      <c r="AH1071" s="66"/>
      <c r="AI1071" s="66"/>
      <c r="AJ1071" s="66"/>
      <c r="AK1071" s="66"/>
      <c r="AL1071" s="66"/>
      <c r="AM1071" s="66"/>
      <c r="AN1071" s="66"/>
      <c r="AO1071" s="66"/>
      <c r="AP1071" s="66"/>
      <c r="AQ1071" s="66"/>
      <c r="AR1071" s="66"/>
      <c r="AS1071" s="66"/>
      <c r="AT1071" s="66"/>
      <c r="AU1071" s="66"/>
      <c r="AV1071" s="66"/>
      <c r="AW1071" s="66"/>
      <c r="AX1071" s="66"/>
      <c r="AY1071" s="41" t="str">
        <f t="shared" si="330"/>
        <v>Incomplete</v>
      </c>
      <c r="AZ1071" s="66"/>
      <c r="BA1071" s="20" t="str">
        <f t="shared" si="331"/>
        <v>Incomplete</v>
      </c>
      <c r="BB1071" s="66"/>
      <c r="BC1071" s="20" t="str">
        <f t="shared" si="332"/>
        <v>Incomplete</v>
      </c>
      <c r="BD1071" s="66"/>
      <c r="BE1071" s="20" t="str">
        <f t="shared" si="333"/>
        <v>Incomplete</v>
      </c>
      <c r="BF1071" s="66"/>
      <c r="BG1071" s="66">
        <v>10.5</v>
      </c>
      <c r="BH1071" s="20">
        <v>37.200000000000003</v>
      </c>
      <c r="BI1071" s="20" t="e">
        <f>IF(OR(ISBLANK(#REF!), ISBLANK(#REF!)),"Incomplete",(SUM(#REF!-#REF!)))</f>
        <v>#REF!</v>
      </c>
      <c r="BJ1071" s="66"/>
      <c r="BK1071" s="66"/>
      <c r="BL1071" s="66"/>
      <c r="BM1071" s="20"/>
      <c r="BN1071" s="66"/>
      <c r="BO1071" s="66"/>
      <c r="BP1071" s="66"/>
      <c r="BQ1071" s="66"/>
      <c r="BR1071" s="66"/>
      <c r="BS1071" s="66"/>
      <c r="BT1071" s="66"/>
      <c r="BU1071" s="66"/>
      <c r="BV1071" s="66"/>
      <c r="BW1071" s="91" t="str">
        <f t="shared" si="334"/>
        <v>Incomplete</v>
      </c>
      <c r="BX1071" s="91" t="str">
        <f>_xlfn.XLOOKUP(BW1071,'Normative data'!$V$3:$V$6,'Normative data'!$W$3:$W$6,"Not Found",-1)</f>
        <v>Very low risk</v>
      </c>
      <c r="BY1071" s="91" t="str">
        <f t="shared" si="335"/>
        <v>Incomplete</v>
      </c>
      <c r="BZ1071" s="91" t="str">
        <f>_xlfn.XLOOKUP(BY1071,'Normative data'!$V$3:$V$6,'Normative data'!$W$3:$W$6,"Not Found",-1)</f>
        <v>Very low risk</v>
      </c>
      <c r="CA1071" s="66"/>
      <c r="CB1071" s="66"/>
      <c r="CC1071" s="20"/>
      <c r="CD1071" s="66"/>
      <c r="CE1071" s="66">
        <v>17</v>
      </c>
      <c r="CF1071" s="66"/>
      <c r="CG1071" s="20"/>
      <c r="CH1071" s="20" t="str">
        <f>_xlfn.XLOOKUP(CG1071, 'Normative data'!$S$9:$S$15,'Normative data'!$T$9:$T$15, "Not Found", -1)</f>
        <v>not completed</v>
      </c>
      <c r="CI1071" s="20"/>
      <c r="CJ1071" s="20" t="str">
        <f>_xlfn.XLOOKUP(CI1071, 'Normative data'!$S$9:$S$15, 'Normative data'!$T$9:$T$15, "Not Found", -1)</f>
        <v>not completed</v>
      </c>
      <c r="CK1071" s="72">
        <v>2.23</v>
      </c>
      <c r="CL1071" s="72">
        <v>4.4800000000000004</v>
      </c>
      <c r="CM1071" s="72"/>
      <c r="CN1071" s="72">
        <v>6.97</v>
      </c>
      <c r="CO1071" s="72">
        <v>7.15</v>
      </c>
      <c r="CP1071" s="111"/>
      <c r="CQ1071" s="68"/>
      <c r="CR1071" s="20" t="str" cm="1">
        <f t="array" ref="CR1071">IF(OR(ISBLANK(E1071),ISBLANK(CQ1071)),"Incomplete",_xlfn.XLOOKUP(CQ1071,_xlfn.XLOOKUP(E1071,'Normative data'!$Y$3:$Y$6,'Normative data'!$Z$3:$AG$6,,-1),'Normative data'!$Z$2:$AG$2,"Not Found",-1))</f>
        <v>Incomplete</v>
      </c>
      <c r="CS1071" s="68"/>
      <c r="CT1071" s="66"/>
      <c r="CU1071" s="20" t="str" cm="1">
        <f t="array" ref="CU1071">_xlfn.XLOOKUP(CS1071&amp;CT1071,(VLOOKUP!$A$3:$A$250)&amp;(VLOOKUP!$B$3:$B$250),VLOOKUP!$C$3:$C$250,"Incomplete",-1)</f>
        <v>Incomplete</v>
      </c>
      <c r="CV1071" s="20" t="str" cm="1">
        <f t="array" ref="CV1071">_xlfn.XLOOKUP(CU1071, _xlfn.XLOOKUP(E1071, 'Normative data'!$Y$11:$Y$14, 'Normative data'!$Z$11:$AG$14, ,-1), 'Normative data'!$Z$10:$AG$10, "Not Found", -1)</f>
        <v>Excellent</v>
      </c>
      <c r="CW1071" s="20" t="str" cm="1">
        <f t="array" ref="CW1071">IF(OR(ISBLANK(CS1071),ISBLANK(CT1071)),"Incomplete",_xlfn.XLOOKUP(CS1071&amp;CT1071,VLOOKUP!$A$4:$A$250&amp;VLOOKUP!$B$4:$B$250,VLOOKUP!$D$4:$D$250,"0"))</f>
        <v>Incomplete</v>
      </c>
    </row>
    <row r="1072" spans="1:101">
      <c r="A1072" s="64" t="s">
        <v>503</v>
      </c>
      <c r="B1072" s="64" t="s">
        <v>1737</v>
      </c>
      <c r="C1072" s="64" t="s">
        <v>86</v>
      </c>
      <c r="D1072" s="65"/>
      <c r="E1072" s="64"/>
      <c r="F1072" s="64">
        <v>11</v>
      </c>
      <c r="G1072" s="64">
        <v>2025</v>
      </c>
      <c r="H1072" s="66"/>
      <c r="I1072" s="64"/>
      <c r="J1072" s="64"/>
      <c r="K1072" s="64"/>
      <c r="L1072" s="64"/>
      <c r="M1072" s="64"/>
      <c r="N1072" s="64"/>
      <c r="O1072" s="64"/>
      <c r="P1072" s="64"/>
      <c r="Q1072" s="64"/>
      <c r="R1072" s="64"/>
      <c r="S1072" s="66"/>
      <c r="T1072" s="66"/>
      <c r="U1072" s="66"/>
      <c r="V1072" s="66"/>
      <c r="W1072" s="66"/>
      <c r="X1072" s="66"/>
      <c r="Y1072" s="66"/>
      <c r="Z1072" s="66"/>
      <c r="AA1072" s="66"/>
      <c r="AB1072" s="66"/>
      <c r="AC1072" s="66"/>
      <c r="AD1072" s="66"/>
      <c r="AE1072" s="66"/>
      <c r="AF1072" s="66"/>
      <c r="AG1072" s="66"/>
      <c r="AH1072" s="66"/>
      <c r="AI1072" s="66"/>
      <c r="AJ1072" s="66"/>
      <c r="AK1072" s="66"/>
      <c r="AL1072" s="66"/>
      <c r="AM1072" s="66"/>
      <c r="AN1072" s="66"/>
      <c r="AO1072" s="66"/>
      <c r="AP1072" s="66"/>
      <c r="AQ1072" s="66"/>
      <c r="AR1072" s="66"/>
      <c r="AS1072" s="66"/>
      <c r="AT1072" s="66"/>
      <c r="AU1072" s="66"/>
      <c r="AV1072" s="66"/>
      <c r="AW1072" s="66"/>
      <c r="AX1072" s="66"/>
      <c r="AY1072" s="41" t="str">
        <f t="shared" si="330"/>
        <v>Incomplete</v>
      </c>
      <c r="AZ1072" s="66"/>
      <c r="BA1072" s="20" t="str">
        <f t="shared" si="331"/>
        <v>Incomplete</v>
      </c>
      <c r="BB1072" s="66"/>
      <c r="BC1072" s="20" t="str">
        <f t="shared" si="332"/>
        <v>Incomplete</v>
      </c>
      <c r="BD1072" s="66"/>
      <c r="BE1072" s="20" t="str">
        <f t="shared" si="333"/>
        <v>Incomplete</v>
      </c>
      <c r="BF1072" s="66"/>
      <c r="BG1072" s="66">
        <v>13.8</v>
      </c>
      <c r="BH1072" s="66">
        <v>27</v>
      </c>
      <c r="BI1072" s="20">
        <f>IF(OR(ISBLANK(BG1072), ISBLANK(BH1072)),"Incomplete",(SUM(BH1072-BG1072)))</f>
        <v>13.2</v>
      </c>
      <c r="BJ1072" s="66"/>
      <c r="BK1072" s="66">
        <v>8</v>
      </c>
      <c r="BL1072" s="66"/>
      <c r="BM1072" s="66">
        <v>7</v>
      </c>
      <c r="BN1072" s="66"/>
      <c r="BO1072" s="66"/>
      <c r="BP1072" s="66"/>
      <c r="BQ1072" s="66"/>
      <c r="BR1072" s="66"/>
      <c r="BS1072" s="66"/>
      <c r="BT1072" s="66"/>
      <c r="BU1072" s="66"/>
      <c r="BV1072" s="66"/>
      <c r="BW1072" s="91" t="str">
        <f t="shared" si="334"/>
        <v>Incomplete</v>
      </c>
      <c r="BX1072" s="91" t="str">
        <f>_xlfn.XLOOKUP(BW1072,'Normative data'!$V$3:$V$6,'Normative data'!$W$3:$W$6,"Not Found",-1)</f>
        <v>Very low risk</v>
      </c>
      <c r="BY1072" s="91" t="str">
        <f t="shared" si="335"/>
        <v>Incomplete</v>
      </c>
      <c r="BZ1072" s="91" t="str">
        <f>_xlfn.XLOOKUP(BY1072,'Normative data'!$V$3:$V$6,'Normative data'!$W$3:$W$6,"Not Found",-1)</f>
        <v>Very low risk</v>
      </c>
      <c r="CA1072" s="66"/>
      <c r="CB1072" s="66"/>
      <c r="CC1072" s="20"/>
      <c r="CD1072" s="66"/>
      <c r="CE1072" s="66">
        <v>15</v>
      </c>
      <c r="CF1072" s="66"/>
      <c r="CG1072" s="20"/>
      <c r="CH1072" s="20" t="str">
        <f>_xlfn.XLOOKUP(CG1072, 'Normative data'!$S$9:$S$15,'Normative data'!$T$9:$T$15, "Not Found", -1)</f>
        <v>not completed</v>
      </c>
      <c r="CI1072" s="20"/>
      <c r="CJ1072" s="20" t="str">
        <f>_xlfn.XLOOKUP(CI1072, 'Normative data'!$S$9:$S$15, 'Normative data'!$T$9:$T$15, "Not Found", -1)</f>
        <v>not completed</v>
      </c>
      <c r="CK1072" s="105"/>
      <c r="CL1072" s="105"/>
      <c r="CM1072" s="105"/>
      <c r="CN1072" s="105"/>
      <c r="CO1072" s="105"/>
      <c r="CP1072" s="68"/>
      <c r="CQ1072" s="68"/>
      <c r="CR1072" s="20" t="str" cm="1">
        <f t="array" ref="CR1072">IF(OR(ISBLANK(E1072),ISBLANK(CQ1072)),"Incomplete",_xlfn.XLOOKUP(CQ1072,_xlfn.XLOOKUP(E1072,'Normative data'!$Y$3:$Y$6,'Normative data'!$Z$3:$AG$6,,-1),'Normative data'!$Z$2:$AG$2,"Not Found",-1))</f>
        <v>Incomplete</v>
      </c>
      <c r="CS1072" s="68"/>
      <c r="CT1072" s="66"/>
      <c r="CU1072" s="20" t="str" cm="1">
        <f t="array" ref="CU1072">_xlfn.XLOOKUP(CS1072&amp;CT1072,(VLOOKUP!$A$3:$A$250)&amp;(VLOOKUP!$B$3:$B$250),VLOOKUP!$C$3:$C$250,"Incomplete",-1)</f>
        <v>Incomplete</v>
      </c>
      <c r="CV1072" s="20" t="str" cm="1">
        <f t="array" ref="CV1072">_xlfn.XLOOKUP(CU1072, _xlfn.XLOOKUP(E1072, 'Normative data'!$Y$11:$Y$14, 'Normative data'!$Z$11:$AG$14, ,-1), 'Normative data'!$Z$10:$AG$10, "Not Found", -1)</f>
        <v>Excellent</v>
      </c>
      <c r="CW1072" s="20" t="str" cm="1">
        <f t="array" ref="CW1072">IF(OR(ISBLANK(CS1072),ISBLANK(CT1072)),"Incomplete",_xlfn.XLOOKUP(CS1072&amp;CT1072,VLOOKUP!$A$4:$A$250&amp;VLOOKUP!$B$4:$B$250,VLOOKUP!$D$4:$D$250,"0"))</f>
        <v>Incomplete</v>
      </c>
    </row>
    <row r="1073" spans="1:101">
      <c r="A1073" s="93" t="s">
        <v>725</v>
      </c>
      <c r="B1073" s="93" t="s">
        <v>1738</v>
      </c>
      <c r="C1073" s="64" t="s">
        <v>86</v>
      </c>
      <c r="D1073" s="96">
        <v>39685</v>
      </c>
      <c r="E1073" s="64"/>
      <c r="F1073" s="64">
        <v>11</v>
      </c>
      <c r="G1073" s="64">
        <v>2025</v>
      </c>
      <c r="H1073" s="66"/>
      <c r="I1073" s="64"/>
      <c r="J1073" s="64"/>
      <c r="K1073" s="64"/>
      <c r="L1073" s="64"/>
      <c r="M1073" s="64"/>
      <c r="N1073" s="64"/>
      <c r="O1073" s="64"/>
      <c r="P1073" s="64"/>
      <c r="Q1073" s="64"/>
      <c r="R1073" s="64"/>
      <c r="S1073" s="66"/>
      <c r="T1073" s="66"/>
      <c r="U1073" s="66"/>
      <c r="V1073" s="66"/>
      <c r="W1073" s="66"/>
      <c r="X1073" s="66"/>
      <c r="Y1073" s="66"/>
      <c r="Z1073" s="66"/>
      <c r="AA1073" s="66"/>
      <c r="AB1073" s="66"/>
      <c r="AC1073" s="66"/>
      <c r="AD1073" s="66"/>
      <c r="AE1073" s="66"/>
      <c r="AF1073" s="66"/>
      <c r="AG1073" s="66"/>
      <c r="AH1073" s="66"/>
      <c r="AI1073" s="66"/>
      <c r="AJ1073" s="66"/>
      <c r="AK1073" s="66"/>
      <c r="AL1073" s="66"/>
      <c r="AM1073" s="66"/>
      <c r="AN1073" s="66"/>
      <c r="AO1073" s="66"/>
      <c r="AP1073" s="66"/>
      <c r="AQ1073" s="66"/>
      <c r="AR1073" s="66"/>
      <c r="AS1073" s="66"/>
      <c r="AT1073" s="66"/>
      <c r="AU1073" s="66"/>
      <c r="AV1073" s="66"/>
      <c r="AW1073" s="66"/>
      <c r="AX1073" s="66"/>
      <c r="AY1073" s="41" t="str">
        <f t="shared" si="330"/>
        <v>Incomplete</v>
      </c>
      <c r="AZ1073" s="66"/>
      <c r="BA1073" s="20" t="str">
        <f t="shared" si="331"/>
        <v>Incomplete</v>
      </c>
      <c r="BB1073" s="66"/>
      <c r="BC1073" s="20" t="str">
        <f t="shared" si="332"/>
        <v>Incomplete</v>
      </c>
      <c r="BD1073" s="66"/>
      <c r="BE1073" s="20" t="str">
        <f t="shared" si="333"/>
        <v>Incomplete</v>
      </c>
      <c r="BF1073" s="66"/>
      <c r="BG1073" s="66">
        <v>19</v>
      </c>
      <c r="BH1073" s="66">
        <v>39</v>
      </c>
      <c r="BI1073" s="20">
        <f>IF(OR(ISBLANK(BG1073), ISBLANK(BH1073)),"Incomplete",(SUM(BH1073-BG1073)))</f>
        <v>20</v>
      </c>
      <c r="BJ1073" s="66"/>
      <c r="BK1073" s="66"/>
      <c r="BL1073" s="66"/>
      <c r="BM1073" s="66"/>
      <c r="BN1073" s="66"/>
      <c r="BO1073" s="66"/>
      <c r="BP1073" s="66"/>
      <c r="BQ1073" s="66"/>
      <c r="BR1073" s="66"/>
      <c r="BS1073" s="66"/>
      <c r="BT1073" s="66"/>
      <c r="BU1073" s="66"/>
      <c r="BV1073" s="66"/>
      <c r="BW1073" s="91" t="str">
        <f t="shared" si="334"/>
        <v>Incomplete</v>
      </c>
      <c r="BX1073" s="91" t="str">
        <f>_xlfn.XLOOKUP(BW1073,'Normative data'!$V$3:$V$6,'Normative data'!$W$3:$W$6,"Not Found",-1)</f>
        <v>Very low risk</v>
      </c>
      <c r="BY1073" s="91" t="str">
        <f t="shared" si="335"/>
        <v>Incomplete</v>
      </c>
      <c r="BZ1073" s="91" t="str">
        <f>_xlfn.XLOOKUP(BY1073,'Normative data'!$V$3:$V$6,'Normative data'!$W$3:$W$6,"Not Found",-1)</f>
        <v>Very low risk</v>
      </c>
      <c r="CA1073" s="66"/>
      <c r="CB1073" s="66"/>
      <c r="CC1073" s="20"/>
      <c r="CD1073" s="66"/>
      <c r="CE1073" s="66">
        <v>5</v>
      </c>
      <c r="CF1073" s="66"/>
      <c r="CG1073" s="66"/>
      <c r="CH1073" s="20" t="str">
        <f>_xlfn.XLOOKUP(CG1073, 'Normative data'!$S$9:$S$15,'Normative data'!$T$9:$T$15, "Not Found", -1)</f>
        <v>not completed</v>
      </c>
      <c r="CI1073" s="66"/>
      <c r="CJ1073" s="20" t="str">
        <f>_xlfn.XLOOKUP(CI1073, 'Normative data'!$S$9:$S$15, 'Normative data'!$T$9:$T$15, "Not Found", -1)</f>
        <v>not completed</v>
      </c>
      <c r="CK1073" s="105">
        <v>2.16</v>
      </c>
      <c r="CL1073" s="105">
        <v>4.63</v>
      </c>
      <c r="CM1073" s="105"/>
      <c r="CN1073" s="105">
        <v>6.87</v>
      </c>
      <c r="CO1073" s="105">
        <v>7.28</v>
      </c>
      <c r="CP1073" s="109"/>
      <c r="CQ1073" s="68"/>
      <c r="CR1073" s="20" t="str" cm="1">
        <f t="array" ref="CR1073">IF(OR(ISBLANK(E1073),ISBLANK(CQ1073)),"Incomplete",_xlfn.XLOOKUP(CQ1073,_xlfn.XLOOKUP(E1073,'Normative data'!$Y$3:$Y$6,'Normative data'!$Z$3:$AG$6,,-1),'Normative data'!$Z$2:$AG$2,"Not Found",-1))</f>
        <v>Incomplete</v>
      </c>
      <c r="CS1073" s="68"/>
      <c r="CT1073" s="66"/>
      <c r="CU1073" s="20" t="str" cm="1">
        <f t="array" ref="CU1073">_xlfn.XLOOKUP(CS1073&amp;CT1073,(VLOOKUP!$A$3:$A$250)&amp;(VLOOKUP!$B$3:$B$250),VLOOKUP!$C$3:$C$250,"Incomplete",-1)</f>
        <v>Incomplete</v>
      </c>
      <c r="CV1073" s="20" t="str" cm="1">
        <f t="array" ref="CV1073">_xlfn.XLOOKUP(CU1073, _xlfn.XLOOKUP(E1073, 'Normative data'!$Y$11:$Y$14, 'Normative data'!$Z$11:$AG$14, ,-1), 'Normative data'!$Z$10:$AG$10, "Not Found", -1)</f>
        <v>Excellent</v>
      </c>
      <c r="CW1073" s="20" t="str" cm="1">
        <f t="array" ref="CW1073">IF(OR(ISBLANK(CS1073),ISBLANK(CT1073)),"Incomplete",_xlfn.XLOOKUP(CS1073&amp;CT1073,VLOOKUP!$A$4:$A$250&amp;VLOOKUP!$B$4:$B$250,VLOOKUP!$D$4:$D$250,"0"))</f>
        <v>Incomplete</v>
      </c>
    </row>
    <row r="1074" spans="1:101">
      <c r="A1074" s="93" t="s">
        <v>367</v>
      </c>
      <c r="B1074" s="93" t="s">
        <v>1738</v>
      </c>
      <c r="C1074" s="64" t="s">
        <v>86</v>
      </c>
      <c r="D1074" s="96">
        <v>39640</v>
      </c>
      <c r="E1074" s="64"/>
      <c r="F1074" s="64">
        <v>11</v>
      </c>
      <c r="G1074" s="64">
        <v>2025</v>
      </c>
      <c r="H1074" s="66"/>
      <c r="I1074" s="64"/>
      <c r="J1074" s="64"/>
      <c r="K1074" s="64"/>
      <c r="L1074" s="64"/>
      <c r="M1074" s="64"/>
      <c r="N1074" s="64"/>
      <c r="O1074" s="64"/>
      <c r="P1074" s="64"/>
      <c r="Q1074" s="64"/>
      <c r="R1074" s="64"/>
      <c r="S1074" s="66"/>
      <c r="T1074" s="66"/>
      <c r="U1074" s="66"/>
      <c r="V1074" s="66"/>
      <c r="W1074" s="66"/>
      <c r="X1074" s="66"/>
      <c r="Y1074" s="66"/>
      <c r="Z1074" s="66"/>
      <c r="AA1074" s="66"/>
      <c r="AB1074" s="66"/>
      <c r="AC1074" s="66"/>
      <c r="AD1074" s="66"/>
      <c r="AE1074" s="66"/>
      <c r="AF1074" s="66"/>
      <c r="AG1074" s="66"/>
      <c r="AH1074" s="66"/>
      <c r="AI1074" s="66"/>
      <c r="AJ1074" s="66"/>
      <c r="AK1074" s="66"/>
      <c r="AL1074" s="66"/>
      <c r="AM1074" s="66"/>
      <c r="AN1074" s="66"/>
      <c r="AO1074" s="66"/>
      <c r="AP1074" s="66"/>
      <c r="AQ1074" s="66"/>
      <c r="AR1074" s="66"/>
      <c r="AS1074" s="66"/>
      <c r="AT1074" s="66"/>
      <c r="AU1074" s="66"/>
      <c r="AV1074" s="66"/>
      <c r="AW1074" s="66"/>
      <c r="AX1074" s="66"/>
      <c r="AY1074" s="41" t="str">
        <f t="shared" si="330"/>
        <v>Incomplete</v>
      </c>
      <c r="AZ1074" s="66"/>
      <c r="BA1074" s="20" t="str">
        <f t="shared" si="331"/>
        <v>Incomplete</v>
      </c>
      <c r="BB1074" s="66"/>
      <c r="BC1074" s="20" t="str">
        <f t="shared" si="332"/>
        <v>Incomplete</v>
      </c>
      <c r="BD1074" s="66"/>
      <c r="BE1074" s="20" t="str">
        <f t="shared" si="333"/>
        <v>Incomplete</v>
      </c>
      <c r="BF1074" s="66"/>
      <c r="BG1074" s="66">
        <v>17</v>
      </c>
      <c r="BH1074" s="66">
        <v>56</v>
      </c>
      <c r="BI1074" s="20" t="e">
        <f>IF(OR(ISBLANK(#REF!), ISBLANK(#REF!)),"Incomplete",(SUM(#REF!-#REF!)))</f>
        <v>#REF!</v>
      </c>
      <c r="BJ1074" s="66"/>
      <c r="BK1074" s="66"/>
      <c r="BL1074" s="66"/>
      <c r="BM1074" s="20"/>
      <c r="BN1074" s="66"/>
      <c r="BO1074" s="66"/>
      <c r="BP1074" s="66"/>
      <c r="BQ1074" s="66"/>
      <c r="BR1074" s="66"/>
      <c r="BS1074" s="66"/>
      <c r="BT1074" s="66"/>
      <c r="BU1074" s="66"/>
      <c r="BV1074" s="66"/>
      <c r="BW1074" s="91" t="str">
        <f t="shared" si="334"/>
        <v>Incomplete</v>
      </c>
      <c r="BX1074" s="91" t="str">
        <f>_xlfn.XLOOKUP(BW1074,'Normative data'!$V$3:$V$6,'Normative data'!$W$3:$W$6,"Not Found",-1)</f>
        <v>Very low risk</v>
      </c>
      <c r="BY1074" s="91" t="str">
        <f t="shared" si="335"/>
        <v>Incomplete</v>
      </c>
      <c r="BZ1074" s="91" t="str">
        <f>_xlfn.XLOOKUP(BY1074,'Normative data'!$V$3:$V$6,'Normative data'!$W$3:$W$6,"Not Found",-1)</f>
        <v>Very low risk</v>
      </c>
      <c r="CA1074" s="66"/>
      <c r="CB1074" s="66"/>
      <c r="CC1074" s="20"/>
      <c r="CD1074" s="66"/>
      <c r="CE1074" s="66">
        <v>1</v>
      </c>
      <c r="CF1074" s="66"/>
      <c r="CG1074" s="66"/>
      <c r="CH1074" s="20" t="str">
        <f>_xlfn.XLOOKUP(CG1074, 'Normative data'!$S$9:$S$15,'Normative data'!$T$9:$T$15, "Not Found", -1)</f>
        <v>not completed</v>
      </c>
      <c r="CI1074" s="66"/>
      <c r="CJ1074" s="20" t="str">
        <f>_xlfn.XLOOKUP(CI1074, 'Normative data'!$S$9:$S$15, 'Normative data'!$T$9:$T$15, "Not Found", -1)</f>
        <v>not completed</v>
      </c>
      <c r="CK1074" s="21">
        <v>2.38</v>
      </c>
      <c r="CL1074" s="21">
        <v>4.2</v>
      </c>
      <c r="CM1074" s="21"/>
      <c r="CN1074" s="21">
        <v>7.34</v>
      </c>
      <c r="CO1074" s="21">
        <v>6.81</v>
      </c>
      <c r="CP1074" s="109"/>
      <c r="CQ1074" s="68"/>
      <c r="CR1074" s="20" t="str" cm="1">
        <f t="array" ref="CR1074">IF(OR(ISBLANK(E1074),ISBLANK(CQ1074)),"Incomplete",_xlfn.XLOOKUP(CQ1074,_xlfn.XLOOKUP(E1074,'Normative data'!$Y$3:$Y$6,'Normative data'!$Z$3:$AG$6,,-1),'Normative data'!$Z$2:$AG$2,"Not Found",-1))</f>
        <v>Incomplete</v>
      </c>
      <c r="CS1074" s="68"/>
      <c r="CT1074" s="66"/>
      <c r="CU1074" s="20" t="str" cm="1">
        <f t="array" ref="CU1074">_xlfn.XLOOKUP(CS1074&amp;CT1074,(VLOOKUP!$A$3:$A$250)&amp;(VLOOKUP!$B$3:$B$250),VLOOKUP!$C$3:$C$250,"Incomplete",-1)</f>
        <v>Incomplete</v>
      </c>
      <c r="CV1074" s="20" t="str" cm="1">
        <f t="array" ref="CV1074">_xlfn.XLOOKUP(CU1074, _xlfn.XLOOKUP(E1074, 'Normative data'!$Y$11:$Y$14, 'Normative data'!$Z$11:$AG$14, ,-1), 'Normative data'!$Z$10:$AG$10, "Not Found", -1)</f>
        <v>Excellent</v>
      </c>
      <c r="CW1074" s="20" t="str" cm="1">
        <f t="array" ref="CW1074">IF(OR(ISBLANK(CS1074),ISBLANK(CT1074)),"Incomplete",_xlfn.XLOOKUP(CS1074&amp;CT1074,VLOOKUP!$A$4:$A$250&amp;VLOOKUP!$B$4:$B$250,VLOOKUP!$D$4:$D$250,"0"))</f>
        <v>Incomplete</v>
      </c>
    </row>
    <row r="1075" spans="1:101">
      <c r="A1075" s="93" t="s">
        <v>1284</v>
      </c>
      <c r="B1075" s="93" t="s">
        <v>1285</v>
      </c>
      <c r="C1075" s="64" t="s">
        <v>86</v>
      </c>
      <c r="D1075" s="65">
        <v>40862</v>
      </c>
      <c r="E1075" s="64"/>
      <c r="F1075" s="64">
        <v>8</v>
      </c>
      <c r="G1075" s="64">
        <v>2025</v>
      </c>
      <c r="H1075" s="66"/>
      <c r="I1075" s="64"/>
      <c r="J1075" s="64" t="s">
        <v>122</v>
      </c>
      <c r="K1075" s="64"/>
      <c r="L1075" s="64"/>
      <c r="M1075" s="64"/>
      <c r="N1075" s="64"/>
      <c r="O1075" s="64"/>
      <c r="P1075" s="64"/>
      <c r="Q1075" s="64"/>
      <c r="R1075" s="64"/>
      <c r="S1075" s="66"/>
      <c r="T1075" s="66">
        <v>158</v>
      </c>
      <c r="U1075" s="66">
        <v>49.7</v>
      </c>
      <c r="V1075" s="66"/>
      <c r="W1075" s="66">
        <v>5.3</v>
      </c>
      <c r="X1075" s="66">
        <f>SUM(T1075-W1075)</f>
        <v>152.69999999999999</v>
      </c>
      <c r="Y1075" s="66">
        <v>24.5</v>
      </c>
      <c r="Z1075" s="66">
        <v>19.899999999999999</v>
      </c>
      <c r="AA1075" s="66">
        <v>10.7</v>
      </c>
      <c r="AB1075" s="66"/>
      <c r="AC1075" s="66"/>
      <c r="AD1075" s="66"/>
      <c r="AE1075" s="66"/>
      <c r="AF1075" s="66"/>
      <c r="AG1075" s="66"/>
      <c r="AH1075" s="66"/>
      <c r="AI1075" s="66"/>
      <c r="AJ1075" s="66"/>
      <c r="AK1075" s="66"/>
      <c r="AL1075" s="66"/>
      <c r="AM1075" s="66"/>
      <c r="AN1075" s="66"/>
      <c r="AO1075" s="66"/>
      <c r="AP1075" s="66"/>
      <c r="AQ1075" s="66"/>
      <c r="AR1075" s="66"/>
      <c r="AS1075" s="66"/>
      <c r="AT1075" s="66"/>
      <c r="AU1075" s="66"/>
      <c r="AV1075" s="66"/>
      <c r="AW1075" s="66"/>
      <c r="AX1075" s="66"/>
      <c r="AY1075" s="41" t="str">
        <f t="shared" si="330"/>
        <v>Incomplete</v>
      </c>
      <c r="AZ1075" s="66"/>
      <c r="BA1075" s="20" t="str">
        <f t="shared" si="331"/>
        <v>Incomplete</v>
      </c>
      <c r="BB1075" s="66"/>
      <c r="BC1075" s="20" t="str">
        <f t="shared" si="332"/>
        <v>Incomplete</v>
      </c>
      <c r="BD1075" s="66"/>
      <c r="BE1075" s="20" t="str">
        <f t="shared" si="333"/>
        <v>Incomplete</v>
      </c>
      <c r="BF1075" s="66"/>
      <c r="BG1075" s="66">
        <v>8</v>
      </c>
      <c r="BH1075" s="66">
        <v>39</v>
      </c>
      <c r="BI1075" s="20" t="e">
        <f>IF(OR(ISBLANK(#REF!), ISBLANK(#REF!)),"Incomplete",(SUM(#REF!-#REF!)))</f>
        <v>#REF!</v>
      </c>
      <c r="BJ1075" s="66"/>
      <c r="BK1075" s="66">
        <v>6</v>
      </c>
      <c r="BL1075" s="66"/>
      <c r="BM1075" s="66">
        <v>4</v>
      </c>
      <c r="BN1075" s="66"/>
      <c r="BO1075" s="66"/>
      <c r="BP1075" s="66"/>
      <c r="BQ1075" s="66"/>
      <c r="BR1075" s="66"/>
      <c r="BS1075" s="66"/>
      <c r="BT1075" s="66"/>
      <c r="BU1075" s="66"/>
      <c r="BV1075" s="66"/>
      <c r="BW1075" s="91">
        <f t="shared" si="334"/>
        <v>0</v>
      </c>
      <c r="BX1075" s="91" t="str">
        <f>_xlfn.XLOOKUP(BW1075,'Normative data'!$V$3:$V$6,'Normative data'!$W$3:$W$6,"Not Found",-1)</f>
        <v>Not completed</v>
      </c>
      <c r="BY1075" s="91">
        <f t="shared" si="335"/>
        <v>0</v>
      </c>
      <c r="BZ1075" s="91" t="str">
        <f>_xlfn.XLOOKUP(BY1075,'Normative data'!$V$3:$V$6,'Normative data'!$W$3:$W$6,"Not Found",-1)</f>
        <v>Not completed</v>
      </c>
      <c r="CA1075" s="66"/>
      <c r="CB1075" s="66"/>
      <c r="CC1075" s="20"/>
      <c r="CD1075" s="66"/>
      <c r="CE1075" s="66"/>
      <c r="CF1075" s="66"/>
      <c r="CG1075" s="66">
        <v>18.649999999999999</v>
      </c>
      <c r="CH1075" s="20" t="e">
        <f>_xlfn.XLOOKUP(#REF!, 'Normative data'!$S$9:$S$15,'Normative data'!$T$9:$T$15, "Not Found", -1)</f>
        <v>#REF!</v>
      </c>
      <c r="CI1075" s="66">
        <v>17.82</v>
      </c>
      <c r="CJ1075" s="20" t="e">
        <f>_xlfn.XLOOKUP(#REF!, 'Normative data'!$S$9:$S$15, 'Normative data'!$T$9:$T$15, "Not Found", -1)</f>
        <v>#REF!</v>
      </c>
      <c r="CK1075" s="105">
        <v>2.13</v>
      </c>
      <c r="CL1075" s="105">
        <v>4.6900000000000004</v>
      </c>
      <c r="CM1075" s="105"/>
      <c r="CN1075" s="105">
        <v>6.48</v>
      </c>
      <c r="CO1075" s="105">
        <v>7.72</v>
      </c>
      <c r="CP1075" s="109"/>
      <c r="CQ1075" s="68"/>
      <c r="CR1075" s="20" t="str" cm="1">
        <f t="array" ref="CR1075">IF(OR(ISBLANK(E1075),ISBLANK(CQ1075)),"Incomplete",_xlfn.XLOOKUP(CQ1075,_xlfn.XLOOKUP(E1075,'Normative data'!$Y$3:$Y$6,'Normative data'!$Z$3:$AG$6,,-1),'Normative data'!$Z$2:$AG$2,"Not Found",-1))</f>
        <v>Incomplete</v>
      </c>
      <c r="CS1075" s="68"/>
      <c r="CT1075" s="66"/>
      <c r="CU1075" s="20" t="str" cm="1">
        <f t="array" ref="CU1075">_xlfn.XLOOKUP(CS1075&amp;CT1075,(VLOOKUP!$A$3:$A$250)&amp;(VLOOKUP!$B$3:$B$250),VLOOKUP!$C$3:$C$250,"Incomplete",-1)</f>
        <v>Incomplete</v>
      </c>
      <c r="CV1075" s="20" t="str" cm="1">
        <f t="array" ref="CV1075">_xlfn.XLOOKUP(CU1075, _xlfn.XLOOKUP(E1075, 'Normative data'!$Y$11:$Y$14, 'Normative data'!$Z$11:$AG$14, ,-1), 'Normative data'!$Z$10:$AG$10, "Not Found", -1)</f>
        <v>Excellent</v>
      </c>
      <c r="CW1075" s="20" t="str" cm="1">
        <f t="array" ref="CW1075">IF(OR(ISBLANK(CS1075),ISBLANK(CT1075)),"Incomplete",_xlfn.XLOOKUP(CS1075&amp;CT1075,VLOOKUP!$A$4:$A$250&amp;VLOOKUP!$B$4:$B$250,VLOOKUP!$D$4:$D$250,"0"))</f>
        <v>Incomplete</v>
      </c>
    </row>
    <row r="1076" spans="1:101">
      <c r="A1076" s="64" t="s">
        <v>1284</v>
      </c>
      <c r="B1076" s="64" t="s">
        <v>1285</v>
      </c>
      <c r="C1076" s="64" t="s">
        <v>86</v>
      </c>
      <c r="D1076" s="65">
        <v>40862</v>
      </c>
      <c r="E1076" s="64"/>
      <c r="F1076" s="64"/>
      <c r="G1076" s="64">
        <v>2025</v>
      </c>
      <c r="H1076" s="66"/>
      <c r="I1076" s="64"/>
      <c r="J1076" s="64"/>
      <c r="K1076" s="64"/>
      <c r="L1076" s="64"/>
      <c r="M1076" s="64"/>
      <c r="N1076" s="64"/>
      <c r="O1076" s="64"/>
      <c r="P1076" s="64"/>
      <c r="Q1076" s="64"/>
      <c r="R1076" s="64"/>
      <c r="S1076" s="66"/>
      <c r="T1076" s="66"/>
      <c r="U1076" s="66"/>
      <c r="V1076" s="66"/>
      <c r="W1076" s="66"/>
      <c r="X1076" s="66"/>
      <c r="Y1076" s="66"/>
      <c r="Z1076" s="66"/>
      <c r="AA1076" s="66"/>
      <c r="AB1076" s="66"/>
      <c r="AC1076" s="66"/>
      <c r="AD1076" s="66"/>
      <c r="AE1076" s="66"/>
      <c r="AF1076" s="66"/>
      <c r="AG1076" s="66"/>
      <c r="AH1076" s="66"/>
      <c r="AI1076" s="66"/>
      <c r="AJ1076" s="66"/>
      <c r="AK1076" s="66"/>
      <c r="AL1076" s="66"/>
      <c r="AM1076" s="66"/>
      <c r="AN1076" s="66"/>
      <c r="AO1076" s="66"/>
      <c r="AP1076" s="66"/>
      <c r="AQ1076" s="66"/>
      <c r="AR1076" s="66"/>
      <c r="AS1076" s="66"/>
      <c r="AT1076" s="66"/>
      <c r="AU1076" s="66"/>
      <c r="AV1076" s="66"/>
      <c r="AW1076" s="66"/>
      <c r="AX1076" s="66"/>
      <c r="AY1076" s="41" t="str">
        <f t="shared" si="330"/>
        <v>Incomplete</v>
      </c>
      <c r="AZ1076" s="66"/>
      <c r="BA1076" s="20" t="str">
        <f t="shared" si="331"/>
        <v>Incomplete</v>
      </c>
      <c r="BB1076" s="66"/>
      <c r="BC1076" s="20" t="str">
        <f t="shared" si="332"/>
        <v>Incomplete</v>
      </c>
      <c r="BD1076" s="66"/>
      <c r="BE1076" s="20" t="str">
        <f t="shared" si="333"/>
        <v>Incomplete</v>
      </c>
      <c r="BF1076" s="66"/>
      <c r="BG1076" s="66"/>
      <c r="BH1076" s="20"/>
      <c r="BI1076" s="20" t="str">
        <f>IF(OR(ISBLANK(BG1076), ISBLANK(BH1076)),"Incomplete",(SUM(BH1076-BG1076)))</f>
        <v>Incomplete</v>
      </c>
      <c r="BJ1076" s="66"/>
      <c r="BK1076" s="66"/>
      <c r="BL1076" s="66"/>
      <c r="BM1076" s="20"/>
      <c r="BN1076" s="66"/>
      <c r="BO1076" s="66"/>
      <c r="BP1076" s="66"/>
      <c r="BQ1076" s="66"/>
      <c r="BR1076" s="66"/>
      <c r="BS1076" s="66"/>
      <c r="BT1076" s="66"/>
      <c r="BU1076" s="66"/>
      <c r="BV1076" s="66"/>
      <c r="BW1076" s="91" t="str">
        <f t="shared" si="334"/>
        <v>Incomplete</v>
      </c>
      <c r="BX1076" s="91" t="str">
        <f>_xlfn.XLOOKUP(BW1076,'Normative data'!$V$3:$V$6,'Normative data'!$W$3:$W$6,"Not Found",-1)</f>
        <v>Very low risk</v>
      </c>
      <c r="BY1076" s="91" t="str">
        <f t="shared" si="335"/>
        <v>Incomplete</v>
      </c>
      <c r="BZ1076" s="91" t="str">
        <f>_xlfn.XLOOKUP(BY1076,'Normative data'!$V$3:$V$6,'Normative data'!$W$3:$W$6,"Not Found",-1)</f>
        <v>Very low risk</v>
      </c>
      <c r="CA1076" s="20"/>
      <c r="CB1076" s="66"/>
      <c r="CC1076" s="20"/>
      <c r="CD1076" s="66"/>
      <c r="CE1076" s="66">
        <v>15</v>
      </c>
      <c r="CF1076" s="66"/>
      <c r="CG1076" s="20">
        <v>17.809999999999999</v>
      </c>
      <c r="CH1076" s="20" t="str">
        <f>_xlfn.XLOOKUP(CG1076, 'Normative data'!$S$9:$S$15,'Normative data'!$T$9:$T$15, "Not Found", -1)</f>
        <v>Above Average</v>
      </c>
      <c r="CI1076" s="20">
        <v>17.16</v>
      </c>
      <c r="CJ1076" s="20" t="str">
        <f>_xlfn.XLOOKUP(CI1076, 'Normative data'!$S$9:$S$15, 'Normative data'!$T$9:$T$15, "Not Found", -1)</f>
        <v>Above Average</v>
      </c>
      <c r="CK1076" s="66" t="s">
        <v>435</v>
      </c>
      <c r="CL1076" s="66" t="s">
        <v>436</v>
      </c>
      <c r="CM1076" s="105"/>
      <c r="CN1076" s="66" t="s">
        <v>329</v>
      </c>
      <c r="CO1076" s="66" t="s">
        <v>999</v>
      </c>
      <c r="CP1076" s="68"/>
      <c r="CQ1076" s="68"/>
      <c r="CR1076" s="20" t="str" cm="1">
        <f t="array" ref="CR1076">IF(OR(ISBLANK(E1076),ISBLANK(CQ1076)),"Incomplete",_xlfn.XLOOKUP(CQ1076,_xlfn.XLOOKUP(E1076,'Normative data'!$Y$3:$Y$6,'Normative data'!$Z$3:$AG$6,,-1),'Normative data'!$Z$2:$AG$2,"Not Found",-1))</f>
        <v>Incomplete</v>
      </c>
      <c r="CS1076" s="68"/>
      <c r="CT1076" s="66"/>
      <c r="CU1076" s="20" t="str" cm="1">
        <f t="array" ref="CU1076">_xlfn.XLOOKUP(CS1076&amp;CT1076,(VLOOKUP!$A$3:$A$250)&amp;(VLOOKUP!$B$3:$B$250),VLOOKUP!$C$3:$C$250,"Incomplete",-1)</f>
        <v>Incomplete</v>
      </c>
      <c r="CV1076" s="20" t="str" cm="1">
        <f t="array" ref="CV1076">_xlfn.XLOOKUP(CU1076, _xlfn.XLOOKUP(E1076, 'Normative data'!$Y$11:$Y$14, 'Normative data'!$Z$11:$AG$14, ,-1), 'Normative data'!$Z$10:$AG$10, "Not Found", -1)</f>
        <v>Excellent</v>
      </c>
      <c r="CW1076" s="20" t="str" cm="1">
        <f t="array" ref="CW1076">IF(OR(ISBLANK(CS1076),ISBLANK(CT1076)),"Incomplete",_xlfn.XLOOKUP(CS1076&amp;CT1076,VLOOKUP!$A$4:$A$250&amp;VLOOKUP!$B$4:$B$250,VLOOKUP!$D$4:$D$250,"0"))</f>
        <v>Incomplete</v>
      </c>
    </row>
    <row r="1077" spans="1:101">
      <c r="A1077" s="64" t="s">
        <v>733</v>
      </c>
      <c r="B1077" s="64" t="s">
        <v>732</v>
      </c>
      <c r="C1077" s="64" t="s">
        <v>86</v>
      </c>
      <c r="D1077" s="65">
        <v>40192</v>
      </c>
      <c r="E1077" s="64">
        <v>16.3</v>
      </c>
      <c r="F1077" s="66" t="s">
        <v>178</v>
      </c>
      <c r="G1077" s="64">
        <v>2026</v>
      </c>
      <c r="H1077" s="66"/>
      <c r="I1077" s="66">
        <v>2</v>
      </c>
      <c r="J1077" s="66" t="s">
        <v>100</v>
      </c>
      <c r="K1077" s="66" t="s">
        <v>556</v>
      </c>
      <c r="L1077" s="66"/>
      <c r="M1077" s="64"/>
      <c r="N1077" s="64"/>
      <c r="O1077" s="64"/>
      <c r="P1077" s="64"/>
      <c r="Q1077" s="64"/>
      <c r="R1077" s="64"/>
      <c r="S1077" s="66">
        <v>80.599999999999994</v>
      </c>
      <c r="T1077" s="66">
        <v>152.30000000000001</v>
      </c>
      <c r="U1077" s="64">
        <v>40.5</v>
      </c>
      <c r="V1077" s="64">
        <v>24.6</v>
      </c>
      <c r="W1077" s="64">
        <v>6.8</v>
      </c>
      <c r="X1077" s="64">
        <v>33.700000000000003</v>
      </c>
      <c r="Y1077" s="64">
        <v>17.8</v>
      </c>
      <c r="Z1077" s="64">
        <v>17.5</v>
      </c>
      <c r="AA1077" s="64">
        <v>16.899999999999999</v>
      </c>
      <c r="AB1077" s="64">
        <v>4.5599999999999996</v>
      </c>
      <c r="AC1077" s="64">
        <v>95</v>
      </c>
      <c r="AD1077" s="64">
        <v>4.6399999999999997</v>
      </c>
      <c r="AE1077" s="64">
        <v>96.7</v>
      </c>
      <c r="AF1077" s="64">
        <v>1.2</v>
      </c>
      <c r="AG1077" s="64">
        <v>74.2</v>
      </c>
      <c r="AH1077" s="64">
        <v>1.2</v>
      </c>
      <c r="AI1077" s="64">
        <v>74.400000000000006</v>
      </c>
      <c r="AJ1077" s="64">
        <v>313.2</v>
      </c>
      <c r="AK1077" s="64">
        <v>301.7</v>
      </c>
      <c r="AL1077" s="64">
        <v>280.3</v>
      </c>
      <c r="AM1077" s="64">
        <v>272.2</v>
      </c>
      <c r="AN1077" s="64">
        <v>76</v>
      </c>
      <c r="AO1077" s="64">
        <v>0.78</v>
      </c>
      <c r="AP1077" s="64">
        <v>5.0999999999999996</v>
      </c>
      <c r="AQ1077" s="64">
        <v>17.600000000000001</v>
      </c>
      <c r="AR1077" s="64">
        <v>0.379</v>
      </c>
      <c r="AS1077" s="64">
        <v>25.9</v>
      </c>
      <c r="AT1077" s="64">
        <v>0.46</v>
      </c>
      <c r="AU1077" s="64">
        <v>12.9</v>
      </c>
      <c r="AV1077" s="64">
        <v>0.32400000000000001</v>
      </c>
      <c r="AW1077" s="64">
        <v>12.6</v>
      </c>
      <c r="AX1077" s="64">
        <v>0.32100000000000001</v>
      </c>
      <c r="AY1077" s="41">
        <f t="shared" si="330"/>
        <v>847.97000000000025</v>
      </c>
      <c r="AZ1077" s="64"/>
      <c r="BA1077" s="20">
        <f t="shared" si="331"/>
        <v>1351.7799999999997</v>
      </c>
      <c r="BB1077" s="64"/>
      <c r="BC1077" s="20">
        <f t="shared" si="332"/>
        <v>562.67999999999984</v>
      </c>
      <c r="BD1077" s="64"/>
      <c r="BE1077" s="20">
        <f t="shared" si="333"/>
        <v>544.4699999999998</v>
      </c>
      <c r="BF1077" s="64"/>
      <c r="BG1077" s="64">
        <v>16</v>
      </c>
      <c r="BH1077" s="64">
        <v>57</v>
      </c>
      <c r="BI1077" s="20">
        <f>IF(OR(ISBLANK(BG1077), ISBLANK(BH1077)),"Incomplete",(SUM(BH1077-BG1077)))</f>
        <v>41</v>
      </c>
      <c r="BJ1077" s="66"/>
      <c r="BK1077" s="64">
        <v>5.7</v>
      </c>
      <c r="BL1077" s="66"/>
      <c r="BM1077" s="64">
        <v>7.9</v>
      </c>
      <c r="BN1077" s="66"/>
      <c r="BO1077" s="64">
        <v>39.799999999999997</v>
      </c>
      <c r="BP1077" s="64">
        <v>41</v>
      </c>
      <c r="BQ1077" s="64">
        <v>62</v>
      </c>
      <c r="BR1077" s="64">
        <v>83.5</v>
      </c>
      <c r="BS1077" s="64">
        <v>76.5</v>
      </c>
      <c r="BT1077" s="64">
        <v>65</v>
      </c>
      <c r="BU1077" s="64">
        <v>76.5</v>
      </c>
      <c r="BV1077" s="64">
        <v>71</v>
      </c>
      <c r="BW1077" s="91">
        <f t="shared" si="334"/>
        <v>103.20781032078101</v>
      </c>
      <c r="BX1077" s="91" t="str">
        <f>_xlfn.XLOOKUP(BW1077,'Normative data'!$V$3:$V$6,'Normative data'!$W$3:$W$6,"Not Found",-1)</f>
        <v>Low risk</v>
      </c>
      <c r="BY1077" s="91">
        <f t="shared" si="335"/>
        <v>98.791259879125974</v>
      </c>
      <c r="BZ1077" s="91" t="str">
        <f>_xlfn.XLOOKUP(BY1077,'Normative data'!$V$3:$V$6,'Normative data'!$W$3:$W$6,"Not Found",-1)</f>
        <v>Low risk</v>
      </c>
      <c r="CA1077" s="64">
        <v>30</v>
      </c>
      <c r="CB1077" s="66"/>
      <c r="CC1077" s="20"/>
      <c r="CD1077" s="66"/>
      <c r="CE1077" s="64">
        <v>15</v>
      </c>
      <c r="CF1077" s="66"/>
      <c r="CG1077" s="64">
        <v>18.32</v>
      </c>
      <c r="CH1077" s="20" t="str">
        <f>_xlfn.XLOOKUP(CG1077, 'Normative data'!$S$9:$S$15,'Normative data'!$T$9:$T$15, "Not Found", -1)</f>
        <v>Average</v>
      </c>
      <c r="CI1077" s="64">
        <v>19.02</v>
      </c>
      <c r="CJ1077" s="20" t="str">
        <f>_xlfn.XLOOKUP(CI1077, 'Normative data'!$S$9:$S$15, 'Normative data'!$T$9:$T$15, "Not Found", -1)</f>
        <v>Average</v>
      </c>
      <c r="CK1077" s="21"/>
      <c r="CL1077" s="21"/>
      <c r="CM1077" s="21"/>
      <c r="CN1077" s="21"/>
      <c r="CO1077" s="21"/>
      <c r="CP1077" s="68"/>
      <c r="CQ1077" s="67"/>
      <c r="CR1077" s="20" t="str" cm="1">
        <f t="array" ref="CR1077">IF(OR(ISBLANK(E1077),ISBLANK(CQ1077)),"Incomplete",_xlfn.XLOOKUP(CQ1077,_xlfn.XLOOKUP(E1077,'Normative data'!$Y$3:$Y$6,'Normative data'!$Z$3:$AG$6,,-1),'Normative data'!$Z$2:$AG$2,"Not Found",-1))</f>
        <v>Incomplete</v>
      </c>
      <c r="CS1077" s="68"/>
      <c r="CT1077" s="66"/>
      <c r="CU1077" s="20" t="str" cm="1">
        <f t="array" ref="CU1077">_xlfn.XLOOKUP(CS1077&amp;CT1077,(VLOOKUP!$A$3:$A$250)&amp;(VLOOKUP!$B$3:$B$250),VLOOKUP!$C$3:$C$250,"Incomplete",-1)</f>
        <v>Incomplete</v>
      </c>
      <c r="CV1077" s="20" t="str" cm="1">
        <f t="array" ref="CV1077">_xlfn.XLOOKUP(CU1077, _xlfn.XLOOKUP(E1077, 'Normative data'!$Y$11:$Y$14, 'Normative data'!$Z$11:$AG$14, ,-1), 'Normative data'!$Z$10:$AG$10, "Not Found", -1)</f>
        <v>Excellent</v>
      </c>
      <c r="CW1077" s="20" t="str" cm="1">
        <f t="array" ref="CW1077">IF(OR(ISBLANK(CS1077),ISBLANK(CT1077)),"Incomplete",_xlfn.XLOOKUP(CS1077&amp;CT1077,VLOOKUP!$A$4:$A$250&amp;VLOOKUP!$B$4:$B$250,VLOOKUP!$D$4:$D$250,"0"))</f>
        <v>Incomplete</v>
      </c>
    </row>
    <row r="1078" spans="1:101">
      <c r="A1078" s="64" t="s">
        <v>1447</v>
      </c>
      <c r="B1078" s="64" t="s">
        <v>732</v>
      </c>
      <c r="C1078" s="64" t="s">
        <v>86</v>
      </c>
      <c r="D1078" s="65">
        <v>40049</v>
      </c>
      <c r="E1078" s="64"/>
      <c r="F1078" s="66" t="s">
        <v>181</v>
      </c>
      <c r="G1078" s="64">
        <v>2026</v>
      </c>
      <c r="H1078" s="66"/>
      <c r="I1078" s="66">
        <v>2</v>
      </c>
      <c r="J1078" s="66" t="s">
        <v>1062</v>
      </c>
      <c r="K1078" s="66" t="s">
        <v>111</v>
      </c>
      <c r="L1078" s="66"/>
      <c r="M1078" s="64"/>
      <c r="N1078" s="64"/>
      <c r="O1078" s="64"/>
      <c r="P1078" s="64"/>
      <c r="Q1078" s="64"/>
      <c r="R1078" s="64"/>
      <c r="S1078" s="66">
        <v>82.3</v>
      </c>
      <c r="T1078" s="66">
        <v>162.69999999999999</v>
      </c>
      <c r="U1078" s="64">
        <v>44.4</v>
      </c>
      <c r="V1078" s="64">
        <v>26.7</v>
      </c>
      <c r="W1078" s="64">
        <v>7.8</v>
      </c>
      <c r="X1078" s="64">
        <v>36.6</v>
      </c>
      <c r="Y1078" s="64">
        <v>19.7</v>
      </c>
      <c r="Z1078" s="64">
        <v>16.8</v>
      </c>
      <c r="AA1078" s="64">
        <v>17.5</v>
      </c>
      <c r="AB1078" s="64">
        <v>5.61</v>
      </c>
      <c r="AC1078" s="64">
        <v>109.3</v>
      </c>
      <c r="AD1078" s="64">
        <v>5.68</v>
      </c>
      <c r="AE1078" s="64">
        <v>110.7</v>
      </c>
      <c r="AF1078" s="64">
        <v>1.4</v>
      </c>
      <c r="AG1078" s="64">
        <v>60.6</v>
      </c>
      <c r="AH1078" s="64">
        <v>1.4</v>
      </c>
      <c r="AI1078" s="64">
        <v>60.9</v>
      </c>
      <c r="AJ1078" s="64">
        <v>375.7</v>
      </c>
      <c r="AK1078" s="64">
        <v>354.3</v>
      </c>
      <c r="AL1078" s="64">
        <v>332.2</v>
      </c>
      <c r="AM1078" s="64">
        <v>323.60000000000002</v>
      </c>
      <c r="AN1078" s="64">
        <v>87</v>
      </c>
      <c r="AO1078" s="64">
        <v>0.78</v>
      </c>
      <c r="AP1078" s="64">
        <v>5.4</v>
      </c>
      <c r="AQ1078" s="64">
        <v>21.2</v>
      </c>
      <c r="AR1078" s="64">
        <v>0.41599999999999998</v>
      </c>
      <c r="AS1078" s="64">
        <v>23.5</v>
      </c>
      <c r="AT1078" s="64">
        <v>0.438</v>
      </c>
      <c r="AU1078" s="64">
        <v>11</v>
      </c>
      <c r="AV1078" s="64">
        <v>0.3</v>
      </c>
      <c r="AW1078" s="64">
        <v>12.3</v>
      </c>
      <c r="AX1078" s="64">
        <v>0.317</v>
      </c>
      <c r="AY1078" s="41">
        <f t="shared" si="330"/>
        <v>1243.1599999999999</v>
      </c>
      <c r="AZ1078" s="64"/>
      <c r="BA1078" s="20">
        <f t="shared" si="331"/>
        <v>1382.7699999999995</v>
      </c>
      <c r="BB1078" s="64"/>
      <c r="BC1078" s="20">
        <f t="shared" si="332"/>
        <v>624.01999999999953</v>
      </c>
      <c r="BD1078" s="64"/>
      <c r="BE1078" s="20">
        <f t="shared" si="333"/>
        <v>702.92999999999984</v>
      </c>
      <c r="BF1078" s="64"/>
      <c r="BG1078" s="64">
        <v>12.5</v>
      </c>
      <c r="BH1078" s="64">
        <v>45</v>
      </c>
      <c r="BI1078" s="20">
        <f>IF(OR(ISBLANK(BG1078), ISBLANK(BH1078)),"Incomplete",(SUM(BH1078-BG1078)))</f>
        <v>32.5</v>
      </c>
      <c r="BJ1078" s="66"/>
      <c r="BK1078" s="64">
        <v>9.5</v>
      </c>
      <c r="BL1078" s="66"/>
      <c r="BM1078" s="64">
        <v>9</v>
      </c>
      <c r="BN1078" s="66"/>
      <c r="BO1078" s="64">
        <v>36.5</v>
      </c>
      <c r="BP1078" s="64">
        <v>37.5</v>
      </c>
      <c r="BQ1078" s="64">
        <v>74</v>
      </c>
      <c r="BR1078" s="64">
        <v>80</v>
      </c>
      <c r="BS1078" s="64">
        <v>83</v>
      </c>
      <c r="BT1078" s="64">
        <v>72</v>
      </c>
      <c r="BU1078" s="64">
        <v>74</v>
      </c>
      <c r="BV1078" s="64">
        <v>77</v>
      </c>
      <c r="BW1078" s="91">
        <f t="shared" si="334"/>
        <v>98.258706467661696</v>
      </c>
      <c r="BX1078" s="91" t="str">
        <f>_xlfn.XLOOKUP(BW1078,'Normative data'!$V$3:$V$6,'Normative data'!$W$3:$W$6,"Not Found",-1)</f>
        <v>Low risk</v>
      </c>
      <c r="BY1078" s="91">
        <f t="shared" si="335"/>
        <v>92.454394693200669</v>
      </c>
      <c r="BZ1078" s="91" t="str">
        <f>_xlfn.XLOOKUP(BY1078,'Normative data'!$V$3:$V$6,'Normative data'!$W$3:$W$6,"Not Found",-1)</f>
        <v>High risk</v>
      </c>
      <c r="CA1078" s="64">
        <v>30</v>
      </c>
      <c r="CB1078" s="66"/>
      <c r="CC1078" s="66"/>
      <c r="CD1078" s="66"/>
      <c r="CE1078" s="64">
        <v>5</v>
      </c>
      <c r="CF1078" s="66"/>
      <c r="CG1078" s="64">
        <v>18.97</v>
      </c>
      <c r="CH1078" s="20" t="str">
        <f>_xlfn.XLOOKUP(CG1078, 'Normative data'!$S$9:$S$15,'Normative data'!$T$9:$T$15, "Not Found", -1)</f>
        <v>Average</v>
      </c>
      <c r="CI1078" s="64">
        <v>18.59</v>
      </c>
      <c r="CJ1078" s="20" t="str">
        <f>_xlfn.XLOOKUP(CI1078, 'Normative data'!$S$9:$S$15, 'Normative data'!$T$9:$T$15, "Not Found", -1)</f>
        <v>Average</v>
      </c>
      <c r="CK1078" s="17">
        <v>2.33</v>
      </c>
      <c r="CL1078" s="17">
        <v>4.29</v>
      </c>
      <c r="CN1078" s="17">
        <v>6.76</v>
      </c>
      <c r="CO1078" s="17">
        <v>7.4</v>
      </c>
      <c r="CP1078" s="68"/>
      <c r="CQ1078" s="67">
        <v>6.6</v>
      </c>
      <c r="CR1078" s="20" t="str" cm="1">
        <f t="array" ref="CR1078">IF(OR(ISBLANK(E1078),ISBLANK(CQ1078)),"Incomplete",_xlfn.XLOOKUP(CQ1078,_xlfn.XLOOKUP(E1078,'Normative data'!$Y$3:$Y$6,'Normative data'!$Z$3:$AG$6,,-1),'Normative data'!$Z$2:$AG$2,"Not Found",-1))</f>
        <v>Incomplete</v>
      </c>
      <c r="CS1078" s="68">
        <v>6</v>
      </c>
      <c r="CT1078" s="66">
        <v>6</v>
      </c>
      <c r="CU1078" s="20" cm="1">
        <f t="array" ref="CU1078">_xlfn.XLOOKUP(CS1078&amp;CT1078,(VLOOKUP!$A$3:$A$250)&amp;(VLOOKUP!$B$3:$B$250),VLOOKUP!$C$3:$C$250,"Incomplete",-1)</f>
        <v>940</v>
      </c>
      <c r="CV1078" s="20" t="str" cm="1">
        <f t="array" ref="CV1078">_xlfn.XLOOKUP(CU1078, _xlfn.XLOOKUP(E1078, 'Normative data'!$Y$11:$Y$14, 'Normative data'!$Z$11:$AG$14, ,-1), 'Normative data'!$Z$10:$AG$10, "Not Found", -1)</f>
        <v xml:space="preserve">Fair </v>
      </c>
      <c r="CW1078" s="20" cm="1">
        <f t="array" ref="CW1078">IF(OR(ISBLANK(CS1078),ISBLANK(CT1078)),"Incomplete",_xlfn.XLOOKUP(CS1078&amp;CT1078,VLOOKUP!$A$4:$A$250&amp;VLOOKUP!$B$4:$B$250,VLOOKUP!$D$4:$D$250,"0"))</f>
        <v>35</v>
      </c>
    </row>
    <row r="1079" spans="1:101">
      <c r="A1079" s="64" t="s">
        <v>1739</v>
      </c>
      <c r="B1079" s="64" t="s">
        <v>732</v>
      </c>
      <c r="C1079" s="64" t="s">
        <v>86</v>
      </c>
      <c r="D1079" s="65">
        <v>40785</v>
      </c>
      <c r="E1079" s="64">
        <v>14.7</v>
      </c>
      <c r="F1079" s="66" t="s">
        <v>92</v>
      </c>
      <c r="G1079" s="64">
        <v>2026</v>
      </c>
      <c r="H1079" s="66"/>
      <c r="I1079" s="66">
        <v>2</v>
      </c>
      <c r="J1079" s="66" t="s">
        <v>88</v>
      </c>
      <c r="K1079" s="66" t="s">
        <v>765</v>
      </c>
      <c r="L1079" s="66"/>
      <c r="M1079" s="64"/>
      <c r="N1079" s="64"/>
      <c r="O1079" s="64"/>
      <c r="P1079" s="64"/>
      <c r="Q1079" s="64"/>
      <c r="R1079" s="64"/>
      <c r="S1079" s="66">
        <v>82.4</v>
      </c>
      <c r="T1079" s="66">
        <v>165</v>
      </c>
      <c r="U1079" s="64">
        <v>61.6</v>
      </c>
      <c r="V1079" s="64">
        <v>34.5</v>
      </c>
      <c r="W1079" s="64">
        <v>14.5</v>
      </c>
      <c r="X1079" s="64">
        <v>47.1</v>
      </c>
      <c r="Y1079" s="64">
        <v>26.1</v>
      </c>
      <c r="Z1079" s="64">
        <v>22.6</v>
      </c>
      <c r="AA1079" s="64">
        <v>23.6</v>
      </c>
      <c r="AB1079" s="64">
        <v>6.99</v>
      </c>
      <c r="AC1079" s="64">
        <v>101.8</v>
      </c>
      <c r="AD1079" s="64">
        <v>6.85</v>
      </c>
      <c r="AE1079" s="64">
        <v>99.7</v>
      </c>
      <c r="AF1079" s="64">
        <v>2.2000000000000002</v>
      </c>
      <c r="AG1079" s="64">
        <v>86.6</v>
      </c>
      <c r="AH1079" s="64">
        <v>2.1</v>
      </c>
      <c r="AI1079" s="64">
        <v>85.6</v>
      </c>
      <c r="AJ1079" s="64">
        <v>289.89999999999998</v>
      </c>
      <c r="AK1079" s="64">
        <v>301.60000000000002</v>
      </c>
      <c r="AL1079" s="64">
        <v>254.5</v>
      </c>
      <c r="AM1079" s="64">
        <v>265.89999999999998</v>
      </c>
      <c r="AN1079" s="64">
        <v>109</v>
      </c>
      <c r="AO1079" s="64">
        <v>0.88</v>
      </c>
      <c r="AP1079" s="64">
        <v>6.9</v>
      </c>
      <c r="AQ1079" s="64">
        <v>29.4</v>
      </c>
      <c r="AR1079" s="64">
        <v>0.49</v>
      </c>
      <c r="AS1079" s="64">
        <v>33.799999999999997</v>
      </c>
      <c r="AT1079" s="64">
        <v>0.52500000000000002</v>
      </c>
      <c r="AU1079" s="64">
        <v>16.3</v>
      </c>
      <c r="AV1079" s="64">
        <v>0.36499999999999999</v>
      </c>
      <c r="AW1079" s="64">
        <v>17.100000000000001</v>
      </c>
      <c r="AX1079" s="64">
        <v>0.373</v>
      </c>
      <c r="AY1079" s="41">
        <f t="shared" si="330"/>
        <v>2520.0599999999995</v>
      </c>
      <c r="AZ1079" s="64"/>
      <c r="BA1079" s="20">
        <f t="shared" si="331"/>
        <v>2787.1399999999994</v>
      </c>
      <c r="BB1079" s="64"/>
      <c r="BC1079" s="20">
        <f t="shared" si="332"/>
        <v>1724.8900000000003</v>
      </c>
      <c r="BD1079" s="64"/>
      <c r="BE1079" s="20">
        <f t="shared" si="333"/>
        <v>1773.4499999999998</v>
      </c>
      <c r="BF1079" s="64"/>
      <c r="BG1079" s="64">
        <v>8.9</v>
      </c>
      <c r="BH1079" s="64">
        <v>45.4</v>
      </c>
      <c r="BI1079" s="20">
        <f>IF(OR(ISBLANK(BG1079), ISBLANK(BH1079)),"Incomplete",(SUM(BH1079-BG1079)))</f>
        <v>36.5</v>
      </c>
      <c r="BJ1079" s="66"/>
      <c r="BK1079" s="64">
        <v>9</v>
      </c>
      <c r="BL1079" s="66"/>
      <c r="BM1079" s="64">
        <v>8.5</v>
      </c>
      <c r="BN1079" s="66"/>
      <c r="BO1079" s="64">
        <v>44.5</v>
      </c>
      <c r="BP1079" s="64">
        <v>45.7</v>
      </c>
      <c r="BQ1079" s="64">
        <v>78</v>
      </c>
      <c r="BR1079" s="64">
        <v>79</v>
      </c>
      <c r="BS1079" s="64">
        <v>78</v>
      </c>
      <c r="BT1079" s="64">
        <v>85</v>
      </c>
      <c r="BU1079" s="64">
        <v>78</v>
      </c>
      <c r="BV1079" s="64">
        <v>85</v>
      </c>
      <c r="BW1079" s="91">
        <f t="shared" si="334"/>
        <v>94.834543987086363</v>
      </c>
      <c r="BX1079" s="91" t="str">
        <f>_xlfn.XLOOKUP(BW1079,'Normative data'!$V$3:$V$6,'Normative data'!$W$3:$W$6,"Not Found",-1)</f>
        <v>High risk</v>
      </c>
      <c r="BY1079" s="91">
        <f t="shared" si="335"/>
        <v>100.08071025020178</v>
      </c>
      <c r="BZ1079" s="91" t="str">
        <f>_xlfn.XLOOKUP(BY1079,'Normative data'!$V$3:$V$6,'Normative data'!$W$3:$W$6,"Not Found",-1)</f>
        <v>Low risk</v>
      </c>
      <c r="CA1079" s="64">
        <v>32</v>
      </c>
      <c r="CB1079" s="66"/>
      <c r="CC1079" s="20"/>
      <c r="CD1079" s="66"/>
      <c r="CE1079" s="64">
        <v>12</v>
      </c>
      <c r="CF1079" s="66"/>
      <c r="CG1079" s="64">
        <v>19.350000000000001</v>
      </c>
      <c r="CH1079" s="20" t="str">
        <f>_xlfn.XLOOKUP(CG1079, 'Normative data'!$S$9:$S$15,'Normative data'!$T$9:$T$15, "Not Found", -1)</f>
        <v>Average</v>
      </c>
      <c r="CI1079" s="64">
        <v>18.91</v>
      </c>
      <c r="CJ1079" s="20" t="str">
        <f>_xlfn.XLOOKUP(CI1079, 'Normative data'!$S$9:$S$15, 'Normative data'!$T$9:$T$15, "Not Found", -1)</f>
        <v>Average</v>
      </c>
      <c r="CK1079" s="64">
        <v>2.1</v>
      </c>
      <c r="CL1079" s="64">
        <v>4.76</v>
      </c>
      <c r="CM1079" s="66"/>
      <c r="CN1079" s="64">
        <v>6.35</v>
      </c>
      <c r="CO1079" s="64">
        <v>7.87</v>
      </c>
      <c r="CP1079" s="68"/>
      <c r="CQ1079" s="67">
        <v>4.2</v>
      </c>
      <c r="CR1079" s="20" t="str" cm="1">
        <f t="array" ref="CR1079">IF(OR(ISBLANK(E1079),ISBLANK(CQ1079)),"Incomplete",_xlfn.XLOOKUP(CQ1079,_xlfn.XLOOKUP(E1079,'Normative data'!$Y$3:$Y$6,'Normative data'!$Z$3:$AG$6,,-1),'Normative data'!$Z$2:$AG$2,"Not Found",-1))</f>
        <v>Poor</v>
      </c>
      <c r="CS1079" s="68">
        <v>4</v>
      </c>
      <c r="CT1079" s="66">
        <v>2</v>
      </c>
      <c r="CU1079" s="20" cm="1">
        <f t="array" ref="CU1079">_xlfn.XLOOKUP(CS1079&amp;CT1079,(VLOOKUP!$A$3:$A$250)&amp;(VLOOKUP!$B$3:$B$250),VLOOKUP!$C$3:$C$250,"Incomplete",-1)</f>
        <v>500</v>
      </c>
      <c r="CV1079" s="20" t="str" cm="1">
        <f t="array" ref="CV1079">_xlfn.XLOOKUP(CU1079, _xlfn.XLOOKUP(E1079, 'Normative data'!$Y$11:$Y$14, 'Normative data'!$Z$11:$AG$14, ,-1), 'Normative data'!$Z$10:$AG$10, "Not Found", -1)</f>
        <v xml:space="preserve">Poor </v>
      </c>
      <c r="CW1079" s="20" cm="1">
        <f t="array" ref="CW1079">IF(OR(ISBLANK(CS1079),ISBLANK(CT1079)),"Incomplete",_xlfn.XLOOKUP(CS1079&amp;CT1079,VLOOKUP!$A$4:$A$250&amp;VLOOKUP!$B$4:$B$250,VLOOKUP!$D$4:$D$250,"0"))</f>
        <v>27</v>
      </c>
    </row>
    <row r="1080" spans="1:101">
      <c r="A1080" s="64" t="s">
        <v>1114</v>
      </c>
      <c r="B1080" s="64" t="s">
        <v>1113</v>
      </c>
      <c r="C1080" s="64" t="s">
        <v>86</v>
      </c>
      <c r="D1080" s="65">
        <v>39999</v>
      </c>
      <c r="E1080" s="64"/>
      <c r="F1080" s="64">
        <v>10</v>
      </c>
      <c r="G1080" s="64">
        <v>2025</v>
      </c>
      <c r="H1080" s="66"/>
      <c r="I1080" s="64"/>
      <c r="J1080" s="64"/>
      <c r="K1080" s="64"/>
      <c r="L1080" s="64"/>
      <c r="M1080" s="64"/>
      <c r="N1080" s="64"/>
      <c r="O1080" s="64"/>
      <c r="P1080" s="64"/>
      <c r="Q1080" s="64"/>
      <c r="R1080" s="64"/>
      <c r="S1080" s="66"/>
      <c r="T1080" s="66"/>
      <c r="U1080" s="66"/>
      <c r="V1080" s="66"/>
      <c r="W1080" s="66"/>
      <c r="X1080" s="66"/>
      <c r="Y1080" s="66"/>
      <c r="Z1080" s="66"/>
      <c r="AA1080" s="66"/>
      <c r="AB1080" s="66"/>
      <c r="AC1080" s="66"/>
      <c r="AD1080" s="66"/>
      <c r="AE1080" s="66"/>
      <c r="AF1080" s="66"/>
      <c r="AG1080" s="66"/>
      <c r="AH1080" s="66"/>
      <c r="AI1080" s="66"/>
      <c r="AJ1080" s="66"/>
      <c r="AK1080" s="66"/>
      <c r="AL1080" s="66"/>
      <c r="AM1080" s="66"/>
      <c r="AN1080" s="66"/>
      <c r="AO1080" s="66"/>
      <c r="AP1080" s="66"/>
      <c r="AQ1080" s="66"/>
      <c r="AR1080" s="66"/>
      <c r="AS1080" s="66"/>
      <c r="AT1080" s="66"/>
      <c r="AU1080" s="66"/>
      <c r="AV1080" s="66"/>
      <c r="AW1080" s="66"/>
      <c r="AX1080" s="66"/>
      <c r="AY1080" s="41" t="str">
        <f t="shared" si="330"/>
        <v>Incomplete</v>
      </c>
      <c r="AZ1080" s="66"/>
      <c r="BA1080" s="20" t="str">
        <f t="shared" si="331"/>
        <v>Incomplete</v>
      </c>
      <c r="BB1080" s="66"/>
      <c r="BC1080" s="20" t="str">
        <f t="shared" si="332"/>
        <v>Incomplete</v>
      </c>
      <c r="BD1080" s="66"/>
      <c r="BE1080" s="20" t="str">
        <f t="shared" si="333"/>
        <v>Incomplete</v>
      </c>
      <c r="BF1080" s="66"/>
      <c r="BG1080" s="66">
        <v>16.8</v>
      </c>
      <c r="BH1080" s="66">
        <v>32</v>
      </c>
      <c r="BI1080" s="20" t="e">
        <f>IF(OR(ISBLANK(#REF!), ISBLANK(#REF!)),"Incomplete",(SUM(#REF!-#REF!)))</f>
        <v>#REF!</v>
      </c>
      <c r="BJ1080" s="66"/>
      <c r="BK1080" s="66">
        <v>12</v>
      </c>
      <c r="BL1080" s="66"/>
      <c r="BM1080" s="20">
        <v>11</v>
      </c>
      <c r="BN1080" s="66"/>
      <c r="BO1080" s="66"/>
      <c r="BP1080" s="66"/>
      <c r="BQ1080" s="66"/>
      <c r="BR1080" s="66"/>
      <c r="BS1080" s="66"/>
      <c r="BT1080" s="66"/>
      <c r="BU1080" s="66"/>
      <c r="BV1080" s="66"/>
      <c r="BW1080" s="91" t="str">
        <f t="shared" si="334"/>
        <v>Incomplete</v>
      </c>
      <c r="BX1080" s="91" t="str">
        <f>_xlfn.XLOOKUP(BW1080,'Normative data'!$V$3:$V$6,'Normative data'!$W$3:$W$6,"Not Found",-1)</f>
        <v>Very low risk</v>
      </c>
      <c r="BY1080" s="91" t="str">
        <f t="shared" si="335"/>
        <v>Incomplete</v>
      </c>
      <c r="BZ1080" s="91" t="str">
        <f>_xlfn.XLOOKUP(BY1080,'Normative data'!$V$3:$V$6,'Normative data'!$W$3:$W$6,"Not Found",-1)</f>
        <v>Very low risk</v>
      </c>
      <c r="CA1080" s="20"/>
      <c r="CB1080" s="66"/>
      <c r="CC1080" s="20"/>
      <c r="CD1080" s="66"/>
      <c r="CE1080" s="66">
        <v>31</v>
      </c>
      <c r="CF1080" s="66"/>
      <c r="CG1080" s="66"/>
      <c r="CH1080" s="20" t="str">
        <f>_xlfn.XLOOKUP(CG1080, 'Normative data'!$S$9:$S$15,'Normative data'!$T$9:$T$15, "Not Found", -1)</f>
        <v>not completed</v>
      </c>
      <c r="CI1080" s="66"/>
      <c r="CJ1080" s="20" t="str">
        <f>_xlfn.XLOOKUP(CI1080, 'Normative data'!$S$9:$S$15, 'Normative data'!$T$9:$T$15, "Not Found", -1)</f>
        <v>not completed</v>
      </c>
      <c r="CK1080" s="105">
        <v>2.2999999999999998</v>
      </c>
      <c r="CL1080" s="105">
        <v>4.3499999999999996</v>
      </c>
      <c r="CM1080" s="105"/>
      <c r="CN1080" s="105">
        <v>6.97</v>
      </c>
      <c r="CO1080" s="105">
        <v>7.17</v>
      </c>
      <c r="CP1080" s="109"/>
      <c r="CQ1080" s="68"/>
      <c r="CR1080" s="20" t="str" cm="1">
        <f t="array" ref="CR1080">IF(OR(ISBLANK(E1080),ISBLANK(CQ1080)),"Incomplete",_xlfn.XLOOKUP(CQ1080,_xlfn.XLOOKUP(E1080,'Normative data'!$Y$3:$Y$6,'Normative data'!$Z$3:$AG$6,,-1),'Normative data'!$Z$2:$AG$2,"Not Found",-1))</f>
        <v>Incomplete</v>
      </c>
      <c r="CS1080" s="68"/>
      <c r="CT1080" s="66"/>
      <c r="CU1080" s="20" t="str" cm="1">
        <f t="array" ref="CU1080">_xlfn.XLOOKUP(CS1080&amp;CT1080,(VLOOKUP!$A$3:$A$250)&amp;(VLOOKUP!$B$3:$B$250),VLOOKUP!$C$3:$C$250,"Incomplete",-1)</f>
        <v>Incomplete</v>
      </c>
      <c r="CV1080" s="20" t="str" cm="1">
        <f t="array" ref="CV1080">_xlfn.XLOOKUP(CU1080, _xlfn.XLOOKUP(E1080, 'Normative data'!$Y$11:$Y$14, 'Normative data'!$Z$11:$AG$14, ,-1), 'Normative data'!$Z$10:$AG$10, "Not Found", -1)</f>
        <v>Excellent</v>
      </c>
      <c r="CW1080" s="20" t="str" cm="1">
        <f t="array" ref="CW1080">IF(OR(ISBLANK(CS1080),ISBLANK(CT1080)),"Incomplete",_xlfn.XLOOKUP(CS1080&amp;CT1080,VLOOKUP!$A$4:$A$250&amp;VLOOKUP!$B$4:$B$250,VLOOKUP!$D$4:$D$250,"0"))</f>
        <v>Incomplete</v>
      </c>
    </row>
    <row r="1081" spans="1:101">
      <c r="A1081" s="64" t="s">
        <v>1114</v>
      </c>
      <c r="B1081" s="64" t="s">
        <v>1113</v>
      </c>
      <c r="C1081" s="64" t="s">
        <v>86</v>
      </c>
      <c r="D1081" s="65">
        <v>39999</v>
      </c>
      <c r="E1081" s="64"/>
      <c r="F1081" s="64">
        <v>10</v>
      </c>
      <c r="G1081" s="64">
        <v>2025</v>
      </c>
      <c r="H1081" s="66"/>
      <c r="I1081" s="64"/>
      <c r="J1081" s="64"/>
      <c r="K1081" s="64"/>
      <c r="L1081" s="64"/>
      <c r="M1081" s="64"/>
      <c r="N1081" s="64"/>
      <c r="O1081" s="64"/>
      <c r="P1081" s="64"/>
      <c r="Q1081" s="64"/>
      <c r="R1081" s="64"/>
      <c r="S1081" s="66"/>
      <c r="T1081" s="66"/>
      <c r="U1081" s="66"/>
      <c r="V1081" s="66"/>
      <c r="W1081" s="66"/>
      <c r="X1081" s="66"/>
      <c r="Y1081" s="66"/>
      <c r="Z1081" s="66"/>
      <c r="AA1081" s="66"/>
      <c r="AB1081" s="66"/>
      <c r="AC1081" s="66"/>
      <c r="AD1081" s="66"/>
      <c r="AE1081" s="66"/>
      <c r="AF1081" s="66"/>
      <c r="AG1081" s="66"/>
      <c r="AH1081" s="66"/>
      <c r="AI1081" s="66"/>
      <c r="AJ1081" s="66"/>
      <c r="AK1081" s="66"/>
      <c r="AL1081" s="66"/>
      <c r="AM1081" s="66"/>
      <c r="AN1081" s="66"/>
      <c r="AO1081" s="66"/>
      <c r="AP1081" s="66"/>
      <c r="AQ1081" s="66"/>
      <c r="AR1081" s="66"/>
      <c r="AS1081" s="66"/>
      <c r="AT1081" s="66"/>
      <c r="AU1081" s="66"/>
      <c r="AV1081" s="66"/>
      <c r="AW1081" s="66"/>
      <c r="AX1081" s="66"/>
      <c r="AY1081" s="41" t="str">
        <f t="shared" si="330"/>
        <v>Incomplete</v>
      </c>
      <c r="AZ1081" s="66"/>
      <c r="BA1081" s="20" t="str">
        <f t="shared" si="331"/>
        <v>Incomplete</v>
      </c>
      <c r="BB1081" s="66"/>
      <c r="BC1081" s="20" t="str">
        <f t="shared" si="332"/>
        <v>Incomplete</v>
      </c>
      <c r="BD1081" s="66"/>
      <c r="BE1081" s="20" t="str">
        <f t="shared" si="333"/>
        <v>Incomplete</v>
      </c>
      <c r="BF1081" s="66"/>
      <c r="BG1081" s="66"/>
      <c r="BH1081" s="66"/>
      <c r="BI1081" s="20" t="str">
        <f t="shared" ref="BI1081:BI1093" si="336">IF(OR(ISBLANK(BG1081), ISBLANK(BH1081)),"Incomplete",(SUM(BH1081-BG1081)))</f>
        <v>Incomplete</v>
      </c>
      <c r="BJ1081" s="66"/>
      <c r="BK1081" s="66"/>
      <c r="BL1081" s="66"/>
      <c r="BM1081" s="66"/>
      <c r="BN1081" s="66"/>
      <c r="BO1081" s="66"/>
      <c r="BP1081" s="66"/>
      <c r="BQ1081" s="66"/>
      <c r="BR1081" s="66"/>
      <c r="BS1081" s="66"/>
      <c r="BT1081" s="66"/>
      <c r="BU1081" s="66"/>
      <c r="BV1081" s="66"/>
      <c r="BW1081" s="91" t="str">
        <f t="shared" si="334"/>
        <v>Incomplete</v>
      </c>
      <c r="BX1081" s="91" t="str">
        <f>_xlfn.XLOOKUP(BW1081,'Normative data'!$V$3:$V$6,'Normative data'!$W$3:$W$6,"Not Found",-1)</f>
        <v>Very low risk</v>
      </c>
      <c r="BY1081" s="91" t="str">
        <f t="shared" si="335"/>
        <v>Incomplete</v>
      </c>
      <c r="BZ1081" s="91" t="str">
        <f>_xlfn.XLOOKUP(BY1081,'Normative data'!$V$3:$V$6,'Normative data'!$W$3:$W$6,"Not Found",-1)</f>
        <v>Very low risk</v>
      </c>
      <c r="CA1081" s="66"/>
      <c r="CB1081" s="66"/>
      <c r="CC1081" s="66"/>
      <c r="CD1081" s="66"/>
      <c r="CE1081" s="66"/>
      <c r="CF1081" s="66"/>
      <c r="CG1081" s="66"/>
      <c r="CH1081" s="20" t="str">
        <f>_xlfn.XLOOKUP(CG1081, 'Normative data'!$S$9:$S$15,'Normative data'!$T$9:$T$15, "Not Found", -1)</f>
        <v>not completed</v>
      </c>
      <c r="CI1081" s="66"/>
      <c r="CJ1081" s="20" t="str">
        <f>_xlfn.XLOOKUP(CI1081, 'Normative data'!$S$9:$S$15, 'Normative data'!$T$9:$T$15, "Not Found", -1)</f>
        <v>not completed</v>
      </c>
      <c r="CK1081" s="20" t="s">
        <v>1112</v>
      </c>
      <c r="CL1081" s="20" t="s">
        <v>998</v>
      </c>
      <c r="CN1081" s="20" t="s">
        <v>785</v>
      </c>
      <c r="CO1081" s="20" t="s">
        <v>305</v>
      </c>
      <c r="CP1081" s="68"/>
      <c r="CQ1081" s="68"/>
      <c r="CR1081" s="20" t="str" cm="1">
        <f t="array" ref="CR1081">IF(OR(ISBLANK(E1081),ISBLANK(CQ1081)),"Incomplete",_xlfn.XLOOKUP(CQ1081,_xlfn.XLOOKUP(E1081,'Normative data'!$Y$3:$Y$6,'Normative data'!$Z$3:$AG$6,,-1),'Normative data'!$Z$2:$AG$2,"Not Found",-1))</f>
        <v>Incomplete</v>
      </c>
      <c r="CS1081" s="68"/>
      <c r="CT1081" s="66"/>
      <c r="CU1081" s="20" t="str" cm="1">
        <f t="array" ref="CU1081">_xlfn.XLOOKUP(CS1081&amp;CT1081,(VLOOKUP!$A$3:$A$250)&amp;(VLOOKUP!$B$3:$B$250),VLOOKUP!$C$3:$C$250,"Incomplete",-1)</f>
        <v>Incomplete</v>
      </c>
      <c r="CV1081" s="20" t="str" cm="1">
        <f t="array" ref="CV1081">_xlfn.XLOOKUP(CU1081, _xlfn.XLOOKUP(E1081, 'Normative data'!$Y$11:$Y$14, 'Normative data'!$Z$11:$AG$14, ,-1), 'Normative data'!$Z$10:$AG$10, "Not Found", -1)</f>
        <v>Excellent</v>
      </c>
      <c r="CW1081" s="20" t="str" cm="1">
        <f t="array" ref="CW1081">IF(OR(ISBLANK(CS1081),ISBLANK(CT1081)),"Incomplete",_xlfn.XLOOKUP(CS1081&amp;CT1081,VLOOKUP!$A$4:$A$250&amp;VLOOKUP!$B$4:$B$250,VLOOKUP!$D$4:$D$250,"0"))</f>
        <v>Incomplete</v>
      </c>
    </row>
    <row r="1082" spans="1:101">
      <c r="A1082" s="64" t="s">
        <v>406</v>
      </c>
      <c r="B1082" s="64" t="s">
        <v>405</v>
      </c>
      <c r="C1082" s="64" t="s">
        <v>86</v>
      </c>
      <c r="D1082" s="65"/>
      <c r="E1082" s="64"/>
      <c r="F1082" s="66" t="s">
        <v>104</v>
      </c>
      <c r="G1082" s="64">
        <v>2026</v>
      </c>
      <c r="H1082" s="66"/>
      <c r="I1082" s="66">
        <v>2</v>
      </c>
      <c r="J1082" s="66"/>
      <c r="K1082" s="66"/>
      <c r="L1082" s="66"/>
      <c r="M1082" s="64"/>
      <c r="N1082" s="64"/>
      <c r="O1082" s="64"/>
      <c r="P1082" s="64"/>
      <c r="Q1082" s="64"/>
      <c r="R1082" s="64"/>
      <c r="S1082" s="66">
        <v>83.7</v>
      </c>
      <c r="T1082" s="66">
        <v>162.80000000000001</v>
      </c>
      <c r="U1082" s="64"/>
      <c r="V1082" s="64"/>
      <c r="W1082" s="64"/>
      <c r="X1082" s="64"/>
      <c r="Y1082" s="64"/>
      <c r="Z1082" s="64"/>
      <c r="AA1082" s="64"/>
      <c r="AB1082" s="64"/>
      <c r="AC1082" s="64"/>
      <c r="AD1082" s="64"/>
      <c r="AE1082" s="64"/>
      <c r="AF1082" s="64"/>
      <c r="AG1082" s="64"/>
      <c r="AH1082" s="64"/>
      <c r="AI1082" s="64"/>
      <c r="AJ1082" s="64"/>
      <c r="AK1082" s="64"/>
      <c r="AL1082" s="64"/>
      <c r="AM1082" s="64"/>
      <c r="AN1082" s="64"/>
      <c r="AO1082" s="64"/>
      <c r="AP1082" s="64"/>
      <c r="AQ1082" s="66"/>
      <c r="AR1082" s="66"/>
      <c r="AS1082" s="66"/>
      <c r="AT1082" s="66"/>
      <c r="AU1082" s="66"/>
      <c r="AV1082" s="66"/>
      <c r="AW1082" s="66"/>
      <c r="AX1082" s="66"/>
      <c r="AY1082" s="41" t="str">
        <f t="shared" si="330"/>
        <v>Incomplete</v>
      </c>
      <c r="AZ1082" s="64"/>
      <c r="BA1082" s="20" t="str">
        <f t="shared" si="331"/>
        <v>Incomplete</v>
      </c>
      <c r="BB1082" s="64"/>
      <c r="BC1082" s="20" t="str">
        <f t="shared" si="332"/>
        <v>Incomplete</v>
      </c>
      <c r="BD1082" s="64"/>
      <c r="BE1082" s="20" t="str">
        <f t="shared" si="333"/>
        <v>Incomplete</v>
      </c>
      <c r="BF1082" s="64"/>
      <c r="BG1082" s="64">
        <v>12.9</v>
      </c>
      <c r="BH1082" s="64">
        <v>36.700000000000003</v>
      </c>
      <c r="BI1082" s="20">
        <f t="shared" si="336"/>
        <v>23.800000000000004</v>
      </c>
      <c r="BJ1082" s="66"/>
      <c r="BK1082" s="64"/>
      <c r="BL1082" s="66"/>
      <c r="BM1082" s="66"/>
      <c r="BN1082" s="66"/>
      <c r="BO1082" s="64"/>
      <c r="BP1082" s="64"/>
      <c r="BQ1082" s="64">
        <v>84</v>
      </c>
      <c r="BR1082" s="64">
        <v>97</v>
      </c>
      <c r="BS1082" s="64">
        <v>77</v>
      </c>
      <c r="BT1082" s="64">
        <v>80</v>
      </c>
      <c r="BU1082" s="64">
        <v>88</v>
      </c>
      <c r="BV1082" s="64">
        <v>85</v>
      </c>
      <c r="BW1082" s="91">
        <f t="shared" si="334"/>
        <v>108.72313527180783</v>
      </c>
      <c r="BX1082" s="91" t="str">
        <f>_xlfn.XLOOKUP(BW1082,'Normative data'!$V$3:$V$6,'Normative data'!$W$3:$W$6,"Not Found",-1)</f>
        <v>Low risk</v>
      </c>
      <c r="BY1082" s="91">
        <f t="shared" si="335"/>
        <v>106.61609776654024</v>
      </c>
      <c r="BZ1082" s="91" t="str">
        <f>_xlfn.XLOOKUP(BY1082,'Normative data'!$V$3:$V$6,'Normative data'!$W$3:$W$6,"Not Found",-1)</f>
        <v>Low risk</v>
      </c>
      <c r="CA1082" s="64">
        <v>24</v>
      </c>
      <c r="CB1082" s="66"/>
      <c r="CC1082" s="20"/>
      <c r="CD1082" s="66"/>
      <c r="CE1082" s="64">
        <v>4</v>
      </c>
      <c r="CF1082" s="66"/>
      <c r="CG1082" s="64">
        <v>18.760000000000002</v>
      </c>
      <c r="CH1082" s="20" t="str">
        <f>_xlfn.XLOOKUP(CG1082, 'Normative data'!$S$9:$S$15,'Normative data'!$T$9:$T$15, "Not Found", -1)</f>
        <v>Average</v>
      </c>
      <c r="CI1082" s="64">
        <v>18.96</v>
      </c>
      <c r="CJ1082" s="20" t="str">
        <f>_xlfn.XLOOKUP(CI1082, 'Normative data'!$S$9:$S$15, 'Normative data'!$T$9:$T$15, "Not Found", -1)</f>
        <v>Average</v>
      </c>
      <c r="CK1082" s="64">
        <v>2.11</v>
      </c>
      <c r="CL1082" s="64">
        <v>4.74</v>
      </c>
      <c r="CM1082" s="66"/>
      <c r="CN1082" s="64">
        <v>6.53</v>
      </c>
      <c r="CO1082" s="64">
        <v>7.66</v>
      </c>
      <c r="CP1082" s="68"/>
      <c r="CQ1082" s="67">
        <v>7.5</v>
      </c>
      <c r="CR1082" s="20" t="str" cm="1">
        <f t="array" ref="CR1082">IF(OR(ISBLANK(E1082),ISBLANK(CQ1082)),"Incomplete",_xlfn.XLOOKUP(CQ1082,_xlfn.XLOOKUP(E1082,'Normative data'!$Y$3:$Y$6,'Normative data'!$Z$3:$AG$6,,-1),'Normative data'!$Z$2:$AG$2,"Not Found",-1))</f>
        <v>Incomplete</v>
      </c>
      <c r="CS1082" s="68">
        <v>7</v>
      </c>
      <c r="CT1082" s="66">
        <v>5</v>
      </c>
      <c r="CU1082" s="20" cm="1">
        <f t="array" ref="CU1082">_xlfn.XLOOKUP(CS1082&amp;CT1082,(VLOOKUP!$A$3:$A$250)&amp;(VLOOKUP!$B$3:$B$250),VLOOKUP!$C$3:$C$250,"Incomplete",-1)</f>
        <v>1120</v>
      </c>
      <c r="CV1082" s="20" t="str" cm="1">
        <f t="array" ref="CV1082">_xlfn.XLOOKUP(CU1082, _xlfn.XLOOKUP(E1082, 'Normative data'!$Y$11:$Y$14, 'Normative data'!$Z$11:$AG$14, ,-1), 'Normative data'!$Z$10:$AG$10, "Not Found", -1)</f>
        <v>Average</v>
      </c>
      <c r="CW1082" s="20" cm="1">
        <f t="array" ref="CW1082">IF(OR(ISBLANK(CS1082),ISBLANK(CT1082)),"Incomplete",_xlfn.XLOOKUP(CS1082&amp;CT1082,VLOOKUP!$A$4:$A$250&amp;VLOOKUP!$B$4:$B$250,VLOOKUP!$D$4:$D$250,"0"))</f>
        <v>38</v>
      </c>
    </row>
    <row r="1083" spans="1:101">
      <c r="A1083" s="64" t="s">
        <v>1040</v>
      </c>
      <c r="B1083" s="64" t="s">
        <v>1740</v>
      </c>
      <c r="C1083" s="64" t="s">
        <v>86</v>
      </c>
      <c r="D1083" s="65">
        <v>41152</v>
      </c>
      <c r="E1083" s="64">
        <v>13.8</v>
      </c>
      <c r="F1083" s="66" t="s">
        <v>97</v>
      </c>
      <c r="G1083" s="64">
        <v>2026</v>
      </c>
      <c r="H1083" s="66"/>
      <c r="I1083" s="66">
        <v>2</v>
      </c>
      <c r="J1083" s="66" t="s">
        <v>100</v>
      </c>
      <c r="K1083" s="66" t="s">
        <v>108</v>
      </c>
      <c r="L1083" s="66"/>
      <c r="M1083" s="64"/>
      <c r="N1083" s="64"/>
      <c r="O1083" s="64"/>
      <c r="P1083" s="64"/>
      <c r="Q1083" s="64"/>
      <c r="R1083" s="64"/>
      <c r="S1083" s="66">
        <v>77</v>
      </c>
      <c r="T1083" s="66">
        <v>151.80000000000001</v>
      </c>
      <c r="U1083" s="64">
        <v>50.7</v>
      </c>
      <c r="V1083" s="64">
        <v>27.7</v>
      </c>
      <c r="W1083" s="64">
        <v>12.9</v>
      </c>
      <c r="X1083" s="64">
        <v>37.799999999999997</v>
      </c>
      <c r="Y1083" s="64">
        <v>20.7</v>
      </c>
      <c r="Z1083" s="64">
        <v>22</v>
      </c>
      <c r="AA1083" s="64">
        <v>25.4</v>
      </c>
      <c r="AB1083" s="64">
        <v>5.28</v>
      </c>
      <c r="AC1083" s="64">
        <v>100.3</v>
      </c>
      <c r="AD1083" s="64">
        <v>5.26</v>
      </c>
      <c r="AE1083" s="64">
        <v>99.8</v>
      </c>
      <c r="AF1083" s="64">
        <v>2</v>
      </c>
      <c r="AG1083" s="64">
        <v>121.4</v>
      </c>
      <c r="AH1083" s="64">
        <v>2</v>
      </c>
      <c r="AI1083" s="64">
        <v>121.1</v>
      </c>
      <c r="AJ1083" s="64">
        <v>330.7</v>
      </c>
      <c r="AK1083" s="64">
        <v>334.5</v>
      </c>
      <c r="AL1083" s="64">
        <v>289</v>
      </c>
      <c r="AM1083" s="64">
        <v>292.60000000000002</v>
      </c>
      <c r="AN1083" s="64">
        <v>84</v>
      </c>
      <c r="AO1083" s="64"/>
      <c r="AP1083" s="64"/>
      <c r="AQ1083" s="66"/>
      <c r="AR1083" s="66"/>
      <c r="AS1083" s="66"/>
      <c r="AT1083" s="66"/>
      <c r="AU1083" s="66"/>
      <c r="AV1083" s="66"/>
      <c r="AW1083" s="66"/>
      <c r="AX1083" s="66"/>
      <c r="AY1083" s="41" t="str">
        <f t="shared" si="330"/>
        <v>Incomplete</v>
      </c>
      <c r="AZ1083" s="64"/>
      <c r="BA1083" s="20" t="str">
        <f t="shared" si="331"/>
        <v>Incomplete</v>
      </c>
      <c r="BB1083" s="64"/>
      <c r="BC1083" s="20" t="str">
        <f t="shared" si="332"/>
        <v>Incomplete</v>
      </c>
      <c r="BD1083" s="64"/>
      <c r="BE1083" s="20" t="str">
        <f t="shared" si="333"/>
        <v>Incomplete</v>
      </c>
      <c r="BF1083" s="64"/>
      <c r="BG1083" s="64">
        <v>19</v>
      </c>
      <c r="BH1083" s="64">
        <v>51</v>
      </c>
      <c r="BI1083" s="20">
        <f t="shared" si="336"/>
        <v>32</v>
      </c>
      <c r="BJ1083" s="66"/>
      <c r="BK1083" s="64">
        <v>6</v>
      </c>
      <c r="BL1083" s="66"/>
      <c r="BM1083" s="64">
        <v>3</v>
      </c>
      <c r="BN1083" s="66"/>
      <c r="BO1083" s="64">
        <v>49</v>
      </c>
      <c r="BP1083" s="64">
        <v>48</v>
      </c>
      <c r="BQ1083" s="64">
        <v>84</v>
      </c>
      <c r="BR1083" s="64">
        <v>87</v>
      </c>
      <c r="BS1083" s="64">
        <v>67</v>
      </c>
      <c r="BT1083" s="64">
        <v>82</v>
      </c>
      <c r="BU1083" s="64">
        <v>78</v>
      </c>
      <c r="BV1083" s="64">
        <v>79</v>
      </c>
      <c r="BW1083" s="91">
        <f t="shared" si="334"/>
        <v>106.06060606060606</v>
      </c>
      <c r="BX1083" s="91" t="str">
        <f>_xlfn.XLOOKUP(BW1083,'Normative data'!$V$3:$V$6,'Normative data'!$W$3:$W$6,"Not Found",-1)</f>
        <v>Low risk</v>
      </c>
      <c r="BY1083" s="91">
        <f t="shared" si="335"/>
        <v>106.50623885918003</v>
      </c>
      <c r="BZ1083" s="91" t="str">
        <f>_xlfn.XLOOKUP(BY1083,'Normative data'!$V$3:$V$6,'Normative data'!$W$3:$W$6,"Not Found",-1)</f>
        <v>Low risk</v>
      </c>
      <c r="CA1083" s="64">
        <v>24</v>
      </c>
      <c r="CB1083" s="66"/>
      <c r="CC1083" s="20"/>
      <c r="CD1083" s="66"/>
      <c r="CE1083" s="64">
        <v>23</v>
      </c>
      <c r="CF1083" s="66"/>
      <c r="CG1083" s="64">
        <v>17.899999999999999</v>
      </c>
      <c r="CH1083" s="20" t="str">
        <f>_xlfn.XLOOKUP(CG1083, 'Normative data'!$S$9:$S$15,'Normative data'!$T$9:$T$15, "Not Found", -1)</f>
        <v>Above Average</v>
      </c>
      <c r="CI1083" s="64">
        <v>17.649999999999999</v>
      </c>
      <c r="CJ1083" s="20" t="str">
        <f>_xlfn.XLOOKUP(CI1083, 'Normative data'!$S$9:$S$15, 'Normative data'!$T$9:$T$15, "Not Found", -1)</f>
        <v>Above Average</v>
      </c>
      <c r="CK1083" s="64">
        <v>2.0099999999999998</v>
      </c>
      <c r="CL1083" s="64">
        <v>4.9800000000000004</v>
      </c>
      <c r="CM1083" s="66"/>
      <c r="CN1083" s="64">
        <v>6.54</v>
      </c>
      <c r="CO1083" s="64">
        <v>7.65</v>
      </c>
      <c r="CP1083" s="68"/>
      <c r="CQ1083" s="67"/>
      <c r="CR1083" s="20" t="str" cm="1">
        <f t="array" ref="CR1083">IF(OR(ISBLANK(E1083),ISBLANK(CQ1083)),"Incomplete",_xlfn.XLOOKUP(CQ1083,_xlfn.XLOOKUP(E1083,'Normative data'!$Y$3:$Y$6,'Normative data'!$Z$3:$AG$6,,-1),'Normative data'!$Z$2:$AG$2,"Not Found",-1))</f>
        <v>Incomplete</v>
      </c>
      <c r="CS1083" s="68"/>
      <c r="CT1083" s="66"/>
      <c r="CU1083" s="20" t="str" cm="1">
        <f t="array" ref="CU1083">_xlfn.XLOOKUP(CS1083&amp;CT1083,(VLOOKUP!$A$3:$A$250)&amp;(VLOOKUP!$B$3:$B$250),VLOOKUP!$C$3:$C$250,"Incomplete",-1)</f>
        <v>Incomplete</v>
      </c>
      <c r="CV1083" s="20" t="str" cm="1">
        <f t="array" ref="CV1083">_xlfn.XLOOKUP(CU1083, _xlfn.XLOOKUP(E1083, 'Normative data'!$Y$11:$Y$14, 'Normative data'!$Z$11:$AG$14, ,-1), 'Normative data'!$Z$10:$AG$10, "Not Found", -1)</f>
        <v>Excellent</v>
      </c>
      <c r="CW1083" s="20" t="str" cm="1">
        <f t="array" ref="CW1083">IF(OR(ISBLANK(CS1083),ISBLANK(CT1083)),"Incomplete",_xlfn.XLOOKUP(CS1083&amp;CT1083,VLOOKUP!$A$4:$A$250&amp;VLOOKUP!$B$4:$B$250,VLOOKUP!$D$4:$D$250,"0"))</f>
        <v>Incomplete</v>
      </c>
    </row>
    <row r="1084" spans="1:101">
      <c r="A1084" s="64" t="s">
        <v>1019</v>
      </c>
      <c r="B1084" s="64" t="s">
        <v>1741</v>
      </c>
      <c r="C1084" s="64" t="s">
        <v>86</v>
      </c>
      <c r="D1084" s="65"/>
      <c r="E1084" s="64"/>
      <c r="F1084" s="66" t="s">
        <v>110</v>
      </c>
      <c r="G1084" s="64">
        <v>2026</v>
      </c>
      <c r="H1084" s="66"/>
      <c r="I1084" s="66">
        <v>2</v>
      </c>
      <c r="J1084" s="66" t="s">
        <v>122</v>
      </c>
      <c r="K1084" s="66" t="s">
        <v>228</v>
      </c>
      <c r="L1084" s="66"/>
      <c r="M1084" s="64"/>
      <c r="N1084" s="64"/>
      <c r="O1084" s="64"/>
      <c r="P1084" s="64"/>
      <c r="Q1084" s="64"/>
      <c r="R1084" s="64"/>
      <c r="S1084" s="66">
        <v>86.4</v>
      </c>
      <c r="T1084" s="66">
        <v>164.6</v>
      </c>
      <c r="U1084" s="64"/>
      <c r="V1084" s="64"/>
      <c r="W1084" s="64"/>
      <c r="X1084" s="64"/>
      <c r="Y1084" s="64"/>
      <c r="Z1084" s="64"/>
      <c r="AA1084" s="64"/>
      <c r="AB1084" s="64"/>
      <c r="AC1084" s="64"/>
      <c r="AD1084" s="64"/>
      <c r="AE1084" s="64"/>
      <c r="AF1084" s="64"/>
      <c r="AG1084" s="64"/>
      <c r="AH1084" s="64"/>
      <c r="AI1084" s="64"/>
      <c r="AJ1084" s="64"/>
      <c r="AK1084" s="64"/>
      <c r="AL1084" s="64"/>
      <c r="AM1084" s="64"/>
      <c r="AN1084" s="64"/>
      <c r="AO1084" s="64"/>
      <c r="AP1084" s="64"/>
      <c r="AQ1084" s="64"/>
      <c r="AR1084" s="64"/>
      <c r="AS1084" s="64"/>
      <c r="AT1084" s="64"/>
      <c r="AU1084" s="64"/>
      <c r="AV1084" s="64"/>
      <c r="AW1084" s="64"/>
      <c r="AX1084" s="64"/>
      <c r="AY1084" s="41" t="str">
        <f t="shared" si="330"/>
        <v>Incomplete</v>
      </c>
      <c r="AZ1084" s="64"/>
      <c r="BA1084" s="20" t="str">
        <f t="shared" si="331"/>
        <v>Incomplete</v>
      </c>
      <c r="BB1084" s="64"/>
      <c r="BC1084" s="20" t="str">
        <f t="shared" si="332"/>
        <v>Incomplete</v>
      </c>
      <c r="BD1084" s="64"/>
      <c r="BE1084" s="20" t="str">
        <f t="shared" si="333"/>
        <v>Incomplete</v>
      </c>
      <c r="BF1084" s="64"/>
      <c r="BG1084" s="64">
        <v>9.1</v>
      </c>
      <c r="BH1084" s="64">
        <v>37.9</v>
      </c>
      <c r="BI1084" s="20">
        <f t="shared" si="336"/>
        <v>28.799999999999997</v>
      </c>
      <c r="BJ1084" s="66"/>
      <c r="BK1084" s="64"/>
      <c r="BL1084" s="66"/>
      <c r="BM1084" s="64"/>
      <c r="BN1084" s="66"/>
      <c r="BO1084" s="64"/>
      <c r="BP1084" s="64"/>
      <c r="BQ1084" s="64">
        <v>68</v>
      </c>
      <c r="BR1084" s="64">
        <v>81</v>
      </c>
      <c r="BS1084" s="64">
        <v>74</v>
      </c>
      <c r="BT1084" s="64">
        <v>68</v>
      </c>
      <c r="BU1084" s="64">
        <v>75</v>
      </c>
      <c r="BV1084" s="64">
        <v>72</v>
      </c>
      <c r="BW1084" s="91">
        <f t="shared" si="334"/>
        <v>95.05541346973574</v>
      </c>
      <c r="BX1084" s="91" t="str">
        <f>_xlfn.XLOOKUP(BW1084,'Normative data'!$V$3:$V$6,'Normative data'!$W$3:$W$6,"Not Found",-1)</f>
        <v>High risk</v>
      </c>
      <c r="BY1084" s="91">
        <f t="shared" si="335"/>
        <v>91.645353793691399</v>
      </c>
      <c r="BZ1084" s="91" t="str">
        <f>_xlfn.XLOOKUP(BY1084,'Normative data'!$V$3:$V$6,'Normative data'!$W$3:$W$6,"Not Found",-1)</f>
        <v>High risk</v>
      </c>
      <c r="CA1084" s="64"/>
      <c r="CB1084" s="66"/>
      <c r="CD1084" s="66"/>
      <c r="CE1084" s="64"/>
      <c r="CF1084" s="66"/>
      <c r="CG1084" s="64">
        <v>19.25</v>
      </c>
      <c r="CH1084" s="20" t="str">
        <f>_xlfn.XLOOKUP(CG1084, 'Normative data'!$S$9:$S$15,'Normative data'!$T$9:$T$15, "Not Found", -1)</f>
        <v>Average</v>
      </c>
      <c r="CI1084" s="64">
        <v>19.170000000000002</v>
      </c>
      <c r="CJ1084" s="20" t="str">
        <f>_xlfn.XLOOKUP(CI1084, 'Normative data'!$S$9:$S$15, 'Normative data'!$T$9:$T$15, "Not Found", -1)</f>
        <v>Average</v>
      </c>
      <c r="CK1084" s="105"/>
      <c r="CL1084" s="105"/>
      <c r="CM1084" s="105"/>
      <c r="CN1084" s="105"/>
      <c r="CO1084" s="105"/>
      <c r="CP1084" s="68"/>
      <c r="CQ1084" s="67"/>
      <c r="CR1084" s="20" t="str" cm="1">
        <f t="array" ref="CR1084">IF(OR(ISBLANK(E1084),ISBLANK(CQ1084)),"Incomplete",_xlfn.XLOOKUP(CQ1084,_xlfn.XLOOKUP(E1084,'Normative data'!$Y$3:$Y$6,'Normative data'!$Z$3:$AG$6,,-1),'Normative data'!$Z$2:$AG$2,"Not Found",-1))</f>
        <v>Incomplete</v>
      </c>
      <c r="CS1084" s="68"/>
      <c r="CT1084" s="66"/>
      <c r="CU1084" s="20" t="str" cm="1">
        <f t="array" ref="CU1084">_xlfn.XLOOKUP(CS1084&amp;CT1084,(VLOOKUP!$A$3:$A$250)&amp;(VLOOKUP!$B$3:$B$250),VLOOKUP!$C$3:$C$250,"Incomplete",-1)</f>
        <v>Incomplete</v>
      </c>
      <c r="CV1084" s="20" t="str" cm="1">
        <f t="array" ref="CV1084">_xlfn.XLOOKUP(CU1084, _xlfn.XLOOKUP(E1084, 'Normative data'!$Y$11:$Y$14, 'Normative data'!$Z$11:$AG$14, ,-1), 'Normative data'!$Z$10:$AG$10, "Not Found", -1)</f>
        <v>Excellent</v>
      </c>
      <c r="CW1084" s="20" t="str" cm="1">
        <f t="array" ref="CW1084">IF(OR(ISBLANK(CS1084),ISBLANK(CT1084)),"Incomplete",_xlfn.XLOOKUP(CS1084&amp;CT1084,VLOOKUP!$A$4:$A$250&amp;VLOOKUP!$B$4:$B$250,VLOOKUP!$D$4:$D$250,"0"))</f>
        <v>Incomplete</v>
      </c>
    </row>
    <row r="1085" spans="1:101">
      <c r="A1085" s="64" t="s">
        <v>252</v>
      </c>
      <c r="B1085" s="64" t="s">
        <v>686</v>
      </c>
      <c r="C1085" s="64" t="s">
        <v>86</v>
      </c>
      <c r="D1085" s="65"/>
      <c r="E1085" s="64"/>
      <c r="F1085" s="66" t="s">
        <v>192</v>
      </c>
      <c r="G1085" s="64">
        <v>2026</v>
      </c>
      <c r="H1085" s="66"/>
      <c r="I1085" s="66">
        <v>2</v>
      </c>
      <c r="J1085" s="66" t="s">
        <v>122</v>
      </c>
      <c r="K1085" s="66" t="s">
        <v>228</v>
      </c>
      <c r="L1085" s="66"/>
      <c r="M1085" s="64"/>
      <c r="N1085" s="64"/>
      <c r="O1085" s="64"/>
      <c r="P1085" s="64"/>
      <c r="Q1085" s="64"/>
      <c r="R1085" s="64"/>
      <c r="S1085" s="66">
        <v>78</v>
      </c>
      <c r="T1085" s="66">
        <v>155.30000000000001</v>
      </c>
      <c r="U1085" s="64"/>
      <c r="V1085" s="64"/>
      <c r="W1085" s="64"/>
      <c r="X1085" s="64"/>
      <c r="Y1085" s="64"/>
      <c r="Z1085" s="64"/>
      <c r="AA1085" s="64"/>
      <c r="AB1085" s="64"/>
      <c r="AC1085" s="64"/>
      <c r="AD1085" s="64"/>
      <c r="AE1085" s="64"/>
      <c r="AF1085" s="64"/>
      <c r="AG1085" s="64"/>
      <c r="AH1085" s="64"/>
      <c r="AI1085" s="64"/>
      <c r="AJ1085" s="64"/>
      <c r="AK1085" s="64"/>
      <c r="AL1085" s="64"/>
      <c r="AM1085" s="64"/>
      <c r="AN1085" s="64"/>
      <c r="AO1085" s="64"/>
      <c r="AP1085" s="64"/>
      <c r="AQ1085" s="66"/>
      <c r="AR1085" s="66"/>
      <c r="AS1085" s="66"/>
      <c r="AT1085" s="66"/>
      <c r="AU1085" s="66"/>
      <c r="AV1085" s="66"/>
      <c r="AW1085" s="66"/>
      <c r="AX1085" s="66"/>
      <c r="AY1085" s="41" t="str">
        <f t="shared" si="330"/>
        <v>Incomplete</v>
      </c>
      <c r="AZ1085" s="64"/>
      <c r="BA1085" s="20" t="str">
        <f t="shared" si="331"/>
        <v>Incomplete</v>
      </c>
      <c r="BB1085" s="64"/>
      <c r="BC1085" s="20" t="str">
        <f t="shared" si="332"/>
        <v>Incomplete</v>
      </c>
      <c r="BD1085" s="64"/>
      <c r="BE1085" s="20" t="str">
        <f t="shared" si="333"/>
        <v>Incomplete</v>
      </c>
      <c r="BF1085" s="64"/>
      <c r="BG1085" s="64">
        <v>6</v>
      </c>
      <c r="BH1085" s="17">
        <v>23</v>
      </c>
      <c r="BI1085" s="20">
        <f t="shared" si="336"/>
        <v>17</v>
      </c>
      <c r="BJ1085" s="66"/>
      <c r="BK1085" s="64">
        <v>8.5</v>
      </c>
      <c r="BL1085" s="66"/>
      <c r="BM1085" s="64">
        <v>8</v>
      </c>
      <c r="BN1085" s="66"/>
      <c r="BO1085" s="64">
        <v>49.5</v>
      </c>
      <c r="BP1085" s="64">
        <v>50</v>
      </c>
      <c r="BQ1085" s="64">
        <v>65.5</v>
      </c>
      <c r="BR1085" s="64">
        <v>69</v>
      </c>
      <c r="BS1085" s="64">
        <v>70</v>
      </c>
      <c r="BT1085" s="64">
        <v>66</v>
      </c>
      <c r="BU1085" s="64">
        <v>76</v>
      </c>
      <c r="BV1085" s="64">
        <v>72</v>
      </c>
      <c r="BW1085" s="91">
        <f t="shared" si="334"/>
        <v>88.184562311341082</v>
      </c>
      <c r="BX1085" s="91" t="str">
        <f>_xlfn.XLOOKUP(BW1085,'Normative data'!$V$3:$V$6,'Normative data'!$W$3:$W$6,"Not Found",-1)</f>
        <v>High risk</v>
      </c>
      <c r="BY1085" s="91">
        <f t="shared" si="335"/>
        <v>92.281155670547633</v>
      </c>
      <c r="BZ1085" s="91" t="str">
        <f>_xlfn.XLOOKUP(BY1085,'Normative data'!$V$3:$V$6,'Normative data'!$W$3:$W$6,"Not Found",-1)</f>
        <v>High risk</v>
      </c>
      <c r="CA1085" s="17">
        <v>30</v>
      </c>
      <c r="CB1085" s="66"/>
      <c r="CC1085" s="20"/>
      <c r="CD1085" s="66"/>
      <c r="CE1085" s="64">
        <v>19</v>
      </c>
      <c r="CF1085" s="66"/>
      <c r="CG1085" s="66"/>
      <c r="CH1085" s="20" t="str">
        <f>_xlfn.XLOOKUP(CG1085, 'Normative data'!$S$9:$S$15,'Normative data'!$T$9:$T$15, "Not Found", -1)</f>
        <v>not completed</v>
      </c>
      <c r="CI1085" s="66"/>
      <c r="CJ1085" s="20" t="str">
        <f>_xlfn.XLOOKUP(CI1085, 'Normative data'!$S$9:$S$15, 'Normative data'!$T$9:$T$15, "Not Found", -1)</f>
        <v>not completed</v>
      </c>
      <c r="CK1085" s="105"/>
      <c r="CL1085" s="105"/>
      <c r="CM1085" s="105"/>
      <c r="CN1085" s="105"/>
      <c r="CO1085" s="105"/>
      <c r="CP1085" s="68"/>
      <c r="CQ1085" s="67">
        <v>3.3</v>
      </c>
      <c r="CR1085" s="20" t="str" cm="1">
        <f t="array" ref="CR1085">IF(OR(ISBLANK(E1085),ISBLANK(CQ1085)),"Incomplete",_xlfn.XLOOKUP(CQ1085,_xlfn.XLOOKUP(E1085,'Normative data'!$Y$3:$Y$6,'Normative data'!$Z$3:$AG$6,,-1),'Normative data'!$Z$2:$AG$2,"Not Found",-1))</f>
        <v>Incomplete</v>
      </c>
      <c r="CS1085" s="68">
        <v>3</v>
      </c>
      <c r="CT1085" s="66">
        <v>3</v>
      </c>
      <c r="CU1085" s="20" cm="1">
        <f t="array" ref="CU1085">_xlfn.XLOOKUP(CS1085&amp;CT1085,(VLOOKUP!$A$3:$A$250)&amp;(VLOOKUP!$B$3:$B$250),VLOOKUP!$C$3:$C$250,"Incomplete",-1)</f>
        <v>360</v>
      </c>
      <c r="CV1085" s="20" t="str" cm="1">
        <f t="array" ref="CV1085">_xlfn.XLOOKUP(CU1085, _xlfn.XLOOKUP(E1085, 'Normative data'!$Y$11:$Y$14, 'Normative data'!$Z$11:$AG$14, ,-1), 'Normative data'!$Z$10:$AG$10, "Not Found", -1)</f>
        <v xml:space="preserve">Very poor </v>
      </c>
      <c r="CW1085" s="20" cm="1">
        <f t="array" ref="CW1085">IF(OR(ISBLANK(CS1085),ISBLANK(CT1085)),"Incomplete",_xlfn.XLOOKUP(CS1085&amp;CT1085,VLOOKUP!$A$4:$A$250&amp;VLOOKUP!$B$4:$B$250,VLOOKUP!$D$4:$D$250,"0"))</f>
        <v>24</v>
      </c>
    </row>
    <row r="1086" spans="1:101">
      <c r="A1086" s="64" t="s">
        <v>1470</v>
      </c>
      <c r="B1086" s="64" t="s">
        <v>1469</v>
      </c>
      <c r="C1086" s="64" t="s">
        <v>86</v>
      </c>
      <c r="D1086" s="65">
        <v>39841</v>
      </c>
      <c r="E1086" s="64">
        <v>17.399999999999999</v>
      </c>
      <c r="F1086" s="66" t="s">
        <v>181</v>
      </c>
      <c r="G1086" s="64">
        <v>2026</v>
      </c>
      <c r="H1086" s="66"/>
      <c r="I1086" s="66">
        <v>2</v>
      </c>
      <c r="J1086" s="66" t="s">
        <v>1062</v>
      </c>
      <c r="K1086" s="66" t="s">
        <v>95</v>
      </c>
      <c r="L1086" s="66"/>
      <c r="M1086" s="64"/>
      <c r="N1086" s="64"/>
      <c r="O1086" s="64"/>
      <c r="P1086" s="64"/>
      <c r="Q1086" s="64"/>
      <c r="R1086" s="64"/>
      <c r="S1086" s="66">
        <v>81.099999999999994</v>
      </c>
      <c r="T1086" s="66">
        <v>160.19999999999999</v>
      </c>
      <c r="U1086" s="64">
        <v>67.5</v>
      </c>
      <c r="V1086" s="64">
        <v>33.4</v>
      </c>
      <c r="W1086" s="64">
        <v>21.7</v>
      </c>
      <c r="X1086" s="64">
        <v>45.8</v>
      </c>
      <c r="Y1086" s="64">
        <v>25.2</v>
      </c>
      <c r="Z1086" s="64">
        <v>26.3</v>
      </c>
      <c r="AA1086" s="64">
        <v>32.1</v>
      </c>
      <c r="AB1086" s="64">
        <v>6.5</v>
      </c>
      <c r="AC1086" s="64">
        <v>100.4</v>
      </c>
      <c r="AD1086" s="64">
        <v>6.46</v>
      </c>
      <c r="AE1086" s="64">
        <v>99.9</v>
      </c>
      <c r="AF1086" s="64">
        <v>3.2</v>
      </c>
      <c r="AG1086" s="64">
        <v>146.1</v>
      </c>
      <c r="AH1086" s="64">
        <v>3.2</v>
      </c>
      <c r="AI1086" s="64">
        <v>145</v>
      </c>
      <c r="AJ1086" s="64">
        <v>288</v>
      </c>
      <c r="AK1086" s="64">
        <v>289.2</v>
      </c>
      <c r="AL1086" s="64">
        <v>253.5</v>
      </c>
      <c r="AM1086" s="64">
        <v>256.2</v>
      </c>
      <c r="AN1086" s="64">
        <v>76</v>
      </c>
      <c r="AO1086" s="64"/>
      <c r="AP1086" s="64"/>
      <c r="AQ1086" s="64">
        <v>21</v>
      </c>
      <c r="AR1086" s="64">
        <v>0.41399999999999998</v>
      </c>
      <c r="AS1086" s="64">
        <v>24.9</v>
      </c>
      <c r="AT1086" s="64">
        <v>0.45100000000000001</v>
      </c>
      <c r="AU1086" s="64">
        <v>11.8</v>
      </c>
      <c r="AV1086" s="64">
        <v>0.31</v>
      </c>
      <c r="AW1086" s="64">
        <v>14</v>
      </c>
      <c r="AX1086" s="64">
        <v>0.33800000000000002</v>
      </c>
      <c r="AY1086" s="41">
        <f t="shared" si="330"/>
        <v>2277.4499999999998</v>
      </c>
      <c r="AZ1086" s="64"/>
      <c r="BA1086" s="20">
        <f t="shared" si="331"/>
        <v>2514.1800000000003</v>
      </c>
      <c r="BB1086" s="64"/>
      <c r="BC1086" s="20">
        <f t="shared" si="332"/>
        <v>1719.0100000000002</v>
      </c>
      <c r="BD1086" s="64"/>
      <c r="BE1086" s="20">
        <f t="shared" si="333"/>
        <v>1852.5500000000002</v>
      </c>
      <c r="BF1086" s="64"/>
      <c r="BG1086" s="64"/>
      <c r="BH1086" s="66"/>
      <c r="BI1086" s="20" t="str">
        <f t="shared" si="336"/>
        <v>Incomplete</v>
      </c>
      <c r="BJ1086" s="66"/>
      <c r="BK1086" s="64"/>
      <c r="BL1086" s="66"/>
      <c r="BM1086" s="66"/>
      <c r="BN1086" s="66"/>
      <c r="BO1086" s="64">
        <v>47</v>
      </c>
      <c r="BP1086" s="64">
        <v>49.8</v>
      </c>
      <c r="BQ1086" s="64"/>
      <c r="BR1086" s="64"/>
      <c r="BS1086" s="64"/>
      <c r="BT1086" s="64"/>
      <c r="BU1086" s="64"/>
      <c r="BV1086" s="64"/>
      <c r="BW1086" s="91">
        <f t="shared" si="334"/>
        <v>0</v>
      </c>
      <c r="BX1086" s="91" t="str">
        <f>_xlfn.XLOOKUP(BW1086,'Normative data'!$V$3:$V$6,'Normative data'!$W$3:$W$6,"Not Found",-1)</f>
        <v>Not completed</v>
      </c>
      <c r="BY1086" s="91">
        <f t="shared" si="335"/>
        <v>0</v>
      </c>
      <c r="BZ1086" s="91" t="str">
        <f>_xlfn.XLOOKUP(BY1086,'Normative data'!$V$3:$V$6,'Normative data'!$W$3:$W$6,"Not Found",-1)</f>
        <v>Not completed</v>
      </c>
      <c r="CA1086" s="17">
        <v>36</v>
      </c>
      <c r="CB1086" s="66"/>
      <c r="CC1086" s="20"/>
      <c r="CD1086" s="66"/>
      <c r="CE1086" s="64">
        <v>15</v>
      </c>
      <c r="CF1086" s="66"/>
      <c r="CG1086" s="66"/>
      <c r="CH1086" s="20" t="str">
        <f>_xlfn.XLOOKUP(CG1086, 'Normative data'!$S$9:$S$15,'Normative data'!$T$9:$T$15, "Not Found", -1)</f>
        <v>not completed</v>
      </c>
      <c r="CI1086" s="66"/>
      <c r="CJ1086" s="20" t="str">
        <f>_xlfn.XLOOKUP(CI1086, 'Normative data'!$S$9:$S$15, 'Normative data'!$T$9:$T$15, "Not Found", -1)</f>
        <v>not completed</v>
      </c>
      <c r="CK1086" s="64">
        <v>2.29</v>
      </c>
      <c r="CL1086" s="64">
        <v>4.37</v>
      </c>
      <c r="CM1086" s="66"/>
      <c r="CN1086" s="64">
        <v>6.68</v>
      </c>
      <c r="CO1086" s="64">
        <v>7.49</v>
      </c>
      <c r="CP1086" s="68"/>
      <c r="CQ1086" s="67">
        <v>6.3</v>
      </c>
      <c r="CR1086" s="20" t="str" cm="1">
        <f t="array" ref="CR1086">IF(OR(ISBLANK(E1086),ISBLANK(CQ1086)),"Incomplete",_xlfn.XLOOKUP(CQ1086,_xlfn.XLOOKUP(E1086,'Normative data'!$Y$3:$Y$6,'Normative data'!$Z$3:$AG$6,,-1),'Normative data'!$Z$2:$AG$2,"Not Found",-1))</f>
        <v>Fair</v>
      </c>
      <c r="CS1086" s="68">
        <v>6</v>
      </c>
      <c r="CT1086" s="66">
        <v>3</v>
      </c>
      <c r="CU1086" s="20" cm="1">
        <f t="array" ref="CU1086">_xlfn.XLOOKUP(CS1086&amp;CT1086,(VLOOKUP!$A$3:$A$250)&amp;(VLOOKUP!$B$3:$B$250),VLOOKUP!$C$3:$C$250,"Incomplete",-1)</f>
        <v>880</v>
      </c>
      <c r="CV1086" s="20" t="str" cm="1">
        <f t="array" ref="CV1086">_xlfn.XLOOKUP(CU1086, _xlfn.XLOOKUP(E1086, 'Normative data'!$Y$11:$Y$14, 'Normative data'!$Z$11:$AG$14, ,-1), 'Normative data'!$Z$10:$AG$10, "Not Found", -1)</f>
        <v xml:space="preserve">Fair </v>
      </c>
      <c r="CW1086" s="20" cm="1">
        <f t="array" ref="CW1086">IF(OR(ISBLANK(CS1086),ISBLANK(CT1086)),"Incomplete",_xlfn.XLOOKUP(CS1086&amp;CT1086,VLOOKUP!$A$4:$A$250&amp;VLOOKUP!$B$4:$B$250,VLOOKUP!$D$4:$D$250,"0"))</f>
        <v>34</v>
      </c>
    </row>
    <row r="1087" spans="1:101">
      <c r="A1087" s="64" t="s">
        <v>1742</v>
      </c>
      <c r="B1087" s="64" t="s">
        <v>1743</v>
      </c>
      <c r="C1087" s="64" t="s">
        <v>86</v>
      </c>
      <c r="D1087" s="65" t="s">
        <v>1744</v>
      </c>
      <c r="E1087" s="64">
        <v>17.100000000000001</v>
      </c>
      <c r="F1087" s="66" t="s">
        <v>110</v>
      </c>
      <c r="G1087" s="64">
        <v>2026</v>
      </c>
      <c r="H1087" s="66"/>
      <c r="I1087" s="66">
        <v>2</v>
      </c>
      <c r="J1087" s="66" t="s">
        <v>88</v>
      </c>
      <c r="K1087" s="66" t="s">
        <v>95</v>
      </c>
      <c r="L1087" s="66"/>
      <c r="M1087" s="64"/>
      <c r="N1087" s="64"/>
      <c r="O1087" s="64"/>
      <c r="P1087" s="64"/>
      <c r="Q1087" s="64"/>
      <c r="R1087" s="64"/>
      <c r="S1087" s="66">
        <v>87.7</v>
      </c>
      <c r="T1087" s="66">
        <v>167.2</v>
      </c>
      <c r="U1087" s="64">
        <v>58.4</v>
      </c>
      <c r="V1087" s="64">
        <v>33.799999999999997</v>
      </c>
      <c r="W1087" s="64">
        <v>12.2</v>
      </c>
      <c r="X1087" s="64">
        <v>46.2</v>
      </c>
      <c r="Y1087" s="64">
        <v>25.7</v>
      </c>
      <c r="Z1087" s="64">
        <v>20.9</v>
      </c>
      <c r="AA1087" s="64">
        <v>20.9</v>
      </c>
      <c r="AB1087" s="64">
        <v>7.16</v>
      </c>
      <c r="AC1087" s="64">
        <v>106</v>
      </c>
      <c r="AD1087" s="64">
        <v>7.03</v>
      </c>
      <c r="AE1087" s="64">
        <v>104.2</v>
      </c>
      <c r="AF1087" s="64">
        <v>1.9</v>
      </c>
      <c r="AG1087" s="64">
        <v>75.5</v>
      </c>
      <c r="AH1087" s="64">
        <v>1.9</v>
      </c>
      <c r="AI1087" s="64">
        <v>74.900000000000006</v>
      </c>
      <c r="AJ1087" s="64">
        <v>325.10000000000002</v>
      </c>
      <c r="AK1087" s="64">
        <v>338.9</v>
      </c>
      <c r="AL1087" s="64">
        <v>282.3</v>
      </c>
      <c r="AM1087" s="64">
        <v>294.8</v>
      </c>
      <c r="AN1087" s="64">
        <v>108</v>
      </c>
      <c r="AO1087" s="64">
        <v>0.85</v>
      </c>
      <c r="AP1087" s="64">
        <v>6.7</v>
      </c>
      <c r="AQ1087" s="64"/>
      <c r="AR1087" s="64"/>
      <c r="AS1087" s="64"/>
      <c r="AT1087" s="64"/>
      <c r="AU1087" s="64"/>
      <c r="AV1087" s="64"/>
      <c r="AW1087" s="64"/>
      <c r="AX1087" s="64"/>
      <c r="AY1087" s="41" t="str">
        <f t="shared" si="330"/>
        <v>Incomplete</v>
      </c>
      <c r="AZ1087" s="64"/>
      <c r="BA1087" s="20" t="str">
        <f t="shared" si="331"/>
        <v>Incomplete</v>
      </c>
      <c r="BB1087" s="64"/>
      <c r="BC1087" s="20" t="str">
        <f t="shared" si="332"/>
        <v>Incomplete</v>
      </c>
      <c r="BD1087" s="64"/>
      <c r="BE1087" s="20" t="str">
        <f t="shared" si="333"/>
        <v>Incomplete</v>
      </c>
      <c r="BF1087" s="64"/>
      <c r="BG1087" s="64">
        <v>10.1</v>
      </c>
      <c r="BH1087" s="64">
        <v>49.7</v>
      </c>
      <c r="BI1087" s="20">
        <f t="shared" si="336"/>
        <v>39.6</v>
      </c>
      <c r="BJ1087" s="66"/>
      <c r="BK1087" s="64"/>
      <c r="BL1087" s="66"/>
      <c r="BN1087" s="66"/>
      <c r="BO1087" s="64">
        <v>46</v>
      </c>
      <c r="BP1087" s="64">
        <v>45.5</v>
      </c>
      <c r="BQ1087" s="64">
        <v>64</v>
      </c>
      <c r="BR1087" s="64">
        <v>82</v>
      </c>
      <c r="BS1087" s="64">
        <v>76</v>
      </c>
      <c r="BT1087" s="64">
        <v>72</v>
      </c>
      <c r="BU1087" s="64">
        <v>80</v>
      </c>
      <c r="BV1087" s="64">
        <v>82</v>
      </c>
      <c r="BW1087" s="91">
        <f t="shared" si="334"/>
        <v>93.081761006289327</v>
      </c>
      <c r="BX1087" s="91" t="str">
        <f>_xlfn.XLOOKUP(BW1087,'Normative data'!$V$3:$V$6,'Normative data'!$W$3:$W$6,"Not Found",-1)</f>
        <v>High risk</v>
      </c>
      <c r="BY1087" s="91">
        <f t="shared" si="335"/>
        <v>98.113207547169836</v>
      </c>
      <c r="BZ1087" s="91" t="str">
        <f>_xlfn.XLOOKUP(BY1087,'Normative data'!$V$3:$V$6,'Normative data'!$W$3:$W$6,"Not Found",-1)</f>
        <v>Low risk</v>
      </c>
      <c r="CA1087" s="64">
        <v>29</v>
      </c>
      <c r="CB1087" s="66"/>
      <c r="CC1087" s="66"/>
      <c r="CD1087" s="66"/>
      <c r="CE1087" s="64">
        <v>13</v>
      </c>
      <c r="CF1087" s="66"/>
      <c r="CG1087" s="64">
        <v>17.3</v>
      </c>
      <c r="CH1087" s="20" t="str">
        <f>_xlfn.XLOOKUP(CG1087, 'Normative data'!$S$9:$S$15,'Normative data'!$T$9:$T$15, "Not Found", -1)</f>
        <v>Above Average</v>
      </c>
      <c r="CI1087" s="64">
        <v>17.670000000000002</v>
      </c>
      <c r="CJ1087" s="20" t="str">
        <f>_xlfn.XLOOKUP(CI1087, 'Normative data'!$S$9:$S$15, 'Normative data'!$T$9:$T$15, "Not Found", -1)</f>
        <v>Above Average</v>
      </c>
      <c r="CK1087" s="105"/>
      <c r="CL1087" s="105"/>
      <c r="CM1087" s="105"/>
      <c r="CN1087" s="105"/>
      <c r="CO1087" s="105"/>
      <c r="CP1087" s="68"/>
      <c r="CQ1087" s="67"/>
      <c r="CR1087" s="20" t="str" cm="1">
        <f t="array" ref="CR1087">IF(OR(ISBLANK(E1087),ISBLANK(CQ1087)),"Incomplete",_xlfn.XLOOKUP(CQ1087,_xlfn.XLOOKUP(E1087,'Normative data'!$Y$3:$Y$6,'Normative data'!$Z$3:$AG$6,,-1),'Normative data'!$Z$2:$AG$2,"Not Found",-1))</f>
        <v>Incomplete</v>
      </c>
      <c r="CS1087" s="68"/>
      <c r="CT1087" s="66"/>
      <c r="CU1087" s="20" t="str" cm="1">
        <f t="array" ref="CU1087">_xlfn.XLOOKUP(CS1087&amp;CT1087,(VLOOKUP!$A$3:$A$250)&amp;(VLOOKUP!$B$3:$B$250),VLOOKUP!$C$3:$C$250,"Incomplete",-1)</f>
        <v>Incomplete</v>
      </c>
      <c r="CV1087" s="20" t="str" cm="1">
        <f t="array" ref="CV1087">_xlfn.XLOOKUP(CU1087, _xlfn.XLOOKUP(E1087, 'Normative data'!$Y$11:$Y$14, 'Normative data'!$Z$11:$AG$14, ,-1), 'Normative data'!$Z$10:$AG$10, "Not Found", -1)</f>
        <v>Excellent</v>
      </c>
      <c r="CW1087" s="20" t="str" cm="1">
        <f t="array" ref="CW1087">IF(OR(ISBLANK(CS1087),ISBLANK(CT1087)),"Incomplete",_xlfn.XLOOKUP(CS1087&amp;CT1087,VLOOKUP!$A$4:$A$250&amp;VLOOKUP!$B$4:$B$250,VLOOKUP!$D$4:$D$250,"0"))</f>
        <v>Incomplete</v>
      </c>
    </row>
    <row r="1088" spans="1:101">
      <c r="A1088" s="64" t="s">
        <v>898</v>
      </c>
      <c r="B1088" s="64" t="s">
        <v>897</v>
      </c>
      <c r="C1088" s="64" t="s">
        <v>86</v>
      </c>
      <c r="D1088" s="65">
        <v>40786</v>
      </c>
      <c r="E1088" s="64"/>
      <c r="F1088" s="66" t="s">
        <v>154</v>
      </c>
      <c r="G1088" s="64">
        <v>2026</v>
      </c>
      <c r="H1088" s="66"/>
      <c r="I1088" s="66">
        <v>2</v>
      </c>
      <c r="J1088" s="66" t="s">
        <v>100</v>
      </c>
      <c r="K1088" s="66" t="s">
        <v>105</v>
      </c>
      <c r="L1088" s="66"/>
      <c r="M1088" s="64"/>
      <c r="N1088" s="64"/>
      <c r="O1088" s="64"/>
      <c r="P1088" s="64"/>
      <c r="Q1088" s="64"/>
      <c r="R1088" s="64"/>
      <c r="S1088" s="66">
        <v>83.9</v>
      </c>
      <c r="T1088" s="66">
        <v>163.69999999999999</v>
      </c>
      <c r="U1088" s="64">
        <v>58</v>
      </c>
      <c r="V1088" s="64">
        <v>34.1</v>
      </c>
      <c r="W1088" s="64">
        <v>11.3</v>
      </c>
      <c r="X1088" s="64">
        <v>46.7</v>
      </c>
      <c r="Y1088" s="64">
        <v>25.8</v>
      </c>
      <c r="Z1088" s="64">
        <v>21.6</v>
      </c>
      <c r="AA1088" s="64">
        <v>19.5</v>
      </c>
      <c r="AB1088" s="64">
        <v>6.76</v>
      </c>
      <c r="AC1088" s="64">
        <v>101.3</v>
      </c>
      <c r="AD1088" s="64">
        <v>6.66</v>
      </c>
      <c r="AE1088" s="64">
        <v>99.8</v>
      </c>
      <c r="AF1088" s="64">
        <v>1.8</v>
      </c>
      <c r="AG1088" s="64">
        <v>72</v>
      </c>
      <c r="AH1088" s="64">
        <v>1.8</v>
      </c>
      <c r="AI1088" s="64">
        <v>71.5</v>
      </c>
      <c r="AJ1088" s="64">
        <v>289.8</v>
      </c>
      <c r="AK1088" s="64">
        <v>298.39999999999998</v>
      </c>
      <c r="AL1088" s="64">
        <v>255.3</v>
      </c>
      <c r="AM1088" s="64">
        <v>262.10000000000002</v>
      </c>
      <c r="AN1088" s="64">
        <v>108</v>
      </c>
      <c r="AO1088" s="64">
        <v>0.83</v>
      </c>
      <c r="AP1088" s="64">
        <v>6.7</v>
      </c>
      <c r="AQ1088" s="66"/>
      <c r="AR1088" s="66"/>
      <c r="AS1088" s="66"/>
      <c r="AT1088" s="66"/>
      <c r="AU1088" s="66"/>
      <c r="AV1088" s="66"/>
      <c r="AW1088" s="66"/>
      <c r="AX1088" s="66"/>
      <c r="AY1088" s="41" t="str">
        <f t="shared" si="330"/>
        <v>Incomplete</v>
      </c>
      <c r="AZ1088" s="64"/>
      <c r="BA1088" s="20" t="str">
        <f t="shared" si="331"/>
        <v>Incomplete</v>
      </c>
      <c r="BB1088" s="64"/>
      <c r="BC1088" s="20" t="str">
        <f t="shared" si="332"/>
        <v>Incomplete</v>
      </c>
      <c r="BD1088" s="64"/>
      <c r="BE1088" s="20" t="str">
        <f t="shared" si="333"/>
        <v>Incomplete</v>
      </c>
      <c r="BF1088" s="64"/>
      <c r="BG1088" s="64">
        <v>12</v>
      </c>
      <c r="BH1088" s="17">
        <v>53</v>
      </c>
      <c r="BI1088" s="20">
        <f t="shared" si="336"/>
        <v>41</v>
      </c>
      <c r="BJ1088" s="66"/>
      <c r="BK1088" s="64"/>
      <c r="BL1088" s="66"/>
      <c r="BM1088" s="20"/>
      <c r="BN1088" s="66"/>
      <c r="BO1088" s="64">
        <v>47</v>
      </c>
      <c r="BP1088" s="64">
        <v>49.5</v>
      </c>
      <c r="BQ1088" s="64">
        <v>76</v>
      </c>
      <c r="BR1088" s="64">
        <v>78</v>
      </c>
      <c r="BS1088" s="64">
        <v>72</v>
      </c>
      <c r="BT1088" s="64">
        <v>77</v>
      </c>
      <c r="BU1088" s="64">
        <v>79</v>
      </c>
      <c r="BV1088" s="64">
        <v>80</v>
      </c>
      <c r="BW1088" s="91">
        <f t="shared" si="334"/>
        <v>94.402673350041795</v>
      </c>
      <c r="BX1088" s="91" t="str">
        <f>_xlfn.XLOOKUP(BW1088,'Normative data'!$V$3:$V$6,'Normative data'!$W$3:$W$6,"Not Found",-1)</f>
        <v>High risk</v>
      </c>
      <c r="BY1088" s="91">
        <f t="shared" si="335"/>
        <v>98.579782790309125</v>
      </c>
      <c r="BZ1088" s="91" t="str">
        <f>_xlfn.XLOOKUP(BY1088,'Normative data'!$V$3:$V$6,'Normative data'!$W$3:$W$6,"Not Found",-1)</f>
        <v>Low risk</v>
      </c>
      <c r="CA1088" s="64">
        <v>37</v>
      </c>
      <c r="CB1088" s="66"/>
      <c r="CC1088" s="20"/>
      <c r="CD1088" s="66"/>
      <c r="CE1088" s="64">
        <v>11</v>
      </c>
      <c r="CF1088" s="66"/>
      <c r="CG1088" s="17">
        <v>20.59</v>
      </c>
      <c r="CH1088" s="20" t="str">
        <f>_xlfn.XLOOKUP(CG1088, 'Normative data'!$S$9:$S$15,'Normative data'!$T$9:$T$15, "Not Found", -1)</f>
        <v>Average</v>
      </c>
      <c r="CI1088" s="17">
        <v>20.21</v>
      </c>
      <c r="CJ1088" s="20" t="str">
        <f>_xlfn.XLOOKUP(CI1088, 'Normative data'!$S$9:$S$15, 'Normative data'!$T$9:$T$15, "Not Found", -1)</f>
        <v>Average</v>
      </c>
      <c r="CK1088" s="64">
        <v>2.2599999999999998</v>
      </c>
      <c r="CL1088" s="64">
        <v>4.42</v>
      </c>
      <c r="CM1088" s="66"/>
      <c r="CN1088" s="64">
        <v>6.55</v>
      </c>
      <c r="CO1088" s="64">
        <v>7.63</v>
      </c>
      <c r="CP1088" s="68"/>
      <c r="CQ1088" s="67">
        <v>5.4</v>
      </c>
      <c r="CR1088" s="20" t="str" cm="1">
        <f t="array" ref="CR1088">IF(OR(ISBLANK(E1088),ISBLANK(CQ1088)),"Incomplete",_xlfn.XLOOKUP(CQ1088,_xlfn.XLOOKUP(E1088,'Normative data'!$Y$3:$Y$6,'Normative data'!$Z$3:$AG$6,,-1),'Normative data'!$Z$2:$AG$2,"Not Found",-1))</f>
        <v>Incomplete</v>
      </c>
      <c r="CS1088" s="68">
        <v>5</v>
      </c>
      <c r="CT1088" s="66">
        <v>4</v>
      </c>
      <c r="CU1088" s="20" cm="1">
        <f t="array" ref="CU1088">_xlfn.XLOOKUP(CS1088&amp;CT1088,(VLOOKUP!$A$3:$A$250)&amp;(VLOOKUP!$B$3:$B$250),VLOOKUP!$C$3:$C$250,"Incomplete",-1)</f>
        <v>720</v>
      </c>
      <c r="CV1088" s="20" t="str" cm="1">
        <f t="array" ref="CV1088">_xlfn.XLOOKUP(CU1088, _xlfn.XLOOKUP(E1088, 'Normative data'!$Y$11:$Y$14, 'Normative data'!$Z$11:$AG$14, ,-1), 'Normative data'!$Z$10:$AG$10, "Not Found", -1)</f>
        <v xml:space="preserve">Poor </v>
      </c>
      <c r="CW1088" s="20" cm="1">
        <f t="array" ref="CW1088">IF(OR(ISBLANK(CS1088),ISBLANK(CT1088)),"Incomplete",_xlfn.XLOOKUP(CS1088&amp;CT1088,VLOOKUP!$A$4:$A$250&amp;VLOOKUP!$B$4:$B$250,VLOOKUP!$D$4:$D$250,"0"))</f>
        <v>31</v>
      </c>
    </row>
    <row r="1089" spans="1:101">
      <c r="A1089" s="64" t="s">
        <v>1407</v>
      </c>
      <c r="B1089" s="64" t="s">
        <v>897</v>
      </c>
      <c r="C1089" s="64" t="s">
        <v>86</v>
      </c>
      <c r="D1089" s="65">
        <v>41050</v>
      </c>
      <c r="E1089" s="64">
        <v>14</v>
      </c>
      <c r="F1089" s="66" t="s">
        <v>235</v>
      </c>
      <c r="G1089" s="64">
        <v>2026</v>
      </c>
      <c r="H1089" s="66"/>
      <c r="I1089" s="66">
        <v>2</v>
      </c>
      <c r="J1089" s="66" t="s">
        <v>122</v>
      </c>
      <c r="K1089" s="66" t="s">
        <v>170</v>
      </c>
      <c r="L1089" s="66"/>
      <c r="M1089" s="64"/>
      <c r="N1089" s="64"/>
      <c r="O1089" s="64"/>
      <c r="P1089" s="64"/>
      <c r="Q1089" s="64"/>
      <c r="R1089" s="64"/>
      <c r="S1089" s="66">
        <v>84.2</v>
      </c>
      <c r="T1089" s="66">
        <v>160.1</v>
      </c>
      <c r="U1089" s="64">
        <v>67.2</v>
      </c>
      <c r="V1089" s="64">
        <v>34.700000000000003</v>
      </c>
      <c r="W1089" s="64">
        <v>19.7</v>
      </c>
      <c r="X1089" s="64">
        <v>47.5</v>
      </c>
      <c r="Y1089" s="64">
        <v>26.5</v>
      </c>
      <c r="Z1089" s="64">
        <v>26.2</v>
      </c>
      <c r="AA1089" s="64">
        <v>29.3</v>
      </c>
      <c r="AB1089" s="64">
        <v>6.87</v>
      </c>
      <c r="AC1089" s="64">
        <v>106.4</v>
      </c>
      <c r="AD1089" s="64">
        <v>6.71</v>
      </c>
      <c r="AE1089" s="64">
        <v>104</v>
      </c>
      <c r="AF1089" s="64">
        <v>2.8</v>
      </c>
      <c r="AG1089" s="64">
        <v>129.5</v>
      </c>
      <c r="AH1089" s="64">
        <v>2.8</v>
      </c>
      <c r="AI1089" s="64">
        <v>127.9</v>
      </c>
      <c r="AJ1089" s="64">
        <v>273.2</v>
      </c>
      <c r="AK1089" s="64">
        <v>285.39999999999998</v>
      </c>
      <c r="AL1089" s="64">
        <v>236.5</v>
      </c>
      <c r="AM1089" s="64">
        <v>248</v>
      </c>
      <c r="AN1089" s="64">
        <v>81</v>
      </c>
      <c r="AO1089" s="64">
        <v>0.9</v>
      </c>
      <c r="AP1089" s="64">
        <v>7.3</v>
      </c>
      <c r="AQ1089" s="64">
        <v>26.3</v>
      </c>
      <c r="AR1089" s="64">
        <v>0.46300000000000002</v>
      </c>
      <c r="AS1089" s="64">
        <v>27.2</v>
      </c>
      <c r="AT1089" s="64">
        <v>0.47099999999999997</v>
      </c>
      <c r="AU1089" s="64">
        <v>13.1</v>
      </c>
      <c r="AV1089" s="64">
        <v>0.32700000000000001</v>
      </c>
      <c r="AW1089" s="64">
        <v>11.1</v>
      </c>
      <c r="AX1089" s="64">
        <v>0.30099999999999999</v>
      </c>
      <c r="AY1089" s="41">
        <f t="shared" si="330"/>
        <v>2585.5699999999997</v>
      </c>
      <c r="AZ1089" s="64"/>
      <c r="BA1089" s="20">
        <f t="shared" si="331"/>
        <v>2640.2</v>
      </c>
      <c r="BB1089" s="64"/>
      <c r="BC1089" s="20">
        <f t="shared" si="332"/>
        <v>1784.33</v>
      </c>
      <c r="BD1089" s="64"/>
      <c r="BE1089" s="20">
        <f t="shared" si="333"/>
        <v>1662.9299999999998</v>
      </c>
      <c r="BF1089" s="64"/>
      <c r="BG1089" s="64"/>
      <c r="BH1089" s="17">
        <v>36</v>
      </c>
      <c r="BI1089" s="20" t="str">
        <f t="shared" si="336"/>
        <v>Incomplete</v>
      </c>
      <c r="BJ1089" s="66"/>
      <c r="BK1089" s="64">
        <v>8</v>
      </c>
      <c r="BL1089" s="66"/>
      <c r="BM1089" s="17">
        <v>6</v>
      </c>
      <c r="BN1089" s="66"/>
      <c r="BO1089" s="64">
        <v>51.2</v>
      </c>
      <c r="BP1089" s="64">
        <v>52</v>
      </c>
      <c r="BQ1089" s="64">
        <v>90</v>
      </c>
      <c r="BR1089" s="64">
        <v>81</v>
      </c>
      <c r="BS1089" s="64"/>
      <c r="BT1089" s="64">
        <v>86</v>
      </c>
      <c r="BU1089" s="64">
        <v>72</v>
      </c>
      <c r="BV1089" s="64"/>
      <c r="BW1089" s="91">
        <f t="shared" si="334"/>
        <v>75.098814229249015</v>
      </c>
      <c r="BX1089" s="91" t="str">
        <f>_xlfn.XLOOKUP(BW1089,'Normative data'!$V$3:$V$6,'Normative data'!$W$3:$W$6,"Not Found",-1)</f>
        <v>High risk</v>
      </c>
      <c r="BY1089" s="91">
        <f t="shared" si="335"/>
        <v>69.389547650417214</v>
      </c>
      <c r="BZ1089" s="91" t="str">
        <f>_xlfn.XLOOKUP(BY1089,'Normative data'!$V$3:$V$6,'Normative data'!$W$3:$W$6,"Not Found",-1)</f>
        <v>High risk</v>
      </c>
      <c r="CA1089" s="64">
        <v>37</v>
      </c>
      <c r="CB1089" s="66"/>
      <c r="CC1089" s="20"/>
      <c r="CD1089" s="66"/>
      <c r="CE1089" s="64">
        <v>23</v>
      </c>
      <c r="CF1089" s="66"/>
      <c r="CG1089" s="17">
        <v>19.84</v>
      </c>
      <c r="CH1089" s="20" t="str">
        <f>_xlfn.XLOOKUP(CG1089, 'Normative data'!$S$9:$S$15,'Normative data'!$T$9:$T$15, "Not Found", -1)</f>
        <v>Average</v>
      </c>
      <c r="CI1089" s="17">
        <v>18.010000000000002</v>
      </c>
      <c r="CJ1089" s="20" t="str">
        <f>_xlfn.XLOOKUP(CI1089, 'Normative data'!$S$9:$S$15, 'Normative data'!$T$9:$T$15, "Not Found", -1)</f>
        <v>Average</v>
      </c>
      <c r="CK1089" s="64">
        <v>2.14</v>
      </c>
      <c r="CL1089" s="64">
        <v>4.67</v>
      </c>
      <c r="CM1089" s="66"/>
      <c r="CN1089" s="64">
        <v>6.53</v>
      </c>
      <c r="CO1089" s="64">
        <v>7.66</v>
      </c>
      <c r="CP1089" s="68"/>
      <c r="CQ1089" s="67">
        <v>7.6</v>
      </c>
      <c r="CR1089" s="20" t="str" cm="1">
        <f t="array" ref="CR1089">IF(OR(ISBLANK(E1089),ISBLANK(CQ1089)),"Incomplete",_xlfn.XLOOKUP(CQ1089,_xlfn.XLOOKUP(E1089,'Normative data'!$Y$3:$Y$6,'Normative data'!$Z$3:$AG$6,,-1),'Normative data'!$Z$2:$AG$2,"Not Found",-1))</f>
        <v>Good</v>
      </c>
      <c r="CS1089" s="68">
        <v>7</v>
      </c>
      <c r="CT1089" s="66">
        <v>6</v>
      </c>
      <c r="CU1089" s="20" cm="1">
        <f t="array" ref="CU1089">_xlfn.XLOOKUP(CS1089&amp;CT1089,(VLOOKUP!$A$3:$A$250)&amp;(VLOOKUP!$B$3:$B$250),VLOOKUP!$C$3:$C$250,"Incomplete",-1)</f>
        <v>1140</v>
      </c>
      <c r="CV1089" s="20" t="str" cm="1">
        <f t="array" ref="CV1089">_xlfn.XLOOKUP(CU1089, _xlfn.XLOOKUP(E1089, 'Normative data'!$Y$11:$Y$14, 'Normative data'!$Z$11:$AG$14, ,-1), 'Normative data'!$Z$10:$AG$10, "Not Found", -1)</f>
        <v>Average</v>
      </c>
      <c r="CW1089" s="20" cm="1">
        <f t="array" ref="CW1089">IF(OR(ISBLANK(CS1089),ISBLANK(CT1089)),"Incomplete",_xlfn.XLOOKUP(CS1089&amp;CT1089,VLOOKUP!$A$4:$A$250&amp;VLOOKUP!$B$4:$B$250,VLOOKUP!$D$4:$D$250,"0"))</f>
        <v>38</v>
      </c>
    </row>
    <row r="1090" spans="1:101">
      <c r="A1090" s="64" t="s">
        <v>1030</v>
      </c>
      <c r="B1090" s="64" t="s">
        <v>1042</v>
      </c>
      <c r="C1090" s="64" t="s">
        <v>86</v>
      </c>
      <c r="D1090" s="65"/>
      <c r="E1090" s="64"/>
      <c r="F1090" s="66" t="s">
        <v>151</v>
      </c>
      <c r="G1090" s="64">
        <v>2026</v>
      </c>
      <c r="H1090" s="66"/>
      <c r="I1090" s="66">
        <v>2</v>
      </c>
      <c r="J1090" s="66"/>
      <c r="K1090" s="66"/>
      <c r="L1090" s="66"/>
      <c r="M1090" s="64"/>
      <c r="N1090" s="64"/>
      <c r="O1090" s="64"/>
      <c r="P1090" s="64"/>
      <c r="Q1090" s="64"/>
      <c r="R1090" s="64"/>
      <c r="S1090" s="66"/>
      <c r="T1090" s="66"/>
      <c r="U1090" s="64"/>
      <c r="V1090" s="64"/>
      <c r="W1090" s="64"/>
      <c r="X1090" s="64"/>
      <c r="Y1090" s="64"/>
      <c r="Z1090" s="64"/>
      <c r="AA1090" s="64"/>
      <c r="AB1090" s="64"/>
      <c r="AC1090" s="64"/>
      <c r="AD1090" s="64"/>
      <c r="AE1090" s="64"/>
      <c r="AF1090" s="64"/>
      <c r="AG1090" s="64"/>
      <c r="AH1090" s="64"/>
      <c r="AI1090" s="64"/>
      <c r="AJ1090" s="64"/>
      <c r="AK1090" s="64"/>
      <c r="AL1090" s="64"/>
      <c r="AM1090" s="64"/>
      <c r="AN1090" s="64"/>
      <c r="AO1090" s="64"/>
      <c r="AP1090" s="64"/>
      <c r="AQ1090" s="66"/>
      <c r="AR1090" s="66"/>
      <c r="AS1090" s="66"/>
      <c r="AT1090" s="66"/>
      <c r="AU1090" s="66"/>
      <c r="AV1090" s="66"/>
      <c r="AW1090" s="66"/>
      <c r="AX1090" s="66"/>
      <c r="AY1090" s="41" t="str">
        <f t="shared" si="330"/>
        <v>Incomplete</v>
      </c>
      <c r="AZ1090" s="64"/>
      <c r="BA1090" s="20" t="str">
        <f t="shared" si="331"/>
        <v>Incomplete</v>
      </c>
      <c r="BB1090" s="64"/>
      <c r="BC1090" s="20" t="str">
        <f t="shared" si="332"/>
        <v>Incomplete</v>
      </c>
      <c r="BD1090" s="64"/>
      <c r="BE1090" s="20" t="str">
        <f t="shared" si="333"/>
        <v>Incomplete</v>
      </c>
      <c r="BF1090" s="64"/>
      <c r="BG1090" s="64"/>
      <c r="BH1090" s="66"/>
      <c r="BI1090" s="20" t="str">
        <f t="shared" si="336"/>
        <v>Incomplete</v>
      </c>
      <c r="BJ1090" s="66"/>
      <c r="BK1090" s="64"/>
      <c r="BL1090" s="66"/>
      <c r="BM1090" s="66"/>
      <c r="BN1090" s="66"/>
      <c r="BO1090" s="64"/>
      <c r="BP1090" s="64"/>
      <c r="BQ1090" s="64"/>
      <c r="BR1090" s="64"/>
      <c r="BS1090" s="64"/>
      <c r="BT1090" s="64"/>
      <c r="BU1090" s="64"/>
      <c r="BV1090" s="64"/>
      <c r="BW1090" s="91" t="str">
        <f t="shared" si="334"/>
        <v>Incomplete</v>
      </c>
      <c r="BX1090" s="91" t="str">
        <f>_xlfn.XLOOKUP(BW1090,'Normative data'!$V$3:$V$6,'Normative data'!$W$3:$W$6,"Not Found",-1)</f>
        <v>Very low risk</v>
      </c>
      <c r="BY1090" s="91" t="str">
        <f t="shared" si="335"/>
        <v>Incomplete</v>
      </c>
      <c r="BZ1090" s="91" t="str">
        <f>_xlfn.XLOOKUP(BY1090,'Normative data'!$V$3:$V$6,'Normative data'!$W$3:$W$6,"Not Found",-1)</f>
        <v>Very low risk</v>
      </c>
      <c r="CA1090" s="64">
        <v>12</v>
      </c>
      <c r="CB1090" s="66"/>
      <c r="CC1090" s="20"/>
      <c r="CD1090" s="66"/>
      <c r="CE1090" s="64">
        <v>7</v>
      </c>
      <c r="CF1090" s="66"/>
      <c r="CG1090" s="64">
        <v>21.38</v>
      </c>
      <c r="CH1090" s="20" t="str">
        <f>_xlfn.XLOOKUP(CG1090, 'Normative data'!$S$9:$S$15,'Normative data'!$T$9:$T$15, "Not Found", -1)</f>
        <v>Average</v>
      </c>
      <c r="CI1090" s="64">
        <v>22.19</v>
      </c>
      <c r="CJ1090" s="20" t="str">
        <f>_xlfn.XLOOKUP(CI1090, 'Normative data'!$S$9:$S$15, 'Normative data'!$T$9:$T$15, "Not Found", -1)</f>
        <v>Below Average</v>
      </c>
      <c r="CK1090" s="64">
        <v>2.29</v>
      </c>
      <c r="CL1090" s="64">
        <v>4.37</v>
      </c>
      <c r="CM1090" s="66"/>
      <c r="CN1090" s="64">
        <v>7.54</v>
      </c>
      <c r="CO1090" s="64">
        <v>6.63</v>
      </c>
      <c r="CP1090" s="68"/>
      <c r="CQ1090" s="67"/>
      <c r="CR1090" s="20" t="str" cm="1">
        <f t="array" ref="CR1090">IF(OR(ISBLANK(E1090),ISBLANK(CQ1090)),"Incomplete",_xlfn.XLOOKUP(CQ1090,_xlfn.XLOOKUP(E1090,'Normative data'!$Y$3:$Y$6,'Normative data'!$Z$3:$AG$6,,-1),'Normative data'!$Z$2:$AG$2,"Not Found",-1))</f>
        <v>Incomplete</v>
      </c>
      <c r="CS1090" s="68"/>
      <c r="CT1090" s="66"/>
      <c r="CU1090" s="20" t="str" cm="1">
        <f t="array" ref="CU1090">_xlfn.XLOOKUP(CS1090&amp;CT1090,(VLOOKUP!$A$3:$A$250)&amp;(VLOOKUP!$B$3:$B$250),VLOOKUP!$C$3:$C$250,"Incomplete",-1)</f>
        <v>Incomplete</v>
      </c>
      <c r="CV1090" s="20" t="str" cm="1">
        <f t="array" ref="CV1090">_xlfn.XLOOKUP(CU1090, _xlfn.XLOOKUP(E1090, 'Normative data'!$Y$11:$Y$14, 'Normative data'!$Z$11:$AG$14, ,-1), 'Normative data'!$Z$10:$AG$10, "Not Found", -1)</f>
        <v>Excellent</v>
      </c>
      <c r="CW1090" s="20" t="str" cm="1">
        <f t="array" ref="CW1090">IF(OR(ISBLANK(CS1090),ISBLANK(CT1090)),"Incomplete",_xlfn.XLOOKUP(CS1090&amp;CT1090,VLOOKUP!$A$4:$A$250&amp;VLOOKUP!$B$4:$B$250,VLOOKUP!$D$4:$D$250,"0"))</f>
        <v>Incomplete</v>
      </c>
    </row>
    <row r="1091" spans="1:101">
      <c r="A1091" s="93" t="s">
        <v>1067</v>
      </c>
      <c r="B1091" s="93" t="s">
        <v>1069</v>
      </c>
      <c r="C1091" s="64" t="s">
        <v>86</v>
      </c>
      <c r="D1091" s="96">
        <v>39556</v>
      </c>
      <c r="E1091" s="64"/>
      <c r="F1091" s="64">
        <v>11</v>
      </c>
      <c r="G1091" s="64">
        <v>2025</v>
      </c>
      <c r="H1091" s="66"/>
      <c r="I1091" s="64"/>
      <c r="J1091" s="64"/>
      <c r="K1091" s="64"/>
      <c r="L1091" s="64"/>
      <c r="M1091" s="64"/>
      <c r="N1091" s="64"/>
      <c r="O1091" s="64"/>
      <c r="P1091" s="64"/>
      <c r="Q1091" s="64"/>
      <c r="R1091" s="64"/>
      <c r="S1091" s="66"/>
      <c r="T1091" s="66" t="s">
        <v>1679</v>
      </c>
      <c r="U1091" s="66" t="s">
        <v>1745</v>
      </c>
      <c r="V1091" s="66"/>
      <c r="W1091" s="66"/>
      <c r="X1091" s="66"/>
      <c r="Y1091" s="66"/>
      <c r="Z1091" s="66"/>
      <c r="AA1091" s="66"/>
      <c r="AB1091" s="66"/>
      <c r="AC1091" s="66"/>
      <c r="AD1091" s="66"/>
      <c r="AE1091" s="66"/>
      <c r="AF1091" s="66"/>
      <c r="AG1091" s="66"/>
      <c r="AH1091" s="66"/>
      <c r="AI1091" s="66"/>
      <c r="AJ1091" s="66"/>
      <c r="AK1091" s="66"/>
      <c r="AL1091" s="66"/>
      <c r="AM1091" s="66"/>
      <c r="AN1091" s="66"/>
      <c r="AO1091" s="66"/>
      <c r="AP1091" s="66"/>
      <c r="AQ1091" s="66"/>
      <c r="AR1091" s="66"/>
      <c r="AS1091" s="66"/>
      <c r="AT1091" s="66"/>
      <c r="AU1091" s="66"/>
      <c r="AV1091" s="66"/>
      <c r="AW1091" s="66"/>
      <c r="AX1091" s="66"/>
      <c r="AY1091" s="41" t="str">
        <f>IF(OR(ISBLANK(#REF!), ISBLANK(AQ1091)), "Incomplete", (60.7*AQ1091)+(45.3*#REF!)-2055)</f>
        <v>Incomplete</v>
      </c>
      <c r="AZ1091" s="66"/>
      <c r="BA1091" s="20" t="str">
        <f>IF(OR(ISBLANK(#REF!), ISBLANK(AS1091)), "Incomplete", (60.7*AS1091)+(45.3*#REF!)-2055)</f>
        <v>Incomplete</v>
      </c>
      <c r="BB1091" s="66"/>
      <c r="BC1091" s="20" t="str">
        <f>IF(OR(ISBLANK(#REF!), ISBLANK(AU1091)), "Incomplete", (60.7*AU1091)+(45.3*#REF!)-2055)</f>
        <v>Incomplete</v>
      </c>
      <c r="BD1091" s="66"/>
      <c r="BE1091" s="20" t="str">
        <f>IF(OR(ISBLANK(#REF!), ISBLANK(AW1091)), "Incomplete", (60.7*AW1091)+(45.3*#REF!)-2055)</f>
        <v>Incomplete</v>
      </c>
      <c r="BF1091" s="66"/>
      <c r="BG1091" s="66">
        <v>19.5</v>
      </c>
      <c r="BH1091" s="66">
        <v>56.5</v>
      </c>
      <c r="BI1091" s="20">
        <f t="shared" si="336"/>
        <v>37</v>
      </c>
      <c r="BJ1091" s="66"/>
      <c r="BK1091" s="66"/>
      <c r="BL1091" s="66"/>
      <c r="BM1091" s="66"/>
      <c r="BN1091" s="66"/>
      <c r="BO1091" s="66"/>
      <c r="BP1091" s="66"/>
      <c r="BQ1091" s="66"/>
      <c r="BR1091" s="66"/>
      <c r="BS1091" s="66"/>
      <c r="BT1091" s="66"/>
      <c r="BU1091" s="66"/>
      <c r="BV1091" s="66"/>
      <c r="BW1091" s="91" t="str">
        <f>IFERROR(SUM(BQ1091+BR1091+BS1091)/(3*(#REF!-S1091))*100, "Incomplete")</f>
        <v>Incomplete</v>
      </c>
      <c r="BX1091" s="91" t="str">
        <f>_xlfn.XLOOKUP(BW1091,'Normative data'!$V$3:$V$6,'Normative data'!$W$3:$W$6,"Not Found",-1)</f>
        <v>Very low risk</v>
      </c>
      <c r="BY1091" s="91" t="str">
        <f>IFERROR(SUM(BT1091+BU1091+BV1091)/(3*(#REF!-S1091))*100, "Incomplete")</f>
        <v>Incomplete</v>
      </c>
      <c r="BZ1091" s="91" t="str">
        <f>_xlfn.XLOOKUP(BY1091,'Normative data'!$V$3:$V$6,'Normative data'!$W$3:$W$6,"Not Found",-1)</f>
        <v>Very low risk</v>
      </c>
      <c r="CA1091" s="66"/>
      <c r="CB1091" s="66"/>
      <c r="CC1091" s="20"/>
      <c r="CD1091" s="66"/>
      <c r="CE1091" s="66">
        <v>5</v>
      </c>
      <c r="CF1091" s="66"/>
      <c r="CG1091" s="66">
        <v>17.77</v>
      </c>
      <c r="CH1091" s="20" t="e">
        <f>_xlfn.XLOOKUP(#REF!, 'Normative data'!$S$9:$S$15,'Normative data'!$T$9:$T$15, "Not Found", -1)</f>
        <v>#REF!</v>
      </c>
      <c r="CI1091" s="66">
        <v>17.82</v>
      </c>
      <c r="CJ1091" s="20" t="e">
        <f>_xlfn.XLOOKUP(#REF!, 'Normative data'!$S$9:$S$15, 'Normative data'!$T$9:$T$15, "Not Found", -1)</f>
        <v>#REF!</v>
      </c>
      <c r="CK1091" s="105">
        <v>2.1</v>
      </c>
      <c r="CL1091" s="105">
        <v>4.76</v>
      </c>
      <c r="CM1091" s="105"/>
      <c r="CN1091" s="105">
        <v>6.68</v>
      </c>
      <c r="CO1091" s="105">
        <v>7.49</v>
      </c>
      <c r="CP1091" s="109"/>
      <c r="CQ1091" s="68"/>
      <c r="CR1091" s="20" t="str" cm="1">
        <f t="array" ref="CR1091">IF(OR(ISBLANK(E1091),ISBLANK(CQ1091)),"Incomplete",_xlfn.XLOOKUP(CQ1091,_xlfn.XLOOKUP(E1091,'Normative data'!$Y$3:$Y$6,'Normative data'!$Z$3:$AG$6,,-1),'Normative data'!$Z$2:$AG$2,"Not Found",-1))</f>
        <v>Incomplete</v>
      </c>
      <c r="CS1091" s="68"/>
      <c r="CT1091" s="66"/>
      <c r="CU1091" s="20" t="str" cm="1">
        <f t="array" ref="CU1091">_xlfn.XLOOKUP(CS1091&amp;CT1091,(VLOOKUP!$A$3:$A$250)&amp;(VLOOKUP!$B$3:$B$250),VLOOKUP!$C$3:$C$250,"Incomplete",-1)</f>
        <v>Incomplete</v>
      </c>
      <c r="CV1091" s="20" t="str" cm="1">
        <f t="array" ref="CV1091">_xlfn.XLOOKUP(CU1091, _xlfn.XLOOKUP(E1091, 'Normative data'!$Y$11:$Y$14, 'Normative data'!$Z$11:$AG$14, ,-1), 'Normative data'!$Z$10:$AG$10, "Not Found", -1)</f>
        <v>Excellent</v>
      </c>
      <c r="CW1091" s="20" t="str" cm="1">
        <f t="array" ref="CW1091">IF(OR(ISBLANK(CS1091),ISBLANK(CT1091)),"Incomplete",_xlfn.XLOOKUP(CS1091&amp;CT1091,VLOOKUP!$A$4:$A$250&amp;VLOOKUP!$B$4:$B$250,VLOOKUP!$D$4:$D$250,"0"))</f>
        <v>Incomplete</v>
      </c>
    </row>
    <row r="1092" spans="1:101">
      <c r="A1092" s="64" t="s">
        <v>1560</v>
      </c>
      <c r="B1092" s="64" t="s">
        <v>1069</v>
      </c>
      <c r="C1092" s="64" t="s">
        <v>86</v>
      </c>
      <c r="D1092" s="96">
        <v>39556</v>
      </c>
      <c r="E1092" s="64"/>
      <c r="F1092" s="64">
        <v>11</v>
      </c>
      <c r="G1092" s="64">
        <v>2025</v>
      </c>
      <c r="H1092" s="66"/>
      <c r="I1092" s="64"/>
      <c r="J1092" s="64"/>
      <c r="K1092" s="64"/>
      <c r="L1092" s="64"/>
      <c r="M1092" s="64"/>
      <c r="N1092" s="64"/>
      <c r="O1092" s="64"/>
      <c r="P1092" s="64"/>
      <c r="Q1092" s="64"/>
      <c r="R1092" s="64"/>
      <c r="S1092" s="66"/>
      <c r="T1092" s="66"/>
      <c r="U1092" s="66"/>
      <c r="V1092" s="66"/>
      <c r="W1092" s="66"/>
      <c r="X1092" s="66"/>
      <c r="Y1092" s="66"/>
      <c r="Z1092" s="66"/>
      <c r="AA1092" s="66"/>
      <c r="AB1092" s="66"/>
      <c r="AC1092" s="66"/>
      <c r="AD1092" s="66"/>
      <c r="AE1092" s="66"/>
      <c r="AF1092" s="66"/>
      <c r="AG1092" s="66"/>
      <c r="AH1092" s="66"/>
      <c r="AI1092" s="66"/>
      <c r="AJ1092" s="66"/>
      <c r="AK1092" s="66"/>
      <c r="AL1092" s="66"/>
      <c r="AM1092" s="66"/>
      <c r="AN1092" s="66"/>
      <c r="AO1092" s="66"/>
      <c r="AP1092" s="66"/>
      <c r="AQ1092" s="66"/>
      <c r="AR1092" s="66"/>
      <c r="AS1092" s="66"/>
      <c r="AT1092" s="66"/>
      <c r="AU1092" s="66"/>
      <c r="AV1092" s="66"/>
      <c r="AW1092" s="66"/>
      <c r="AX1092" s="66"/>
      <c r="AY1092" s="41" t="str">
        <f>IF(OR(ISBLANK(U1092), ISBLANK(AQ1092)), "Incomplete", (60.7*AQ1092)+(45.3*U1092)-2055)</f>
        <v>Incomplete</v>
      </c>
      <c r="AZ1092" s="66"/>
      <c r="BA1092" s="20" t="str">
        <f>IF(OR(ISBLANK(U1092), ISBLANK(AS1092)), "Incomplete", (60.7*AS1092)+(45.3*U1092)-2055)</f>
        <v>Incomplete</v>
      </c>
      <c r="BB1092" s="66"/>
      <c r="BC1092" s="20" t="str">
        <f>IF(OR(ISBLANK(U1092), ISBLANK(AU1092)), "Incomplete", (60.7*AU1092)+(45.3*U1092)-2055)</f>
        <v>Incomplete</v>
      </c>
      <c r="BD1092" s="66"/>
      <c r="BE1092" s="20" t="str">
        <f>IF(OR(ISBLANK(U1092), ISBLANK(AW1092)), "Incomplete", (60.7*AW1092)+(45.3*U1092)-2055)</f>
        <v>Incomplete</v>
      </c>
      <c r="BF1092" s="66"/>
      <c r="BG1092" s="66"/>
      <c r="BH1092" s="66"/>
      <c r="BI1092" s="20" t="str">
        <f t="shared" si="336"/>
        <v>Incomplete</v>
      </c>
      <c r="BJ1092" s="66"/>
      <c r="BK1092" s="66"/>
      <c r="BL1092" s="66"/>
      <c r="BM1092" s="66"/>
      <c r="BN1092" s="66"/>
      <c r="BO1092" s="66"/>
      <c r="BP1092" s="66"/>
      <c r="BQ1092" s="66"/>
      <c r="BR1092" s="66"/>
      <c r="BS1092" s="66"/>
      <c r="BT1092" s="66"/>
      <c r="BU1092" s="66"/>
      <c r="BV1092" s="66"/>
      <c r="BW1092" s="91" t="str">
        <f>IFERROR(SUM(BQ1092+BR1092+BS1092)/(3*(T1092-S1092))*100, "Incomplete")</f>
        <v>Incomplete</v>
      </c>
      <c r="BX1092" s="91" t="str">
        <f>_xlfn.XLOOKUP(BW1092,'Normative data'!$V$3:$V$6,'Normative data'!$W$3:$W$6,"Not Found",-1)</f>
        <v>Very low risk</v>
      </c>
      <c r="BY1092" s="91" t="str">
        <f>IFERROR(SUM(BT1092+BU1092+BV1092)/(3*(T1092-S1092))*100, "Incomplete")</f>
        <v>Incomplete</v>
      </c>
      <c r="BZ1092" s="91" t="str">
        <f>_xlfn.XLOOKUP(BY1092,'Normative data'!$V$3:$V$6,'Normative data'!$W$3:$W$6,"Not Found",-1)</f>
        <v>Very low risk</v>
      </c>
      <c r="CA1092" s="20"/>
      <c r="CB1092" s="66"/>
      <c r="CC1092" s="20"/>
      <c r="CD1092" s="66"/>
      <c r="CE1092" s="66"/>
      <c r="CF1092" s="66"/>
      <c r="CG1092" s="66"/>
      <c r="CH1092" s="20" t="str">
        <f>_xlfn.XLOOKUP(CG1092, 'Normative data'!$S$9:$S$15,'Normative data'!$T$9:$T$15, "Not Found", -1)</f>
        <v>not completed</v>
      </c>
      <c r="CI1092" s="66"/>
      <c r="CJ1092" s="20" t="str">
        <f>_xlfn.XLOOKUP(CI1092, 'Normative data'!$S$9:$S$15, 'Normative data'!$T$9:$T$15, "Not Found", -1)</f>
        <v>not completed</v>
      </c>
      <c r="CK1092" s="66" t="s">
        <v>596</v>
      </c>
      <c r="CL1092" s="66" t="s">
        <v>597</v>
      </c>
      <c r="CM1092" s="66"/>
      <c r="CN1092" s="66" t="s">
        <v>910</v>
      </c>
      <c r="CO1092" s="66" t="s">
        <v>599</v>
      </c>
      <c r="CP1092" s="68"/>
      <c r="CQ1092" s="68"/>
      <c r="CR1092" s="20" t="str" cm="1">
        <f t="array" ref="CR1092">IF(OR(ISBLANK(E1092),ISBLANK(CQ1092)),"Incomplete",_xlfn.XLOOKUP(CQ1092,_xlfn.XLOOKUP(E1092,'Normative data'!$Y$3:$Y$6,'Normative data'!$Z$3:$AG$6,,-1),'Normative data'!$Z$2:$AG$2,"Not Found",-1))</f>
        <v>Incomplete</v>
      </c>
      <c r="CS1092" s="68"/>
      <c r="CT1092" s="66"/>
      <c r="CU1092" s="20" t="str" cm="1">
        <f t="array" ref="CU1092">_xlfn.XLOOKUP(CS1092&amp;CT1092,(VLOOKUP!$A$3:$A$250)&amp;(VLOOKUP!$B$3:$B$250),VLOOKUP!$C$3:$C$250,"Incomplete",-1)</f>
        <v>Incomplete</v>
      </c>
      <c r="CV1092" s="20" t="str" cm="1">
        <f t="array" ref="CV1092">_xlfn.XLOOKUP(CU1092, _xlfn.XLOOKUP(E1092, 'Normative data'!$Y$11:$Y$14, 'Normative data'!$Z$11:$AG$14, ,-1), 'Normative data'!$Z$10:$AG$10, "Not Found", -1)</f>
        <v>Excellent</v>
      </c>
      <c r="CW1092" s="20" t="str" cm="1">
        <f t="array" ref="CW1092">IF(OR(ISBLANK(CS1092),ISBLANK(CT1092)),"Incomplete",_xlfn.XLOOKUP(CS1092&amp;CT1092,VLOOKUP!$A$4:$A$250&amp;VLOOKUP!$B$4:$B$250,VLOOKUP!$D$4:$D$250,"0"))</f>
        <v>Incomplete</v>
      </c>
    </row>
    <row r="1093" spans="1:101">
      <c r="A1093" s="64" t="s">
        <v>1560</v>
      </c>
      <c r="B1093" s="64" t="s">
        <v>1069</v>
      </c>
      <c r="C1093" s="64" t="s">
        <v>86</v>
      </c>
      <c r="D1093" s="96">
        <v>39556</v>
      </c>
      <c r="E1093" s="64"/>
      <c r="F1093" s="64"/>
      <c r="G1093" s="64">
        <v>2026</v>
      </c>
      <c r="H1093" s="66" t="s">
        <v>114</v>
      </c>
      <c r="I1093" s="64">
        <v>1</v>
      </c>
      <c r="J1093" s="64"/>
      <c r="K1093" s="64"/>
      <c r="L1093" s="64"/>
      <c r="M1093" s="64"/>
      <c r="N1093" s="64"/>
      <c r="O1093" s="64"/>
      <c r="P1093" s="64"/>
      <c r="Q1093" s="64"/>
      <c r="R1093" s="64"/>
      <c r="S1093" s="66"/>
      <c r="T1093" s="66"/>
      <c r="U1093" s="66"/>
      <c r="V1093" s="66"/>
      <c r="W1093" s="66"/>
      <c r="X1093" s="66"/>
      <c r="Y1093" s="66"/>
      <c r="Z1093" s="66"/>
      <c r="AA1093" s="66"/>
      <c r="AB1093" s="66"/>
      <c r="AC1093" s="66"/>
      <c r="AD1093" s="66"/>
      <c r="AE1093" s="66"/>
      <c r="AF1093" s="66"/>
      <c r="AG1093" s="66"/>
      <c r="AH1093" s="66"/>
      <c r="AI1093" s="66"/>
      <c r="AJ1093" s="66"/>
      <c r="AK1093" s="66"/>
      <c r="AL1093" s="66"/>
      <c r="AM1093" s="66"/>
      <c r="AN1093" s="66"/>
      <c r="AO1093" s="66"/>
      <c r="AP1093" s="66"/>
      <c r="AQ1093" s="66"/>
      <c r="AR1093" s="66"/>
      <c r="AS1093" s="66"/>
      <c r="AT1093" s="66"/>
      <c r="AU1093" s="66"/>
      <c r="AV1093" s="66"/>
      <c r="AW1093" s="66"/>
      <c r="AX1093" s="66"/>
      <c r="AY1093" s="41" t="str">
        <f>IF(OR(ISBLANK(U1093), ISBLANK(AQ1093)), "Incomplete", (60.7*AQ1093)+(45.3*U1093)-2055)</f>
        <v>Incomplete</v>
      </c>
      <c r="AZ1093" s="66"/>
      <c r="BA1093" s="20" t="str">
        <f>IF(OR(ISBLANK(U1093), ISBLANK(AS1093)), "Incomplete", (60.7*AS1093)+(45.3*U1093)-2055)</f>
        <v>Incomplete</v>
      </c>
      <c r="BB1093" s="66"/>
      <c r="BC1093" s="20" t="str">
        <f>IF(OR(ISBLANK(U1093), ISBLANK(AU1093)), "Incomplete", (60.7*AU1093)+(45.3*U1093)-2055)</f>
        <v>Incomplete</v>
      </c>
      <c r="BD1093" s="66"/>
      <c r="BE1093" s="20" t="str">
        <f>IF(OR(ISBLANK(U1093), ISBLANK(AW1093)), "Incomplete", (60.7*AW1093)+(45.3*U1093)-2055)</f>
        <v>Incomplete</v>
      </c>
      <c r="BF1093" s="66"/>
      <c r="BG1093" s="104">
        <v>15</v>
      </c>
      <c r="BH1093" s="30">
        <v>65</v>
      </c>
      <c r="BI1093" s="20">
        <f t="shared" si="336"/>
        <v>50</v>
      </c>
      <c r="BJ1093" s="66"/>
      <c r="BK1093" s="66"/>
      <c r="BL1093" s="66"/>
      <c r="BM1093" s="20"/>
      <c r="BN1093" s="66"/>
      <c r="BO1093" s="66"/>
      <c r="BP1093" s="66"/>
      <c r="BQ1093" s="66"/>
      <c r="BR1093" s="66"/>
      <c r="BS1093" s="66"/>
      <c r="BT1093" s="66"/>
      <c r="BU1093" s="66"/>
      <c r="BV1093" s="66"/>
      <c r="BW1093" s="91" t="str">
        <f>IFERROR(SUM(BQ1093+BR1093+BS1093)/(3*(T1093-S1093))*100, "Incomplete")</f>
        <v>Incomplete</v>
      </c>
      <c r="BX1093" s="91" t="str">
        <f>_xlfn.XLOOKUP(BW1093,'Normative data'!$V$3:$V$6,'Normative data'!$W$3:$W$6,"Not Found",-1)</f>
        <v>Very low risk</v>
      </c>
      <c r="BY1093" s="91" t="str">
        <f>IFERROR(SUM(BT1093+BU1093+BV1093)/(3*(T1093-S1093))*100, "Incomplete")</f>
        <v>Incomplete</v>
      </c>
      <c r="BZ1093" s="91" t="str">
        <f>_xlfn.XLOOKUP(BY1093,'Normative data'!$V$3:$V$6,'Normative data'!$W$3:$W$6,"Not Found",-1)</f>
        <v>Very low risk</v>
      </c>
      <c r="CA1093" s="66"/>
      <c r="CB1093" s="66"/>
      <c r="CC1093" s="104">
        <v>38</v>
      </c>
      <c r="CD1093" s="104"/>
      <c r="CE1093" s="104">
        <v>10</v>
      </c>
      <c r="CF1093" s="104"/>
      <c r="CG1093" s="30" t="s">
        <v>1746</v>
      </c>
      <c r="CH1093" s="20" t="str">
        <f>_xlfn.XLOOKUP(CG1093, 'Normative data'!$S$9:$S$15,'Normative data'!$T$9:$T$15, "Not Found", -1)</f>
        <v>Poor</v>
      </c>
      <c r="CI1093" s="30" t="s">
        <v>1747</v>
      </c>
      <c r="CJ1093" s="20" t="str">
        <f>_xlfn.XLOOKUP(CI1093, 'Normative data'!$S$9:$S$15, 'Normative data'!$T$9:$T$15, "Not Found", -1)</f>
        <v>Poor</v>
      </c>
      <c r="CK1093" s="30" t="s">
        <v>344</v>
      </c>
      <c r="CL1093" s="30" t="s">
        <v>345</v>
      </c>
      <c r="CM1093" s="30"/>
      <c r="CN1093" s="30" t="s">
        <v>206</v>
      </c>
      <c r="CO1093" s="30" t="s">
        <v>206</v>
      </c>
      <c r="CP1093" s="112"/>
      <c r="CQ1093" s="112">
        <v>10.9</v>
      </c>
      <c r="CR1093" s="20" t="str" cm="1">
        <f t="array" ref="CR1093">IF(OR(ISBLANK(E1093),ISBLANK(CQ1093)),"Incomplete",_xlfn.XLOOKUP(CQ1093,_xlfn.XLOOKUP(E1093,'Normative data'!$Y$3:$Y$6,'Normative data'!$Z$3:$AG$6,,-1),'Normative data'!$Z$2:$AG$2,"Not Found",-1))</f>
        <v>Incomplete</v>
      </c>
      <c r="CS1093" s="68">
        <v>10</v>
      </c>
      <c r="CT1093" s="66">
        <v>9</v>
      </c>
      <c r="CU1093" s="20" cm="1">
        <f t="array" ref="CU1093">_xlfn.XLOOKUP(CS1093&amp;CT1093,(VLOOKUP!$A$3:$A$250)&amp;(VLOOKUP!$B$3:$B$250),VLOOKUP!$C$3:$C$250,"Incomplete",-1)</f>
        <v>1840</v>
      </c>
      <c r="CV1093" s="20" t="str" cm="1">
        <f t="array" ref="CV1093">_xlfn.XLOOKUP(CU1093, _xlfn.XLOOKUP(E1093, 'Normative data'!$Y$11:$Y$14, 'Normative data'!$Z$11:$AG$14, ,-1), 'Normative data'!$Z$10:$AG$10, "Not Found", -1)</f>
        <v xml:space="preserve">Good </v>
      </c>
      <c r="CW1093" s="20" cm="1">
        <f t="array" ref="CW1093">IF(OR(ISBLANK(CS1093),ISBLANK(CT1093)),"Incomplete",_xlfn.XLOOKUP(CS1093&amp;CT1093,VLOOKUP!$A$4:$A$250&amp;VLOOKUP!$B$4:$B$250,VLOOKUP!$D$4:$D$250,"0"))</f>
        <v>50</v>
      </c>
    </row>
    <row r="1094" spans="1:101">
      <c r="A1094" s="94" t="s">
        <v>143</v>
      </c>
      <c r="B1094" s="94" t="s">
        <v>1069</v>
      </c>
      <c r="C1094" s="64" t="s">
        <v>86</v>
      </c>
      <c r="D1094" s="97">
        <v>40808</v>
      </c>
      <c r="E1094" s="64"/>
      <c r="F1094" s="64">
        <v>8</v>
      </c>
      <c r="G1094" s="64">
        <v>2025</v>
      </c>
      <c r="H1094" s="66"/>
      <c r="I1094" s="64"/>
      <c r="J1094" s="64"/>
      <c r="K1094" s="64"/>
      <c r="L1094" s="64"/>
      <c r="M1094" s="64"/>
      <c r="N1094" s="64"/>
      <c r="O1094" s="64"/>
      <c r="P1094" s="64"/>
      <c r="Q1094" s="64"/>
      <c r="R1094" s="64"/>
      <c r="S1094" s="66"/>
      <c r="T1094" s="66">
        <v>180</v>
      </c>
      <c r="U1094" s="66">
        <v>69.599999999999994</v>
      </c>
      <c r="V1094" s="66"/>
      <c r="W1094" s="66">
        <v>16.100000000000001</v>
      </c>
      <c r="X1094" s="66">
        <f>SUM(T1094-W1094)</f>
        <v>163.9</v>
      </c>
      <c r="Y1094" s="66">
        <v>29.8</v>
      </c>
      <c r="Z1094" s="66">
        <v>21.5</v>
      </c>
      <c r="AA1094" s="66">
        <v>23.2</v>
      </c>
      <c r="AB1094" s="66"/>
      <c r="AC1094" s="66"/>
      <c r="AD1094" s="66"/>
      <c r="AE1094" s="66"/>
      <c r="AF1094" s="66"/>
      <c r="AG1094" s="66"/>
      <c r="AH1094" s="66"/>
      <c r="AI1094" s="66"/>
      <c r="AJ1094" s="66"/>
      <c r="AK1094" s="66"/>
      <c r="AL1094" s="66"/>
      <c r="AM1094" s="66"/>
      <c r="AN1094" s="66"/>
      <c r="AO1094" s="66"/>
      <c r="AP1094" s="66"/>
      <c r="AQ1094" s="66"/>
      <c r="AR1094" s="66"/>
      <c r="AS1094" s="66"/>
      <c r="AT1094" s="66"/>
      <c r="AU1094" s="66"/>
      <c r="AV1094" s="66"/>
      <c r="AW1094" s="66"/>
      <c r="AX1094" s="66"/>
      <c r="AY1094" s="41" t="str">
        <f>IF(OR(ISBLANK(U1094), ISBLANK(AQ1094)), "Incomplete", (60.7*AQ1094)+(45.3*U1094)-2055)</f>
        <v>Incomplete</v>
      </c>
      <c r="AZ1094" s="66"/>
      <c r="BA1094" s="20" t="str">
        <f>IF(OR(ISBLANK(U1094), ISBLANK(AS1094)), "Incomplete", (60.7*AS1094)+(45.3*U1094)-2055)</f>
        <v>Incomplete</v>
      </c>
      <c r="BB1094" s="66"/>
      <c r="BC1094" s="20" t="str">
        <f>IF(OR(ISBLANK(U1094), ISBLANK(AU1094)), "Incomplete", (60.7*AU1094)+(45.3*U1094)-2055)</f>
        <v>Incomplete</v>
      </c>
      <c r="BD1094" s="66"/>
      <c r="BE1094" s="20" t="str">
        <f>IF(OR(ISBLANK(U1094), ISBLANK(AW1094)), "Incomplete", (60.7*AW1094)+(45.3*U1094)-2055)</f>
        <v>Incomplete</v>
      </c>
      <c r="BF1094" s="66"/>
      <c r="BG1094" s="66">
        <v>11</v>
      </c>
      <c r="BH1094" s="66">
        <v>50.8</v>
      </c>
      <c r="BI1094" s="20" t="e">
        <f>IF(OR(ISBLANK(#REF!), ISBLANK(#REF!)),"Incomplete",(SUM(#REF!-#REF!)))</f>
        <v>#REF!</v>
      </c>
      <c r="BJ1094" s="66"/>
      <c r="BK1094" s="66">
        <v>7</v>
      </c>
      <c r="BL1094" s="66"/>
      <c r="BM1094" s="66">
        <v>7</v>
      </c>
      <c r="BN1094" s="66"/>
      <c r="BO1094" s="66"/>
      <c r="BP1094" s="66"/>
      <c r="BQ1094" s="66"/>
      <c r="BR1094" s="66"/>
      <c r="BS1094" s="66"/>
      <c r="BT1094" s="66"/>
      <c r="BU1094" s="66"/>
      <c r="BV1094" s="66"/>
      <c r="BW1094" s="91">
        <f>IFERROR(SUM(BQ1094+BR1094+BS1094)/(3*(T1094-S1094))*100, "Incomplete")</f>
        <v>0</v>
      </c>
      <c r="BX1094" s="91" t="str">
        <f>_xlfn.XLOOKUP(BW1094,'Normative data'!$V$3:$V$6,'Normative data'!$W$3:$W$6,"Not Found",-1)</f>
        <v>Not completed</v>
      </c>
      <c r="BY1094" s="91">
        <f>IFERROR(SUM(BT1094+BU1094+BV1094)/(3*(T1094-S1094))*100, "Incomplete")</f>
        <v>0</v>
      </c>
      <c r="BZ1094" s="91" t="str">
        <f>_xlfn.XLOOKUP(BY1094,'Normative data'!$V$3:$V$6,'Normative data'!$W$3:$W$6,"Not Found",-1)</f>
        <v>Not completed</v>
      </c>
      <c r="CA1094" s="66"/>
      <c r="CB1094" s="66"/>
      <c r="CC1094" s="20"/>
      <c r="CD1094" s="66"/>
      <c r="CE1094" s="66">
        <v>5</v>
      </c>
      <c r="CF1094" s="66"/>
      <c r="CG1094" s="20"/>
      <c r="CH1094" s="20" t="str">
        <f>_xlfn.XLOOKUP(CG1094, 'Normative data'!$S$9:$S$15,'Normative data'!$T$9:$T$15, "Not Found", -1)</f>
        <v>not completed</v>
      </c>
      <c r="CI1094" s="20"/>
      <c r="CJ1094" s="20" t="str">
        <f>_xlfn.XLOOKUP(CI1094, 'Normative data'!$S$9:$S$15, 'Normative data'!$T$9:$T$15, "Not Found", -1)</f>
        <v>not completed</v>
      </c>
      <c r="CK1094" s="24">
        <v>2.4700000000000002</v>
      </c>
      <c r="CL1094" s="24">
        <v>4.05</v>
      </c>
      <c r="CM1094" s="21"/>
      <c r="CN1094" s="24">
        <v>7.55</v>
      </c>
      <c r="CO1094" s="24">
        <v>6.62</v>
      </c>
      <c r="CP1094" s="110"/>
      <c r="CQ1094" s="68"/>
      <c r="CR1094" s="20" t="str" cm="1">
        <f t="array" ref="CR1094">IF(OR(ISBLANK(E1094),ISBLANK(CQ1094)),"Incomplete",_xlfn.XLOOKUP(CQ1094,_xlfn.XLOOKUP(E1094,'Normative data'!$Y$3:$Y$6,'Normative data'!$Z$3:$AG$6,,-1),'Normative data'!$Z$2:$AG$2,"Not Found",-1))</f>
        <v>Incomplete</v>
      </c>
      <c r="CS1094" s="68"/>
      <c r="CT1094" s="66"/>
      <c r="CU1094" s="20" t="str" cm="1">
        <f t="array" ref="CU1094">_xlfn.XLOOKUP(CS1094&amp;CT1094,(VLOOKUP!$A$3:$A$250)&amp;(VLOOKUP!$B$3:$B$250),VLOOKUP!$C$3:$C$250,"Incomplete",-1)</f>
        <v>Incomplete</v>
      </c>
      <c r="CV1094" s="20" t="str" cm="1">
        <f t="array" ref="CV1094">_xlfn.XLOOKUP(CU1094, _xlfn.XLOOKUP(E1094, 'Normative data'!$Y$11:$Y$14, 'Normative data'!$Z$11:$AG$14, ,-1), 'Normative data'!$Z$10:$AG$10, "Not Found", -1)</f>
        <v>Excellent</v>
      </c>
      <c r="CW1094" s="20" t="str" cm="1">
        <f t="array" ref="CW1094">IF(OR(ISBLANK(CS1094),ISBLANK(CT1094)),"Incomplete",_xlfn.XLOOKUP(CS1094&amp;CT1094,VLOOKUP!$A$4:$A$250&amp;VLOOKUP!$B$4:$B$250,VLOOKUP!$D$4:$D$250,"0"))</f>
        <v>Incomplete</v>
      </c>
    </row>
    <row r="1095" spans="1:101">
      <c r="A1095" s="94" t="s">
        <v>143</v>
      </c>
      <c r="B1095" s="94" t="s">
        <v>1069</v>
      </c>
      <c r="C1095" s="64" t="s">
        <v>86</v>
      </c>
      <c r="D1095" s="97">
        <v>40808</v>
      </c>
      <c r="E1095" s="64"/>
      <c r="F1095" s="64">
        <v>8</v>
      </c>
      <c r="G1095" s="64">
        <v>2025</v>
      </c>
      <c r="H1095" s="66"/>
      <c r="I1095" s="64"/>
      <c r="J1095" s="64"/>
      <c r="K1095" s="64"/>
      <c r="L1095" s="64"/>
      <c r="M1095" s="64"/>
      <c r="N1095" s="64"/>
      <c r="O1095" s="64"/>
      <c r="P1095" s="64"/>
      <c r="Q1095" s="64"/>
      <c r="R1095" s="64"/>
      <c r="S1095" s="66"/>
      <c r="T1095" s="66" t="s">
        <v>1748</v>
      </c>
      <c r="U1095" s="66" t="s">
        <v>1749</v>
      </c>
      <c r="V1095" s="66"/>
      <c r="W1095" s="66"/>
      <c r="X1095" s="66"/>
      <c r="Y1095" s="66"/>
      <c r="Z1095" s="66"/>
      <c r="AA1095" s="66"/>
      <c r="AB1095" s="66"/>
      <c r="AC1095" s="66"/>
      <c r="AD1095" s="66"/>
      <c r="AE1095" s="66"/>
      <c r="AF1095" s="66"/>
      <c r="AG1095" s="66"/>
      <c r="AH1095" s="66"/>
      <c r="AI1095" s="66"/>
      <c r="AJ1095" s="66"/>
      <c r="AK1095" s="66"/>
      <c r="AL1095" s="66"/>
      <c r="AM1095" s="66"/>
      <c r="AN1095" s="66"/>
      <c r="AO1095" s="66"/>
      <c r="AP1095" s="66"/>
      <c r="AQ1095" s="66">
        <v>12.6</v>
      </c>
      <c r="AR1095" s="66">
        <v>0.32</v>
      </c>
      <c r="AS1095" s="66">
        <v>20.100000000000001</v>
      </c>
      <c r="AT1095" s="66">
        <v>0.40500000000000003</v>
      </c>
      <c r="AU1095" s="66">
        <v>8.1999999999999993</v>
      </c>
      <c r="AV1095" s="66">
        <v>0.25900000000000001</v>
      </c>
      <c r="AW1095" s="66">
        <v>10.1</v>
      </c>
      <c r="AX1095" s="66">
        <v>0.28699999999999998</v>
      </c>
      <c r="AY1095" s="41" t="e">
        <f>IF(OR(ISBLANK(#REF!), ISBLANK(#REF!)), "Incomplete", (60.7*#REF!)+(45.3*#REF!)-2055)</f>
        <v>#REF!</v>
      </c>
      <c r="AZ1095" s="66"/>
      <c r="BA1095" s="20" t="e">
        <f>IF(OR(ISBLANK(#REF!), ISBLANK(#REF!)), "Incomplete", (60.7*#REF!)+(45.3*#REF!)-2055)</f>
        <v>#REF!</v>
      </c>
      <c r="BB1095" s="66"/>
      <c r="BC1095" s="20" t="e">
        <f>IF(OR(ISBLANK(#REF!), ISBLANK(#REF!)), "Incomplete", (60.7*#REF!)+(45.3*#REF!)-2055)</f>
        <v>#REF!</v>
      </c>
      <c r="BD1095" s="66"/>
      <c r="BE1095" s="20" t="e">
        <f>IF(OR(ISBLANK(#REF!), ISBLANK(#REF!)), "Incomplete", (60.7*#REF!)+(45.3*#REF!)-2055)</f>
        <v>#REF!</v>
      </c>
      <c r="BF1095" s="66"/>
      <c r="BG1095" s="66"/>
      <c r="BH1095" s="66"/>
      <c r="BI1095" s="20" t="str">
        <f>IF(OR(ISBLANK(BG1095), ISBLANK(BH1095)),"Incomplete",(SUM(BH1095-BG1095)))</f>
        <v>Incomplete</v>
      </c>
      <c r="BJ1095" s="66"/>
      <c r="BK1095" s="66"/>
      <c r="BL1095" s="66"/>
      <c r="BM1095" s="66"/>
      <c r="BN1095" s="66"/>
      <c r="BO1095" s="66"/>
      <c r="BP1095" s="66"/>
      <c r="BQ1095" s="66"/>
      <c r="BR1095" s="66"/>
      <c r="BS1095" s="66"/>
      <c r="BT1095" s="66"/>
      <c r="BU1095" s="66"/>
      <c r="BV1095" s="66"/>
      <c r="BW1095" s="91" t="str">
        <f>IFERROR(SUM(BQ1095+BR1095+BS1095)/(3*(#REF!-S1095))*100, "Incomplete")</f>
        <v>Incomplete</v>
      </c>
      <c r="BX1095" s="91" t="str">
        <f>_xlfn.XLOOKUP(BW1095,'Normative data'!$V$3:$V$6,'Normative data'!$W$3:$W$6,"Not Found",-1)</f>
        <v>Very low risk</v>
      </c>
      <c r="BY1095" s="91" t="str">
        <f>IFERROR(SUM(BT1095+BU1095+BV1095)/(3*(#REF!-S1095))*100, "Incomplete")</f>
        <v>Incomplete</v>
      </c>
      <c r="BZ1095" s="91" t="str">
        <f>_xlfn.XLOOKUP(BY1095,'Normative data'!$V$3:$V$6,'Normative data'!$W$3:$W$6,"Not Found",-1)</f>
        <v>Very low risk</v>
      </c>
      <c r="CA1095" s="66"/>
      <c r="CB1095" s="66"/>
      <c r="CC1095" s="20"/>
      <c r="CD1095" s="66"/>
      <c r="CE1095" s="66"/>
      <c r="CF1095" s="66"/>
      <c r="CG1095" s="20"/>
      <c r="CH1095" s="20" t="str">
        <f>_xlfn.XLOOKUP(CG1095, 'Normative data'!$S$9:$S$15,'Normative data'!$T$9:$T$15, "Not Found", -1)</f>
        <v>not completed</v>
      </c>
      <c r="CI1095" s="20"/>
      <c r="CJ1095" s="20" t="str">
        <f>_xlfn.XLOOKUP(CI1095, 'Normative data'!$S$9:$S$15, 'Normative data'!$T$9:$T$15, "Not Found", -1)</f>
        <v>not completed</v>
      </c>
      <c r="CK1095" s="105"/>
      <c r="CL1095" s="105"/>
      <c r="CM1095" s="105"/>
      <c r="CN1095" s="105"/>
      <c r="CO1095" s="105"/>
      <c r="CP1095" s="110"/>
      <c r="CQ1095" s="68"/>
      <c r="CR1095" s="20" t="str" cm="1">
        <f t="array" ref="CR1095">IF(OR(ISBLANK(E1095),ISBLANK(CQ1095)),"Incomplete",_xlfn.XLOOKUP(CQ1095,_xlfn.XLOOKUP(E1095,'Normative data'!$Y$3:$Y$6,'Normative data'!$Z$3:$AG$6,,-1),'Normative data'!$Z$2:$AG$2,"Not Found",-1))</f>
        <v>Incomplete</v>
      </c>
      <c r="CS1095" s="68"/>
      <c r="CT1095" s="66"/>
      <c r="CU1095" s="20" t="str" cm="1">
        <f t="array" ref="CU1095">_xlfn.XLOOKUP(CS1095&amp;CT1095,(VLOOKUP!$A$3:$A$250)&amp;(VLOOKUP!$B$3:$B$250),VLOOKUP!$C$3:$C$250,"Incomplete",-1)</f>
        <v>Incomplete</v>
      </c>
      <c r="CV1095" s="20" t="str" cm="1">
        <f t="array" ref="CV1095">_xlfn.XLOOKUP(CU1095, _xlfn.XLOOKUP(E1095, 'Normative data'!$Y$11:$Y$14, 'Normative data'!$Z$11:$AG$14, ,-1), 'Normative data'!$Z$10:$AG$10, "Not Found", -1)</f>
        <v>Excellent</v>
      </c>
      <c r="CW1095" s="20" t="str" cm="1">
        <f t="array" ref="CW1095">IF(OR(ISBLANK(CS1095),ISBLANK(CT1095)),"Incomplete",_xlfn.XLOOKUP(CS1095&amp;CT1095,VLOOKUP!$A$4:$A$250&amp;VLOOKUP!$B$4:$B$250,VLOOKUP!$D$4:$D$250,"0"))</f>
        <v>Incomplete</v>
      </c>
    </row>
    <row r="1096" spans="1:101">
      <c r="A1096" s="94" t="s">
        <v>143</v>
      </c>
      <c r="B1096" s="94" t="s">
        <v>1069</v>
      </c>
      <c r="C1096" s="64" t="s">
        <v>86</v>
      </c>
      <c r="D1096" s="97">
        <v>40808</v>
      </c>
      <c r="E1096" s="64"/>
      <c r="F1096" s="64">
        <v>8</v>
      </c>
      <c r="G1096" s="64">
        <v>2025</v>
      </c>
      <c r="H1096" s="66"/>
      <c r="I1096" s="64"/>
      <c r="J1096" s="101"/>
      <c r="K1096" s="64"/>
      <c r="L1096" s="64"/>
      <c r="M1096" s="64"/>
      <c r="N1096" s="64"/>
      <c r="O1096" s="64"/>
      <c r="P1096" s="64"/>
      <c r="Q1096" s="64"/>
      <c r="R1096" s="64"/>
      <c r="S1096" s="66"/>
      <c r="T1096" s="66" t="s">
        <v>1750</v>
      </c>
      <c r="U1096" s="66">
        <v>70</v>
      </c>
      <c r="V1096" s="66"/>
      <c r="W1096" s="66"/>
      <c r="X1096" s="66"/>
      <c r="Y1096" s="66"/>
      <c r="Z1096" s="66"/>
      <c r="AA1096" s="66"/>
      <c r="AB1096" s="66"/>
      <c r="AC1096" s="66"/>
      <c r="AD1096" s="66"/>
      <c r="AE1096" s="66"/>
      <c r="AF1096" s="66"/>
      <c r="AG1096" s="66"/>
      <c r="AH1096" s="66"/>
      <c r="AI1096" s="66"/>
      <c r="AJ1096" s="66"/>
      <c r="AK1096" s="66"/>
      <c r="AL1096" s="66"/>
      <c r="AM1096" s="66"/>
      <c r="AN1096" s="66"/>
      <c r="AO1096" s="66"/>
      <c r="AP1096" s="66"/>
      <c r="AQ1096" s="66"/>
      <c r="AR1096" s="66"/>
      <c r="AS1096" s="66"/>
      <c r="AT1096" s="66"/>
      <c r="AU1096" s="66"/>
      <c r="AV1096" s="66"/>
      <c r="AW1096" s="66"/>
      <c r="AX1096" s="66"/>
      <c r="AY1096" s="41" t="str">
        <f>IF(OR(ISBLANK(#REF!), ISBLANK(AQ1096)), "Incomplete", (60.7*AQ1096)+(45.3*#REF!)-2055)</f>
        <v>Incomplete</v>
      </c>
      <c r="AZ1096" s="66"/>
      <c r="BA1096" s="20" t="str">
        <f>IF(OR(ISBLANK(#REF!), ISBLANK(AS1096)), "Incomplete", (60.7*AS1096)+(45.3*#REF!)-2055)</f>
        <v>Incomplete</v>
      </c>
      <c r="BB1096" s="66"/>
      <c r="BC1096" s="20" t="str">
        <f>IF(OR(ISBLANK(#REF!), ISBLANK(AU1096)), "Incomplete", (60.7*AU1096)+(45.3*#REF!)-2055)</f>
        <v>Incomplete</v>
      </c>
      <c r="BD1096" s="66"/>
      <c r="BE1096" s="20" t="str">
        <f>IF(OR(ISBLANK(#REF!), ISBLANK(AW1096)), "Incomplete", (60.7*AW1096)+(45.3*#REF!)-2055)</f>
        <v>Incomplete</v>
      </c>
      <c r="BF1096" s="66"/>
      <c r="BG1096" s="66"/>
      <c r="BH1096" s="20"/>
      <c r="BI1096" s="20" t="str">
        <f>IF(OR(ISBLANK(BG1096), ISBLANK(BH1096)),"Incomplete",(SUM(BH1096-BG1096)))</f>
        <v>Incomplete</v>
      </c>
      <c r="BJ1096" s="66"/>
      <c r="BK1096" s="66"/>
      <c r="BL1096" s="66"/>
      <c r="BM1096" s="20"/>
      <c r="BN1096" s="66"/>
      <c r="BO1096" s="66"/>
      <c r="BP1096" s="66"/>
      <c r="BQ1096" s="66"/>
      <c r="BR1096" s="66"/>
      <c r="BS1096" s="66"/>
      <c r="BT1096" s="66"/>
      <c r="BU1096" s="66"/>
      <c r="BV1096" s="66"/>
      <c r="BW1096" s="91" t="str">
        <f>IFERROR(SUM(BQ1096+BR1096+BS1096)/(3*(#REF!-S1096))*100, "Incomplete")</f>
        <v>Incomplete</v>
      </c>
      <c r="BX1096" s="91" t="str">
        <f>_xlfn.XLOOKUP(BW1096,'Normative data'!$V$3:$V$6,'Normative data'!$W$3:$W$6,"Not Found",-1)</f>
        <v>Very low risk</v>
      </c>
      <c r="BY1096" s="91" t="str">
        <f>IFERROR(SUM(BT1096+BU1096+BV1096)/(3*(#REF!-S1096))*100, "Incomplete")</f>
        <v>Incomplete</v>
      </c>
      <c r="BZ1096" s="91" t="str">
        <f>_xlfn.XLOOKUP(BY1096,'Normative data'!$V$3:$V$6,'Normative data'!$W$3:$W$6,"Not Found",-1)</f>
        <v>Very low risk</v>
      </c>
      <c r="CA1096" s="66"/>
      <c r="CB1096" s="66"/>
      <c r="CC1096" s="66"/>
      <c r="CD1096" s="66"/>
      <c r="CE1096" s="66"/>
      <c r="CF1096" s="66"/>
      <c r="CG1096" s="20"/>
      <c r="CH1096" s="20" t="str">
        <f>_xlfn.XLOOKUP(CG1096, 'Normative data'!$S$9:$S$15,'Normative data'!$T$9:$T$15, "Not Found", -1)</f>
        <v>not completed</v>
      </c>
      <c r="CI1096" s="20"/>
      <c r="CJ1096" s="20" t="str">
        <f>_xlfn.XLOOKUP(CI1096, 'Normative data'!$S$9:$S$15, 'Normative data'!$T$9:$T$15, "Not Found", -1)</f>
        <v>not completed</v>
      </c>
      <c r="CK1096" s="21"/>
      <c r="CL1096" s="21"/>
      <c r="CM1096" s="21"/>
      <c r="CN1096" s="21"/>
      <c r="CO1096" s="21"/>
      <c r="CP1096" s="110"/>
      <c r="CQ1096" s="68"/>
      <c r="CR1096" s="20" t="str" cm="1">
        <f t="array" ref="CR1096">IF(OR(ISBLANK(E1096),ISBLANK(CQ1096)),"Incomplete",_xlfn.XLOOKUP(CQ1096,_xlfn.XLOOKUP(E1096,'Normative data'!$Y$3:$Y$6,'Normative data'!$Z$3:$AG$6,,-1),'Normative data'!$Z$2:$AG$2,"Not Found",-1))</f>
        <v>Incomplete</v>
      </c>
      <c r="CS1096" s="68"/>
      <c r="CT1096" s="66"/>
      <c r="CU1096" s="20" t="str" cm="1">
        <f t="array" ref="CU1096">_xlfn.XLOOKUP(CS1096&amp;CT1096,(VLOOKUP!$A$3:$A$250)&amp;(VLOOKUP!$B$3:$B$250),VLOOKUP!$C$3:$C$250,"Incomplete",-1)</f>
        <v>Incomplete</v>
      </c>
      <c r="CV1096" s="20" t="str" cm="1">
        <f t="array" ref="CV1096">_xlfn.XLOOKUP(CU1096, _xlfn.XLOOKUP(E1096, 'Normative data'!$Y$11:$Y$14, 'Normative data'!$Z$11:$AG$14, ,-1), 'Normative data'!$Z$10:$AG$10, "Not Found", -1)</f>
        <v>Excellent</v>
      </c>
      <c r="CW1096" s="20" t="str" cm="1">
        <f t="array" ref="CW1096">IF(OR(ISBLANK(CS1096),ISBLANK(CT1096)),"Incomplete",_xlfn.XLOOKUP(CS1096&amp;CT1096,VLOOKUP!$A$4:$A$250&amp;VLOOKUP!$B$4:$B$250,VLOOKUP!$D$4:$D$250,"0"))</f>
        <v>Incomplete</v>
      </c>
    </row>
    <row r="1097" spans="1:101">
      <c r="A1097" s="64" t="s">
        <v>332</v>
      </c>
      <c r="B1097" s="64" t="s">
        <v>334</v>
      </c>
      <c r="C1097" s="64" t="s">
        <v>86</v>
      </c>
      <c r="D1097" s="65">
        <v>39836</v>
      </c>
      <c r="E1097" s="64">
        <v>17.3</v>
      </c>
      <c r="F1097" s="66" t="s">
        <v>192</v>
      </c>
      <c r="G1097" s="64">
        <v>2026</v>
      </c>
      <c r="H1097" s="66"/>
      <c r="I1097" s="66">
        <v>2</v>
      </c>
      <c r="J1097" s="66" t="s">
        <v>88</v>
      </c>
      <c r="K1097" s="66" t="s">
        <v>886</v>
      </c>
      <c r="L1097" s="66"/>
      <c r="M1097" s="64"/>
      <c r="N1097" s="64"/>
      <c r="O1097" s="64"/>
      <c r="P1097" s="64"/>
      <c r="Q1097" s="64"/>
      <c r="R1097" s="64"/>
      <c r="S1097" s="66">
        <v>79.2</v>
      </c>
      <c r="T1097" s="66">
        <v>156.9</v>
      </c>
      <c r="U1097" s="64">
        <v>66.8</v>
      </c>
      <c r="V1097" s="64">
        <v>30.3</v>
      </c>
      <c r="W1097" s="64">
        <v>25.3</v>
      </c>
      <c r="X1097" s="64">
        <v>41.5</v>
      </c>
      <c r="Y1097" s="64">
        <v>22.7</v>
      </c>
      <c r="Z1097" s="64">
        <v>27.1</v>
      </c>
      <c r="AA1097" s="64">
        <v>37.9</v>
      </c>
      <c r="AB1097" s="64">
        <v>6.04</v>
      </c>
      <c r="AC1097" s="64">
        <v>98</v>
      </c>
      <c r="AD1097" s="64">
        <v>6.09</v>
      </c>
      <c r="AE1097" s="64">
        <v>98.9</v>
      </c>
      <c r="AF1097" s="64">
        <v>3.8</v>
      </c>
      <c r="AG1097" s="64">
        <v>200.9</v>
      </c>
      <c r="AH1097" s="64">
        <v>3.8</v>
      </c>
      <c r="AI1097" s="64">
        <v>200.6</v>
      </c>
      <c r="AJ1097" s="64">
        <v>270.89999999999998</v>
      </c>
      <c r="AK1097" s="64">
        <v>264.60000000000002</v>
      </c>
      <c r="AL1097" s="64">
        <v>240.1</v>
      </c>
      <c r="AM1097" s="64">
        <v>234.7</v>
      </c>
      <c r="AN1097" s="64">
        <v>67</v>
      </c>
      <c r="AO1097" s="64">
        <v>0.89</v>
      </c>
      <c r="AP1097" s="64">
        <v>6.6</v>
      </c>
      <c r="AQ1097" s="66"/>
      <c r="AR1097" s="66"/>
      <c r="AS1097" s="66"/>
      <c r="AT1097" s="66"/>
      <c r="AU1097" s="66"/>
      <c r="AV1097" s="66"/>
      <c r="AW1097" s="66"/>
      <c r="AX1097" s="66"/>
      <c r="AY1097" s="41" t="str">
        <f t="shared" ref="AY1097:AY1126" si="337">IF(OR(ISBLANK(U1097), ISBLANK(AQ1097)), "Incomplete", (60.7*AQ1097)+(45.3*U1097)-2055)</f>
        <v>Incomplete</v>
      </c>
      <c r="AZ1097" s="64"/>
      <c r="BA1097" s="20" t="str">
        <f t="shared" ref="BA1097:BA1126" si="338">IF(OR(ISBLANK(U1097), ISBLANK(AS1097)), "Incomplete", (60.7*AS1097)+(45.3*U1097)-2055)</f>
        <v>Incomplete</v>
      </c>
      <c r="BB1097" s="64"/>
      <c r="BC1097" s="20" t="str">
        <f t="shared" ref="BC1097:BC1126" si="339">IF(OR(ISBLANK(U1097), ISBLANK(AU1097)), "Incomplete", (60.7*AU1097)+(45.3*U1097)-2055)</f>
        <v>Incomplete</v>
      </c>
      <c r="BD1097" s="64"/>
      <c r="BE1097" s="20" t="str">
        <f t="shared" ref="BE1097:BE1126" si="340">IF(OR(ISBLANK(U1097), ISBLANK(AW1097)), "Incomplete", (60.7*AW1097)+(45.3*U1097)-2055)</f>
        <v>Incomplete</v>
      </c>
      <c r="BF1097" s="64"/>
      <c r="BG1097" s="64">
        <v>11.6</v>
      </c>
      <c r="BH1097" s="64">
        <v>33.5</v>
      </c>
      <c r="BI1097" s="20">
        <f>IF(OR(ISBLANK(BG1097), ISBLANK(BH1097)),"Incomplete",(SUM(BH1097-BG1097)))</f>
        <v>21.9</v>
      </c>
      <c r="BJ1097" s="66"/>
      <c r="BK1097" s="64">
        <v>9.5</v>
      </c>
      <c r="BL1097" s="66"/>
      <c r="BM1097" s="64">
        <v>10.5</v>
      </c>
      <c r="BN1097" s="66"/>
      <c r="BO1097" s="64">
        <v>53.5</v>
      </c>
      <c r="BP1097" s="64">
        <v>54</v>
      </c>
      <c r="BQ1097" s="64">
        <v>70</v>
      </c>
      <c r="BR1097" s="64">
        <v>87</v>
      </c>
      <c r="BS1097" s="64">
        <v>82</v>
      </c>
      <c r="BT1097" s="64">
        <v>71</v>
      </c>
      <c r="BU1097" s="64">
        <v>87</v>
      </c>
      <c r="BV1097" s="64">
        <v>88</v>
      </c>
      <c r="BW1097" s="91">
        <f t="shared" ref="BW1097:BW1118" si="341">IFERROR(SUM(BQ1097+BR1097+BS1097)/(3*(T1097-S1097))*100, "Incomplete")</f>
        <v>102.53110253110252</v>
      </c>
      <c r="BX1097" s="91" t="str">
        <f>_xlfn.XLOOKUP(BW1097,'Normative data'!$V$3:$V$6,'Normative data'!$W$3:$W$6,"Not Found",-1)</f>
        <v>Low risk</v>
      </c>
      <c r="BY1097" s="91">
        <f t="shared" ref="BY1097:BY1118" si="342">IFERROR(SUM(BT1097+BU1097+BV1097)/(3*(T1097-S1097))*100, "Incomplete")</f>
        <v>105.53410553410552</v>
      </c>
      <c r="BZ1097" s="91" t="str">
        <f>_xlfn.XLOOKUP(BY1097,'Normative data'!$V$3:$V$6,'Normative data'!$W$3:$W$6,"Not Found",-1)</f>
        <v>Low risk</v>
      </c>
      <c r="CA1097" s="64">
        <v>27</v>
      </c>
      <c r="CB1097" s="66"/>
      <c r="CC1097" s="20"/>
      <c r="CD1097" s="66"/>
      <c r="CE1097" s="64">
        <v>11</v>
      </c>
      <c r="CF1097" s="66"/>
      <c r="CG1097" s="66"/>
      <c r="CH1097" s="20" t="str">
        <f>_xlfn.XLOOKUP(CG1097, 'Normative data'!$S$9:$S$15,'Normative data'!$T$9:$T$15, "Not Found", -1)</f>
        <v>not completed</v>
      </c>
      <c r="CI1097" s="66"/>
      <c r="CJ1097" s="20" t="str">
        <f>_xlfn.XLOOKUP(CI1097, 'Normative data'!$S$9:$S$15, 'Normative data'!$T$9:$T$15, "Not Found", -1)</f>
        <v>not completed</v>
      </c>
      <c r="CK1097" s="21"/>
      <c r="CL1097" s="21"/>
      <c r="CM1097" s="21"/>
      <c r="CN1097" s="21"/>
      <c r="CO1097" s="21"/>
      <c r="CP1097" s="68"/>
      <c r="CQ1097" s="67">
        <v>7.4</v>
      </c>
      <c r="CR1097" s="20" t="str" cm="1">
        <f t="array" ref="CR1097">IF(OR(ISBLANK(E1097),ISBLANK(CQ1097)),"Incomplete",_xlfn.XLOOKUP(CQ1097,_xlfn.XLOOKUP(E1097,'Normative data'!$Y$3:$Y$6,'Normative data'!$Z$3:$AG$6,,-1),'Normative data'!$Z$2:$AG$2,"Not Found",-1))</f>
        <v>Average</v>
      </c>
      <c r="CS1097" s="68">
        <v>7</v>
      </c>
      <c r="CT1097" s="66">
        <v>4</v>
      </c>
      <c r="CU1097" s="20" cm="1">
        <f t="array" ref="CU1097">_xlfn.XLOOKUP(CS1097&amp;CT1097,(VLOOKUP!$A$3:$A$250)&amp;(VLOOKUP!$B$3:$B$250),VLOOKUP!$C$3:$C$250,"Incomplete",-1)</f>
        <v>1100</v>
      </c>
      <c r="CV1097" s="20" t="str" cm="1">
        <f t="array" ref="CV1097">_xlfn.XLOOKUP(CU1097, _xlfn.XLOOKUP(E1097, 'Normative data'!$Y$11:$Y$14, 'Normative data'!$Z$11:$AG$14, ,-1), 'Normative data'!$Z$10:$AG$10, "Not Found", -1)</f>
        <v>Average</v>
      </c>
      <c r="CW1097" s="20" cm="1">
        <f t="array" ref="CW1097">IF(OR(ISBLANK(CS1097),ISBLANK(CT1097)),"Incomplete",_xlfn.XLOOKUP(CS1097&amp;CT1097,VLOOKUP!$A$4:$A$250&amp;VLOOKUP!$B$4:$B$250,VLOOKUP!$D$4:$D$250,"0"))</f>
        <v>38</v>
      </c>
    </row>
    <row r="1098" spans="1:101">
      <c r="A1098" s="64" t="s">
        <v>1751</v>
      </c>
      <c r="B1098" s="64" t="s">
        <v>1752</v>
      </c>
      <c r="C1098" s="64" t="s">
        <v>86</v>
      </c>
      <c r="D1098" s="65"/>
      <c r="E1098" s="64"/>
      <c r="F1098" s="66" t="s">
        <v>110</v>
      </c>
      <c r="G1098" s="64">
        <v>2026</v>
      </c>
      <c r="H1098" s="66"/>
      <c r="I1098" s="66">
        <v>2</v>
      </c>
      <c r="J1098" s="66"/>
      <c r="K1098" s="66"/>
      <c r="L1098" s="66"/>
      <c r="M1098" s="64"/>
      <c r="N1098" s="64"/>
      <c r="O1098" s="64"/>
      <c r="P1098" s="64"/>
      <c r="Q1098" s="64"/>
      <c r="R1098" s="64"/>
      <c r="S1098" s="66"/>
      <c r="T1098" s="66"/>
      <c r="U1098" s="64"/>
      <c r="V1098" s="64"/>
      <c r="W1098" s="64"/>
      <c r="X1098" s="64"/>
      <c r="Y1098" s="64"/>
      <c r="Z1098" s="64"/>
      <c r="AA1098" s="64"/>
      <c r="AB1098" s="64"/>
      <c r="AC1098" s="64"/>
      <c r="AD1098" s="64"/>
      <c r="AE1098" s="64"/>
      <c r="AF1098" s="64"/>
      <c r="AG1098" s="64"/>
      <c r="AH1098" s="64"/>
      <c r="AI1098" s="64"/>
      <c r="AJ1098" s="64"/>
      <c r="AK1098" s="64"/>
      <c r="AL1098" s="64"/>
      <c r="AM1098" s="64"/>
      <c r="AN1098" s="64"/>
      <c r="AO1098" s="64"/>
      <c r="AP1098" s="64"/>
      <c r="AQ1098" s="64"/>
      <c r="AR1098" s="64"/>
      <c r="AS1098" s="64"/>
      <c r="AT1098" s="64"/>
      <c r="AU1098" s="64"/>
      <c r="AV1098" s="64"/>
      <c r="AW1098" s="64"/>
      <c r="AX1098" s="64"/>
      <c r="AY1098" s="41" t="str">
        <f t="shared" si="337"/>
        <v>Incomplete</v>
      </c>
      <c r="AZ1098" s="64"/>
      <c r="BA1098" s="20" t="str">
        <f t="shared" si="338"/>
        <v>Incomplete</v>
      </c>
      <c r="BB1098" s="64"/>
      <c r="BC1098" s="20" t="str">
        <f t="shared" si="339"/>
        <v>Incomplete</v>
      </c>
      <c r="BD1098" s="64"/>
      <c r="BE1098" s="20" t="str">
        <f t="shared" si="340"/>
        <v>Incomplete</v>
      </c>
      <c r="BF1098" s="64"/>
      <c r="BG1098" s="64"/>
      <c r="BH1098" s="66"/>
      <c r="BI1098" s="20" t="str">
        <f>IF(OR(ISBLANK(BG1098), ISBLANK(BH1098)),"Incomplete",(SUM(BH1098-BG1098)))</f>
        <v>Incomplete</v>
      </c>
      <c r="BJ1098" s="66"/>
      <c r="BK1098" s="64"/>
      <c r="BL1098" s="66"/>
      <c r="BM1098" s="64"/>
      <c r="BN1098" s="66"/>
      <c r="BO1098" s="64"/>
      <c r="BP1098" s="64"/>
      <c r="BQ1098" s="64">
        <v>80</v>
      </c>
      <c r="BR1098" s="64">
        <v>74</v>
      </c>
      <c r="BS1098" s="64">
        <v>82</v>
      </c>
      <c r="BT1098" s="64">
        <v>83</v>
      </c>
      <c r="BU1098" s="64">
        <v>86</v>
      </c>
      <c r="BV1098" s="64">
        <v>87</v>
      </c>
      <c r="BW1098" s="91" t="str">
        <f t="shared" si="341"/>
        <v>Incomplete</v>
      </c>
      <c r="BX1098" s="91" t="str">
        <f>_xlfn.XLOOKUP(BW1098,'Normative data'!$V$3:$V$6,'Normative data'!$W$3:$W$6,"Not Found",-1)</f>
        <v>Very low risk</v>
      </c>
      <c r="BY1098" s="91" t="str">
        <f t="shared" si="342"/>
        <v>Incomplete</v>
      </c>
      <c r="BZ1098" s="91" t="str">
        <f>_xlfn.XLOOKUP(BY1098,'Normative data'!$V$3:$V$6,'Normative data'!$W$3:$W$6,"Not Found",-1)</f>
        <v>Very low risk</v>
      </c>
      <c r="CA1098" s="64"/>
      <c r="CB1098" s="66"/>
      <c r="CD1098" s="66"/>
      <c r="CE1098" s="64"/>
      <c r="CF1098" s="66"/>
      <c r="CG1098" s="17">
        <v>17.8</v>
      </c>
      <c r="CH1098" s="20" t="str">
        <f>_xlfn.XLOOKUP(CG1098, 'Normative data'!$S$9:$S$15,'Normative data'!$T$9:$T$15, "Not Found", -1)</f>
        <v>Above Average</v>
      </c>
      <c r="CI1098" s="17">
        <v>17.36</v>
      </c>
      <c r="CJ1098" s="20" t="str">
        <f>_xlfn.XLOOKUP(CI1098, 'Normative data'!$S$9:$S$15, 'Normative data'!$T$9:$T$15, "Not Found", -1)</f>
        <v>Above Average</v>
      </c>
      <c r="CK1098" s="105"/>
      <c r="CL1098" s="105"/>
      <c r="CM1098" s="105"/>
      <c r="CN1098" s="105"/>
      <c r="CO1098" s="105"/>
      <c r="CP1098" s="68"/>
      <c r="CQ1098" s="67"/>
      <c r="CR1098" s="20" t="str" cm="1">
        <f t="array" ref="CR1098">IF(OR(ISBLANK(E1098),ISBLANK(CQ1098)),"Incomplete",_xlfn.XLOOKUP(CQ1098,_xlfn.XLOOKUP(E1098,'Normative data'!$Y$3:$Y$6,'Normative data'!$Z$3:$AG$6,,-1),'Normative data'!$Z$2:$AG$2,"Not Found",-1))</f>
        <v>Incomplete</v>
      </c>
      <c r="CS1098" s="68"/>
      <c r="CT1098" s="66"/>
      <c r="CU1098" s="20" t="str" cm="1">
        <f t="array" ref="CU1098">_xlfn.XLOOKUP(CS1098&amp;CT1098,(VLOOKUP!$A$3:$A$250)&amp;(VLOOKUP!$B$3:$B$250),VLOOKUP!$C$3:$C$250,"Incomplete",-1)</f>
        <v>Incomplete</v>
      </c>
      <c r="CV1098" s="20" t="str" cm="1">
        <f t="array" ref="CV1098">_xlfn.XLOOKUP(CU1098, _xlfn.XLOOKUP(E1098, 'Normative data'!$Y$11:$Y$14, 'Normative data'!$Z$11:$AG$14, ,-1), 'Normative data'!$Z$10:$AG$10, "Not Found", -1)</f>
        <v>Excellent</v>
      </c>
      <c r="CW1098" s="20" t="str" cm="1">
        <f t="array" ref="CW1098">IF(OR(ISBLANK(CS1098),ISBLANK(CT1098)),"Incomplete",_xlfn.XLOOKUP(CS1098&amp;CT1098,VLOOKUP!$A$4:$A$250&amp;VLOOKUP!$B$4:$B$250,VLOOKUP!$D$4:$D$250,"0"))</f>
        <v>Incomplete</v>
      </c>
    </row>
    <row r="1099" spans="1:101">
      <c r="A1099" s="64" t="s">
        <v>1519</v>
      </c>
      <c r="B1099" s="73" t="s">
        <v>1518</v>
      </c>
      <c r="C1099" s="64" t="s">
        <v>86</v>
      </c>
      <c r="D1099" s="65">
        <v>40101</v>
      </c>
      <c r="E1099" s="64"/>
      <c r="F1099" s="64">
        <v>10</v>
      </c>
      <c r="G1099" s="64">
        <v>2025</v>
      </c>
      <c r="H1099" s="66"/>
      <c r="I1099" s="64"/>
      <c r="J1099" s="64"/>
      <c r="K1099" s="64"/>
      <c r="L1099" s="64"/>
      <c r="M1099" s="64"/>
      <c r="N1099" s="64"/>
      <c r="O1099" s="64"/>
      <c r="P1099" s="64"/>
      <c r="Q1099" s="64"/>
      <c r="R1099" s="64"/>
      <c r="S1099" s="66"/>
      <c r="T1099" s="66"/>
      <c r="U1099" s="66"/>
      <c r="V1099" s="66"/>
      <c r="W1099" s="66"/>
      <c r="X1099" s="66"/>
      <c r="Y1099" s="66"/>
      <c r="Z1099" s="66"/>
      <c r="AA1099" s="66"/>
      <c r="AB1099" s="66"/>
      <c r="AC1099" s="66"/>
      <c r="AD1099" s="66"/>
      <c r="AE1099" s="66"/>
      <c r="AF1099" s="66"/>
      <c r="AG1099" s="66"/>
      <c r="AH1099" s="66"/>
      <c r="AI1099" s="66"/>
      <c r="AJ1099" s="66"/>
      <c r="AK1099" s="66"/>
      <c r="AL1099" s="66"/>
      <c r="AM1099" s="66"/>
      <c r="AN1099" s="66"/>
      <c r="AO1099" s="66"/>
      <c r="AP1099" s="66"/>
      <c r="AQ1099" s="66"/>
      <c r="AR1099" s="66"/>
      <c r="AS1099" s="66"/>
      <c r="AT1099" s="66"/>
      <c r="AU1099" s="66"/>
      <c r="AV1099" s="66"/>
      <c r="AW1099" s="66"/>
      <c r="AX1099" s="66"/>
      <c r="AY1099" s="41" t="str">
        <f t="shared" si="337"/>
        <v>Incomplete</v>
      </c>
      <c r="AZ1099" s="66"/>
      <c r="BA1099" s="20" t="str">
        <f t="shared" si="338"/>
        <v>Incomplete</v>
      </c>
      <c r="BB1099" s="66"/>
      <c r="BC1099" s="20" t="str">
        <f t="shared" si="339"/>
        <v>Incomplete</v>
      </c>
      <c r="BD1099" s="66"/>
      <c r="BE1099" s="20" t="str">
        <f t="shared" si="340"/>
        <v>Incomplete</v>
      </c>
      <c r="BF1099" s="66"/>
      <c r="BG1099" s="66">
        <v>17.600000000000001</v>
      </c>
      <c r="BH1099" s="66">
        <v>27.2</v>
      </c>
      <c r="BI1099" s="20" t="e">
        <f>IF(OR(ISBLANK(#REF!), ISBLANK(#REF!)),"Incomplete",(SUM(#REF!-#REF!)))</f>
        <v>#REF!</v>
      </c>
      <c r="BJ1099" s="66"/>
      <c r="BK1099" s="66">
        <v>8</v>
      </c>
      <c r="BL1099" s="66"/>
      <c r="BM1099" s="66">
        <v>8</v>
      </c>
      <c r="BN1099" s="66"/>
      <c r="BO1099" s="66"/>
      <c r="BP1099" s="66"/>
      <c r="BQ1099" s="66"/>
      <c r="BR1099" s="66"/>
      <c r="BS1099" s="66"/>
      <c r="BT1099" s="66"/>
      <c r="BU1099" s="66"/>
      <c r="BV1099" s="66"/>
      <c r="BW1099" s="91" t="str">
        <f t="shared" si="341"/>
        <v>Incomplete</v>
      </c>
      <c r="BX1099" s="91" t="str">
        <f>_xlfn.XLOOKUP(BW1099,'Normative data'!$V$3:$V$6,'Normative data'!$W$3:$W$6,"Not Found",-1)</f>
        <v>Very low risk</v>
      </c>
      <c r="BY1099" s="91" t="str">
        <f t="shared" si="342"/>
        <v>Incomplete</v>
      </c>
      <c r="BZ1099" s="91" t="str">
        <f>_xlfn.XLOOKUP(BY1099,'Normative data'!$V$3:$V$6,'Normative data'!$W$3:$W$6,"Not Found",-1)</f>
        <v>Very low risk</v>
      </c>
      <c r="CA1099" s="66"/>
      <c r="CB1099" s="66"/>
      <c r="CC1099" s="20"/>
      <c r="CD1099" s="66"/>
      <c r="CE1099" s="66">
        <v>3</v>
      </c>
      <c r="CF1099" s="66"/>
      <c r="CG1099" s="66"/>
      <c r="CH1099" s="20" t="str">
        <f>_xlfn.XLOOKUP(CG1099, 'Normative data'!$S$9:$S$15,'Normative data'!$T$9:$T$15, "Not Found", -1)</f>
        <v>not completed</v>
      </c>
      <c r="CI1099" s="66"/>
      <c r="CJ1099" s="20" t="str">
        <f>_xlfn.XLOOKUP(CI1099, 'Normative data'!$S$9:$S$15, 'Normative data'!$T$9:$T$15, "Not Found", -1)</f>
        <v>not completed</v>
      </c>
      <c r="CK1099" s="66">
        <v>2.4300000000000002</v>
      </c>
      <c r="CL1099" s="66">
        <v>4.12</v>
      </c>
      <c r="CM1099" s="105"/>
      <c r="CN1099" s="66">
        <v>8.2899999999999991</v>
      </c>
      <c r="CO1099" s="66">
        <v>6.03</v>
      </c>
      <c r="CP1099" s="68"/>
      <c r="CQ1099" s="68"/>
      <c r="CR1099" s="20" t="str" cm="1">
        <f t="array" ref="CR1099">IF(OR(ISBLANK(E1099),ISBLANK(CQ1099)),"Incomplete",_xlfn.XLOOKUP(CQ1099,_xlfn.XLOOKUP(E1099,'Normative data'!$Y$3:$Y$6,'Normative data'!$Z$3:$AG$6,,-1),'Normative data'!$Z$2:$AG$2,"Not Found",-1))</f>
        <v>Incomplete</v>
      </c>
      <c r="CS1099" s="68"/>
      <c r="CT1099" s="66"/>
      <c r="CU1099" s="20" t="str" cm="1">
        <f t="array" ref="CU1099">_xlfn.XLOOKUP(CS1099&amp;CT1099,(VLOOKUP!$A$3:$A$250)&amp;(VLOOKUP!$B$3:$B$250),VLOOKUP!$C$3:$C$250,"Incomplete",-1)</f>
        <v>Incomplete</v>
      </c>
      <c r="CV1099" s="20" t="str" cm="1">
        <f t="array" ref="CV1099">_xlfn.XLOOKUP(CU1099, _xlfn.XLOOKUP(E1099, 'Normative data'!$Y$11:$Y$14, 'Normative data'!$Z$11:$AG$14, ,-1), 'Normative data'!$Z$10:$AG$10, "Not Found", -1)</f>
        <v>Excellent</v>
      </c>
      <c r="CW1099" s="20" t="str" cm="1">
        <f t="array" ref="CW1099">IF(OR(ISBLANK(CS1099),ISBLANK(CT1099)),"Incomplete",_xlfn.XLOOKUP(CS1099&amp;CT1099,VLOOKUP!$A$4:$A$250&amp;VLOOKUP!$B$4:$B$250,VLOOKUP!$D$4:$D$250,"0"))</f>
        <v>Incomplete</v>
      </c>
    </row>
    <row r="1100" spans="1:101">
      <c r="A1100" s="64" t="s">
        <v>1519</v>
      </c>
      <c r="B1100" s="64" t="s">
        <v>1518</v>
      </c>
      <c r="C1100" s="64" t="s">
        <v>86</v>
      </c>
      <c r="D1100" s="65">
        <v>40101</v>
      </c>
      <c r="E1100" s="64"/>
      <c r="F1100" s="64">
        <v>10</v>
      </c>
      <c r="G1100" s="64">
        <v>2025</v>
      </c>
      <c r="H1100" s="66"/>
      <c r="I1100" s="64"/>
      <c r="J1100" s="64"/>
      <c r="K1100" s="64"/>
      <c r="L1100" s="64"/>
      <c r="M1100" s="64"/>
      <c r="N1100" s="64"/>
      <c r="O1100" s="64"/>
      <c r="P1100" s="64"/>
      <c r="Q1100" s="64"/>
      <c r="R1100" s="64"/>
      <c r="S1100" s="66"/>
      <c r="T1100" s="66"/>
      <c r="U1100" s="66"/>
      <c r="V1100" s="66"/>
      <c r="W1100" s="66"/>
      <c r="X1100" s="66"/>
      <c r="Y1100" s="66"/>
      <c r="Z1100" s="66"/>
      <c r="AA1100" s="66"/>
      <c r="AB1100" s="66"/>
      <c r="AC1100" s="66"/>
      <c r="AD1100" s="66"/>
      <c r="AE1100" s="66"/>
      <c r="AF1100" s="66"/>
      <c r="AG1100" s="66"/>
      <c r="AH1100" s="66"/>
      <c r="AI1100" s="66"/>
      <c r="AJ1100" s="66"/>
      <c r="AK1100" s="66"/>
      <c r="AL1100" s="66"/>
      <c r="AM1100" s="66"/>
      <c r="AN1100" s="66"/>
      <c r="AO1100" s="66"/>
      <c r="AP1100" s="66"/>
      <c r="AQ1100" s="66"/>
      <c r="AR1100" s="66"/>
      <c r="AS1100" s="66"/>
      <c r="AT1100" s="66"/>
      <c r="AU1100" s="66"/>
      <c r="AV1100" s="66"/>
      <c r="AW1100" s="66"/>
      <c r="AX1100" s="66"/>
      <c r="AY1100" s="41" t="str">
        <f t="shared" si="337"/>
        <v>Incomplete</v>
      </c>
      <c r="AZ1100" s="66"/>
      <c r="BA1100" s="20" t="str">
        <f t="shared" si="338"/>
        <v>Incomplete</v>
      </c>
      <c r="BB1100" s="66"/>
      <c r="BC1100" s="20" t="str">
        <f t="shared" si="339"/>
        <v>Incomplete</v>
      </c>
      <c r="BD1100" s="66"/>
      <c r="BE1100" s="20" t="str">
        <f t="shared" si="340"/>
        <v>Incomplete</v>
      </c>
      <c r="BF1100" s="66"/>
      <c r="BG1100" s="66"/>
      <c r="BH1100" s="66"/>
      <c r="BI1100" s="20" t="str">
        <f>IF(OR(ISBLANK(BG1100), ISBLANK(BH1100)),"Incomplete",(SUM(BH1100-BG1100)))</f>
        <v>Incomplete</v>
      </c>
      <c r="BJ1100" s="66"/>
      <c r="BK1100" s="66"/>
      <c r="BL1100" s="66"/>
      <c r="BM1100" s="66"/>
      <c r="BN1100" s="66"/>
      <c r="BO1100" s="66"/>
      <c r="BP1100" s="66"/>
      <c r="BQ1100" s="66"/>
      <c r="BR1100" s="66"/>
      <c r="BS1100" s="66"/>
      <c r="BT1100" s="66"/>
      <c r="BU1100" s="66"/>
      <c r="BV1100" s="66"/>
      <c r="BW1100" s="91" t="str">
        <f t="shared" si="341"/>
        <v>Incomplete</v>
      </c>
      <c r="BX1100" s="91" t="str">
        <f>_xlfn.XLOOKUP(BW1100,'Normative data'!$V$3:$V$6,'Normative data'!$W$3:$W$6,"Not Found",-1)</f>
        <v>Very low risk</v>
      </c>
      <c r="BY1100" s="91" t="str">
        <f t="shared" si="342"/>
        <v>Incomplete</v>
      </c>
      <c r="BZ1100" s="91" t="str">
        <f>_xlfn.XLOOKUP(BY1100,'Normative data'!$V$3:$V$6,'Normative data'!$W$3:$W$6,"Not Found",-1)</f>
        <v>Very low risk</v>
      </c>
      <c r="CA1100" s="66"/>
      <c r="CB1100" s="66"/>
      <c r="CC1100" s="20"/>
      <c r="CD1100" s="66"/>
      <c r="CE1100" s="66"/>
      <c r="CF1100" s="66"/>
      <c r="CG1100" s="66"/>
      <c r="CH1100" s="20" t="str">
        <f>_xlfn.XLOOKUP(CG1100, 'Normative data'!$S$9:$S$15,'Normative data'!$T$9:$T$15, "Not Found", -1)</f>
        <v>not completed</v>
      </c>
      <c r="CI1100" s="66"/>
      <c r="CJ1100" s="20" t="str">
        <f>_xlfn.XLOOKUP(CI1100, 'Normative data'!$S$9:$S$15, 'Normative data'!$T$9:$T$15, "Not Found", -1)</f>
        <v>not completed</v>
      </c>
      <c r="CK1100" s="66" t="s">
        <v>116</v>
      </c>
      <c r="CL1100" s="66" t="s">
        <v>117</v>
      </c>
      <c r="CM1100" s="66"/>
      <c r="CN1100" s="66" t="s">
        <v>1753</v>
      </c>
      <c r="CO1100" s="66" t="s">
        <v>664</v>
      </c>
      <c r="CP1100" s="68"/>
      <c r="CQ1100" s="68"/>
      <c r="CR1100" s="20" t="str" cm="1">
        <f t="array" ref="CR1100">IF(OR(ISBLANK(E1100),ISBLANK(CQ1100)),"Incomplete",_xlfn.XLOOKUP(CQ1100,_xlfn.XLOOKUP(E1100,'Normative data'!$Y$3:$Y$6,'Normative data'!$Z$3:$AG$6,,-1),'Normative data'!$Z$2:$AG$2,"Not Found",-1))</f>
        <v>Incomplete</v>
      </c>
      <c r="CS1100" s="68"/>
      <c r="CT1100" s="66"/>
      <c r="CU1100" s="20" t="str" cm="1">
        <f t="array" ref="CU1100">_xlfn.XLOOKUP(CS1100&amp;CT1100,(VLOOKUP!$A$3:$A$250)&amp;(VLOOKUP!$B$3:$B$250),VLOOKUP!$C$3:$C$250,"Incomplete",-1)</f>
        <v>Incomplete</v>
      </c>
      <c r="CV1100" s="20" t="str" cm="1">
        <f t="array" ref="CV1100">_xlfn.XLOOKUP(CU1100, _xlfn.XLOOKUP(E1100, 'Normative data'!$Y$11:$Y$14, 'Normative data'!$Z$11:$AG$14, ,-1), 'Normative data'!$Z$10:$AG$10, "Not Found", -1)</f>
        <v>Excellent</v>
      </c>
      <c r="CW1100" s="20" t="str" cm="1">
        <f t="array" ref="CW1100">IF(OR(ISBLANK(CS1100),ISBLANK(CT1100)),"Incomplete",_xlfn.XLOOKUP(CS1100&amp;CT1100,VLOOKUP!$A$4:$A$250&amp;VLOOKUP!$B$4:$B$250,VLOOKUP!$D$4:$D$250,"0"))</f>
        <v>Incomplete</v>
      </c>
    </row>
    <row r="1101" spans="1:101">
      <c r="A1101" s="64" t="s">
        <v>1443</v>
      </c>
      <c r="B1101" s="64" t="s">
        <v>1442</v>
      </c>
      <c r="C1101" s="64" t="s">
        <v>86</v>
      </c>
      <c r="D1101" s="65">
        <v>40773</v>
      </c>
      <c r="E1101" s="64">
        <v>14.8</v>
      </c>
      <c r="F1101" s="66" t="s">
        <v>87</v>
      </c>
      <c r="G1101" s="64">
        <v>2026</v>
      </c>
      <c r="H1101" s="66"/>
      <c r="I1101" s="66">
        <v>2</v>
      </c>
      <c r="J1101" s="66" t="s">
        <v>100</v>
      </c>
      <c r="K1101" s="66" t="s">
        <v>173</v>
      </c>
      <c r="L1101" s="66"/>
      <c r="M1101" s="64"/>
      <c r="N1101" s="64"/>
      <c r="O1101" s="64"/>
      <c r="P1101" s="64"/>
      <c r="Q1101" s="64"/>
      <c r="R1101" s="64"/>
      <c r="S1101" s="66">
        <v>164.8</v>
      </c>
      <c r="T1101" s="66">
        <v>84.4</v>
      </c>
      <c r="U1101" s="64">
        <v>79.900000000000006</v>
      </c>
      <c r="V1101" s="64">
        <v>33.4</v>
      </c>
      <c r="W1101" s="64">
        <v>34.1</v>
      </c>
      <c r="X1101" s="64">
        <v>45.8</v>
      </c>
      <c r="Y1101" s="64">
        <v>25.3</v>
      </c>
      <c r="Z1101" s="64">
        <v>29.4</v>
      </c>
      <c r="AA1101" s="64">
        <v>42.7</v>
      </c>
      <c r="AB1101" s="64">
        <v>6.75</v>
      </c>
      <c r="AC1101" s="64">
        <v>90</v>
      </c>
      <c r="AD1101" s="64">
        <v>6.76</v>
      </c>
      <c r="AE1101" s="64">
        <v>90.1</v>
      </c>
      <c r="AF1101" s="64">
        <v>4.5999999999999996</v>
      </c>
      <c r="AG1101" s="64">
        <v>182.5</v>
      </c>
      <c r="AH1101" s="64">
        <v>4.5999999999999996</v>
      </c>
      <c r="AI1101" s="64">
        <v>183</v>
      </c>
      <c r="AJ1101" s="64">
        <v>347.3</v>
      </c>
      <c r="AK1101" s="64">
        <v>347.3</v>
      </c>
      <c r="AL1101" s="64">
        <v>306.8</v>
      </c>
      <c r="AM1101" s="64">
        <v>306.10000000000002</v>
      </c>
      <c r="AN1101" s="64">
        <v>67</v>
      </c>
      <c r="AO1101" s="64">
        <v>1.04</v>
      </c>
      <c r="AP1101" s="64">
        <v>6.8</v>
      </c>
      <c r="AQ1101" s="64">
        <v>20</v>
      </c>
      <c r="AR1101" s="64">
        <v>0.40400000000000003</v>
      </c>
      <c r="AS1101" s="64">
        <v>25</v>
      </c>
      <c r="AT1101" s="64">
        <v>0.45200000000000001</v>
      </c>
      <c r="AU1101" s="64">
        <v>12.6</v>
      </c>
      <c r="AV1101" s="64">
        <v>0.32100000000000001</v>
      </c>
      <c r="AW1101" s="64">
        <v>10.199999999999999</v>
      </c>
      <c r="AX1101" s="64">
        <v>0.28799999999999998</v>
      </c>
      <c r="AY1101" s="41">
        <f t="shared" si="337"/>
        <v>2778.4700000000003</v>
      </c>
      <c r="AZ1101" s="64"/>
      <c r="BA1101" s="20">
        <f t="shared" si="338"/>
        <v>3081.9700000000003</v>
      </c>
      <c r="BB1101" s="64"/>
      <c r="BC1101" s="20">
        <f t="shared" si="339"/>
        <v>2329.29</v>
      </c>
      <c r="BD1101" s="64"/>
      <c r="BE1101" s="20">
        <f t="shared" si="340"/>
        <v>2183.6100000000006</v>
      </c>
      <c r="BF1101" s="64"/>
      <c r="BG1101" s="64">
        <v>10</v>
      </c>
      <c r="BH1101" s="64">
        <v>40</v>
      </c>
      <c r="BI1101" s="20">
        <f>IF(OR(ISBLANK(BG1101), ISBLANK(BH1101)),"Incomplete",(SUM(BH1101-BG1101)))</f>
        <v>30</v>
      </c>
      <c r="BJ1101" s="66"/>
      <c r="BK1101" s="64">
        <v>12</v>
      </c>
      <c r="BL1101" s="66"/>
      <c r="BM1101" s="64">
        <v>12</v>
      </c>
      <c r="BN1101" s="66"/>
      <c r="BO1101" s="64">
        <v>58</v>
      </c>
      <c r="BP1101" s="64">
        <v>60</v>
      </c>
      <c r="BQ1101" s="64">
        <v>73</v>
      </c>
      <c r="BR1101" s="64">
        <v>76</v>
      </c>
      <c r="BS1101" s="64">
        <v>61</v>
      </c>
      <c r="BT1101" s="64">
        <v>71</v>
      </c>
      <c r="BU1101" s="64">
        <v>77</v>
      </c>
      <c r="BV1101" s="64">
        <v>77</v>
      </c>
      <c r="BW1101" s="91">
        <f t="shared" si="341"/>
        <v>-87.06467661691542</v>
      </c>
      <c r="BX1101" s="91" t="str">
        <f>_xlfn.XLOOKUP(BW1101,'Normative data'!$V$3:$V$6,'Normative data'!$W$3:$W$6,"Not Found",-1)</f>
        <v>Not Found</v>
      </c>
      <c r="BY1101" s="91">
        <f t="shared" si="342"/>
        <v>-93.283582089552226</v>
      </c>
      <c r="BZ1101" s="91" t="str">
        <f>_xlfn.XLOOKUP(BY1101,'Normative data'!$V$3:$V$6,'Normative data'!$W$3:$W$6,"Not Found",-1)</f>
        <v>Not Found</v>
      </c>
      <c r="CA1101" s="64">
        <v>20</v>
      </c>
      <c r="CB1101" s="66"/>
      <c r="CC1101" s="20"/>
      <c r="CD1101" s="66"/>
      <c r="CE1101" s="64">
        <v>3</v>
      </c>
      <c r="CF1101" s="66"/>
      <c r="CG1101" s="66"/>
      <c r="CH1101" s="20" t="str">
        <f>_xlfn.XLOOKUP(CG1101, 'Normative data'!$S$9:$S$15,'Normative data'!$T$9:$T$15, "Not Found", -1)</f>
        <v>not completed</v>
      </c>
      <c r="CI1101" s="66"/>
      <c r="CJ1101" s="20" t="str">
        <f>_xlfn.XLOOKUP(CI1101, 'Normative data'!$S$9:$S$15, 'Normative data'!$T$9:$T$15, "Not Found", -1)</f>
        <v>not completed</v>
      </c>
      <c r="CK1101" s="64">
        <v>2.36</v>
      </c>
      <c r="CL1101" s="64">
        <v>4.24</v>
      </c>
      <c r="CM1101" s="66"/>
      <c r="CN1101" s="64">
        <v>7.33</v>
      </c>
      <c r="CO1101" s="64">
        <v>6.82</v>
      </c>
      <c r="CP1101" s="68"/>
      <c r="CQ1101" s="67">
        <v>3.5</v>
      </c>
      <c r="CR1101" s="20" t="str" cm="1">
        <f t="array" ref="CR1101">IF(OR(ISBLANK(E1101),ISBLANK(CQ1101)),"Incomplete",_xlfn.XLOOKUP(CQ1101,_xlfn.XLOOKUP(E1101,'Normative data'!$Y$3:$Y$6,'Normative data'!$Z$3:$AG$6,,-1),'Normative data'!$Z$2:$AG$2,"Not Found",-1))</f>
        <v>Poor</v>
      </c>
      <c r="CS1101" s="68">
        <v>3</v>
      </c>
      <c r="CT1101" s="66">
        <v>5</v>
      </c>
      <c r="CU1101" s="20" cm="1">
        <f t="array" ref="CU1101">_xlfn.XLOOKUP(CS1101&amp;CT1101,(VLOOKUP!$A$3:$A$250)&amp;(VLOOKUP!$B$3:$B$250),VLOOKUP!$C$3:$C$250,"Incomplete",-1)</f>
        <v>400</v>
      </c>
      <c r="CV1101" s="20" t="str" cm="1">
        <f t="array" ref="CV1101">_xlfn.XLOOKUP(CU1101, _xlfn.XLOOKUP(E1101, 'Normative data'!$Y$11:$Y$14, 'Normative data'!$Z$11:$AG$14, ,-1), 'Normative data'!$Z$10:$AG$10, "Not Found", -1)</f>
        <v xml:space="preserve">Poor </v>
      </c>
      <c r="CW1101" s="20" cm="1">
        <f t="array" ref="CW1101">IF(OR(ISBLANK(CS1101),ISBLANK(CT1101)),"Incomplete",_xlfn.XLOOKUP(CS1101&amp;CT1101,VLOOKUP!$A$4:$A$250&amp;VLOOKUP!$B$4:$B$250,VLOOKUP!$D$4:$D$250,"0"))</f>
        <v>25</v>
      </c>
    </row>
    <row r="1102" spans="1:101">
      <c r="A1102" s="64" t="s">
        <v>1741</v>
      </c>
      <c r="B1102" s="64" t="s">
        <v>1019</v>
      </c>
      <c r="C1102" s="64" t="s">
        <v>86</v>
      </c>
      <c r="D1102" s="65">
        <v>39893</v>
      </c>
      <c r="E1102" s="64"/>
      <c r="F1102" s="64">
        <v>10</v>
      </c>
      <c r="G1102" s="64">
        <v>2025</v>
      </c>
      <c r="H1102" s="66"/>
      <c r="I1102" s="64"/>
      <c r="J1102" s="64"/>
      <c r="K1102" s="64"/>
      <c r="L1102" s="64"/>
      <c r="M1102" s="64"/>
      <c r="N1102" s="64"/>
      <c r="O1102" s="64"/>
      <c r="P1102" s="64"/>
      <c r="Q1102" s="64"/>
      <c r="R1102" s="64"/>
      <c r="S1102" s="66"/>
      <c r="T1102" s="66"/>
      <c r="U1102" s="66"/>
      <c r="V1102" s="66"/>
      <c r="W1102" s="66"/>
      <c r="X1102" s="66"/>
      <c r="Y1102" s="66"/>
      <c r="Z1102" s="66"/>
      <c r="AA1102" s="66"/>
      <c r="AB1102" s="66"/>
      <c r="AC1102" s="66"/>
      <c r="AD1102" s="66"/>
      <c r="AE1102" s="66"/>
      <c r="AF1102" s="66"/>
      <c r="AG1102" s="66"/>
      <c r="AH1102" s="66"/>
      <c r="AI1102" s="66"/>
      <c r="AJ1102" s="66"/>
      <c r="AK1102" s="66"/>
      <c r="AL1102" s="66"/>
      <c r="AM1102" s="66"/>
      <c r="AN1102" s="66"/>
      <c r="AO1102" s="66"/>
      <c r="AP1102" s="66"/>
      <c r="AQ1102" s="66"/>
      <c r="AR1102" s="66"/>
      <c r="AS1102" s="66"/>
      <c r="AT1102" s="66"/>
      <c r="AU1102" s="66"/>
      <c r="AV1102" s="66"/>
      <c r="AW1102" s="66"/>
      <c r="AX1102" s="66"/>
      <c r="AY1102" s="41" t="str">
        <f t="shared" si="337"/>
        <v>Incomplete</v>
      </c>
      <c r="AZ1102" s="66"/>
      <c r="BA1102" s="20" t="str">
        <f t="shared" si="338"/>
        <v>Incomplete</v>
      </c>
      <c r="BB1102" s="66"/>
      <c r="BC1102" s="20" t="str">
        <f t="shared" si="339"/>
        <v>Incomplete</v>
      </c>
      <c r="BD1102" s="66"/>
      <c r="BE1102" s="20" t="str">
        <f t="shared" si="340"/>
        <v>Incomplete</v>
      </c>
      <c r="BF1102" s="66"/>
      <c r="BG1102" s="66">
        <v>14.3</v>
      </c>
      <c r="BH1102" s="66">
        <v>39.5</v>
      </c>
      <c r="BI1102" s="20" t="e">
        <f>IF(OR(ISBLANK(#REF!), ISBLANK(#REF!)),"Incomplete",(SUM(#REF!-#REF!)))</f>
        <v>#REF!</v>
      </c>
      <c r="BJ1102" s="66"/>
      <c r="BK1102" s="66">
        <v>3</v>
      </c>
      <c r="BL1102" s="66"/>
      <c r="BM1102" s="66">
        <v>4</v>
      </c>
      <c r="BN1102" s="66"/>
      <c r="BO1102" s="66"/>
      <c r="BP1102" s="66"/>
      <c r="BQ1102" s="66"/>
      <c r="BR1102" s="66"/>
      <c r="BS1102" s="66"/>
      <c r="BT1102" s="66"/>
      <c r="BU1102" s="66"/>
      <c r="BV1102" s="66"/>
      <c r="BW1102" s="91" t="str">
        <f t="shared" si="341"/>
        <v>Incomplete</v>
      </c>
      <c r="BX1102" s="91" t="str">
        <f>_xlfn.XLOOKUP(BW1102,'Normative data'!$V$3:$V$6,'Normative data'!$W$3:$W$6,"Not Found",-1)</f>
        <v>Very low risk</v>
      </c>
      <c r="BY1102" s="91" t="str">
        <f t="shared" si="342"/>
        <v>Incomplete</v>
      </c>
      <c r="BZ1102" s="91" t="str">
        <f>_xlfn.XLOOKUP(BY1102,'Normative data'!$V$3:$V$6,'Normative data'!$W$3:$W$6,"Not Found",-1)</f>
        <v>Very low risk</v>
      </c>
      <c r="CA1102" s="66"/>
      <c r="CB1102" s="66"/>
      <c r="CC1102" s="20"/>
      <c r="CD1102" s="66"/>
      <c r="CE1102" s="66">
        <v>4</v>
      </c>
      <c r="CF1102" s="66"/>
      <c r="CG1102" s="66"/>
      <c r="CH1102" s="20" t="str">
        <f>_xlfn.XLOOKUP(CG1102, 'Normative data'!$S$9:$S$15,'Normative data'!$T$9:$T$15, "Not Found", -1)</f>
        <v>not completed</v>
      </c>
      <c r="CI1102" s="66"/>
      <c r="CJ1102" s="20" t="str">
        <f>_xlfn.XLOOKUP(CI1102, 'Normative data'!$S$9:$S$15, 'Normative data'!$T$9:$T$15, "Not Found", -1)</f>
        <v>not completed</v>
      </c>
      <c r="CK1102" s="105">
        <v>2.42</v>
      </c>
      <c r="CL1102" s="105">
        <v>4.13</v>
      </c>
      <c r="CM1102" s="105"/>
      <c r="CN1102" s="105">
        <v>7.47</v>
      </c>
      <c r="CO1102" s="105">
        <v>6.69</v>
      </c>
      <c r="CP1102" s="109"/>
      <c r="CQ1102" s="68"/>
      <c r="CR1102" s="20" t="str" cm="1">
        <f t="array" ref="CR1102">IF(OR(ISBLANK(E1102),ISBLANK(CQ1102)),"Incomplete",_xlfn.XLOOKUP(CQ1102,_xlfn.XLOOKUP(E1102,'Normative data'!$Y$3:$Y$6,'Normative data'!$Z$3:$AG$6,,-1),'Normative data'!$Z$2:$AG$2,"Not Found",-1))</f>
        <v>Incomplete</v>
      </c>
      <c r="CS1102" s="68"/>
      <c r="CT1102" s="66"/>
      <c r="CU1102" s="20" t="str" cm="1">
        <f t="array" ref="CU1102">_xlfn.XLOOKUP(CS1102&amp;CT1102,(VLOOKUP!$A$3:$A$250)&amp;(VLOOKUP!$B$3:$B$250),VLOOKUP!$C$3:$C$250,"Incomplete",-1)</f>
        <v>Incomplete</v>
      </c>
      <c r="CV1102" s="20" t="str" cm="1">
        <f t="array" ref="CV1102">_xlfn.XLOOKUP(CU1102, _xlfn.XLOOKUP(E1102, 'Normative data'!$Y$11:$Y$14, 'Normative data'!$Z$11:$AG$14, ,-1), 'Normative data'!$Z$10:$AG$10, "Not Found", -1)</f>
        <v>Excellent</v>
      </c>
      <c r="CW1102" s="20" t="str" cm="1">
        <f t="array" ref="CW1102">IF(OR(ISBLANK(CS1102),ISBLANK(CT1102)),"Incomplete",_xlfn.XLOOKUP(CS1102&amp;CT1102,VLOOKUP!$A$4:$A$250&amp;VLOOKUP!$B$4:$B$250,VLOOKUP!$D$4:$D$250,"0"))</f>
        <v>Incomplete</v>
      </c>
    </row>
    <row r="1103" spans="1:101">
      <c r="A1103" s="64" t="s">
        <v>1741</v>
      </c>
      <c r="B1103" s="64" t="s">
        <v>1019</v>
      </c>
      <c r="C1103" s="64" t="s">
        <v>86</v>
      </c>
      <c r="D1103" s="65">
        <v>39893</v>
      </c>
      <c r="E1103" s="64"/>
      <c r="F1103" s="64">
        <v>10</v>
      </c>
      <c r="G1103" s="64">
        <v>2025</v>
      </c>
      <c r="H1103" s="66"/>
      <c r="I1103" s="64"/>
      <c r="J1103" s="64"/>
      <c r="K1103" s="64"/>
      <c r="L1103" s="64"/>
      <c r="M1103" s="64"/>
      <c r="N1103" s="64"/>
      <c r="O1103" s="64"/>
      <c r="P1103" s="64"/>
      <c r="Q1103" s="64"/>
      <c r="R1103" s="64"/>
      <c r="S1103" s="66"/>
      <c r="T1103" s="66"/>
      <c r="U1103" s="66"/>
      <c r="V1103" s="66"/>
      <c r="W1103" s="66"/>
      <c r="X1103" s="66"/>
      <c r="Y1103" s="66"/>
      <c r="Z1103" s="66"/>
      <c r="AA1103" s="66"/>
      <c r="AB1103" s="66"/>
      <c r="AC1103" s="66"/>
      <c r="AD1103" s="66"/>
      <c r="AE1103" s="66"/>
      <c r="AF1103" s="66"/>
      <c r="AG1103" s="66"/>
      <c r="AH1103" s="66"/>
      <c r="AI1103" s="66"/>
      <c r="AJ1103" s="66"/>
      <c r="AK1103" s="66"/>
      <c r="AL1103" s="66"/>
      <c r="AM1103" s="66"/>
      <c r="AN1103" s="66"/>
      <c r="AO1103" s="66"/>
      <c r="AP1103" s="66"/>
      <c r="AQ1103" s="66"/>
      <c r="AR1103" s="66"/>
      <c r="AS1103" s="66"/>
      <c r="AT1103" s="66"/>
      <c r="AU1103" s="66"/>
      <c r="AV1103" s="66"/>
      <c r="AW1103" s="66"/>
      <c r="AX1103" s="66"/>
      <c r="AY1103" s="41" t="str">
        <f t="shared" si="337"/>
        <v>Incomplete</v>
      </c>
      <c r="AZ1103" s="66"/>
      <c r="BA1103" s="20" t="str">
        <f t="shared" si="338"/>
        <v>Incomplete</v>
      </c>
      <c r="BB1103" s="66"/>
      <c r="BC1103" s="20" t="str">
        <f t="shared" si="339"/>
        <v>Incomplete</v>
      </c>
      <c r="BD1103" s="66"/>
      <c r="BE1103" s="20" t="str">
        <f t="shared" si="340"/>
        <v>Incomplete</v>
      </c>
      <c r="BF1103" s="66"/>
      <c r="BG1103" s="66"/>
      <c r="BH1103" s="66"/>
      <c r="BI1103" s="20" t="str">
        <f t="shared" ref="BI1103:BI1109" si="343">IF(OR(ISBLANK(BG1103), ISBLANK(BH1103)),"Incomplete",(SUM(BH1103-BG1103)))</f>
        <v>Incomplete</v>
      </c>
      <c r="BJ1103" s="66"/>
      <c r="BK1103" s="66"/>
      <c r="BL1103" s="66"/>
      <c r="BM1103" s="66"/>
      <c r="BN1103" s="66"/>
      <c r="BO1103" s="66"/>
      <c r="BP1103" s="66"/>
      <c r="BQ1103" s="66"/>
      <c r="BR1103" s="66"/>
      <c r="BS1103" s="66"/>
      <c r="BT1103" s="66"/>
      <c r="BU1103" s="66"/>
      <c r="BV1103" s="66"/>
      <c r="BW1103" s="91" t="str">
        <f t="shared" si="341"/>
        <v>Incomplete</v>
      </c>
      <c r="BX1103" s="91" t="str">
        <f>_xlfn.XLOOKUP(BW1103,'Normative data'!$V$3:$V$6,'Normative data'!$W$3:$W$6,"Not Found",-1)</f>
        <v>Very low risk</v>
      </c>
      <c r="BY1103" s="91" t="str">
        <f t="shared" si="342"/>
        <v>Incomplete</v>
      </c>
      <c r="BZ1103" s="91" t="str">
        <f>_xlfn.XLOOKUP(BY1103,'Normative data'!$V$3:$V$6,'Normative data'!$W$3:$W$6,"Not Found",-1)</f>
        <v>Very low risk</v>
      </c>
      <c r="CA1103" s="66"/>
      <c r="CB1103" s="66"/>
      <c r="CC1103" s="20"/>
      <c r="CD1103" s="66"/>
      <c r="CE1103" s="66"/>
      <c r="CF1103" s="66"/>
      <c r="CG1103" s="66"/>
      <c r="CH1103" s="20" t="str">
        <f>_xlfn.XLOOKUP(CG1103, 'Normative data'!$S$9:$S$15,'Normative data'!$T$9:$T$15, "Not Found", -1)</f>
        <v>not completed</v>
      </c>
      <c r="CI1103" s="66"/>
      <c r="CJ1103" s="20" t="str">
        <f>_xlfn.XLOOKUP(CI1103, 'Normative data'!$S$9:$S$15, 'Normative data'!$T$9:$T$15, "Not Found", -1)</f>
        <v>not completed</v>
      </c>
      <c r="CK1103" s="66" t="s">
        <v>1577</v>
      </c>
      <c r="CL1103" s="66" t="s">
        <v>1578</v>
      </c>
      <c r="CM1103" s="66"/>
      <c r="CN1103" s="66" t="s">
        <v>748</v>
      </c>
      <c r="CO1103" s="66" t="s">
        <v>749</v>
      </c>
      <c r="CP1103" s="68"/>
      <c r="CQ1103" s="68"/>
      <c r="CR1103" s="20" t="str" cm="1">
        <f t="array" ref="CR1103">IF(OR(ISBLANK(E1103),ISBLANK(CQ1103)),"Incomplete",_xlfn.XLOOKUP(CQ1103,_xlfn.XLOOKUP(E1103,'Normative data'!$Y$3:$Y$6,'Normative data'!$Z$3:$AG$6,,-1),'Normative data'!$Z$2:$AG$2,"Not Found",-1))</f>
        <v>Incomplete</v>
      </c>
      <c r="CS1103" s="68"/>
      <c r="CT1103" s="66"/>
      <c r="CU1103" s="20" t="str" cm="1">
        <f t="array" ref="CU1103">_xlfn.XLOOKUP(CS1103&amp;CT1103,(VLOOKUP!$A$3:$A$250)&amp;(VLOOKUP!$B$3:$B$250),VLOOKUP!$C$3:$C$250,"Incomplete",-1)</f>
        <v>Incomplete</v>
      </c>
      <c r="CV1103" s="20" t="str" cm="1">
        <f t="array" ref="CV1103">_xlfn.XLOOKUP(CU1103, _xlfn.XLOOKUP(E1103, 'Normative data'!$Y$11:$Y$14, 'Normative data'!$Z$11:$AG$14, ,-1), 'Normative data'!$Z$10:$AG$10, "Not Found", -1)</f>
        <v>Excellent</v>
      </c>
      <c r="CW1103" s="20" t="str" cm="1">
        <f t="array" ref="CW1103">IF(OR(ISBLANK(CS1103),ISBLANK(CT1103)),"Incomplete",_xlfn.XLOOKUP(CS1103&amp;CT1103,VLOOKUP!$A$4:$A$250&amp;VLOOKUP!$B$4:$B$250,VLOOKUP!$D$4:$D$250,"0"))</f>
        <v>Incomplete</v>
      </c>
    </row>
    <row r="1104" spans="1:101">
      <c r="A1104" s="94" t="s">
        <v>1754</v>
      </c>
      <c r="B1104" s="94" t="s">
        <v>1239</v>
      </c>
      <c r="C1104" s="64" t="s">
        <v>86</v>
      </c>
      <c r="D1104" s="97">
        <v>39725</v>
      </c>
      <c r="E1104" s="64"/>
      <c r="F1104" s="64">
        <v>11</v>
      </c>
      <c r="G1104" s="64">
        <v>2025</v>
      </c>
      <c r="H1104" s="66"/>
      <c r="I1104" s="64"/>
      <c r="J1104" s="64"/>
      <c r="K1104" s="64"/>
      <c r="L1104" s="64"/>
      <c r="M1104" s="64"/>
      <c r="N1104" s="64"/>
      <c r="O1104" s="64"/>
      <c r="P1104" s="64"/>
      <c r="Q1104" s="64"/>
      <c r="R1104" s="64"/>
      <c r="S1104" s="66"/>
      <c r="T1104" s="66"/>
      <c r="U1104" s="66"/>
      <c r="V1104" s="66"/>
      <c r="W1104" s="66"/>
      <c r="X1104" s="66"/>
      <c r="Y1104" s="66"/>
      <c r="Z1104" s="66"/>
      <c r="AA1104" s="66"/>
      <c r="AB1104" s="66"/>
      <c r="AC1104" s="66"/>
      <c r="AD1104" s="66"/>
      <c r="AE1104" s="66"/>
      <c r="AF1104" s="66"/>
      <c r="AG1104" s="66"/>
      <c r="AH1104" s="66"/>
      <c r="AI1104" s="66"/>
      <c r="AJ1104" s="66"/>
      <c r="AK1104" s="66"/>
      <c r="AL1104" s="66"/>
      <c r="AM1104" s="66"/>
      <c r="AN1104" s="66"/>
      <c r="AO1104" s="66"/>
      <c r="AP1104" s="66"/>
      <c r="AQ1104" s="66"/>
      <c r="AR1104" s="66"/>
      <c r="AS1104" s="66"/>
      <c r="AT1104" s="66"/>
      <c r="AU1104" s="66"/>
      <c r="AV1104" s="66"/>
      <c r="AW1104" s="66"/>
      <c r="AX1104" s="66"/>
      <c r="AY1104" s="41" t="str">
        <f t="shared" si="337"/>
        <v>Incomplete</v>
      </c>
      <c r="AZ1104" s="66"/>
      <c r="BA1104" s="20" t="str">
        <f t="shared" si="338"/>
        <v>Incomplete</v>
      </c>
      <c r="BB1104" s="66"/>
      <c r="BC1104" s="20" t="str">
        <f t="shared" si="339"/>
        <v>Incomplete</v>
      </c>
      <c r="BD1104" s="66"/>
      <c r="BE1104" s="20" t="str">
        <f t="shared" si="340"/>
        <v>Incomplete</v>
      </c>
      <c r="BF1104" s="66"/>
      <c r="BG1104" s="66">
        <v>16</v>
      </c>
      <c r="BH1104" s="66">
        <v>36.799999999999997</v>
      </c>
      <c r="BI1104" s="20">
        <f t="shared" si="343"/>
        <v>20.799999999999997</v>
      </c>
      <c r="BJ1104" s="66"/>
      <c r="BK1104" s="66">
        <v>7</v>
      </c>
      <c r="BL1104" s="66"/>
      <c r="BM1104" s="66">
        <v>6</v>
      </c>
      <c r="BN1104" s="66"/>
      <c r="BO1104" s="66"/>
      <c r="BP1104" s="66"/>
      <c r="BQ1104" s="66"/>
      <c r="BR1104" s="66"/>
      <c r="BS1104" s="66"/>
      <c r="BT1104" s="66"/>
      <c r="BU1104" s="66"/>
      <c r="BV1104" s="66"/>
      <c r="BW1104" s="91" t="str">
        <f t="shared" si="341"/>
        <v>Incomplete</v>
      </c>
      <c r="BX1104" s="91" t="str">
        <f>_xlfn.XLOOKUP(BW1104,'Normative data'!$V$3:$V$6,'Normative data'!$W$3:$W$6,"Not Found",-1)</f>
        <v>Very low risk</v>
      </c>
      <c r="BY1104" s="91" t="str">
        <f t="shared" si="342"/>
        <v>Incomplete</v>
      </c>
      <c r="BZ1104" s="91" t="str">
        <f>_xlfn.XLOOKUP(BY1104,'Normative data'!$V$3:$V$6,'Normative data'!$W$3:$W$6,"Not Found",-1)</f>
        <v>Very low risk</v>
      </c>
      <c r="CA1104" s="66"/>
      <c r="CB1104" s="66"/>
      <c r="CC1104" s="20"/>
      <c r="CD1104" s="66"/>
      <c r="CE1104" s="66"/>
      <c r="CF1104" s="66"/>
      <c r="CG1104" s="66"/>
      <c r="CH1104" s="20" t="str">
        <f>_xlfn.XLOOKUP(CG1104, 'Normative data'!$S$9:$S$15,'Normative data'!$T$9:$T$15, "Not Found", -1)</f>
        <v>not completed</v>
      </c>
      <c r="CI1104" s="66"/>
      <c r="CJ1104" s="20" t="str">
        <f>_xlfn.XLOOKUP(CI1104, 'Normative data'!$S$9:$S$15, 'Normative data'!$T$9:$T$15, "Not Found", -1)</f>
        <v>not completed</v>
      </c>
      <c r="CK1104" s="106">
        <v>2.2200000000000002</v>
      </c>
      <c r="CL1104" s="106">
        <v>4.46</v>
      </c>
      <c r="CM1104" s="105"/>
      <c r="CN1104" s="106">
        <v>7.58</v>
      </c>
      <c r="CO1104" s="106">
        <v>6.6</v>
      </c>
      <c r="CP1104" s="110"/>
      <c r="CQ1104" s="68"/>
      <c r="CR1104" s="20" t="str" cm="1">
        <f t="array" ref="CR1104">IF(OR(ISBLANK(E1104),ISBLANK(CQ1104)),"Incomplete",_xlfn.XLOOKUP(CQ1104,_xlfn.XLOOKUP(E1104,'Normative data'!$Y$3:$Y$6,'Normative data'!$Z$3:$AG$6,,-1),'Normative data'!$Z$2:$AG$2,"Not Found",-1))</f>
        <v>Incomplete</v>
      </c>
      <c r="CS1104" s="68"/>
      <c r="CT1104" s="66"/>
      <c r="CU1104" s="20" t="str" cm="1">
        <f t="array" ref="CU1104">_xlfn.XLOOKUP(CS1104&amp;CT1104,(VLOOKUP!$A$3:$A$250)&amp;(VLOOKUP!$B$3:$B$250),VLOOKUP!$C$3:$C$250,"Incomplete",-1)</f>
        <v>Incomplete</v>
      </c>
      <c r="CV1104" s="20" t="str" cm="1">
        <f t="array" ref="CV1104">_xlfn.XLOOKUP(CU1104, _xlfn.XLOOKUP(E1104, 'Normative data'!$Y$11:$Y$14, 'Normative data'!$Z$11:$AG$14, ,-1), 'Normative data'!$Z$10:$AG$10, "Not Found", -1)</f>
        <v>Excellent</v>
      </c>
      <c r="CW1104" s="20" t="str" cm="1">
        <f t="array" ref="CW1104">IF(OR(ISBLANK(CS1104),ISBLANK(CT1104)),"Incomplete",_xlfn.XLOOKUP(CS1104&amp;CT1104,VLOOKUP!$A$4:$A$250&amp;VLOOKUP!$B$4:$B$250,VLOOKUP!$D$4:$D$250,"0"))</f>
        <v>Incomplete</v>
      </c>
    </row>
    <row r="1105" spans="1:101">
      <c r="A1105" s="93" t="s">
        <v>1755</v>
      </c>
      <c r="B1105" s="93" t="s">
        <v>1756</v>
      </c>
      <c r="C1105" s="64" t="s">
        <v>86</v>
      </c>
      <c r="D1105" s="96">
        <v>39591</v>
      </c>
      <c r="E1105" s="64"/>
      <c r="F1105" s="64">
        <v>11</v>
      </c>
      <c r="G1105" s="64">
        <v>2025</v>
      </c>
      <c r="H1105" s="66"/>
      <c r="I1105" s="64"/>
      <c r="J1105" s="64"/>
      <c r="K1105" s="64"/>
      <c r="L1105" s="64"/>
      <c r="M1105" s="64"/>
      <c r="N1105" s="64"/>
      <c r="O1105" s="64"/>
      <c r="P1105" s="64"/>
      <c r="Q1105" s="64"/>
      <c r="R1105" s="64"/>
      <c r="S1105" s="66"/>
      <c r="T1105" s="66"/>
      <c r="U1105" s="66"/>
      <c r="V1105" s="66"/>
      <c r="W1105" s="66"/>
      <c r="X1105" s="66"/>
      <c r="Y1105" s="66"/>
      <c r="Z1105" s="66"/>
      <c r="AA1105" s="66"/>
      <c r="AB1105" s="66"/>
      <c r="AC1105" s="66"/>
      <c r="AD1105" s="66"/>
      <c r="AE1105" s="66"/>
      <c r="AF1105" s="66"/>
      <c r="AG1105" s="66"/>
      <c r="AH1105" s="66"/>
      <c r="AI1105" s="66"/>
      <c r="AJ1105" s="66"/>
      <c r="AK1105" s="66"/>
      <c r="AL1105" s="66"/>
      <c r="AM1105" s="66"/>
      <c r="AN1105" s="66"/>
      <c r="AO1105" s="66"/>
      <c r="AP1105" s="66"/>
      <c r="AQ1105" s="66"/>
      <c r="AR1105" s="66"/>
      <c r="AS1105" s="66"/>
      <c r="AT1105" s="66"/>
      <c r="AU1105" s="66"/>
      <c r="AV1105" s="66"/>
      <c r="AW1105" s="66"/>
      <c r="AX1105" s="66"/>
      <c r="AY1105" s="41" t="str">
        <f t="shared" si="337"/>
        <v>Incomplete</v>
      </c>
      <c r="AZ1105" s="66"/>
      <c r="BA1105" s="20" t="str">
        <f t="shared" si="338"/>
        <v>Incomplete</v>
      </c>
      <c r="BB1105" s="66"/>
      <c r="BC1105" s="20" t="str">
        <f t="shared" si="339"/>
        <v>Incomplete</v>
      </c>
      <c r="BD1105" s="66"/>
      <c r="BE1105" s="20" t="str">
        <f t="shared" si="340"/>
        <v>Incomplete</v>
      </c>
      <c r="BF1105" s="66"/>
      <c r="BG1105" s="66">
        <v>19</v>
      </c>
      <c r="BH1105" s="66">
        <v>52.5</v>
      </c>
      <c r="BI1105" s="20">
        <f t="shared" si="343"/>
        <v>33.5</v>
      </c>
      <c r="BJ1105" s="66"/>
      <c r="BK1105" s="66"/>
      <c r="BL1105" s="66"/>
      <c r="BM1105" s="66"/>
      <c r="BN1105" s="66"/>
      <c r="BO1105" s="66"/>
      <c r="BP1105" s="66"/>
      <c r="BQ1105" s="66"/>
      <c r="BR1105" s="66"/>
      <c r="BS1105" s="66"/>
      <c r="BT1105" s="66"/>
      <c r="BU1105" s="66"/>
      <c r="BV1105" s="66"/>
      <c r="BW1105" s="91" t="str">
        <f t="shared" si="341"/>
        <v>Incomplete</v>
      </c>
      <c r="BX1105" s="91" t="str">
        <f>_xlfn.XLOOKUP(BW1105,'Normative data'!$V$3:$V$6,'Normative data'!$W$3:$W$6,"Not Found",-1)</f>
        <v>Very low risk</v>
      </c>
      <c r="BY1105" s="91" t="str">
        <f t="shared" si="342"/>
        <v>Incomplete</v>
      </c>
      <c r="BZ1105" s="91" t="str">
        <f>_xlfn.XLOOKUP(BY1105,'Normative data'!$V$3:$V$6,'Normative data'!$W$3:$W$6,"Not Found",-1)</f>
        <v>Very low risk</v>
      </c>
      <c r="CA1105" s="66"/>
      <c r="CB1105" s="66"/>
      <c r="CC1105" s="20"/>
      <c r="CD1105" s="66"/>
      <c r="CE1105" s="66">
        <v>5</v>
      </c>
      <c r="CF1105" s="66"/>
      <c r="CG1105" s="66"/>
      <c r="CH1105" s="20" t="str">
        <f>_xlfn.XLOOKUP(CG1105, 'Normative data'!$S$9:$S$15,'Normative data'!$T$9:$T$15, "Not Found", -1)</f>
        <v>not completed</v>
      </c>
      <c r="CI1105" s="66"/>
      <c r="CJ1105" s="20" t="str">
        <f>_xlfn.XLOOKUP(CI1105, 'Normative data'!$S$9:$S$15, 'Normative data'!$T$9:$T$15, "Not Found", -1)</f>
        <v>not completed</v>
      </c>
      <c r="CK1105" s="105">
        <v>2.2000000000000002</v>
      </c>
      <c r="CL1105" s="105">
        <v>4.55</v>
      </c>
      <c r="CM1105" s="105"/>
      <c r="CN1105" s="105">
        <v>6.7</v>
      </c>
      <c r="CO1105" s="105">
        <v>7.46</v>
      </c>
      <c r="CP1105" s="109"/>
      <c r="CQ1105" s="68"/>
      <c r="CR1105" s="20" t="str" cm="1">
        <f t="array" ref="CR1105">IF(OR(ISBLANK(E1105),ISBLANK(CQ1105)),"Incomplete",_xlfn.XLOOKUP(CQ1105,_xlfn.XLOOKUP(E1105,'Normative data'!$Y$3:$Y$6,'Normative data'!$Z$3:$AG$6,,-1),'Normative data'!$Z$2:$AG$2,"Not Found",-1))</f>
        <v>Incomplete</v>
      </c>
      <c r="CS1105" s="68"/>
      <c r="CT1105" s="66"/>
      <c r="CU1105" s="20" t="str" cm="1">
        <f t="array" ref="CU1105">_xlfn.XLOOKUP(CS1105&amp;CT1105,(VLOOKUP!$A$3:$A$250)&amp;(VLOOKUP!$B$3:$B$250),VLOOKUP!$C$3:$C$250,"Incomplete",-1)</f>
        <v>Incomplete</v>
      </c>
      <c r="CV1105" s="20" t="str" cm="1">
        <f t="array" ref="CV1105">_xlfn.XLOOKUP(CU1105, _xlfn.XLOOKUP(E1105, 'Normative data'!$Y$11:$Y$14, 'Normative data'!$Z$11:$AG$14, ,-1), 'Normative data'!$Z$10:$AG$10, "Not Found", -1)</f>
        <v>Excellent</v>
      </c>
      <c r="CW1105" s="20" t="str" cm="1">
        <f t="array" ref="CW1105">IF(OR(ISBLANK(CS1105),ISBLANK(CT1105)),"Incomplete",_xlfn.XLOOKUP(CS1105&amp;CT1105,VLOOKUP!$A$4:$A$250&amp;VLOOKUP!$B$4:$B$250,VLOOKUP!$D$4:$D$250,"0"))</f>
        <v>Incomplete</v>
      </c>
    </row>
    <row r="1106" spans="1:101">
      <c r="A1106" s="94" t="s">
        <v>775</v>
      </c>
      <c r="B1106" s="94" t="s">
        <v>776</v>
      </c>
      <c r="C1106" s="64" t="s">
        <v>86</v>
      </c>
      <c r="D1106" s="97">
        <v>40547</v>
      </c>
      <c r="E1106" s="64"/>
      <c r="F1106" s="64">
        <v>8</v>
      </c>
      <c r="G1106" s="64">
        <v>2025</v>
      </c>
      <c r="H1106" s="66"/>
      <c r="I1106" s="64"/>
      <c r="J1106" s="64"/>
      <c r="K1106" s="64"/>
      <c r="L1106" s="64"/>
      <c r="M1106" s="64"/>
      <c r="N1106" s="64"/>
      <c r="O1106" s="64"/>
      <c r="P1106" s="64"/>
      <c r="Q1106" s="64"/>
      <c r="R1106" s="64"/>
      <c r="S1106" s="66"/>
      <c r="T1106" s="66"/>
      <c r="U1106" s="66"/>
      <c r="V1106" s="66"/>
      <c r="W1106" s="66"/>
      <c r="X1106" s="66"/>
      <c r="Y1106" s="66"/>
      <c r="Z1106" s="66"/>
      <c r="AA1106" s="66"/>
      <c r="AB1106" s="66"/>
      <c r="AC1106" s="66"/>
      <c r="AD1106" s="66"/>
      <c r="AE1106" s="66"/>
      <c r="AF1106" s="66"/>
      <c r="AG1106" s="66"/>
      <c r="AH1106" s="66"/>
      <c r="AI1106" s="66"/>
      <c r="AJ1106" s="66"/>
      <c r="AK1106" s="66"/>
      <c r="AL1106" s="66"/>
      <c r="AM1106" s="66"/>
      <c r="AN1106" s="66"/>
      <c r="AO1106" s="66"/>
      <c r="AP1106" s="66"/>
      <c r="AQ1106" s="66"/>
      <c r="AR1106" s="66"/>
      <c r="AS1106" s="66"/>
      <c r="AT1106" s="66"/>
      <c r="AU1106" s="66"/>
      <c r="AV1106" s="66"/>
      <c r="AW1106" s="66"/>
      <c r="AX1106" s="66"/>
      <c r="AY1106" s="41" t="str">
        <f t="shared" si="337"/>
        <v>Incomplete</v>
      </c>
      <c r="AZ1106" s="66"/>
      <c r="BA1106" s="20" t="str">
        <f t="shared" si="338"/>
        <v>Incomplete</v>
      </c>
      <c r="BB1106" s="66"/>
      <c r="BC1106" s="20" t="str">
        <f t="shared" si="339"/>
        <v>Incomplete</v>
      </c>
      <c r="BD1106" s="66"/>
      <c r="BE1106" s="20" t="str">
        <f t="shared" si="340"/>
        <v>Incomplete</v>
      </c>
      <c r="BF1106" s="66"/>
      <c r="BG1106" s="66">
        <v>12</v>
      </c>
      <c r="BH1106" s="66">
        <v>38</v>
      </c>
      <c r="BI1106" s="20">
        <f t="shared" si="343"/>
        <v>26</v>
      </c>
      <c r="BJ1106" s="66"/>
      <c r="BK1106" s="66"/>
      <c r="BL1106" s="66"/>
      <c r="BM1106" s="66"/>
      <c r="BN1106" s="66"/>
      <c r="BO1106" s="66"/>
      <c r="BP1106" s="66"/>
      <c r="BQ1106" s="66"/>
      <c r="BR1106" s="66"/>
      <c r="BS1106" s="66"/>
      <c r="BT1106" s="66"/>
      <c r="BU1106" s="66"/>
      <c r="BV1106" s="66"/>
      <c r="BW1106" s="91" t="str">
        <f t="shared" si="341"/>
        <v>Incomplete</v>
      </c>
      <c r="BX1106" s="91" t="str">
        <f>_xlfn.XLOOKUP(BW1106,'Normative data'!$V$3:$V$6,'Normative data'!$W$3:$W$6,"Not Found",-1)</f>
        <v>Very low risk</v>
      </c>
      <c r="BY1106" s="91" t="str">
        <f t="shared" si="342"/>
        <v>Incomplete</v>
      </c>
      <c r="BZ1106" s="91" t="str">
        <f>_xlfn.XLOOKUP(BY1106,'Normative data'!$V$3:$V$6,'Normative data'!$W$3:$W$6,"Not Found",-1)</f>
        <v>Very low risk</v>
      </c>
      <c r="CA1106" s="20"/>
      <c r="CB1106" s="66"/>
      <c r="CC1106" s="20"/>
      <c r="CD1106" s="66"/>
      <c r="CE1106" s="66">
        <v>4</v>
      </c>
      <c r="CF1106" s="66"/>
      <c r="CG1106" s="20"/>
      <c r="CH1106" s="20" t="str">
        <f>_xlfn.XLOOKUP(CG1106, 'Normative data'!$S$9:$S$15,'Normative data'!$T$9:$T$15, "Not Found", -1)</f>
        <v>not completed</v>
      </c>
      <c r="CI1106" s="20"/>
      <c r="CJ1106" s="20" t="str">
        <f>_xlfn.XLOOKUP(CI1106, 'Normative data'!$S$9:$S$15, 'Normative data'!$T$9:$T$15, "Not Found", -1)</f>
        <v>not completed</v>
      </c>
      <c r="CK1106" s="106">
        <v>2.44</v>
      </c>
      <c r="CL1106" s="106">
        <v>4.0999999999999996</v>
      </c>
      <c r="CM1106" s="105"/>
      <c r="CN1106" s="106">
        <v>7.3</v>
      </c>
      <c r="CO1106" s="106">
        <v>6.85</v>
      </c>
      <c r="CP1106" s="110"/>
      <c r="CQ1106" s="68"/>
      <c r="CR1106" s="20" t="str" cm="1">
        <f t="array" ref="CR1106">IF(OR(ISBLANK(E1106),ISBLANK(CQ1106)),"Incomplete",_xlfn.XLOOKUP(CQ1106,_xlfn.XLOOKUP(E1106,'Normative data'!$Y$3:$Y$6,'Normative data'!$Z$3:$AG$6,,-1),'Normative data'!$Z$2:$AG$2,"Not Found",-1))</f>
        <v>Incomplete</v>
      </c>
      <c r="CS1106" s="68"/>
      <c r="CT1106" s="66"/>
      <c r="CU1106" s="20" t="str" cm="1">
        <f t="array" ref="CU1106">_xlfn.XLOOKUP(CS1106&amp;CT1106,(VLOOKUP!$A$3:$A$250)&amp;(VLOOKUP!$B$3:$B$250),VLOOKUP!$C$3:$C$250,"Incomplete",-1)</f>
        <v>Incomplete</v>
      </c>
      <c r="CV1106" s="20" t="str" cm="1">
        <f t="array" ref="CV1106">_xlfn.XLOOKUP(CU1106, _xlfn.XLOOKUP(E1106, 'Normative data'!$Y$11:$Y$14, 'Normative data'!$Z$11:$AG$14, ,-1), 'Normative data'!$Z$10:$AG$10, "Not Found", -1)</f>
        <v>Excellent</v>
      </c>
      <c r="CW1106" s="20" t="str" cm="1">
        <f t="array" ref="CW1106">IF(OR(ISBLANK(CS1106),ISBLANK(CT1106)),"Incomplete",_xlfn.XLOOKUP(CS1106&amp;CT1106,VLOOKUP!$A$4:$A$250&amp;VLOOKUP!$B$4:$B$250,VLOOKUP!$D$4:$D$250,"0"))</f>
        <v>Incomplete</v>
      </c>
    </row>
    <row r="1107" spans="1:101">
      <c r="A1107" s="64" t="s">
        <v>1757</v>
      </c>
      <c r="B1107" s="64" t="s">
        <v>1758</v>
      </c>
      <c r="C1107" s="64" t="s">
        <v>86</v>
      </c>
      <c r="D1107" s="65">
        <v>41252</v>
      </c>
      <c r="E1107" s="64">
        <v>13.7</v>
      </c>
      <c r="F1107" s="66" t="s">
        <v>107</v>
      </c>
      <c r="G1107" s="64">
        <v>2026</v>
      </c>
      <c r="H1107" s="66"/>
      <c r="I1107" s="66">
        <v>2</v>
      </c>
      <c r="J1107" s="66" t="s">
        <v>88</v>
      </c>
      <c r="K1107" s="66" t="s">
        <v>236</v>
      </c>
      <c r="L1107" s="66"/>
      <c r="M1107" s="64"/>
      <c r="N1107" s="64"/>
      <c r="O1107" s="64"/>
      <c r="P1107" s="64"/>
      <c r="Q1107" s="64"/>
      <c r="R1107" s="64"/>
      <c r="S1107" s="66">
        <v>81.099999999999994</v>
      </c>
      <c r="T1107" s="66">
        <v>156.6</v>
      </c>
      <c r="U1107" s="64">
        <v>52.2</v>
      </c>
      <c r="V1107" s="64">
        <v>30.3</v>
      </c>
      <c r="W1107" s="64">
        <v>11</v>
      </c>
      <c r="X1107" s="64">
        <v>41.5</v>
      </c>
      <c r="Y1107" s="64">
        <v>22.9</v>
      </c>
      <c r="Z1107" s="64">
        <v>21.4</v>
      </c>
      <c r="AA1107" s="64">
        <v>20.9</v>
      </c>
      <c r="AB1107" s="64">
        <v>6.09</v>
      </c>
      <c r="AC1107" s="64">
        <v>107.6</v>
      </c>
      <c r="AD1107" s="64">
        <v>6.14</v>
      </c>
      <c r="AE1107" s="64">
        <v>108.6</v>
      </c>
      <c r="AF1107" s="64">
        <v>1.9</v>
      </c>
      <c r="AG1107" s="64">
        <v>98.3</v>
      </c>
      <c r="AH1107" s="64">
        <v>1.9</v>
      </c>
      <c r="AI1107" s="64">
        <v>98.4</v>
      </c>
      <c r="AJ1107" s="64">
        <v>297.39999999999998</v>
      </c>
      <c r="AK1107" s="64">
        <v>291</v>
      </c>
      <c r="AL1107" s="64">
        <v>257.89999999999998</v>
      </c>
      <c r="AM1107" s="64">
        <v>252.7</v>
      </c>
      <c r="AN1107" s="64">
        <v>101</v>
      </c>
      <c r="AO1107" s="64">
        <v>0.78</v>
      </c>
      <c r="AP1107" s="64">
        <v>6.6</v>
      </c>
      <c r="AQ1107" s="64">
        <v>26.3</v>
      </c>
      <c r="AR1107" s="64">
        <v>0.46300000000000002</v>
      </c>
      <c r="AS1107" s="64">
        <v>22.6</v>
      </c>
      <c r="AT1107" s="64">
        <v>0.42899999999999999</v>
      </c>
      <c r="AU1107" s="64">
        <v>14.3</v>
      </c>
      <c r="AV1107" s="64">
        <v>0.34100000000000003</v>
      </c>
      <c r="AW1107" s="64">
        <v>13.6</v>
      </c>
      <c r="AX1107" s="64">
        <v>0.33300000000000002</v>
      </c>
      <c r="AY1107" s="41">
        <f t="shared" si="337"/>
        <v>1906.0699999999997</v>
      </c>
      <c r="AZ1107" s="64"/>
      <c r="BA1107" s="20">
        <f t="shared" si="338"/>
        <v>1681.48</v>
      </c>
      <c r="BB1107" s="64"/>
      <c r="BC1107" s="20">
        <f t="shared" si="339"/>
        <v>1177.67</v>
      </c>
      <c r="BD1107" s="64"/>
      <c r="BE1107" s="20">
        <f t="shared" si="340"/>
        <v>1135.1799999999998</v>
      </c>
      <c r="BF1107" s="64"/>
      <c r="BG1107" s="64">
        <v>19.600000000000001</v>
      </c>
      <c r="BH1107" s="64">
        <v>21</v>
      </c>
      <c r="BI1107" s="20">
        <f t="shared" si="343"/>
        <v>1.3999999999999986</v>
      </c>
      <c r="BJ1107" s="66"/>
      <c r="BK1107" s="64">
        <v>8.9</v>
      </c>
      <c r="BL1107" s="66"/>
      <c r="BM1107" s="64">
        <v>8.5</v>
      </c>
      <c r="BN1107" s="66"/>
      <c r="BO1107" s="64">
        <v>44.2</v>
      </c>
      <c r="BP1107" s="64">
        <v>44.9</v>
      </c>
      <c r="BQ1107" s="64">
        <v>70</v>
      </c>
      <c r="BR1107" s="64">
        <v>77</v>
      </c>
      <c r="BS1107" s="64">
        <v>73</v>
      </c>
      <c r="BT1107" s="64">
        <v>73</v>
      </c>
      <c r="BU1107" s="64">
        <v>71</v>
      </c>
      <c r="BV1107" s="64">
        <v>73</v>
      </c>
      <c r="BW1107" s="91">
        <f t="shared" si="341"/>
        <v>97.130242825607056</v>
      </c>
      <c r="BX1107" s="91" t="str">
        <f>_xlfn.XLOOKUP(BW1107,'Normative data'!$V$3:$V$6,'Normative data'!$W$3:$W$6,"Not Found",-1)</f>
        <v>Low risk</v>
      </c>
      <c r="BY1107" s="91">
        <f t="shared" si="342"/>
        <v>95.805739514348787</v>
      </c>
      <c r="BZ1107" s="91" t="str">
        <f>_xlfn.XLOOKUP(BY1107,'Normative data'!$V$3:$V$6,'Normative data'!$W$3:$W$6,"Not Found",-1)</f>
        <v>Low risk</v>
      </c>
      <c r="CA1107" s="66"/>
      <c r="CB1107" s="66"/>
      <c r="CC1107" s="66"/>
      <c r="CD1107" s="66"/>
      <c r="CE1107" s="64">
        <v>20</v>
      </c>
      <c r="CF1107" s="66"/>
      <c r="CG1107" s="64">
        <v>17.29</v>
      </c>
      <c r="CH1107" s="20" t="str">
        <f>_xlfn.XLOOKUP(CG1107, 'Normative data'!$S$9:$S$15,'Normative data'!$T$9:$T$15, "Not Found", -1)</f>
        <v>Above Average</v>
      </c>
      <c r="CI1107" s="64">
        <v>17.32</v>
      </c>
      <c r="CJ1107" s="20" t="str">
        <f>_xlfn.XLOOKUP(CI1107, 'Normative data'!$S$9:$S$15, 'Normative data'!$T$9:$T$15, "Not Found", -1)</f>
        <v>Above Average</v>
      </c>
      <c r="CK1107" s="64">
        <v>2.11</v>
      </c>
      <c r="CL1107" s="64">
        <v>4.74</v>
      </c>
      <c r="CM1107" s="66"/>
      <c r="CN1107" s="64">
        <v>6.29</v>
      </c>
      <c r="CO1107" s="64">
        <v>7.65</v>
      </c>
      <c r="CP1107" s="68"/>
      <c r="CQ1107" s="67">
        <v>7.4</v>
      </c>
      <c r="CR1107" s="20" t="str" cm="1">
        <f t="array" ref="CR1107">IF(OR(ISBLANK(E1107),ISBLANK(CQ1107)),"Incomplete",_xlfn.XLOOKUP(CQ1107,_xlfn.XLOOKUP(E1107,'Normative data'!$Y$3:$Y$6,'Normative data'!$Z$3:$AG$6,,-1),'Normative data'!$Z$2:$AG$2,"Not Found",-1))</f>
        <v>Good</v>
      </c>
      <c r="CS1107" s="68">
        <v>7</v>
      </c>
      <c r="CT1107" s="66">
        <v>4</v>
      </c>
      <c r="CU1107" s="20" cm="1">
        <f t="array" ref="CU1107">_xlfn.XLOOKUP(CS1107&amp;CT1107,(VLOOKUP!$A$3:$A$250)&amp;(VLOOKUP!$B$3:$B$250),VLOOKUP!$C$3:$C$250,"Incomplete",-1)</f>
        <v>1100</v>
      </c>
      <c r="CV1107" s="20" t="str" cm="1">
        <f t="array" ref="CV1107">_xlfn.XLOOKUP(CU1107, _xlfn.XLOOKUP(E1107, 'Normative data'!$Y$11:$Y$14, 'Normative data'!$Z$11:$AG$14, ,-1), 'Normative data'!$Z$10:$AG$10, "Not Found", -1)</f>
        <v xml:space="preserve">Good </v>
      </c>
      <c r="CW1107" s="20" cm="1">
        <f t="array" ref="CW1107">IF(OR(ISBLANK(CS1107),ISBLANK(CT1107)),"Incomplete",_xlfn.XLOOKUP(CS1107&amp;CT1107,VLOOKUP!$A$4:$A$250&amp;VLOOKUP!$B$4:$B$250,VLOOKUP!$D$4:$D$250,"0"))</f>
        <v>38</v>
      </c>
    </row>
    <row r="1108" spans="1:101">
      <c r="A1108" s="64" t="s">
        <v>367</v>
      </c>
      <c r="B1108" s="64" t="s">
        <v>1759</v>
      </c>
      <c r="C1108" s="64" t="s">
        <v>86</v>
      </c>
      <c r="D1108" s="65">
        <v>39943</v>
      </c>
      <c r="E1108" s="64"/>
      <c r="F1108" s="64">
        <v>10</v>
      </c>
      <c r="G1108" s="64">
        <v>2025</v>
      </c>
      <c r="H1108" s="66"/>
      <c r="I1108" s="64"/>
      <c r="J1108" s="64"/>
      <c r="K1108" s="64"/>
      <c r="L1108" s="64"/>
      <c r="M1108" s="64"/>
      <c r="N1108" s="64"/>
      <c r="O1108" s="64"/>
      <c r="P1108" s="64"/>
      <c r="Q1108" s="64"/>
      <c r="R1108" s="64"/>
      <c r="S1108" s="66"/>
      <c r="T1108" s="66"/>
      <c r="U1108" s="66"/>
      <c r="V1108" s="66"/>
      <c r="W1108" s="66"/>
      <c r="X1108" s="66"/>
      <c r="Y1108" s="66"/>
      <c r="Z1108" s="66"/>
      <c r="AA1108" s="66"/>
      <c r="AB1108" s="66"/>
      <c r="AC1108" s="66"/>
      <c r="AD1108" s="66"/>
      <c r="AE1108" s="66"/>
      <c r="AF1108" s="66"/>
      <c r="AG1108" s="66"/>
      <c r="AH1108" s="66"/>
      <c r="AI1108" s="66"/>
      <c r="AJ1108" s="66"/>
      <c r="AK1108" s="66"/>
      <c r="AL1108" s="66"/>
      <c r="AM1108" s="66"/>
      <c r="AN1108" s="66"/>
      <c r="AO1108" s="66"/>
      <c r="AP1108" s="66"/>
      <c r="AQ1108" s="66"/>
      <c r="AR1108" s="66"/>
      <c r="AS1108" s="66"/>
      <c r="AT1108" s="66"/>
      <c r="AU1108" s="66"/>
      <c r="AV1108" s="66"/>
      <c r="AW1108" s="66"/>
      <c r="AX1108" s="66"/>
      <c r="AY1108" s="41" t="str">
        <f t="shared" si="337"/>
        <v>Incomplete</v>
      </c>
      <c r="AZ1108" s="66"/>
      <c r="BA1108" s="20" t="str">
        <f t="shared" si="338"/>
        <v>Incomplete</v>
      </c>
      <c r="BB1108" s="66"/>
      <c r="BC1108" s="20" t="str">
        <f t="shared" si="339"/>
        <v>Incomplete</v>
      </c>
      <c r="BD1108" s="66"/>
      <c r="BE1108" s="20" t="str">
        <f t="shared" si="340"/>
        <v>Incomplete</v>
      </c>
      <c r="BF1108" s="66"/>
      <c r="BG1108" s="66"/>
      <c r="BH1108" s="66"/>
      <c r="BI1108" s="20" t="str">
        <f t="shared" si="343"/>
        <v>Incomplete</v>
      </c>
      <c r="BJ1108" s="66"/>
      <c r="BK1108" s="66">
        <v>8</v>
      </c>
      <c r="BL1108" s="66"/>
      <c r="BM1108" s="66">
        <v>9</v>
      </c>
      <c r="BN1108" s="66"/>
      <c r="BO1108" s="66"/>
      <c r="BP1108" s="66"/>
      <c r="BQ1108" s="66"/>
      <c r="BR1108" s="66"/>
      <c r="BS1108" s="66"/>
      <c r="BT1108" s="66"/>
      <c r="BU1108" s="66"/>
      <c r="BV1108" s="66"/>
      <c r="BW1108" s="91" t="str">
        <f t="shared" si="341"/>
        <v>Incomplete</v>
      </c>
      <c r="BX1108" s="91" t="str">
        <f>_xlfn.XLOOKUP(BW1108,'Normative data'!$V$3:$V$6,'Normative data'!$W$3:$W$6,"Not Found",-1)</f>
        <v>Very low risk</v>
      </c>
      <c r="BY1108" s="91" t="str">
        <f t="shared" si="342"/>
        <v>Incomplete</v>
      </c>
      <c r="BZ1108" s="91" t="str">
        <f>_xlfn.XLOOKUP(BY1108,'Normative data'!$V$3:$V$6,'Normative data'!$W$3:$W$6,"Not Found",-1)</f>
        <v>Very low risk</v>
      </c>
      <c r="CA1108" s="66"/>
      <c r="CB1108" s="66"/>
      <c r="CC1108" s="20"/>
      <c r="CD1108" s="66"/>
      <c r="CE1108" s="66"/>
      <c r="CF1108" s="66"/>
      <c r="CG1108" s="66"/>
      <c r="CH1108" s="20" t="str">
        <f>_xlfn.XLOOKUP(CG1108, 'Normative data'!$S$9:$S$15,'Normative data'!$T$9:$T$15, "Not Found", -1)</f>
        <v>not completed</v>
      </c>
      <c r="CI1108" s="66"/>
      <c r="CJ1108" s="20" t="str">
        <f>_xlfn.XLOOKUP(CI1108, 'Normative data'!$S$9:$S$15, 'Normative data'!$T$9:$T$15, "Not Found", -1)</f>
        <v>not completed</v>
      </c>
      <c r="CK1108" s="66" t="s">
        <v>344</v>
      </c>
      <c r="CL1108" s="66" t="s">
        <v>345</v>
      </c>
      <c r="CM1108" s="66"/>
      <c r="CN1108" s="66" t="s">
        <v>1760</v>
      </c>
      <c r="CO1108" s="66" t="s">
        <v>1761</v>
      </c>
      <c r="CP1108" s="68"/>
      <c r="CQ1108" s="68"/>
      <c r="CR1108" s="20" t="str" cm="1">
        <f t="array" ref="CR1108">IF(OR(ISBLANK(E1108),ISBLANK(CQ1108)),"Incomplete",_xlfn.XLOOKUP(CQ1108,_xlfn.XLOOKUP(E1108,'Normative data'!$Y$3:$Y$6,'Normative data'!$Z$3:$AG$6,,-1),'Normative data'!$Z$2:$AG$2,"Not Found",-1))</f>
        <v>Incomplete</v>
      </c>
      <c r="CS1108" s="68"/>
      <c r="CT1108" s="66"/>
      <c r="CU1108" s="20" t="str" cm="1">
        <f t="array" ref="CU1108">_xlfn.XLOOKUP(CS1108&amp;CT1108,(VLOOKUP!$A$3:$A$250)&amp;(VLOOKUP!$B$3:$B$250),VLOOKUP!$C$3:$C$250,"Incomplete",-1)</f>
        <v>Incomplete</v>
      </c>
      <c r="CV1108" s="20" t="str" cm="1">
        <f t="array" ref="CV1108">_xlfn.XLOOKUP(CU1108, _xlfn.XLOOKUP(E1108, 'Normative data'!$Y$11:$Y$14, 'Normative data'!$Z$11:$AG$14, ,-1), 'Normative data'!$Z$10:$AG$10, "Not Found", -1)</f>
        <v>Excellent</v>
      </c>
      <c r="CW1108" s="20" t="str" cm="1">
        <f t="array" ref="CW1108">IF(OR(ISBLANK(CS1108),ISBLANK(CT1108)),"Incomplete",_xlfn.XLOOKUP(CS1108&amp;CT1108,VLOOKUP!$A$4:$A$250&amp;VLOOKUP!$B$4:$B$250,VLOOKUP!$D$4:$D$250,"0"))</f>
        <v>Incomplete</v>
      </c>
    </row>
    <row r="1109" spans="1:101">
      <c r="A1109" s="64" t="s">
        <v>367</v>
      </c>
      <c r="B1109" s="64" t="s">
        <v>876</v>
      </c>
      <c r="C1109" s="64" t="s">
        <v>86</v>
      </c>
      <c r="D1109" s="65">
        <v>39943</v>
      </c>
      <c r="E1109" s="64"/>
      <c r="F1109" s="64">
        <v>10</v>
      </c>
      <c r="G1109" s="64">
        <v>2025</v>
      </c>
      <c r="H1109" s="66"/>
      <c r="I1109" s="64"/>
      <c r="J1109" s="64"/>
      <c r="K1109" s="64"/>
      <c r="L1109" s="64"/>
      <c r="M1109" s="64"/>
      <c r="N1109" s="64"/>
      <c r="O1109" s="64"/>
      <c r="P1109" s="64"/>
      <c r="Q1109" s="64"/>
      <c r="R1109" s="64"/>
      <c r="S1109" s="66"/>
      <c r="T1109" s="66"/>
      <c r="U1109" s="66"/>
      <c r="V1109" s="66"/>
      <c r="W1109" s="66"/>
      <c r="X1109" s="66"/>
      <c r="Y1109" s="66"/>
      <c r="Z1109" s="66"/>
      <c r="AA1109" s="66"/>
      <c r="AB1109" s="66"/>
      <c r="AC1109" s="66"/>
      <c r="AD1109" s="66"/>
      <c r="AE1109" s="66"/>
      <c r="AF1109" s="66"/>
      <c r="AG1109" s="66"/>
      <c r="AH1109" s="66"/>
      <c r="AI1109" s="66"/>
      <c r="AJ1109" s="66"/>
      <c r="AK1109" s="66"/>
      <c r="AL1109" s="66"/>
      <c r="AM1109" s="66"/>
      <c r="AN1109" s="66"/>
      <c r="AO1109" s="66"/>
      <c r="AP1109" s="66"/>
      <c r="AQ1109" s="66"/>
      <c r="AR1109" s="66"/>
      <c r="AS1109" s="66"/>
      <c r="AT1109" s="66"/>
      <c r="AU1109" s="66"/>
      <c r="AV1109" s="66"/>
      <c r="AW1109" s="66"/>
      <c r="AX1109" s="66"/>
      <c r="AY1109" s="41" t="str">
        <f t="shared" si="337"/>
        <v>Incomplete</v>
      </c>
      <c r="AZ1109" s="66"/>
      <c r="BA1109" s="20" t="str">
        <f t="shared" si="338"/>
        <v>Incomplete</v>
      </c>
      <c r="BB1109" s="66"/>
      <c r="BC1109" s="20" t="str">
        <f t="shared" si="339"/>
        <v>Incomplete</v>
      </c>
      <c r="BD1109" s="66"/>
      <c r="BE1109" s="20" t="str">
        <f t="shared" si="340"/>
        <v>Incomplete</v>
      </c>
      <c r="BF1109" s="66"/>
      <c r="BG1109" s="66"/>
      <c r="BH1109" s="66"/>
      <c r="BI1109" s="20" t="str">
        <f t="shared" si="343"/>
        <v>Incomplete</v>
      </c>
      <c r="BJ1109" s="66"/>
      <c r="BK1109" s="66"/>
      <c r="BL1109" s="66"/>
      <c r="BM1109" s="66"/>
      <c r="BN1109" s="66"/>
      <c r="BO1109" s="66"/>
      <c r="BP1109" s="66"/>
      <c r="BQ1109" s="66"/>
      <c r="BR1109" s="66"/>
      <c r="BS1109" s="66"/>
      <c r="BT1109" s="66"/>
      <c r="BU1109" s="66"/>
      <c r="BV1109" s="66"/>
      <c r="BW1109" s="91" t="str">
        <f t="shared" si="341"/>
        <v>Incomplete</v>
      </c>
      <c r="BX1109" s="91" t="str">
        <f>_xlfn.XLOOKUP(BW1109,'Normative data'!$V$3:$V$6,'Normative data'!$W$3:$W$6,"Not Found",-1)</f>
        <v>Very low risk</v>
      </c>
      <c r="BY1109" s="91" t="str">
        <f t="shared" si="342"/>
        <v>Incomplete</v>
      </c>
      <c r="BZ1109" s="91" t="str">
        <f>_xlfn.XLOOKUP(BY1109,'Normative data'!$V$3:$V$6,'Normative data'!$W$3:$W$6,"Not Found",-1)</f>
        <v>Very low risk</v>
      </c>
      <c r="CA1109" s="66"/>
      <c r="CB1109" s="66"/>
      <c r="CC1109" s="66"/>
      <c r="CD1109" s="66"/>
      <c r="CE1109" s="66"/>
      <c r="CF1109" s="66"/>
      <c r="CG1109" s="20"/>
      <c r="CH1109" s="20" t="str">
        <f>_xlfn.XLOOKUP(CG1109, 'Normative data'!$S$9:$S$15,'Normative data'!$T$9:$T$15, "Not Found", -1)</f>
        <v>not completed</v>
      </c>
      <c r="CI1109" s="20"/>
      <c r="CJ1109" s="20" t="str">
        <f>_xlfn.XLOOKUP(CI1109, 'Normative data'!$S$9:$S$15, 'Normative data'!$T$9:$T$15, "Not Found", -1)</f>
        <v>not completed</v>
      </c>
      <c r="CK1109" s="21">
        <v>2.25</v>
      </c>
      <c r="CL1109" s="21">
        <v>4.4400000000000004</v>
      </c>
      <c r="CM1109" s="21"/>
      <c r="CN1109" s="21">
        <v>6.83</v>
      </c>
      <c r="CO1109" s="21">
        <v>7.32</v>
      </c>
      <c r="CP1109" s="109"/>
      <c r="CQ1109" s="68"/>
      <c r="CR1109" s="20" t="str" cm="1">
        <f t="array" ref="CR1109">IF(OR(ISBLANK(E1109),ISBLANK(CQ1109)),"Incomplete",_xlfn.XLOOKUP(CQ1109,_xlfn.XLOOKUP(E1109,'Normative data'!$Y$3:$Y$6,'Normative data'!$Z$3:$AG$6,,-1),'Normative data'!$Z$2:$AG$2,"Not Found",-1))</f>
        <v>Incomplete</v>
      </c>
      <c r="CS1109" s="68"/>
      <c r="CT1109" s="66"/>
      <c r="CU1109" s="20" t="str" cm="1">
        <f t="array" ref="CU1109">_xlfn.XLOOKUP(CS1109&amp;CT1109,(VLOOKUP!$A$3:$A$250)&amp;(VLOOKUP!$B$3:$B$250),VLOOKUP!$C$3:$C$250,"Incomplete",-1)</f>
        <v>Incomplete</v>
      </c>
      <c r="CV1109" s="20" t="str" cm="1">
        <f t="array" ref="CV1109">_xlfn.XLOOKUP(CU1109, _xlfn.XLOOKUP(E1109, 'Normative data'!$Y$11:$Y$14, 'Normative data'!$Z$11:$AG$14, ,-1), 'Normative data'!$Z$10:$AG$10, "Not Found", -1)</f>
        <v>Excellent</v>
      </c>
      <c r="CW1109" s="20" t="str" cm="1">
        <f t="array" ref="CW1109">IF(OR(ISBLANK(CS1109),ISBLANK(CT1109)),"Incomplete",_xlfn.XLOOKUP(CS1109&amp;CT1109,VLOOKUP!$A$4:$A$250&amp;VLOOKUP!$B$4:$B$250,VLOOKUP!$D$4:$D$250,"0"))</f>
        <v>Incomplete</v>
      </c>
    </row>
    <row r="1110" spans="1:101">
      <c r="A1110" s="64" t="s">
        <v>1341</v>
      </c>
      <c r="B1110" s="64" t="s">
        <v>1340</v>
      </c>
      <c r="C1110" s="64" t="s">
        <v>86</v>
      </c>
      <c r="D1110" s="65">
        <v>40159</v>
      </c>
      <c r="E1110" s="69"/>
      <c r="F1110" s="64">
        <v>10</v>
      </c>
      <c r="G1110" s="64">
        <v>2025</v>
      </c>
      <c r="H1110" s="75"/>
      <c r="I1110" s="64"/>
      <c r="J1110" s="64"/>
      <c r="K1110" s="64"/>
      <c r="L1110" s="64"/>
      <c r="M1110" s="64"/>
      <c r="N1110" s="64"/>
      <c r="O1110" s="64"/>
      <c r="P1110" s="69"/>
      <c r="Q1110" s="69"/>
      <c r="R1110" s="69"/>
      <c r="S1110" s="75"/>
      <c r="T1110" s="75"/>
      <c r="U1110" s="75"/>
      <c r="V1110" s="75"/>
      <c r="W1110" s="75"/>
      <c r="X1110" s="75"/>
      <c r="Y1110" s="75"/>
      <c r="Z1110" s="75"/>
      <c r="AA1110" s="75"/>
      <c r="AB1110" s="75"/>
      <c r="AC1110" s="75"/>
      <c r="AD1110" s="75"/>
      <c r="AE1110" s="75"/>
      <c r="AF1110" s="75"/>
      <c r="AG1110" s="75"/>
      <c r="AH1110" s="75"/>
      <c r="AI1110" s="75"/>
      <c r="AJ1110" s="75"/>
      <c r="AK1110" s="75"/>
      <c r="AL1110" s="75"/>
      <c r="AM1110" s="75"/>
      <c r="AN1110" s="75"/>
      <c r="AO1110" s="75"/>
      <c r="AP1110" s="75"/>
      <c r="AQ1110" s="66"/>
      <c r="AR1110" s="66"/>
      <c r="AS1110" s="66"/>
      <c r="AT1110" s="66"/>
      <c r="AU1110" s="66"/>
      <c r="AV1110" s="66"/>
      <c r="AW1110" s="66"/>
      <c r="AX1110" s="66"/>
      <c r="AY1110" s="41" t="str">
        <f t="shared" si="337"/>
        <v>Incomplete</v>
      </c>
      <c r="AZ1110" s="66"/>
      <c r="BA1110" s="20" t="str">
        <f t="shared" si="338"/>
        <v>Incomplete</v>
      </c>
      <c r="BB1110" s="66"/>
      <c r="BC1110" s="20" t="str">
        <f t="shared" si="339"/>
        <v>Incomplete</v>
      </c>
      <c r="BD1110" s="66"/>
      <c r="BE1110" s="20" t="str">
        <f t="shared" si="340"/>
        <v>Incomplete</v>
      </c>
      <c r="BF1110" s="66"/>
      <c r="BG1110" s="66">
        <v>19</v>
      </c>
      <c r="BH1110" s="66">
        <v>34</v>
      </c>
      <c r="BI1110" s="20" t="e">
        <f>IF(OR(ISBLANK(#REF!), ISBLANK(#REF!)),"Incomplete",(SUM(#REF!-#REF!)))</f>
        <v>#REF!</v>
      </c>
      <c r="BJ1110" s="66"/>
      <c r="BK1110" s="66">
        <v>12</v>
      </c>
      <c r="BL1110" s="66"/>
      <c r="BM1110" s="66">
        <v>10</v>
      </c>
      <c r="BN1110" s="66"/>
      <c r="BO1110" s="66"/>
      <c r="BP1110" s="66"/>
      <c r="BQ1110" s="66"/>
      <c r="BR1110" s="66"/>
      <c r="BS1110" s="66"/>
      <c r="BT1110" s="66"/>
      <c r="BU1110" s="66"/>
      <c r="BV1110" s="66"/>
      <c r="BW1110" s="91" t="str">
        <f t="shared" si="341"/>
        <v>Incomplete</v>
      </c>
      <c r="BX1110" s="91" t="str">
        <f>_xlfn.XLOOKUP(BW1110,'Normative data'!$V$3:$V$6,'Normative data'!$W$3:$W$6,"Not Found",-1)</f>
        <v>Very low risk</v>
      </c>
      <c r="BY1110" s="91" t="str">
        <f t="shared" si="342"/>
        <v>Incomplete</v>
      </c>
      <c r="BZ1110" s="91" t="str">
        <f>_xlfn.XLOOKUP(BY1110,'Normative data'!$V$3:$V$6,'Normative data'!$W$3:$W$6,"Not Found",-1)</f>
        <v>Very low risk</v>
      </c>
      <c r="CA1110" s="66"/>
      <c r="CB1110" s="66"/>
      <c r="CC1110" s="20"/>
      <c r="CD1110" s="66"/>
      <c r="CE1110" s="66">
        <v>18</v>
      </c>
      <c r="CF1110" s="66"/>
      <c r="CG1110" s="66"/>
      <c r="CH1110" s="20" t="str">
        <f>_xlfn.XLOOKUP(CG1110, 'Normative data'!$S$9:$S$15,'Normative data'!$T$9:$T$15, "Not Found", -1)</f>
        <v>not completed</v>
      </c>
      <c r="CI1110" s="66"/>
      <c r="CJ1110" s="20" t="str">
        <f>_xlfn.XLOOKUP(CI1110, 'Normative data'!$S$9:$S$15, 'Normative data'!$T$9:$T$15, "Not Found", -1)</f>
        <v>not completed</v>
      </c>
      <c r="CK1110" s="105">
        <v>2.21</v>
      </c>
      <c r="CL1110" s="105">
        <v>4.5199999999999996</v>
      </c>
      <c r="CM1110" s="105"/>
      <c r="CN1110" s="105">
        <v>6.55</v>
      </c>
      <c r="CO1110" s="105">
        <v>7.63</v>
      </c>
      <c r="CP1110" s="109"/>
      <c r="CQ1110" s="68"/>
      <c r="CR1110" s="20" t="str" cm="1">
        <f t="array" ref="CR1110">IF(OR(ISBLANK(E1110),ISBLANK(CQ1110)),"Incomplete",_xlfn.XLOOKUP(CQ1110,_xlfn.XLOOKUP(E1110,'Normative data'!$Y$3:$Y$6,'Normative data'!$Z$3:$AG$6,,-1),'Normative data'!$Z$2:$AG$2,"Not Found",-1))</f>
        <v>Incomplete</v>
      </c>
      <c r="CS1110" s="68"/>
      <c r="CT1110" s="66"/>
      <c r="CU1110" s="20" t="str" cm="1">
        <f t="array" ref="CU1110">_xlfn.XLOOKUP(CS1110&amp;CT1110,(VLOOKUP!$A$3:$A$250)&amp;(VLOOKUP!$B$3:$B$250),VLOOKUP!$C$3:$C$250,"Incomplete",-1)</f>
        <v>Incomplete</v>
      </c>
      <c r="CV1110" s="20" t="str" cm="1">
        <f t="array" ref="CV1110">_xlfn.XLOOKUP(CU1110, _xlfn.XLOOKUP(E1110, 'Normative data'!$Y$11:$Y$14, 'Normative data'!$Z$11:$AG$14, ,-1), 'Normative data'!$Z$10:$AG$10, "Not Found", -1)</f>
        <v>Excellent</v>
      </c>
      <c r="CW1110" s="20" t="str" cm="1">
        <f t="array" ref="CW1110">IF(OR(ISBLANK(CS1110),ISBLANK(CT1110)),"Incomplete",_xlfn.XLOOKUP(CS1110&amp;CT1110,VLOOKUP!$A$4:$A$250&amp;VLOOKUP!$B$4:$B$250,VLOOKUP!$D$4:$D$250,"0"))</f>
        <v>Incomplete</v>
      </c>
    </row>
    <row r="1111" spans="1:101">
      <c r="A1111" s="64" t="s">
        <v>1341</v>
      </c>
      <c r="B1111" s="64" t="s">
        <v>1340</v>
      </c>
      <c r="C1111" s="64" t="s">
        <v>86</v>
      </c>
      <c r="D1111" s="76">
        <v>40159</v>
      </c>
      <c r="E1111" s="64"/>
      <c r="F1111" s="64">
        <v>10</v>
      </c>
      <c r="G1111" s="64">
        <v>2025</v>
      </c>
      <c r="H1111" s="66"/>
      <c r="I1111" s="64"/>
      <c r="J1111" s="64"/>
      <c r="K1111" s="64"/>
      <c r="L1111" s="64"/>
      <c r="M1111" s="64"/>
      <c r="N1111" s="64"/>
      <c r="O1111" s="64"/>
      <c r="P1111" s="64"/>
      <c r="Q1111" s="64"/>
      <c r="R1111" s="64"/>
      <c r="S1111" s="66"/>
      <c r="T1111" s="66"/>
      <c r="U1111" s="66"/>
      <c r="V1111" s="66"/>
      <c r="W1111" s="66"/>
      <c r="X1111" s="66"/>
      <c r="Y1111" s="66"/>
      <c r="Z1111" s="66"/>
      <c r="AA1111" s="66"/>
      <c r="AB1111" s="66"/>
      <c r="AC1111" s="66"/>
      <c r="AD1111" s="66"/>
      <c r="AE1111" s="66"/>
      <c r="AF1111" s="66"/>
      <c r="AG1111" s="66"/>
      <c r="AH1111" s="66"/>
      <c r="AI1111" s="66"/>
      <c r="AJ1111" s="66"/>
      <c r="AK1111" s="66"/>
      <c r="AL1111" s="66"/>
      <c r="AM1111" s="66"/>
      <c r="AN1111" s="66"/>
      <c r="AO1111" s="66"/>
      <c r="AP1111" s="66"/>
      <c r="AQ1111" s="103"/>
      <c r="AR1111" s="66"/>
      <c r="AS1111" s="66"/>
      <c r="AT1111" s="66"/>
      <c r="AU1111" s="66"/>
      <c r="AV1111" s="66"/>
      <c r="AW1111" s="66"/>
      <c r="AX1111" s="66"/>
      <c r="AY1111" s="41" t="str">
        <f t="shared" si="337"/>
        <v>Incomplete</v>
      </c>
      <c r="AZ1111" s="66"/>
      <c r="BA1111" s="20" t="str">
        <f t="shared" si="338"/>
        <v>Incomplete</v>
      </c>
      <c r="BB1111" s="66"/>
      <c r="BC1111" s="20" t="str">
        <f t="shared" si="339"/>
        <v>Incomplete</v>
      </c>
      <c r="BD1111" s="66"/>
      <c r="BE1111" s="20" t="str">
        <f t="shared" si="340"/>
        <v>Incomplete</v>
      </c>
      <c r="BF1111" s="66"/>
      <c r="BG1111" s="66"/>
      <c r="BH1111" s="66"/>
      <c r="BI1111" s="20" t="str">
        <f>IF(OR(ISBLANK(BG1111), ISBLANK(BH1111)),"Incomplete",(SUM(BH1111-BG1111)))</f>
        <v>Incomplete</v>
      </c>
      <c r="BJ1111" s="66"/>
      <c r="BK1111" s="66"/>
      <c r="BL1111" s="66"/>
      <c r="BM1111" s="66"/>
      <c r="BN1111" s="66"/>
      <c r="BO1111" s="66"/>
      <c r="BP1111" s="66"/>
      <c r="BQ1111" s="66"/>
      <c r="BR1111" s="66"/>
      <c r="BS1111" s="66"/>
      <c r="BT1111" s="66"/>
      <c r="BU1111" s="66"/>
      <c r="BV1111" s="66"/>
      <c r="BW1111" s="91" t="str">
        <f t="shared" si="341"/>
        <v>Incomplete</v>
      </c>
      <c r="BX1111" s="91" t="str">
        <f>_xlfn.XLOOKUP(BW1111,'Normative data'!$V$3:$V$6,'Normative data'!$W$3:$W$6,"Not Found",-1)</f>
        <v>Very low risk</v>
      </c>
      <c r="BY1111" s="91" t="str">
        <f t="shared" si="342"/>
        <v>Incomplete</v>
      </c>
      <c r="BZ1111" s="91" t="str">
        <f>_xlfn.XLOOKUP(BY1111,'Normative data'!$V$3:$V$6,'Normative data'!$W$3:$W$6,"Not Found",-1)</f>
        <v>Very low risk</v>
      </c>
      <c r="CA1111" s="66"/>
      <c r="CB1111" s="66"/>
      <c r="CC1111" s="66"/>
      <c r="CD1111" s="66"/>
      <c r="CE1111" s="66"/>
      <c r="CF1111" s="66"/>
      <c r="CG1111" s="66">
        <v>17.97</v>
      </c>
      <c r="CH1111" s="20" t="e">
        <f>_xlfn.XLOOKUP(#REF!, 'Normative data'!$S$9:$S$15,'Normative data'!$T$9:$T$15, "Not Found", -1)</f>
        <v>#REF!</v>
      </c>
      <c r="CI1111" s="66">
        <v>17.47</v>
      </c>
      <c r="CJ1111" s="20" t="e">
        <f>_xlfn.XLOOKUP(#REF!, 'Normative data'!$S$9:$S$15, 'Normative data'!$T$9:$T$15, "Not Found", -1)</f>
        <v>#REF!</v>
      </c>
      <c r="CK1111" s="66" t="s">
        <v>205</v>
      </c>
      <c r="CL1111" s="66" t="s">
        <v>354</v>
      </c>
      <c r="CM1111" s="66"/>
      <c r="CN1111" s="66" t="s">
        <v>379</v>
      </c>
      <c r="CO1111" s="66" t="s">
        <v>380</v>
      </c>
      <c r="CP1111" s="68"/>
      <c r="CQ1111" s="68"/>
      <c r="CR1111" s="20" t="str" cm="1">
        <f t="array" ref="CR1111">IF(OR(ISBLANK(E1111),ISBLANK(CQ1111)),"Incomplete",_xlfn.XLOOKUP(CQ1111,_xlfn.XLOOKUP(E1111,'Normative data'!$Y$3:$Y$6,'Normative data'!$Z$3:$AG$6,,-1),'Normative data'!$Z$2:$AG$2,"Not Found",-1))</f>
        <v>Incomplete</v>
      </c>
      <c r="CS1111" s="68"/>
      <c r="CT1111" s="66"/>
      <c r="CU1111" s="20" t="str" cm="1">
        <f t="array" ref="CU1111">_xlfn.XLOOKUP(CS1111&amp;CT1111,(VLOOKUP!$A$3:$A$250)&amp;(VLOOKUP!$B$3:$B$250),VLOOKUP!$C$3:$C$250,"Incomplete",-1)</f>
        <v>Incomplete</v>
      </c>
      <c r="CV1111" s="20" t="str" cm="1">
        <f t="array" ref="CV1111">_xlfn.XLOOKUP(CU1111, _xlfn.XLOOKUP(E1111, 'Normative data'!$Y$11:$Y$14, 'Normative data'!$Z$11:$AG$14, ,-1), 'Normative data'!$Z$10:$AG$10, "Not Found", -1)</f>
        <v>Excellent</v>
      </c>
      <c r="CW1111" s="20" t="str" cm="1">
        <f t="array" ref="CW1111">IF(OR(ISBLANK(CS1111),ISBLANK(CT1111)),"Incomplete",_xlfn.XLOOKUP(CS1111&amp;CT1111,VLOOKUP!$A$4:$A$250&amp;VLOOKUP!$B$4:$B$250,VLOOKUP!$D$4:$D$250,"0"))</f>
        <v>Incomplete</v>
      </c>
    </row>
    <row r="1112" spans="1:101">
      <c r="A1112" s="94" t="s">
        <v>308</v>
      </c>
      <c r="B1112" s="94" t="s">
        <v>313</v>
      </c>
      <c r="C1112" s="64" t="s">
        <v>86</v>
      </c>
      <c r="D1112" s="97">
        <v>40471</v>
      </c>
      <c r="E1112" s="59"/>
      <c r="F1112" s="64">
        <v>9</v>
      </c>
      <c r="G1112" s="64">
        <v>2025</v>
      </c>
      <c r="H1112" s="61"/>
      <c r="I1112" s="64"/>
      <c r="J1112" s="64"/>
      <c r="K1112" s="64"/>
      <c r="L1112" s="64"/>
      <c r="M1112" s="64"/>
      <c r="N1112" s="64"/>
      <c r="O1112" s="64"/>
      <c r="P1112" s="59"/>
      <c r="Q1112" s="59"/>
      <c r="R1112" s="59"/>
      <c r="S1112" s="61"/>
      <c r="T1112" s="61"/>
      <c r="U1112" s="61"/>
      <c r="V1112" s="61"/>
      <c r="W1112" s="61"/>
      <c r="X1112" s="61"/>
      <c r="Y1112" s="61"/>
      <c r="Z1112" s="61"/>
      <c r="AA1112" s="61"/>
      <c r="AB1112" s="61"/>
      <c r="AC1112" s="61"/>
      <c r="AD1112" s="61"/>
      <c r="AE1112" s="61"/>
      <c r="AF1112" s="61"/>
      <c r="AG1112" s="61"/>
      <c r="AH1112" s="61"/>
      <c r="AI1112" s="61"/>
      <c r="AJ1112" s="61"/>
      <c r="AK1112" s="61"/>
      <c r="AL1112" s="61"/>
      <c r="AM1112" s="61"/>
      <c r="AN1112" s="61"/>
      <c r="AO1112" s="61"/>
      <c r="AP1112" s="61"/>
      <c r="AQ1112" s="66"/>
      <c r="AR1112" s="66"/>
      <c r="AS1112" s="66"/>
      <c r="AT1112" s="66"/>
      <c r="AU1112" s="66"/>
      <c r="AV1112" s="66"/>
      <c r="AW1112" s="66"/>
      <c r="AX1112" s="66"/>
      <c r="AY1112" s="41" t="str">
        <f t="shared" si="337"/>
        <v>Incomplete</v>
      </c>
      <c r="AZ1112" s="66"/>
      <c r="BA1112" s="20" t="str">
        <f t="shared" si="338"/>
        <v>Incomplete</v>
      </c>
      <c r="BB1112" s="66"/>
      <c r="BC1112" s="20" t="str">
        <f t="shared" si="339"/>
        <v>Incomplete</v>
      </c>
      <c r="BD1112" s="66"/>
      <c r="BE1112" s="20" t="str">
        <f t="shared" si="340"/>
        <v>Incomplete</v>
      </c>
      <c r="BF1112" s="66"/>
      <c r="BG1112" s="66">
        <v>11</v>
      </c>
      <c r="BH1112" s="20">
        <v>36</v>
      </c>
      <c r="BI1112" s="20">
        <f>IF(OR(ISBLANK(BG1112), ISBLANK(BH1112)),"Incomplete",(SUM(BH1112-BG1112)))</f>
        <v>25</v>
      </c>
      <c r="BJ1112" s="66"/>
      <c r="BK1112" s="66">
        <v>5</v>
      </c>
      <c r="BL1112" s="66"/>
      <c r="BM1112" s="20">
        <v>5</v>
      </c>
      <c r="BN1112" s="66"/>
      <c r="BO1112" s="66"/>
      <c r="BP1112" s="66"/>
      <c r="BQ1112" s="66"/>
      <c r="BR1112" s="66"/>
      <c r="BS1112" s="66"/>
      <c r="BT1112" s="66"/>
      <c r="BU1112" s="66"/>
      <c r="BV1112" s="66"/>
      <c r="BW1112" s="91" t="str">
        <f t="shared" si="341"/>
        <v>Incomplete</v>
      </c>
      <c r="BX1112" s="91" t="str">
        <f>_xlfn.XLOOKUP(BW1112,'Normative data'!$V$3:$V$6,'Normative data'!$W$3:$W$6,"Not Found",-1)</f>
        <v>Very low risk</v>
      </c>
      <c r="BY1112" s="91" t="str">
        <f t="shared" si="342"/>
        <v>Incomplete</v>
      </c>
      <c r="BZ1112" s="91" t="str">
        <f>_xlfn.XLOOKUP(BY1112,'Normative data'!$V$3:$V$6,'Normative data'!$W$3:$W$6,"Not Found",-1)</f>
        <v>Very low risk</v>
      </c>
      <c r="CA1112" s="66"/>
      <c r="CB1112" s="66"/>
      <c r="CC1112" s="66"/>
      <c r="CD1112" s="66"/>
      <c r="CE1112" s="66"/>
      <c r="CF1112" s="66"/>
      <c r="CG1112" s="20"/>
      <c r="CH1112" s="20" t="str">
        <f>_xlfn.XLOOKUP(CG1112, 'Normative data'!$S$9:$S$15,'Normative data'!$T$9:$T$15, "Not Found", -1)</f>
        <v>not completed</v>
      </c>
      <c r="CI1112" s="20"/>
      <c r="CJ1112" s="20" t="str">
        <f>_xlfn.XLOOKUP(CI1112, 'Normative data'!$S$9:$S$15, 'Normative data'!$T$9:$T$15, "Not Found", -1)</f>
        <v>not completed</v>
      </c>
      <c r="CK1112" s="24">
        <v>2.36</v>
      </c>
      <c r="CL1112" s="24">
        <v>4.24</v>
      </c>
      <c r="CM1112" s="21"/>
      <c r="CN1112" s="24">
        <v>7.47</v>
      </c>
      <c r="CO1112" s="24">
        <v>6.69</v>
      </c>
      <c r="CP1112" s="110"/>
      <c r="CQ1112" s="68"/>
      <c r="CR1112" s="20" t="str" cm="1">
        <f t="array" ref="CR1112">IF(OR(ISBLANK(E1112),ISBLANK(CQ1112)),"Incomplete",_xlfn.XLOOKUP(CQ1112,_xlfn.XLOOKUP(E1112,'Normative data'!$Y$3:$Y$6,'Normative data'!$Z$3:$AG$6,,-1),'Normative data'!$Z$2:$AG$2,"Not Found",-1))</f>
        <v>Incomplete</v>
      </c>
      <c r="CS1112" s="68"/>
      <c r="CT1112" s="66"/>
      <c r="CU1112" s="20" t="str" cm="1">
        <f t="array" ref="CU1112">_xlfn.XLOOKUP(CS1112&amp;CT1112,(VLOOKUP!$A$3:$A$250)&amp;(VLOOKUP!$B$3:$B$250),VLOOKUP!$C$3:$C$250,"Incomplete",-1)</f>
        <v>Incomplete</v>
      </c>
      <c r="CV1112" s="20" t="str" cm="1">
        <f t="array" ref="CV1112">_xlfn.XLOOKUP(CU1112, _xlfn.XLOOKUP(E1112, 'Normative data'!$Y$11:$Y$14, 'Normative data'!$Z$11:$AG$14, ,-1), 'Normative data'!$Z$10:$AG$10, "Not Found", -1)</f>
        <v>Excellent</v>
      </c>
      <c r="CW1112" s="20" t="str" cm="1">
        <f t="array" ref="CW1112">IF(OR(ISBLANK(CS1112),ISBLANK(CT1112)),"Incomplete",_xlfn.XLOOKUP(CS1112&amp;CT1112,VLOOKUP!$A$4:$A$250&amp;VLOOKUP!$B$4:$B$250,VLOOKUP!$D$4:$D$250,"0"))</f>
        <v>Incomplete</v>
      </c>
    </row>
    <row r="1113" spans="1:101">
      <c r="A1113" s="64" t="s">
        <v>1217</v>
      </c>
      <c r="B1113" s="64" t="s">
        <v>1731</v>
      </c>
      <c r="C1113" s="64" t="s">
        <v>86</v>
      </c>
      <c r="D1113" s="65">
        <v>39960</v>
      </c>
      <c r="E1113" s="64"/>
      <c r="F1113" s="64">
        <v>10</v>
      </c>
      <c r="G1113" s="64">
        <v>2025</v>
      </c>
      <c r="H1113" s="66"/>
      <c r="I1113" s="64"/>
      <c r="J1113" s="64"/>
      <c r="K1113" s="64"/>
      <c r="L1113" s="64"/>
      <c r="M1113" s="64"/>
      <c r="N1113" s="64"/>
      <c r="O1113" s="64"/>
      <c r="P1113" s="64"/>
      <c r="Q1113" s="64"/>
      <c r="R1113" s="64"/>
      <c r="S1113" s="66"/>
      <c r="T1113" s="66"/>
      <c r="U1113" s="66"/>
      <c r="V1113" s="66"/>
      <c r="W1113" s="66"/>
      <c r="X1113" s="66"/>
      <c r="Y1113" s="66"/>
      <c r="Z1113" s="66"/>
      <c r="AA1113" s="66"/>
      <c r="AB1113" s="66"/>
      <c r="AC1113" s="66"/>
      <c r="AD1113" s="66"/>
      <c r="AE1113" s="66"/>
      <c r="AF1113" s="66"/>
      <c r="AG1113" s="66"/>
      <c r="AH1113" s="66"/>
      <c r="AI1113" s="66"/>
      <c r="AJ1113" s="66"/>
      <c r="AK1113" s="66"/>
      <c r="AL1113" s="66"/>
      <c r="AM1113" s="66"/>
      <c r="AN1113" s="66"/>
      <c r="AO1113" s="66"/>
      <c r="AP1113" s="66"/>
      <c r="AQ1113" s="66"/>
      <c r="AR1113" s="66"/>
      <c r="AS1113" s="66"/>
      <c r="AT1113" s="66"/>
      <c r="AU1113" s="66"/>
      <c r="AV1113" s="66"/>
      <c r="AW1113" s="66"/>
      <c r="AX1113" s="66"/>
      <c r="AY1113" s="41" t="str">
        <f t="shared" si="337"/>
        <v>Incomplete</v>
      </c>
      <c r="AZ1113" s="66"/>
      <c r="BA1113" s="20" t="str">
        <f t="shared" si="338"/>
        <v>Incomplete</v>
      </c>
      <c r="BB1113" s="66"/>
      <c r="BC1113" s="20" t="str">
        <f t="shared" si="339"/>
        <v>Incomplete</v>
      </c>
      <c r="BD1113" s="66"/>
      <c r="BE1113" s="20" t="str">
        <f t="shared" si="340"/>
        <v>Incomplete</v>
      </c>
      <c r="BF1113" s="66"/>
      <c r="BG1113" s="66">
        <v>15</v>
      </c>
      <c r="BH1113" s="66">
        <v>22.9</v>
      </c>
      <c r="BI1113" s="20" t="e">
        <f>IF(OR(ISBLANK(#REF!), ISBLANK(#REF!)),"Incomplete",(SUM(#REF!-#REF!)))</f>
        <v>#REF!</v>
      </c>
      <c r="BJ1113" s="66"/>
      <c r="BK1113" s="66"/>
      <c r="BL1113" s="66"/>
      <c r="BM1113" s="66"/>
      <c r="BN1113" s="66"/>
      <c r="BO1113" s="66"/>
      <c r="BP1113" s="66"/>
      <c r="BQ1113" s="66"/>
      <c r="BR1113" s="66"/>
      <c r="BS1113" s="66"/>
      <c r="BT1113" s="66"/>
      <c r="BU1113" s="66"/>
      <c r="BV1113" s="66"/>
      <c r="BW1113" s="91" t="str">
        <f t="shared" si="341"/>
        <v>Incomplete</v>
      </c>
      <c r="BX1113" s="91" t="str">
        <f>_xlfn.XLOOKUP(BW1113,'Normative data'!$V$3:$V$6,'Normative data'!$W$3:$W$6,"Not Found",-1)</f>
        <v>Very low risk</v>
      </c>
      <c r="BY1113" s="91" t="str">
        <f t="shared" si="342"/>
        <v>Incomplete</v>
      </c>
      <c r="BZ1113" s="91" t="str">
        <f>_xlfn.XLOOKUP(BY1113,'Normative data'!$V$3:$V$6,'Normative data'!$W$3:$W$6,"Not Found",-1)</f>
        <v>Very low risk</v>
      </c>
      <c r="CA1113" s="66"/>
      <c r="CB1113" s="66"/>
      <c r="CC1113" s="20"/>
      <c r="CD1113" s="66"/>
      <c r="CE1113" s="66">
        <v>19</v>
      </c>
      <c r="CF1113" s="66"/>
      <c r="CG1113" s="66"/>
      <c r="CH1113" s="20" t="str">
        <f>_xlfn.XLOOKUP(CG1113, 'Normative data'!$S$9:$S$15,'Normative data'!$T$9:$T$15, "Not Found", -1)</f>
        <v>not completed</v>
      </c>
      <c r="CI1113" s="66"/>
      <c r="CJ1113" s="20" t="str">
        <f>_xlfn.XLOOKUP(CI1113, 'Normative data'!$S$9:$S$15, 'Normative data'!$T$9:$T$15, "Not Found", -1)</f>
        <v>not completed</v>
      </c>
      <c r="CK1113" s="105">
        <v>2.2999999999999998</v>
      </c>
      <c r="CL1113" s="105">
        <v>4.3499999999999996</v>
      </c>
      <c r="CM1113" s="105"/>
      <c r="CN1113" s="105">
        <v>7.19</v>
      </c>
      <c r="CO1113" s="105">
        <v>9.9499999999999993</v>
      </c>
      <c r="CP1113" s="109"/>
      <c r="CQ1113" s="68"/>
      <c r="CR1113" s="20" t="str" cm="1">
        <f t="array" ref="CR1113">IF(OR(ISBLANK(E1113),ISBLANK(CQ1113)),"Incomplete",_xlfn.XLOOKUP(CQ1113,_xlfn.XLOOKUP(E1113,'Normative data'!$Y$3:$Y$6,'Normative data'!$Z$3:$AG$6,,-1),'Normative data'!$Z$2:$AG$2,"Not Found",-1))</f>
        <v>Incomplete</v>
      </c>
      <c r="CS1113" s="68"/>
      <c r="CT1113" s="66"/>
      <c r="CU1113" s="20" t="str" cm="1">
        <f t="array" ref="CU1113">_xlfn.XLOOKUP(CS1113&amp;CT1113,(VLOOKUP!$A$3:$A$250)&amp;(VLOOKUP!$B$3:$B$250),VLOOKUP!$C$3:$C$250,"Incomplete",-1)</f>
        <v>Incomplete</v>
      </c>
      <c r="CV1113" s="20" t="str" cm="1">
        <f t="array" ref="CV1113">_xlfn.XLOOKUP(CU1113, _xlfn.XLOOKUP(E1113, 'Normative data'!$Y$11:$Y$14, 'Normative data'!$Z$11:$AG$14, ,-1), 'Normative data'!$Z$10:$AG$10, "Not Found", -1)</f>
        <v>Excellent</v>
      </c>
      <c r="CW1113" s="20" t="str" cm="1">
        <f t="array" ref="CW1113">IF(OR(ISBLANK(CS1113),ISBLANK(CT1113)),"Incomplete",_xlfn.XLOOKUP(CS1113&amp;CT1113,VLOOKUP!$A$4:$A$250&amp;VLOOKUP!$B$4:$B$250,VLOOKUP!$D$4:$D$250,"0"))</f>
        <v>Incomplete</v>
      </c>
    </row>
    <row r="1114" spans="1:101">
      <c r="A1114" s="94" t="s">
        <v>1641</v>
      </c>
      <c r="B1114" s="94" t="s">
        <v>1640</v>
      </c>
      <c r="C1114" s="64" t="s">
        <v>86</v>
      </c>
      <c r="D1114" s="97"/>
      <c r="E1114" s="64"/>
      <c r="F1114" s="64">
        <v>10</v>
      </c>
      <c r="G1114" s="64">
        <v>2025</v>
      </c>
      <c r="H1114" s="66"/>
      <c r="I1114" s="64"/>
      <c r="J1114" s="64"/>
      <c r="K1114" s="64"/>
      <c r="L1114" s="64"/>
      <c r="M1114" s="64"/>
      <c r="N1114" s="64"/>
      <c r="O1114" s="64"/>
      <c r="P1114" s="64"/>
      <c r="Q1114" s="64"/>
      <c r="R1114" s="64"/>
      <c r="S1114" s="66"/>
      <c r="T1114" s="66"/>
      <c r="U1114" s="66"/>
      <c r="V1114" s="66"/>
      <c r="W1114" s="66"/>
      <c r="X1114" s="66"/>
      <c r="Y1114" s="66"/>
      <c r="Z1114" s="66"/>
      <c r="AA1114" s="66"/>
      <c r="AB1114" s="66"/>
      <c r="AC1114" s="66"/>
      <c r="AD1114" s="66"/>
      <c r="AE1114" s="66"/>
      <c r="AF1114" s="66"/>
      <c r="AG1114" s="66"/>
      <c r="AH1114" s="66"/>
      <c r="AI1114" s="66"/>
      <c r="AJ1114" s="66"/>
      <c r="AK1114" s="66"/>
      <c r="AL1114" s="66"/>
      <c r="AM1114" s="66"/>
      <c r="AN1114" s="66"/>
      <c r="AO1114" s="66"/>
      <c r="AP1114" s="66"/>
      <c r="AQ1114" s="66"/>
      <c r="AR1114" s="66"/>
      <c r="AS1114" s="66"/>
      <c r="AT1114" s="66"/>
      <c r="AU1114" s="66"/>
      <c r="AV1114" s="66"/>
      <c r="AW1114" s="66"/>
      <c r="AX1114" s="66"/>
      <c r="AY1114" s="41" t="str">
        <f t="shared" si="337"/>
        <v>Incomplete</v>
      </c>
      <c r="AZ1114" s="66"/>
      <c r="BA1114" s="20" t="str">
        <f t="shared" si="338"/>
        <v>Incomplete</v>
      </c>
      <c r="BB1114" s="66"/>
      <c r="BC1114" s="20" t="str">
        <f t="shared" si="339"/>
        <v>Incomplete</v>
      </c>
      <c r="BD1114" s="66"/>
      <c r="BE1114" s="20" t="str">
        <f t="shared" si="340"/>
        <v>Incomplete</v>
      </c>
      <c r="BF1114" s="66"/>
      <c r="BG1114" s="66">
        <v>13.5</v>
      </c>
      <c r="BH1114" s="20">
        <v>46.2</v>
      </c>
      <c r="BI1114" s="20">
        <f>IF(OR(ISBLANK(BG1114), ISBLANK(BH1114)),"Incomplete",(SUM(BH1114-BG1114)))</f>
        <v>32.700000000000003</v>
      </c>
      <c r="BJ1114" s="66"/>
      <c r="BK1114" s="66">
        <v>4</v>
      </c>
      <c r="BL1114" s="66"/>
      <c r="BM1114" s="66">
        <v>3</v>
      </c>
      <c r="BN1114" s="66"/>
      <c r="BO1114" s="66"/>
      <c r="BP1114" s="66"/>
      <c r="BQ1114" s="66"/>
      <c r="BR1114" s="66"/>
      <c r="BS1114" s="66"/>
      <c r="BT1114" s="66"/>
      <c r="BU1114" s="66"/>
      <c r="BV1114" s="66"/>
      <c r="BW1114" s="91" t="str">
        <f t="shared" si="341"/>
        <v>Incomplete</v>
      </c>
      <c r="BX1114" s="91" t="str">
        <f>_xlfn.XLOOKUP(BW1114,'Normative data'!$V$3:$V$6,'Normative data'!$W$3:$W$6,"Not Found",-1)</f>
        <v>Very low risk</v>
      </c>
      <c r="BY1114" s="91" t="str">
        <f t="shared" si="342"/>
        <v>Incomplete</v>
      </c>
      <c r="BZ1114" s="91" t="str">
        <f>_xlfn.XLOOKUP(BY1114,'Normative data'!$V$3:$V$6,'Normative data'!$W$3:$W$6,"Not Found",-1)</f>
        <v>Very low risk</v>
      </c>
      <c r="CA1114" s="66"/>
      <c r="CB1114" s="66"/>
      <c r="CC1114" s="66"/>
      <c r="CD1114" s="66"/>
      <c r="CE1114" s="66">
        <v>8</v>
      </c>
      <c r="CF1114" s="66"/>
      <c r="CG1114" s="20"/>
      <c r="CH1114" s="20" t="str">
        <f>_xlfn.XLOOKUP(CG1114, 'Normative data'!$S$9:$S$15,'Normative data'!$T$9:$T$15, "Not Found", -1)</f>
        <v>not completed</v>
      </c>
      <c r="CI1114" s="20"/>
      <c r="CJ1114" s="20" t="str">
        <f>_xlfn.XLOOKUP(CI1114, 'Normative data'!$S$9:$S$15, 'Normative data'!$T$9:$T$15, "Not Found", -1)</f>
        <v>not completed</v>
      </c>
      <c r="CK1114" s="24">
        <v>2.09</v>
      </c>
      <c r="CL1114" s="24">
        <v>4.78</v>
      </c>
      <c r="CM1114" s="21"/>
      <c r="CN1114" s="24">
        <v>6.94</v>
      </c>
      <c r="CO1114" s="24">
        <v>7.2</v>
      </c>
      <c r="CP1114" s="110"/>
      <c r="CQ1114" s="68"/>
      <c r="CR1114" s="20" t="str" cm="1">
        <f t="array" ref="CR1114">IF(OR(ISBLANK(E1114),ISBLANK(CQ1114)),"Incomplete",_xlfn.XLOOKUP(CQ1114,_xlfn.XLOOKUP(E1114,'Normative data'!$Y$3:$Y$6,'Normative data'!$Z$3:$AG$6,,-1),'Normative data'!$Z$2:$AG$2,"Not Found",-1))</f>
        <v>Incomplete</v>
      </c>
      <c r="CS1114" s="68"/>
      <c r="CT1114" s="66"/>
      <c r="CU1114" s="20" t="str" cm="1">
        <f t="array" ref="CU1114">_xlfn.XLOOKUP(CS1114&amp;CT1114,(VLOOKUP!$A$3:$A$250)&amp;(VLOOKUP!$B$3:$B$250),VLOOKUP!$C$3:$C$250,"Incomplete",-1)</f>
        <v>Incomplete</v>
      </c>
      <c r="CV1114" s="20" t="str" cm="1">
        <f t="array" ref="CV1114">_xlfn.XLOOKUP(CU1114, _xlfn.XLOOKUP(E1114, 'Normative data'!$Y$11:$Y$14, 'Normative data'!$Z$11:$AG$14, ,-1), 'Normative data'!$Z$10:$AG$10, "Not Found", -1)</f>
        <v>Excellent</v>
      </c>
      <c r="CW1114" s="20" t="str" cm="1">
        <f t="array" ref="CW1114">IF(OR(ISBLANK(CS1114),ISBLANK(CT1114)),"Incomplete",_xlfn.XLOOKUP(CS1114&amp;CT1114,VLOOKUP!$A$4:$A$250&amp;VLOOKUP!$B$4:$B$250,VLOOKUP!$D$4:$D$250,"0"))</f>
        <v>Incomplete</v>
      </c>
    </row>
    <row r="1115" spans="1:101">
      <c r="A1115" s="94" t="s">
        <v>1641</v>
      </c>
      <c r="B1115" s="94" t="s">
        <v>1640</v>
      </c>
      <c r="C1115" s="64" t="s">
        <v>86</v>
      </c>
      <c r="D1115" s="97"/>
      <c r="E1115" s="64"/>
      <c r="F1115" s="64">
        <v>10</v>
      </c>
      <c r="G1115" s="64">
        <v>2025</v>
      </c>
      <c r="H1115" s="66"/>
      <c r="I1115" s="64"/>
      <c r="J1115" s="64"/>
      <c r="K1115" s="64"/>
      <c r="L1115" s="64"/>
      <c r="M1115" s="64"/>
      <c r="N1115" s="64"/>
      <c r="O1115" s="64"/>
      <c r="P1115" s="64"/>
      <c r="Q1115" s="64"/>
      <c r="R1115" s="64"/>
      <c r="S1115" s="66"/>
      <c r="T1115" s="66"/>
      <c r="U1115" s="66"/>
      <c r="V1115" s="66"/>
      <c r="W1115" s="66"/>
      <c r="X1115" s="66"/>
      <c r="Y1115" s="66"/>
      <c r="Z1115" s="66"/>
      <c r="AA1115" s="66"/>
      <c r="AB1115" s="66"/>
      <c r="AC1115" s="66"/>
      <c r="AD1115" s="66"/>
      <c r="AE1115" s="66"/>
      <c r="AF1115" s="66"/>
      <c r="AG1115" s="66"/>
      <c r="AH1115" s="66"/>
      <c r="AI1115" s="66"/>
      <c r="AJ1115" s="66"/>
      <c r="AK1115" s="66"/>
      <c r="AL1115" s="66"/>
      <c r="AM1115" s="66"/>
      <c r="AN1115" s="66"/>
      <c r="AO1115" s="66"/>
      <c r="AP1115" s="66"/>
      <c r="AQ1115" s="66"/>
      <c r="AR1115" s="66"/>
      <c r="AS1115" s="66"/>
      <c r="AT1115" s="66"/>
      <c r="AU1115" s="66"/>
      <c r="AV1115" s="66"/>
      <c r="AW1115" s="66"/>
      <c r="AX1115" s="66"/>
      <c r="AY1115" s="41" t="str">
        <f t="shared" si="337"/>
        <v>Incomplete</v>
      </c>
      <c r="AZ1115" s="66"/>
      <c r="BA1115" s="20" t="str">
        <f t="shared" si="338"/>
        <v>Incomplete</v>
      </c>
      <c r="BB1115" s="66"/>
      <c r="BC1115" s="20" t="str">
        <f t="shared" si="339"/>
        <v>Incomplete</v>
      </c>
      <c r="BD1115" s="66"/>
      <c r="BE1115" s="20" t="str">
        <f t="shared" si="340"/>
        <v>Incomplete</v>
      </c>
      <c r="BF1115" s="66"/>
      <c r="BG1115" s="66"/>
      <c r="BH1115" s="66"/>
      <c r="BI1115" s="20" t="str">
        <f>IF(OR(ISBLANK(BG1115), ISBLANK(BH1115)),"Incomplete",(SUM(BH1115-BG1115)))</f>
        <v>Incomplete</v>
      </c>
      <c r="BJ1115" s="66"/>
      <c r="BK1115" s="66"/>
      <c r="BL1115" s="66"/>
      <c r="BM1115" s="66"/>
      <c r="BN1115" s="66"/>
      <c r="BO1115" s="66"/>
      <c r="BP1115" s="66"/>
      <c r="BQ1115" s="66"/>
      <c r="BR1115" s="66"/>
      <c r="BS1115" s="66"/>
      <c r="BT1115" s="66"/>
      <c r="BU1115" s="66"/>
      <c r="BV1115" s="66"/>
      <c r="BW1115" s="91" t="str">
        <f t="shared" si="341"/>
        <v>Incomplete</v>
      </c>
      <c r="BX1115" s="91" t="str">
        <f>_xlfn.XLOOKUP(BW1115,'Normative data'!$V$3:$V$6,'Normative data'!$W$3:$W$6,"Not Found",-1)</f>
        <v>Very low risk</v>
      </c>
      <c r="BY1115" s="91" t="str">
        <f t="shared" si="342"/>
        <v>Incomplete</v>
      </c>
      <c r="BZ1115" s="91" t="str">
        <f>_xlfn.XLOOKUP(BY1115,'Normative data'!$V$3:$V$6,'Normative data'!$W$3:$W$6,"Not Found",-1)</f>
        <v>Very low risk</v>
      </c>
      <c r="CA1115" s="66"/>
      <c r="CB1115" s="66"/>
      <c r="CC1115" s="20"/>
      <c r="CD1115" s="66"/>
      <c r="CE1115" s="66"/>
      <c r="CF1115" s="66"/>
      <c r="CG1115" s="66"/>
      <c r="CH1115" s="20" t="str">
        <f>_xlfn.XLOOKUP(CG1115, 'Normative data'!$S$9:$S$15,'Normative data'!$T$9:$T$15, "Not Found", -1)</f>
        <v>not completed</v>
      </c>
      <c r="CI1115" s="66"/>
      <c r="CJ1115" s="20" t="str">
        <f>_xlfn.XLOOKUP(CI1115, 'Normative data'!$S$9:$S$15, 'Normative data'!$T$9:$T$15, "Not Found", -1)</f>
        <v>not completed</v>
      </c>
      <c r="CK1115" s="66" t="s">
        <v>497</v>
      </c>
      <c r="CL1115" s="66" t="s">
        <v>498</v>
      </c>
      <c r="CM1115" s="105"/>
      <c r="CN1115" s="66" t="s">
        <v>1207</v>
      </c>
      <c r="CO1115" s="66" t="s">
        <v>500</v>
      </c>
      <c r="CP1115" s="110"/>
      <c r="CQ1115" s="68"/>
      <c r="CR1115" s="20" t="str" cm="1">
        <f t="array" ref="CR1115">IF(OR(ISBLANK(E1115),ISBLANK(CQ1115)),"Incomplete",_xlfn.XLOOKUP(CQ1115,_xlfn.XLOOKUP(E1115,'Normative data'!$Y$3:$Y$6,'Normative data'!$Z$3:$AG$6,,-1),'Normative data'!$Z$2:$AG$2,"Not Found",-1))</f>
        <v>Incomplete</v>
      </c>
      <c r="CS1115" s="68"/>
      <c r="CT1115" s="66"/>
      <c r="CU1115" s="20" t="str" cm="1">
        <f t="array" ref="CU1115">_xlfn.XLOOKUP(CS1115&amp;CT1115,(VLOOKUP!$A$3:$A$250)&amp;(VLOOKUP!$B$3:$B$250),VLOOKUP!$C$3:$C$250,"Incomplete",-1)</f>
        <v>Incomplete</v>
      </c>
      <c r="CV1115" s="20" t="str" cm="1">
        <f t="array" ref="CV1115">_xlfn.XLOOKUP(CU1115, _xlfn.XLOOKUP(E1115, 'Normative data'!$Y$11:$Y$14, 'Normative data'!$Z$11:$AG$14, ,-1), 'Normative data'!$Z$10:$AG$10, "Not Found", -1)</f>
        <v>Excellent</v>
      </c>
      <c r="CW1115" s="20" t="str" cm="1">
        <f t="array" ref="CW1115">IF(OR(ISBLANK(CS1115),ISBLANK(CT1115)),"Incomplete",_xlfn.XLOOKUP(CS1115&amp;CT1115,VLOOKUP!$A$4:$A$250&amp;VLOOKUP!$B$4:$B$250,VLOOKUP!$D$4:$D$250,"0"))</f>
        <v>Incomplete</v>
      </c>
    </row>
    <row r="1116" spans="1:101">
      <c r="A1116" s="64" t="s">
        <v>643</v>
      </c>
      <c r="B1116" s="64" t="s">
        <v>106</v>
      </c>
      <c r="C1116" s="64" t="s">
        <v>86</v>
      </c>
      <c r="D1116" s="65"/>
      <c r="E1116" s="64"/>
      <c r="F1116" s="64">
        <v>10</v>
      </c>
      <c r="G1116" s="64">
        <v>2025</v>
      </c>
      <c r="H1116" s="66"/>
      <c r="I1116" s="64"/>
      <c r="J1116" s="64"/>
      <c r="K1116" s="64"/>
      <c r="L1116" s="64"/>
      <c r="M1116" s="64"/>
      <c r="N1116" s="64"/>
      <c r="O1116" s="64"/>
      <c r="P1116" s="64"/>
      <c r="Q1116" s="64"/>
      <c r="R1116" s="64"/>
      <c r="S1116" s="66"/>
      <c r="T1116" s="66"/>
      <c r="U1116" s="66"/>
      <c r="V1116" s="66"/>
      <c r="W1116" s="66"/>
      <c r="X1116" s="66"/>
      <c r="Y1116" s="66"/>
      <c r="Z1116" s="66"/>
      <c r="AA1116" s="66"/>
      <c r="AB1116" s="66"/>
      <c r="AC1116" s="66"/>
      <c r="AD1116" s="66"/>
      <c r="AE1116" s="66"/>
      <c r="AF1116" s="66"/>
      <c r="AG1116" s="66"/>
      <c r="AH1116" s="66"/>
      <c r="AI1116" s="66"/>
      <c r="AJ1116" s="66"/>
      <c r="AK1116" s="66"/>
      <c r="AL1116" s="66"/>
      <c r="AM1116" s="66"/>
      <c r="AN1116" s="66"/>
      <c r="AO1116" s="66"/>
      <c r="AP1116" s="66"/>
      <c r="AQ1116" s="66"/>
      <c r="AR1116" s="66"/>
      <c r="AS1116" s="66"/>
      <c r="AT1116" s="66"/>
      <c r="AU1116" s="66"/>
      <c r="AV1116" s="66"/>
      <c r="AW1116" s="66"/>
      <c r="AX1116" s="66"/>
      <c r="AY1116" s="41" t="str">
        <f t="shared" si="337"/>
        <v>Incomplete</v>
      </c>
      <c r="AZ1116" s="66"/>
      <c r="BA1116" s="20" t="str">
        <f t="shared" si="338"/>
        <v>Incomplete</v>
      </c>
      <c r="BB1116" s="66"/>
      <c r="BC1116" s="20" t="str">
        <f t="shared" si="339"/>
        <v>Incomplete</v>
      </c>
      <c r="BD1116" s="66"/>
      <c r="BE1116" s="20" t="str">
        <f t="shared" si="340"/>
        <v>Incomplete</v>
      </c>
      <c r="BF1116" s="66"/>
      <c r="BG1116" s="66">
        <v>16</v>
      </c>
      <c r="BH1116" s="66">
        <v>31</v>
      </c>
      <c r="BI1116" s="20" t="e">
        <f>IF(OR(ISBLANK(#REF!), ISBLANK(#REF!)),"Incomplete",(SUM(#REF!-#REF!)))</f>
        <v>#REF!</v>
      </c>
      <c r="BJ1116" s="66"/>
      <c r="BK1116" s="66">
        <v>11</v>
      </c>
      <c r="BL1116" s="66"/>
      <c r="BM1116" s="66">
        <v>11</v>
      </c>
      <c r="BN1116" s="66"/>
      <c r="BO1116" s="66"/>
      <c r="BP1116" s="66"/>
      <c r="BQ1116" s="66"/>
      <c r="BR1116" s="66"/>
      <c r="BS1116" s="66"/>
      <c r="BT1116" s="66"/>
      <c r="BU1116" s="66"/>
      <c r="BV1116" s="66"/>
      <c r="BW1116" s="91" t="str">
        <f t="shared" si="341"/>
        <v>Incomplete</v>
      </c>
      <c r="BX1116" s="91" t="str">
        <f>_xlfn.XLOOKUP(BW1116,'Normative data'!$V$3:$V$6,'Normative data'!$W$3:$W$6,"Not Found",-1)</f>
        <v>Very low risk</v>
      </c>
      <c r="BY1116" s="91" t="str">
        <f t="shared" si="342"/>
        <v>Incomplete</v>
      </c>
      <c r="BZ1116" s="91" t="str">
        <f>_xlfn.XLOOKUP(BY1116,'Normative data'!$V$3:$V$6,'Normative data'!$W$3:$W$6,"Not Found",-1)</f>
        <v>Very low risk</v>
      </c>
      <c r="CA1116" s="66"/>
      <c r="CB1116" s="66"/>
      <c r="CC1116" s="20"/>
      <c r="CD1116" s="66"/>
      <c r="CE1116" s="66">
        <v>10</v>
      </c>
      <c r="CF1116" s="66"/>
      <c r="CG1116" s="66"/>
      <c r="CH1116" s="20" t="str">
        <f>_xlfn.XLOOKUP(CG1116, 'Normative data'!$S$9:$S$15,'Normative data'!$T$9:$T$15, "Not Found", -1)</f>
        <v>not completed</v>
      </c>
      <c r="CI1116" s="66"/>
      <c r="CJ1116" s="20" t="str">
        <f>_xlfn.XLOOKUP(CI1116, 'Normative data'!$S$9:$S$15, 'Normative data'!$T$9:$T$15, "Not Found", -1)</f>
        <v>not completed</v>
      </c>
      <c r="CK1116" s="105"/>
      <c r="CL1116" s="105"/>
      <c r="CM1116" s="105"/>
      <c r="CN1116" s="105"/>
      <c r="CO1116" s="105"/>
      <c r="CP1116" s="68"/>
      <c r="CQ1116" s="68"/>
      <c r="CR1116" s="20" t="str" cm="1">
        <f t="array" ref="CR1116">IF(OR(ISBLANK(E1116),ISBLANK(CQ1116)),"Incomplete",_xlfn.XLOOKUP(CQ1116,_xlfn.XLOOKUP(E1116,'Normative data'!$Y$3:$Y$6,'Normative data'!$Z$3:$AG$6,,-1),'Normative data'!$Z$2:$AG$2,"Not Found",-1))</f>
        <v>Incomplete</v>
      </c>
      <c r="CS1116" s="68"/>
      <c r="CT1116" s="66"/>
      <c r="CU1116" s="20" t="str" cm="1">
        <f t="array" ref="CU1116">_xlfn.XLOOKUP(CS1116&amp;CT1116,(VLOOKUP!$A$3:$A$250)&amp;(VLOOKUP!$B$3:$B$250),VLOOKUP!$C$3:$C$250,"Incomplete",-1)</f>
        <v>Incomplete</v>
      </c>
      <c r="CV1116" s="20" t="str" cm="1">
        <f t="array" ref="CV1116">_xlfn.XLOOKUP(CU1116, _xlfn.XLOOKUP(E1116, 'Normative data'!$Y$11:$Y$14, 'Normative data'!$Z$11:$AG$14, ,-1), 'Normative data'!$Z$10:$AG$10, "Not Found", -1)</f>
        <v>Excellent</v>
      </c>
      <c r="CW1116" s="20" t="str" cm="1">
        <f t="array" ref="CW1116">IF(OR(ISBLANK(CS1116),ISBLANK(CT1116)),"Incomplete",_xlfn.XLOOKUP(CS1116&amp;CT1116,VLOOKUP!$A$4:$A$250&amp;VLOOKUP!$B$4:$B$250,VLOOKUP!$D$4:$D$250,"0"))</f>
        <v>Incomplete</v>
      </c>
    </row>
    <row r="1117" spans="1:101">
      <c r="A1117" s="93" t="s">
        <v>792</v>
      </c>
      <c r="B1117" s="93" t="s">
        <v>793</v>
      </c>
      <c r="C1117" s="64" t="s">
        <v>86</v>
      </c>
      <c r="D1117" s="96">
        <v>40245</v>
      </c>
      <c r="E1117" s="64"/>
      <c r="F1117" s="64">
        <v>9</v>
      </c>
      <c r="G1117" s="64">
        <v>2025</v>
      </c>
      <c r="H1117" s="66"/>
      <c r="I1117" s="64"/>
      <c r="J1117" s="64"/>
      <c r="K1117" s="64"/>
      <c r="L1117" s="64"/>
      <c r="M1117" s="64"/>
      <c r="N1117" s="64"/>
      <c r="O1117" s="64"/>
      <c r="P1117" s="64"/>
      <c r="Q1117" s="64"/>
      <c r="R1117" s="64"/>
      <c r="S1117" s="66"/>
      <c r="T1117" s="66"/>
      <c r="U1117" s="66"/>
      <c r="V1117" s="66"/>
      <c r="W1117" s="66"/>
      <c r="X1117" s="66"/>
      <c r="Y1117" s="66"/>
      <c r="Z1117" s="66"/>
      <c r="AA1117" s="66"/>
      <c r="AB1117" s="66"/>
      <c r="AC1117" s="66"/>
      <c r="AD1117" s="66"/>
      <c r="AE1117" s="66"/>
      <c r="AF1117" s="66"/>
      <c r="AG1117" s="66"/>
      <c r="AH1117" s="66"/>
      <c r="AI1117" s="66"/>
      <c r="AJ1117" s="66"/>
      <c r="AK1117" s="66"/>
      <c r="AL1117" s="66"/>
      <c r="AM1117" s="66"/>
      <c r="AN1117" s="66"/>
      <c r="AO1117" s="66"/>
      <c r="AP1117" s="66"/>
      <c r="AQ1117" s="66"/>
      <c r="AR1117" s="66"/>
      <c r="AS1117" s="66"/>
      <c r="AT1117" s="66"/>
      <c r="AU1117" s="66"/>
      <c r="AV1117" s="66"/>
      <c r="AW1117" s="66"/>
      <c r="AX1117" s="66"/>
      <c r="AY1117" s="41" t="str">
        <f t="shared" si="337"/>
        <v>Incomplete</v>
      </c>
      <c r="AZ1117" s="66"/>
      <c r="BA1117" s="20" t="str">
        <f t="shared" si="338"/>
        <v>Incomplete</v>
      </c>
      <c r="BB1117" s="66"/>
      <c r="BC1117" s="20" t="str">
        <f t="shared" si="339"/>
        <v>Incomplete</v>
      </c>
      <c r="BD1117" s="66"/>
      <c r="BE1117" s="20" t="str">
        <f t="shared" si="340"/>
        <v>Incomplete</v>
      </c>
      <c r="BF1117" s="66"/>
      <c r="BG1117" s="66">
        <v>19</v>
      </c>
      <c r="BH1117" s="66">
        <v>40.1</v>
      </c>
      <c r="BI1117" s="20" t="e">
        <f>IF(OR(ISBLANK(#REF!), ISBLANK(#REF!)),"Incomplete",(SUM(#REF!-#REF!)))</f>
        <v>#REF!</v>
      </c>
      <c r="BJ1117" s="66"/>
      <c r="BK1117" s="66"/>
      <c r="BL1117" s="66"/>
      <c r="BM1117" s="66"/>
      <c r="BN1117" s="66"/>
      <c r="BO1117" s="66"/>
      <c r="BP1117" s="66"/>
      <c r="BQ1117" s="66"/>
      <c r="BR1117" s="66"/>
      <c r="BS1117" s="66"/>
      <c r="BT1117" s="66"/>
      <c r="BU1117" s="66"/>
      <c r="BV1117" s="66"/>
      <c r="BW1117" s="91" t="str">
        <f t="shared" si="341"/>
        <v>Incomplete</v>
      </c>
      <c r="BX1117" s="91" t="str">
        <f>_xlfn.XLOOKUP(BW1117,'Normative data'!$V$3:$V$6,'Normative data'!$W$3:$W$6,"Not Found",-1)</f>
        <v>Very low risk</v>
      </c>
      <c r="BY1117" s="91" t="str">
        <f t="shared" si="342"/>
        <v>Incomplete</v>
      </c>
      <c r="BZ1117" s="91" t="str">
        <f>_xlfn.XLOOKUP(BY1117,'Normative data'!$V$3:$V$6,'Normative data'!$W$3:$W$6,"Not Found",-1)</f>
        <v>Very low risk</v>
      </c>
      <c r="CA1117" s="66"/>
      <c r="CB1117" s="66"/>
      <c r="CC1117" s="20"/>
      <c r="CD1117" s="66"/>
      <c r="CE1117" s="66">
        <v>16</v>
      </c>
      <c r="CF1117" s="66"/>
      <c r="CG1117" s="66"/>
      <c r="CH1117" s="20" t="str">
        <f>_xlfn.XLOOKUP(CG1117, 'Normative data'!$S$9:$S$15,'Normative data'!$T$9:$T$15, "Not Found", -1)</f>
        <v>not completed</v>
      </c>
      <c r="CI1117" s="66"/>
      <c r="CJ1117" s="20" t="str">
        <f>_xlfn.XLOOKUP(CI1117, 'Normative data'!$S$9:$S$15, 'Normative data'!$T$9:$T$15, "Not Found", -1)</f>
        <v>not completed</v>
      </c>
      <c r="CK1117" s="105">
        <v>2.23</v>
      </c>
      <c r="CL1117" s="105">
        <v>4.4800000000000004</v>
      </c>
      <c r="CM1117" s="105"/>
      <c r="CN1117" s="105">
        <v>6.96</v>
      </c>
      <c r="CO1117" s="105">
        <v>7.18</v>
      </c>
      <c r="CP1117" s="109"/>
      <c r="CQ1117" s="68"/>
      <c r="CR1117" s="20" t="str" cm="1">
        <f t="array" ref="CR1117">IF(OR(ISBLANK(E1117),ISBLANK(CQ1117)),"Incomplete",_xlfn.XLOOKUP(CQ1117,_xlfn.XLOOKUP(E1117,'Normative data'!$Y$3:$Y$6,'Normative data'!$Z$3:$AG$6,,-1),'Normative data'!$Z$2:$AG$2,"Not Found",-1))</f>
        <v>Incomplete</v>
      </c>
      <c r="CS1117" s="68"/>
      <c r="CT1117" s="66"/>
      <c r="CU1117" s="20" t="str" cm="1">
        <f t="array" ref="CU1117">_xlfn.XLOOKUP(CS1117&amp;CT1117,(VLOOKUP!$A$3:$A$250)&amp;(VLOOKUP!$B$3:$B$250),VLOOKUP!$C$3:$C$250,"Incomplete",-1)</f>
        <v>Incomplete</v>
      </c>
      <c r="CV1117" s="20" t="str" cm="1">
        <f t="array" ref="CV1117">_xlfn.XLOOKUP(CU1117, _xlfn.XLOOKUP(E1117, 'Normative data'!$Y$11:$Y$14, 'Normative data'!$Z$11:$AG$14, ,-1), 'Normative data'!$Z$10:$AG$10, "Not Found", -1)</f>
        <v>Excellent</v>
      </c>
      <c r="CW1117" s="20" t="str" cm="1">
        <f t="array" ref="CW1117">IF(OR(ISBLANK(CS1117),ISBLANK(CT1117)),"Incomplete",_xlfn.XLOOKUP(CS1117&amp;CT1117,VLOOKUP!$A$4:$A$250&amp;VLOOKUP!$B$4:$B$250,VLOOKUP!$D$4:$D$250,"0"))</f>
        <v>Incomplete</v>
      </c>
    </row>
    <row r="1118" spans="1:101">
      <c r="A1118" s="93" t="s">
        <v>792</v>
      </c>
      <c r="B1118" s="93" t="s">
        <v>793</v>
      </c>
      <c r="C1118" s="64" t="s">
        <v>86</v>
      </c>
      <c r="D1118" s="96">
        <v>40245</v>
      </c>
      <c r="E1118" s="64"/>
      <c r="F1118" s="64">
        <v>9</v>
      </c>
      <c r="G1118" s="64">
        <v>2025</v>
      </c>
      <c r="H1118" s="66"/>
      <c r="I1118" s="64"/>
      <c r="J1118" s="64"/>
      <c r="K1118" s="64"/>
      <c r="L1118" s="64"/>
      <c r="M1118" s="64"/>
      <c r="N1118" s="64"/>
      <c r="O1118" s="64"/>
      <c r="P1118" s="64"/>
      <c r="Q1118" s="64"/>
      <c r="R1118" s="64"/>
      <c r="S1118" s="66"/>
      <c r="T1118" s="66"/>
      <c r="U1118" s="66"/>
      <c r="V1118" s="66"/>
      <c r="W1118" s="66"/>
      <c r="X1118" s="66"/>
      <c r="Y1118" s="66"/>
      <c r="Z1118" s="66"/>
      <c r="AA1118" s="66"/>
      <c r="AB1118" s="66"/>
      <c r="AC1118" s="66"/>
      <c r="AD1118" s="66"/>
      <c r="AE1118" s="66"/>
      <c r="AF1118" s="66"/>
      <c r="AG1118" s="66"/>
      <c r="AH1118" s="66"/>
      <c r="AI1118" s="66"/>
      <c r="AJ1118" s="66"/>
      <c r="AK1118" s="66"/>
      <c r="AL1118" s="66"/>
      <c r="AM1118" s="66"/>
      <c r="AN1118" s="66"/>
      <c r="AO1118" s="66"/>
      <c r="AP1118" s="66"/>
      <c r="AQ1118" s="66"/>
      <c r="AR1118" s="66"/>
      <c r="AS1118" s="66"/>
      <c r="AT1118" s="66"/>
      <c r="AU1118" s="66"/>
      <c r="AV1118" s="66"/>
      <c r="AW1118" s="66"/>
      <c r="AX1118" s="66"/>
      <c r="AY1118" s="41" t="str">
        <f t="shared" si="337"/>
        <v>Incomplete</v>
      </c>
      <c r="AZ1118" s="66"/>
      <c r="BA1118" s="20" t="str">
        <f t="shared" si="338"/>
        <v>Incomplete</v>
      </c>
      <c r="BB1118" s="66"/>
      <c r="BC1118" s="20" t="str">
        <f t="shared" si="339"/>
        <v>Incomplete</v>
      </c>
      <c r="BD1118" s="66"/>
      <c r="BE1118" s="20" t="str">
        <f t="shared" si="340"/>
        <v>Incomplete</v>
      </c>
      <c r="BF1118" s="66"/>
      <c r="BG1118" s="66"/>
      <c r="BH1118" s="66"/>
      <c r="BI1118" s="20" t="str">
        <f>IF(OR(ISBLANK(BG1118), ISBLANK(BH1118)),"Incomplete",(SUM(BH1118-BG1118)))</f>
        <v>Incomplete</v>
      </c>
      <c r="BJ1118" s="66"/>
      <c r="BK1118" s="66"/>
      <c r="BL1118" s="66"/>
      <c r="BM1118" s="20"/>
      <c r="BN1118" s="66"/>
      <c r="BO1118" s="66"/>
      <c r="BP1118" s="66"/>
      <c r="BQ1118" s="66"/>
      <c r="BR1118" s="66"/>
      <c r="BS1118" s="66"/>
      <c r="BT1118" s="66"/>
      <c r="BU1118" s="66"/>
      <c r="BV1118" s="66"/>
      <c r="BW1118" s="91" t="str">
        <f t="shared" si="341"/>
        <v>Incomplete</v>
      </c>
      <c r="BX1118" s="91" t="str">
        <f>_xlfn.XLOOKUP(BW1118,'Normative data'!$V$3:$V$6,'Normative data'!$W$3:$W$6,"Not Found",-1)</f>
        <v>Very low risk</v>
      </c>
      <c r="BY1118" s="91" t="str">
        <f t="shared" si="342"/>
        <v>Incomplete</v>
      </c>
      <c r="BZ1118" s="91" t="str">
        <f>_xlfn.XLOOKUP(BY1118,'Normative data'!$V$3:$V$6,'Normative data'!$W$3:$W$6,"Not Found",-1)</f>
        <v>Very low risk</v>
      </c>
      <c r="CA1118" s="66"/>
      <c r="CB1118" s="66"/>
      <c r="CC1118" s="66"/>
      <c r="CD1118" s="66"/>
      <c r="CE1118" s="66"/>
      <c r="CF1118" s="66"/>
      <c r="CG1118" s="66"/>
      <c r="CH1118" s="20" t="str">
        <f>_xlfn.XLOOKUP(CG1118, 'Normative data'!$S$9:$S$15,'Normative data'!$T$9:$T$15, "Not Found", -1)</f>
        <v>not completed</v>
      </c>
      <c r="CI1118" s="66"/>
      <c r="CJ1118" s="20" t="str">
        <f>_xlfn.XLOOKUP(CI1118, 'Normative data'!$S$9:$S$15, 'Normative data'!$T$9:$T$15, "Not Found", -1)</f>
        <v>not completed</v>
      </c>
      <c r="CK1118" s="20" t="s">
        <v>204</v>
      </c>
      <c r="CL1118" s="20" t="s">
        <v>802</v>
      </c>
      <c r="CN1118" s="20" t="s">
        <v>641</v>
      </c>
      <c r="CO1118" s="20" t="s">
        <v>1362</v>
      </c>
      <c r="CP1118" s="68"/>
      <c r="CQ1118" s="68"/>
      <c r="CR1118" s="20" t="str" cm="1">
        <f t="array" ref="CR1118">IF(OR(ISBLANK(E1118),ISBLANK(CQ1118)),"Incomplete",_xlfn.XLOOKUP(CQ1118,_xlfn.XLOOKUP(E1118,'Normative data'!$Y$3:$Y$6,'Normative data'!$Z$3:$AG$6,,-1),'Normative data'!$Z$2:$AG$2,"Not Found",-1))</f>
        <v>Incomplete</v>
      </c>
      <c r="CS1118" s="68"/>
      <c r="CT1118" s="66"/>
      <c r="CU1118" s="20" t="str" cm="1">
        <f t="array" ref="CU1118">_xlfn.XLOOKUP(CS1118&amp;CT1118,(VLOOKUP!$A$3:$A$250)&amp;(VLOOKUP!$B$3:$B$250),VLOOKUP!$C$3:$C$250,"Incomplete",-1)</f>
        <v>Incomplete</v>
      </c>
      <c r="CV1118" s="20" t="str" cm="1">
        <f t="array" ref="CV1118">_xlfn.XLOOKUP(CU1118, _xlfn.XLOOKUP(E1118, 'Normative data'!$Y$11:$Y$14, 'Normative data'!$Z$11:$AG$14, ,-1), 'Normative data'!$Z$10:$AG$10, "Not Found", -1)</f>
        <v>Excellent</v>
      </c>
      <c r="CW1118" s="20" t="str" cm="1">
        <f t="array" ref="CW1118">IF(OR(ISBLANK(CS1118),ISBLANK(CT1118)),"Incomplete",_xlfn.XLOOKUP(CS1118&amp;CT1118,VLOOKUP!$A$4:$A$250&amp;VLOOKUP!$B$4:$B$250,VLOOKUP!$D$4:$D$250,"0"))</f>
        <v>Incomplete</v>
      </c>
    </row>
    <row r="1119" spans="1:101">
      <c r="A1119" s="93" t="s">
        <v>792</v>
      </c>
      <c r="B1119" s="93" t="s">
        <v>793</v>
      </c>
      <c r="C1119" s="64" t="s">
        <v>86</v>
      </c>
      <c r="D1119" s="96">
        <v>40245</v>
      </c>
      <c r="E1119" s="64"/>
      <c r="F1119" s="64"/>
      <c r="G1119" s="64">
        <v>2025</v>
      </c>
      <c r="H1119" s="66"/>
      <c r="I1119" s="64"/>
      <c r="J1119" s="64"/>
      <c r="K1119" s="64"/>
      <c r="L1119" s="64"/>
      <c r="M1119" s="64"/>
      <c r="N1119" s="64"/>
      <c r="O1119" s="64"/>
      <c r="P1119" s="64"/>
      <c r="Q1119" s="64"/>
      <c r="R1119" s="64"/>
      <c r="S1119" s="66"/>
      <c r="T1119" s="66" t="s">
        <v>1524</v>
      </c>
      <c r="U1119" s="66"/>
      <c r="V1119" s="66"/>
      <c r="W1119" s="66"/>
      <c r="X1119" s="66"/>
      <c r="Y1119" s="66"/>
      <c r="Z1119" s="66"/>
      <c r="AA1119" s="66"/>
      <c r="AB1119" s="66"/>
      <c r="AC1119" s="66"/>
      <c r="AD1119" s="66"/>
      <c r="AE1119" s="66"/>
      <c r="AF1119" s="66"/>
      <c r="AG1119" s="66"/>
      <c r="AH1119" s="66"/>
      <c r="AI1119" s="66"/>
      <c r="AJ1119" s="66"/>
      <c r="AK1119" s="66"/>
      <c r="AL1119" s="66"/>
      <c r="AM1119" s="66"/>
      <c r="AN1119" s="66"/>
      <c r="AO1119" s="66"/>
      <c r="AP1119" s="66"/>
      <c r="AQ1119" s="66"/>
      <c r="AR1119" s="66"/>
      <c r="AS1119" s="66" t="s">
        <v>1159</v>
      </c>
      <c r="AT1119" s="66" t="s">
        <v>1160</v>
      </c>
      <c r="AU1119" s="66" t="s">
        <v>713</v>
      </c>
      <c r="AV1119" s="66" t="s">
        <v>714</v>
      </c>
      <c r="AW1119" s="66" t="s">
        <v>1762</v>
      </c>
      <c r="AX1119" s="66" t="s">
        <v>1763</v>
      </c>
      <c r="AY1119" s="41" t="str">
        <f t="shared" si="337"/>
        <v>Incomplete</v>
      </c>
      <c r="AZ1119" s="66"/>
      <c r="BA1119" s="20" t="str">
        <f t="shared" si="338"/>
        <v>Incomplete</v>
      </c>
      <c r="BB1119" s="66"/>
      <c r="BC1119" s="20" t="str">
        <f t="shared" si="339"/>
        <v>Incomplete</v>
      </c>
      <c r="BD1119" s="66"/>
      <c r="BE1119" s="20" t="str">
        <f t="shared" si="340"/>
        <v>Incomplete</v>
      </c>
      <c r="BF1119" s="66"/>
      <c r="BG1119" s="66"/>
      <c r="BH1119" s="66"/>
      <c r="BI1119" s="20" t="str">
        <f>IF(OR(ISBLANK(BG1119), ISBLANK(BH1119)),"Incomplete",(SUM(BH1119-BG1119)))</f>
        <v>Incomplete</v>
      </c>
      <c r="BJ1119" s="66"/>
      <c r="BK1119" s="66"/>
      <c r="BL1119" s="66"/>
      <c r="BM1119" s="66"/>
      <c r="BN1119" s="66"/>
      <c r="BO1119" s="66"/>
      <c r="BP1119" s="66"/>
      <c r="BQ1119" s="66"/>
      <c r="BR1119" s="66"/>
      <c r="BS1119" s="66"/>
      <c r="BT1119" s="66"/>
      <c r="BU1119" s="66"/>
      <c r="BV1119" s="66"/>
      <c r="BW1119" s="91" t="str">
        <f>IFERROR(SUM(BQ1119+BR1119+BS1119)/(3*(#REF!-S1119))*100, "Incomplete")</f>
        <v>Incomplete</v>
      </c>
      <c r="BX1119" s="91" t="str">
        <f>_xlfn.XLOOKUP(BW1119,'Normative data'!$V$3:$V$6,'Normative data'!$W$3:$W$6,"Not Found",-1)</f>
        <v>Very low risk</v>
      </c>
      <c r="BY1119" s="91" t="str">
        <f>IFERROR(SUM(BT1119+BU1119+BV1119)/(3*(#REF!-S1119))*100, "Incomplete")</f>
        <v>Incomplete</v>
      </c>
      <c r="BZ1119" s="91" t="str">
        <f>_xlfn.XLOOKUP(BY1119,'Normative data'!$V$3:$V$6,'Normative data'!$W$3:$W$6,"Not Found",-1)</f>
        <v>Very low risk</v>
      </c>
      <c r="CA1119" s="20"/>
      <c r="CB1119" s="66"/>
      <c r="CC1119" s="20"/>
      <c r="CD1119" s="66"/>
      <c r="CE1119" s="66"/>
      <c r="CF1119" s="66"/>
      <c r="CG1119" s="66"/>
      <c r="CH1119" s="20" t="str">
        <f>_xlfn.XLOOKUP(CG1119, 'Normative data'!$S$9:$S$15,'Normative data'!$T$9:$T$15, "Not Found", -1)</f>
        <v>not completed</v>
      </c>
      <c r="CI1119" s="66"/>
      <c r="CJ1119" s="20" t="str">
        <f>_xlfn.XLOOKUP(CI1119, 'Normative data'!$S$9:$S$15, 'Normative data'!$T$9:$T$15, "Not Found", -1)</f>
        <v>not completed</v>
      </c>
      <c r="CK1119" s="66" t="s">
        <v>1764</v>
      </c>
      <c r="CL1119" s="66" t="s">
        <v>1765</v>
      </c>
      <c r="CM1119" s="66"/>
      <c r="CN1119" s="66" t="s">
        <v>1141</v>
      </c>
      <c r="CO1119" s="66" t="s">
        <v>1140</v>
      </c>
      <c r="CP1119" s="68"/>
      <c r="CQ1119" s="68"/>
      <c r="CR1119" s="20" t="str" cm="1">
        <f t="array" ref="CR1119">IF(OR(ISBLANK(E1119),ISBLANK(CQ1119)),"Incomplete",_xlfn.XLOOKUP(CQ1119,_xlfn.XLOOKUP(E1119,'Normative data'!$Y$3:$Y$6,'Normative data'!$Z$3:$AG$6,,-1),'Normative data'!$Z$2:$AG$2,"Not Found",-1))</f>
        <v>Incomplete</v>
      </c>
      <c r="CS1119" s="68"/>
      <c r="CT1119" s="66"/>
      <c r="CU1119" s="20" t="str" cm="1">
        <f t="array" ref="CU1119">_xlfn.XLOOKUP(CS1119&amp;CT1119,(VLOOKUP!$A$3:$A$250)&amp;(VLOOKUP!$B$3:$B$250),VLOOKUP!$C$3:$C$250,"Incomplete",-1)</f>
        <v>Incomplete</v>
      </c>
      <c r="CV1119" s="20" t="str" cm="1">
        <f t="array" ref="CV1119">_xlfn.XLOOKUP(CU1119, _xlfn.XLOOKUP(E1119, 'Normative data'!$Y$11:$Y$14, 'Normative data'!$Z$11:$AG$14, ,-1), 'Normative data'!$Z$10:$AG$10, "Not Found", -1)</f>
        <v>Excellent</v>
      </c>
      <c r="CW1119" s="20" t="str" cm="1">
        <f t="array" ref="CW1119">IF(OR(ISBLANK(CS1119),ISBLANK(CT1119)),"Incomplete",_xlfn.XLOOKUP(CS1119&amp;CT1119,VLOOKUP!$A$4:$A$250&amp;VLOOKUP!$B$4:$B$250,VLOOKUP!$D$4:$D$250,"0"))</f>
        <v>Incomplete</v>
      </c>
    </row>
    <row r="1120" spans="1:101">
      <c r="A1120" s="93" t="s">
        <v>792</v>
      </c>
      <c r="B1120" s="93" t="s">
        <v>793</v>
      </c>
      <c r="C1120" s="64" t="s">
        <v>86</v>
      </c>
      <c r="D1120" s="96">
        <v>40245</v>
      </c>
      <c r="E1120" s="64"/>
      <c r="F1120" s="64"/>
      <c r="G1120" s="64">
        <v>2026</v>
      </c>
      <c r="H1120" s="66" t="s">
        <v>114</v>
      </c>
      <c r="I1120" s="64">
        <v>1</v>
      </c>
      <c r="J1120" s="64"/>
      <c r="K1120" s="64"/>
      <c r="L1120" s="64"/>
      <c r="M1120" s="64"/>
      <c r="N1120" s="64"/>
      <c r="O1120" s="64"/>
      <c r="P1120" s="64"/>
      <c r="Q1120" s="64"/>
      <c r="R1120" s="64"/>
      <c r="S1120" s="66"/>
      <c r="T1120" s="66"/>
      <c r="U1120" s="66"/>
      <c r="V1120" s="66"/>
      <c r="W1120" s="66"/>
      <c r="X1120" s="66"/>
      <c r="Y1120" s="66"/>
      <c r="Z1120" s="66"/>
      <c r="AA1120" s="66"/>
      <c r="AB1120" s="66"/>
      <c r="AC1120" s="66"/>
      <c r="AD1120" s="66"/>
      <c r="AE1120" s="66"/>
      <c r="AF1120" s="66"/>
      <c r="AG1120" s="66"/>
      <c r="AH1120" s="66"/>
      <c r="AI1120" s="66"/>
      <c r="AJ1120" s="66"/>
      <c r="AK1120" s="66"/>
      <c r="AL1120" s="66"/>
      <c r="AM1120" s="66"/>
      <c r="AN1120" s="66"/>
      <c r="AO1120" s="66"/>
      <c r="AP1120" s="66"/>
      <c r="AQ1120" s="66">
        <v>24.3</v>
      </c>
      <c r="AR1120" s="66">
        <v>0.44500000000000001</v>
      </c>
      <c r="AS1120" s="66">
        <v>28.5</v>
      </c>
      <c r="AT1120" s="66">
        <v>0.48199999999999998</v>
      </c>
      <c r="AU1120" s="66">
        <v>15.4</v>
      </c>
      <c r="AV1120" s="66">
        <v>0.35399999999999998</v>
      </c>
      <c r="AW1120" s="66">
        <v>12.6</v>
      </c>
      <c r="AX1120" s="66">
        <v>0.32100000000000001</v>
      </c>
      <c r="AY1120" s="41" t="str">
        <f t="shared" si="337"/>
        <v>Incomplete</v>
      </c>
      <c r="AZ1120" s="66"/>
      <c r="BA1120" s="20" t="str">
        <f t="shared" si="338"/>
        <v>Incomplete</v>
      </c>
      <c r="BB1120" s="66"/>
      <c r="BC1120" s="20" t="str">
        <f t="shared" si="339"/>
        <v>Incomplete</v>
      </c>
      <c r="BD1120" s="66"/>
      <c r="BE1120" s="20" t="str">
        <f t="shared" si="340"/>
        <v>Incomplete</v>
      </c>
      <c r="BF1120" s="66"/>
      <c r="BG1120" s="66" t="s">
        <v>1766</v>
      </c>
      <c r="BH1120" s="66">
        <v>62</v>
      </c>
      <c r="BI1120" s="20" t="e">
        <f>IF(OR(ISBLANK(BG1120), ISBLANK(BH1120)),"Incomplete",(SUM(BH1120-BG1120)))</f>
        <v>#VALUE!</v>
      </c>
      <c r="BJ1120" s="66"/>
      <c r="BK1120" s="66"/>
      <c r="BL1120" s="66"/>
      <c r="BM1120" s="20"/>
      <c r="BN1120" s="66"/>
      <c r="BO1120" s="66"/>
      <c r="BP1120" s="66"/>
      <c r="BQ1120" s="66"/>
      <c r="BR1120" s="66"/>
      <c r="BS1120" s="66"/>
      <c r="BT1120" s="66"/>
      <c r="BU1120" s="66"/>
      <c r="BV1120" s="66"/>
      <c r="BW1120" s="91" t="str">
        <f t="shared" ref="BW1120:BW1126" si="344">IFERROR(SUM(BQ1120+BR1120+BS1120)/(3*(T1120-S1120))*100, "Incomplete")</f>
        <v>Incomplete</v>
      </c>
      <c r="BX1120" s="91" t="str">
        <f>_xlfn.XLOOKUP(BW1120,'Normative data'!$V$3:$V$6,'Normative data'!$W$3:$W$6,"Not Found",-1)</f>
        <v>Very low risk</v>
      </c>
      <c r="BY1120" s="91" t="str">
        <f t="shared" ref="BY1120:BY1126" si="345">IFERROR(SUM(BT1120+BU1120+BV1120)/(3*(T1120-S1120))*100, "Incomplete")</f>
        <v>Incomplete</v>
      </c>
      <c r="BZ1120" s="91" t="str">
        <f>_xlfn.XLOOKUP(BY1120,'Normative data'!$V$3:$V$6,'Normative data'!$W$3:$W$6,"Not Found",-1)</f>
        <v>Very low risk</v>
      </c>
      <c r="CA1120" s="66"/>
      <c r="CB1120" s="66"/>
      <c r="CC1120" s="66">
        <v>54</v>
      </c>
      <c r="CD1120" s="66"/>
      <c r="CE1120" s="66">
        <v>11</v>
      </c>
      <c r="CF1120" s="66"/>
      <c r="CG1120" s="20"/>
      <c r="CH1120" s="20" t="str">
        <f>_xlfn.XLOOKUP(CG1120, 'Normative data'!$S$9:$S$15,'Normative data'!$T$9:$T$15, "Not Found", -1)</f>
        <v>not completed</v>
      </c>
      <c r="CI1120" s="20"/>
      <c r="CJ1120" s="20" t="str">
        <f>_xlfn.XLOOKUP(CI1120, 'Normative data'!$S$9:$S$15, 'Normative data'!$T$9:$T$15, "Not Found", -1)</f>
        <v>not completed</v>
      </c>
      <c r="CK1120" s="20">
        <v>2.31</v>
      </c>
      <c r="CL1120" s="20">
        <v>4.3099999999999996</v>
      </c>
      <c r="CN1120" s="20">
        <v>7.11</v>
      </c>
      <c r="CO1120" s="20">
        <v>7.03</v>
      </c>
      <c r="CP1120" s="68"/>
      <c r="CQ1120" s="68"/>
      <c r="CR1120" s="20" t="str" cm="1">
        <f t="array" ref="CR1120">IF(OR(ISBLANK(E1120),ISBLANK(CQ1120)),"Incomplete",_xlfn.XLOOKUP(CQ1120,_xlfn.XLOOKUP(E1120,'Normative data'!$Y$3:$Y$6,'Normative data'!$Z$3:$AG$6,,-1),'Normative data'!$Z$2:$AG$2,"Not Found",-1))</f>
        <v>Incomplete</v>
      </c>
      <c r="CS1120" s="68"/>
      <c r="CT1120" s="66"/>
      <c r="CU1120" s="20" t="str" cm="1">
        <f t="array" ref="CU1120">_xlfn.XLOOKUP(CS1120&amp;CT1120,(VLOOKUP!$A$3:$A$250)&amp;(VLOOKUP!$B$3:$B$250),VLOOKUP!$C$3:$C$250,"Incomplete",-1)</f>
        <v>Incomplete</v>
      </c>
      <c r="CV1120" s="20" t="str" cm="1">
        <f t="array" ref="CV1120">_xlfn.XLOOKUP(CU1120, _xlfn.XLOOKUP(E1120, 'Normative data'!$Y$11:$Y$14, 'Normative data'!$Z$11:$AG$14, ,-1), 'Normative data'!$Z$10:$AG$10, "Not Found", -1)</f>
        <v>Excellent</v>
      </c>
      <c r="CW1120" s="20" t="str" cm="1">
        <f t="array" ref="CW1120">IF(OR(ISBLANK(CS1120),ISBLANK(CT1120)),"Incomplete",_xlfn.XLOOKUP(CS1120&amp;CT1120,VLOOKUP!$A$4:$A$250&amp;VLOOKUP!$B$4:$B$250,VLOOKUP!$D$4:$D$250,"0"))</f>
        <v>Incomplete</v>
      </c>
    </row>
    <row r="1121" spans="1:101">
      <c r="A1121" s="64" t="s">
        <v>1752</v>
      </c>
      <c r="B1121" s="64" t="s">
        <v>1751</v>
      </c>
      <c r="C1121" s="64" t="s">
        <v>86</v>
      </c>
      <c r="D1121" s="65">
        <v>40093</v>
      </c>
      <c r="E1121" s="64"/>
      <c r="F1121" s="64">
        <v>10</v>
      </c>
      <c r="G1121" s="64">
        <v>2025</v>
      </c>
      <c r="H1121" s="66"/>
      <c r="I1121" s="64"/>
      <c r="J1121" s="64"/>
      <c r="K1121" s="64"/>
      <c r="L1121" s="64"/>
      <c r="M1121" s="64"/>
      <c r="N1121" s="64"/>
      <c r="O1121" s="64"/>
      <c r="P1121" s="64"/>
      <c r="Q1121" s="64"/>
      <c r="R1121" s="64"/>
      <c r="S1121" s="66"/>
      <c r="T1121" s="66"/>
      <c r="U1121" s="66"/>
      <c r="V1121" s="66"/>
      <c r="W1121" s="66"/>
      <c r="X1121" s="66"/>
      <c r="Y1121" s="66"/>
      <c r="Z1121" s="66"/>
      <c r="AA1121" s="66"/>
      <c r="AB1121" s="66"/>
      <c r="AC1121" s="66"/>
      <c r="AD1121" s="66"/>
      <c r="AE1121" s="66"/>
      <c r="AF1121" s="66"/>
      <c r="AG1121" s="66"/>
      <c r="AH1121" s="66"/>
      <c r="AI1121" s="66"/>
      <c r="AJ1121" s="66"/>
      <c r="AK1121" s="66"/>
      <c r="AL1121" s="66"/>
      <c r="AM1121" s="66"/>
      <c r="AN1121" s="66"/>
      <c r="AO1121" s="66"/>
      <c r="AP1121" s="66"/>
      <c r="AQ1121" s="66"/>
      <c r="AR1121" s="66"/>
      <c r="AS1121" s="66"/>
      <c r="AT1121" s="66"/>
      <c r="AU1121" s="66"/>
      <c r="AV1121" s="66"/>
      <c r="AW1121" s="66"/>
      <c r="AX1121" s="66"/>
      <c r="AY1121" s="41" t="str">
        <f t="shared" si="337"/>
        <v>Incomplete</v>
      </c>
      <c r="AZ1121" s="66"/>
      <c r="BA1121" s="20" t="str">
        <f t="shared" si="338"/>
        <v>Incomplete</v>
      </c>
      <c r="BB1121" s="66"/>
      <c r="BC1121" s="20" t="str">
        <f t="shared" si="339"/>
        <v>Incomplete</v>
      </c>
      <c r="BD1121" s="66"/>
      <c r="BE1121" s="20" t="str">
        <f t="shared" si="340"/>
        <v>Incomplete</v>
      </c>
      <c r="BF1121" s="66"/>
      <c r="BG1121" s="66">
        <v>16</v>
      </c>
      <c r="BH1121" s="66">
        <v>40.799999999999997</v>
      </c>
      <c r="BI1121" s="20" t="e">
        <f>IF(OR(ISBLANK(#REF!), ISBLANK(#REF!)),"Incomplete",(SUM(#REF!-#REF!)))</f>
        <v>#REF!</v>
      </c>
      <c r="BJ1121" s="66"/>
      <c r="BK1121" s="66">
        <v>10</v>
      </c>
      <c r="BL1121" s="66"/>
      <c r="BM1121" s="66">
        <v>9</v>
      </c>
      <c r="BN1121" s="66"/>
      <c r="BO1121" s="66"/>
      <c r="BP1121" s="66"/>
      <c r="BQ1121" s="66"/>
      <c r="BR1121" s="66"/>
      <c r="BS1121" s="66"/>
      <c r="BT1121" s="66"/>
      <c r="BU1121" s="66"/>
      <c r="BV1121" s="66"/>
      <c r="BW1121" s="91" t="str">
        <f t="shared" si="344"/>
        <v>Incomplete</v>
      </c>
      <c r="BX1121" s="91" t="str">
        <f>_xlfn.XLOOKUP(BW1121,'Normative data'!$V$3:$V$6,'Normative data'!$W$3:$W$6,"Not Found",-1)</f>
        <v>Very low risk</v>
      </c>
      <c r="BY1121" s="91" t="str">
        <f t="shared" si="345"/>
        <v>Incomplete</v>
      </c>
      <c r="BZ1121" s="91" t="str">
        <f>_xlfn.XLOOKUP(BY1121,'Normative data'!$V$3:$V$6,'Normative data'!$W$3:$W$6,"Not Found",-1)</f>
        <v>Very low risk</v>
      </c>
      <c r="CA1121" s="66"/>
      <c r="CB1121" s="66"/>
      <c r="CC1121" s="20"/>
      <c r="CD1121" s="66"/>
      <c r="CE1121" s="66">
        <v>3</v>
      </c>
      <c r="CF1121" s="66"/>
      <c r="CG1121" s="66"/>
      <c r="CH1121" s="20" t="str">
        <f>_xlfn.XLOOKUP(CG1121, 'Normative data'!$S$9:$S$15,'Normative data'!$T$9:$T$15, "Not Found", -1)</f>
        <v>not completed</v>
      </c>
      <c r="CI1121" s="66"/>
      <c r="CJ1121" s="20" t="str">
        <f>_xlfn.XLOOKUP(CI1121, 'Normative data'!$S$9:$S$15, 'Normative data'!$T$9:$T$15, "Not Found", -1)</f>
        <v>not completed</v>
      </c>
      <c r="CK1121" s="105">
        <v>2.25</v>
      </c>
      <c r="CL1121" s="105">
        <v>4.4400000000000004</v>
      </c>
      <c r="CM1121" s="105"/>
      <c r="CN1121" s="105">
        <v>6.68</v>
      </c>
      <c r="CO1121" s="105">
        <v>7.49</v>
      </c>
      <c r="CP1121" s="109"/>
      <c r="CQ1121" s="68"/>
      <c r="CR1121" s="20" t="str" cm="1">
        <f t="array" ref="CR1121">IF(OR(ISBLANK(E1121),ISBLANK(CQ1121)),"Incomplete",_xlfn.XLOOKUP(CQ1121,_xlfn.XLOOKUP(E1121,'Normative data'!$Y$3:$Y$6,'Normative data'!$Z$3:$AG$6,,-1),'Normative data'!$Z$2:$AG$2,"Not Found",-1))</f>
        <v>Incomplete</v>
      </c>
      <c r="CS1121" s="68"/>
      <c r="CT1121" s="66"/>
      <c r="CU1121" s="20" t="str" cm="1">
        <f t="array" ref="CU1121">_xlfn.XLOOKUP(CS1121&amp;CT1121,(VLOOKUP!$A$3:$A$250)&amp;(VLOOKUP!$B$3:$B$250),VLOOKUP!$C$3:$C$250,"Incomplete",-1)</f>
        <v>Incomplete</v>
      </c>
      <c r="CV1121" s="20" t="str" cm="1">
        <f t="array" ref="CV1121">_xlfn.XLOOKUP(CU1121, _xlfn.XLOOKUP(E1121, 'Normative data'!$Y$11:$Y$14, 'Normative data'!$Z$11:$AG$14, ,-1), 'Normative data'!$Z$10:$AG$10, "Not Found", -1)</f>
        <v>Excellent</v>
      </c>
      <c r="CW1121" s="20" t="str" cm="1">
        <f t="array" ref="CW1121">IF(OR(ISBLANK(CS1121),ISBLANK(CT1121)),"Incomplete",_xlfn.XLOOKUP(CS1121&amp;CT1121,VLOOKUP!$A$4:$A$250&amp;VLOOKUP!$B$4:$B$250,VLOOKUP!$D$4:$D$250,"0"))</f>
        <v>Incomplete</v>
      </c>
    </row>
    <row r="1122" spans="1:101">
      <c r="A1122" s="64" t="s">
        <v>1752</v>
      </c>
      <c r="B1122" s="64" t="s">
        <v>1751</v>
      </c>
      <c r="C1122" s="64" t="s">
        <v>86</v>
      </c>
      <c r="D1122" s="65">
        <v>40093</v>
      </c>
      <c r="E1122" s="64"/>
      <c r="F1122" s="64">
        <v>10</v>
      </c>
      <c r="G1122" s="64">
        <v>2025</v>
      </c>
      <c r="H1122" s="66"/>
      <c r="I1122" s="64"/>
      <c r="J1122" s="64"/>
      <c r="K1122" s="64"/>
      <c r="L1122" s="64"/>
      <c r="M1122" s="64"/>
      <c r="N1122" s="64"/>
      <c r="O1122" s="64"/>
      <c r="P1122" s="64"/>
      <c r="Q1122" s="64"/>
      <c r="R1122" s="64"/>
      <c r="S1122" s="66"/>
      <c r="T1122" s="66"/>
      <c r="U1122" s="66"/>
      <c r="V1122" s="66"/>
      <c r="W1122" s="66"/>
      <c r="X1122" s="66"/>
      <c r="Y1122" s="66"/>
      <c r="Z1122" s="66"/>
      <c r="AA1122" s="66"/>
      <c r="AB1122" s="66"/>
      <c r="AC1122" s="66"/>
      <c r="AD1122" s="66"/>
      <c r="AE1122" s="66"/>
      <c r="AF1122" s="66"/>
      <c r="AG1122" s="66"/>
      <c r="AH1122" s="66"/>
      <c r="AI1122" s="66"/>
      <c r="AJ1122" s="66"/>
      <c r="AK1122" s="66"/>
      <c r="AL1122" s="66"/>
      <c r="AM1122" s="66"/>
      <c r="AN1122" s="66"/>
      <c r="AO1122" s="66"/>
      <c r="AP1122" s="66"/>
      <c r="AQ1122" s="66"/>
      <c r="AR1122" s="66"/>
      <c r="AS1122" s="66"/>
      <c r="AT1122" s="66"/>
      <c r="AU1122" s="66"/>
      <c r="AV1122" s="66"/>
      <c r="AW1122" s="66"/>
      <c r="AX1122" s="66"/>
      <c r="AY1122" s="41" t="str">
        <f t="shared" si="337"/>
        <v>Incomplete</v>
      </c>
      <c r="AZ1122" s="66"/>
      <c r="BA1122" s="20" t="str">
        <f t="shared" si="338"/>
        <v>Incomplete</v>
      </c>
      <c r="BB1122" s="66"/>
      <c r="BC1122" s="20" t="str">
        <f t="shared" si="339"/>
        <v>Incomplete</v>
      </c>
      <c r="BD1122" s="66"/>
      <c r="BE1122" s="20" t="str">
        <f t="shared" si="340"/>
        <v>Incomplete</v>
      </c>
      <c r="BF1122" s="66"/>
      <c r="BG1122" s="66"/>
      <c r="BH1122" s="66"/>
      <c r="BI1122" s="20" t="str">
        <f t="shared" ref="BI1122:BI1128" si="346">IF(OR(ISBLANK(BG1122), ISBLANK(BH1122)),"Incomplete",(SUM(BH1122-BG1122)))</f>
        <v>Incomplete</v>
      </c>
      <c r="BJ1122" s="66"/>
      <c r="BK1122" s="66"/>
      <c r="BL1122" s="66"/>
      <c r="BM1122" s="66"/>
      <c r="BN1122" s="66"/>
      <c r="BO1122" s="66"/>
      <c r="BP1122" s="66"/>
      <c r="BQ1122" s="66"/>
      <c r="BR1122" s="66"/>
      <c r="BS1122" s="66"/>
      <c r="BT1122" s="66"/>
      <c r="BU1122" s="66"/>
      <c r="BV1122" s="66"/>
      <c r="BW1122" s="91" t="str">
        <f t="shared" si="344"/>
        <v>Incomplete</v>
      </c>
      <c r="BX1122" s="91" t="str">
        <f>_xlfn.XLOOKUP(BW1122,'Normative data'!$V$3:$V$6,'Normative data'!$W$3:$W$6,"Not Found",-1)</f>
        <v>Very low risk</v>
      </c>
      <c r="BY1122" s="91" t="str">
        <f t="shared" si="345"/>
        <v>Incomplete</v>
      </c>
      <c r="BZ1122" s="91" t="str">
        <f>_xlfn.XLOOKUP(BY1122,'Normative data'!$V$3:$V$6,'Normative data'!$W$3:$W$6,"Not Found",-1)</f>
        <v>Very low risk</v>
      </c>
      <c r="CA1122" s="66"/>
      <c r="CB1122" s="66"/>
      <c r="CC1122" s="66"/>
      <c r="CD1122" s="66"/>
      <c r="CE1122" s="66"/>
      <c r="CF1122" s="66"/>
      <c r="CG1122" s="20"/>
      <c r="CH1122" s="20" t="str">
        <f>_xlfn.XLOOKUP(CG1122, 'Normative data'!$S$9:$S$15,'Normative data'!$T$9:$T$15, "Not Found", -1)</f>
        <v>not completed</v>
      </c>
      <c r="CI1122" s="20"/>
      <c r="CJ1122" s="20" t="str">
        <f>_xlfn.XLOOKUP(CI1122, 'Normative data'!$S$9:$S$15, 'Normative data'!$T$9:$T$15, "Not Found", -1)</f>
        <v>not completed</v>
      </c>
      <c r="CK1122" s="21">
        <v>2.25</v>
      </c>
      <c r="CL1122" s="21">
        <v>4.4400000000000004</v>
      </c>
      <c r="CM1122" s="21"/>
      <c r="CN1122" s="21">
        <v>6.68</v>
      </c>
      <c r="CO1122" s="21">
        <v>7.49</v>
      </c>
      <c r="CP1122" s="109"/>
      <c r="CQ1122" s="68"/>
      <c r="CR1122" s="20" t="str" cm="1">
        <f t="array" ref="CR1122">IF(OR(ISBLANK(E1122),ISBLANK(CQ1122)),"Incomplete",_xlfn.XLOOKUP(CQ1122,_xlfn.XLOOKUP(E1122,'Normative data'!$Y$3:$Y$6,'Normative data'!$Z$3:$AG$6,,-1),'Normative data'!$Z$2:$AG$2,"Not Found",-1))</f>
        <v>Incomplete</v>
      </c>
      <c r="CS1122" s="68"/>
      <c r="CT1122" s="66"/>
      <c r="CU1122" s="20" t="str" cm="1">
        <f t="array" ref="CU1122">_xlfn.XLOOKUP(CS1122&amp;CT1122,(VLOOKUP!$A$3:$A$250)&amp;(VLOOKUP!$B$3:$B$250),VLOOKUP!$C$3:$C$250,"Incomplete",-1)</f>
        <v>Incomplete</v>
      </c>
      <c r="CV1122" s="20" t="str" cm="1">
        <f t="array" ref="CV1122">_xlfn.XLOOKUP(CU1122, _xlfn.XLOOKUP(E1122, 'Normative data'!$Y$11:$Y$14, 'Normative data'!$Z$11:$AG$14, ,-1), 'Normative data'!$Z$10:$AG$10, "Not Found", -1)</f>
        <v>Excellent</v>
      </c>
      <c r="CW1122" s="20" t="str" cm="1">
        <f t="array" ref="CW1122">IF(OR(ISBLANK(CS1122),ISBLANK(CT1122)),"Incomplete",_xlfn.XLOOKUP(CS1122&amp;CT1122,VLOOKUP!$A$4:$A$250&amp;VLOOKUP!$B$4:$B$250,VLOOKUP!$D$4:$D$250,"0"))</f>
        <v>Incomplete</v>
      </c>
    </row>
    <row r="1123" spans="1:101">
      <c r="A1123" s="64" t="s">
        <v>1752</v>
      </c>
      <c r="B1123" s="64" t="s">
        <v>1751</v>
      </c>
      <c r="C1123" s="64" t="s">
        <v>86</v>
      </c>
      <c r="D1123" s="65"/>
      <c r="E1123" s="64"/>
      <c r="F1123" s="64">
        <v>10</v>
      </c>
      <c r="G1123" s="64">
        <v>2025</v>
      </c>
      <c r="H1123" s="66"/>
      <c r="I1123" s="64"/>
      <c r="J1123" s="64"/>
      <c r="K1123" s="64"/>
      <c r="L1123" s="64"/>
      <c r="M1123" s="64"/>
      <c r="N1123" s="64"/>
      <c r="O1123" s="64"/>
      <c r="P1123" s="64"/>
      <c r="Q1123" s="64"/>
      <c r="R1123" s="64"/>
      <c r="S1123" s="66"/>
      <c r="T1123" s="66"/>
      <c r="U1123" s="66"/>
      <c r="V1123" s="66"/>
      <c r="W1123" s="66"/>
      <c r="X1123" s="66"/>
      <c r="Y1123" s="66"/>
      <c r="Z1123" s="66"/>
      <c r="AA1123" s="66"/>
      <c r="AB1123" s="66"/>
      <c r="AC1123" s="66"/>
      <c r="AD1123" s="66"/>
      <c r="AE1123" s="66"/>
      <c r="AF1123" s="66"/>
      <c r="AG1123" s="66"/>
      <c r="AH1123" s="66"/>
      <c r="AI1123" s="66"/>
      <c r="AJ1123" s="66"/>
      <c r="AK1123" s="66"/>
      <c r="AL1123" s="66"/>
      <c r="AM1123" s="66"/>
      <c r="AN1123" s="66"/>
      <c r="AO1123" s="66"/>
      <c r="AP1123" s="66"/>
      <c r="AQ1123" s="66"/>
      <c r="AR1123" s="66"/>
      <c r="AS1123" s="66"/>
      <c r="AT1123" s="66"/>
      <c r="AU1123" s="66"/>
      <c r="AV1123" s="66"/>
      <c r="AW1123" s="66"/>
      <c r="AX1123" s="66"/>
      <c r="AY1123" s="41" t="str">
        <f t="shared" si="337"/>
        <v>Incomplete</v>
      </c>
      <c r="AZ1123" s="66"/>
      <c r="BA1123" s="20" t="str">
        <f t="shared" si="338"/>
        <v>Incomplete</v>
      </c>
      <c r="BB1123" s="66"/>
      <c r="BC1123" s="20" t="str">
        <f t="shared" si="339"/>
        <v>Incomplete</v>
      </c>
      <c r="BD1123" s="66"/>
      <c r="BE1123" s="20" t="str">
        <f t="shared" si="340"/>
        <v>Incomplete</v>
      </c>
      <c r="BF1123" s="66"/>
      <c r="BG1123" s="66"/>
      <c r="BH1123" s="20"/>
      <c r="BI1123" s="20" t="str">
        <f t="shared" si="346"/>
        <v>Incomplete</v>
      </c>
      <c r="BJ1123" s="66"/>
      <c r="BK1123" s="66"/>
      <c r="BL1123" s="66"/>
      <c r="BM1123" s="20"/>
      <c r="BN1123" s="66"/>
      <c r="BO1123" s="66"/>
      <c r="BP1123" s="66"/>
      <c r="BQ1123" s="66"/>
      <c r="BR1123" s="66"/>
      <c r="BS1123" s="66"/>
      <c r="BT1123" s="66"/>
      <c r="BU1123" s="66"/>
      <c r="BV1123" s="66"/>
      <c r="BW1123" s="91" t="str">
        <f t="shared" si="344"/>
        <v>Incomplete</v>
      </c>
      <c r="BX1123" s="91" t="str">
        <f>_xlfn.XLOOKUP(BW1123,'Normative data'!$V$3:$V$6,'Normative data'!$W$3:$W$6,"Not Found",-1)</f>
        <v>Very low risk</v>
      </c>
      <c r="BY1123" s="91" t="str">
        <f t="shared" si="345"/>
        <v>Incomplete</v>
      </c>
      <c r="BZ1123" s="91" t="str">
        <f>_xlfn.XLOOKUP(BY1123,'Normative data'!$V$3:$V$6,'Normative data'!$W$3:$W$6,"Not Found",-1)</f>
        <v>Very low risk</v>
      </c>
      <c r="CA1123" s="66"/>
      <c r="CB1123" s="66"/>
      <c r="CC1123" s="66"/>
      <c r="CD1123" s="66"/>
      <c r="CE1123" s="66"/>
      <c r="CF1123" s="66"/>
      <c r="CG1123" s="20"/>
      <c r="CH1123" s="20" t="str">
        <f>_xlfn.XLOOKUP(CG1123, 'Normative data'!$S$9:$S$15,'Normative data'!$T$9:$T$15, "Not Found", -1)</f>
        <v>not completed</v>
      </c>
      <c r="CI1123" s="20"/>
      <c r="CJ1123" s="20" t="str">
        <f>_xlfn.XLOOKUP(CI1123, 'Normative data'!$S$9:$S$15, 'Normative data'!$T$9:$T$15, "Not Found", -1)</f>
        <v>not completed</v>
      </c>
      <c r="CK1123" s="20" t="s">
        <v>497</v>
      </c>
      <c r="CL1123" s="20" t="s">
        <v>498</v>
      </c>
      <c r="CN1123" s="20" t="s">
        <v>1145</v>
      </c>
      <c r="CO1123" s="20" t="s">
        <v>1146</v>
      </c>
      <c r="CP1123" s="68"/>
      <c r="CQ1123" s="68"/>
      <c r="CR1123" s="20" t="str" cm="1">
        <f t="array" ref="CR1123">IF(OR(ISBLANK(E1123),ISBLANK(CQ1123)),"Incomplete",_xlfn.XLOOKUP(CQ1123,_xlfn.XLOOKUP(E1123,'Normative data'!$Y$3:$Y$6,'Normative data'!$Z$3:$AG$6,,-1),'Normative data'!$Z$2:$AG$2,"Not Found",-1))</f>
        <v>Incomplete</v>
      </c>
      <c r="CS1123" s="68"/>
      <c r="CT1123" s="66"/>
      <c r="CU1123" s="20" t="str" cm="1">
        <f t="array" ref="CU1123">_xlfn.XLOOKUP(CS1123&amp;CT1123,(VLOOKUP!$A$3:$A$250)&amp;(VLOOKUP!$B$3:$B$250),VLOOKUP!$C$3:$C$250,"Incomplete",-1)</f>
        <v>Incomplete</v>
      </c>
      <c r="CV1123" s="20" t="str" cm="1">
        <f t="array" ref="CV1123">_xlfn.XLOOKUP(CU1123, _xlfn.XLOOKUP(E1123, 'Normative data'!$Y$11:$Y$14, 'Normative data'!$Z$11:$AG$14, ,-1), 'Normative data'!$Z$10:$AG$10, "Not Found", -1)</f>
        <v>Excellent</v>
      </c>
      <c r="CW1123" s="20" t="str" cm="1">
        <f t="array" ref="CW1123">IF(OR(ISBLANK(CS1123),ISBLANK(CT1123)),"Incomplete",_xlfn.XLOOKUP(CS1123&amp;CT1123,VLOOKUP!$A$4:$A$250&amp;VLOOKUP!$B$4:$B$250,VLOOKUP!$D$4:$D$250,"0"))</f>
        <v>Incomplete</v>
      </c>
    </row>
    <row r="1124" spans="1:101">
      <c r="A1124" s="64" t="s">
        <v>1767</v>
      </c>
      <c r="B1124" s="64" t="s">
        <v>1768</v>
      </c>
      <c r="C1124" s="64" t="s">
        <v>86</v>
      </c>
      <c r="D1124" s="65"/>
      <c r="E1124" s="64"/>
      <c r="F1124" s="66" t="s">
        <v>235</v>
      </c>
      <c r="G1124" s="64">
        <v>2026</v>
      </c>
      <c r="H1124" s="66"/>
      <c r="I1124" s="66">
        <v>2</v>
      </c>
      <c r="J1124" s="66"/>
      <c r="K1124" s="66"/>
      <c r="L1124" s="66"/>
      <c r="M1124" s="64"/>
      <c r="N1124" s="64"/>
      <c r="O1124" s="64"/>
      <c r="P1124" s="64"/>
      <c r="Q1124" s="64"/>
      <c r="R1124" s="64"/>
      <c r="S1124" s="66">
        <v>86.7</v>
      </c>
      <c r="T1124" s="66">
        <v>167.8</v>
      </c>
      <c r="U1124" s="64"/>
      <c r="V1124" s="64"/>
      <c r="W1124" s="64"/>
      <c r="X1124" s="64"/>
      <c r="Y1124" s="64"/>
      <c r="Z1124" s="64"/>
      <c r="AA1124" s="64"/>
      <c r="AB1124" s="64"/>
      <c r="AC1124" s="64"/>
      <c r="AD1124" s="64"/>
      <c r="AE1124" s="64"/>
      <c r="AF1124" s="64"/>
      <c r="AG1124" s="64"/>
      <c r="AH1124" s="64"/>
      <c r="AI1124" s="64"/>
      <c r="AJ1124" s="64"/>
      <c r="AK1124" s="64"/>
      <c r="AL1124" s="64"/>
      <c r="AM1124" s="64"/>
      <c r="AN1124" s="64"/>
      <c r="AO1124" s="64"/>
      <c r="AP1124" s="64"/>
      <c r="AQ1124" s="66"/>
      <c r="AR1124" s="66"/>
      <c r="AS1124" s="66"/>
      <c r="AT1124" s="66"/>
      <c r="AU1124" s="66"/>
      <c r="AV1124" s="66"/>
      <c r="AW1124" s="66"/>
      <c r="AX1124" s="66"/>
      <c r="AY1124" s="41" t="str">
        <f t="shared" si="337"/>
        <v>Incomplete</v>
      </c>
      <c r="AZ1124" s="64"/>
      <c r="BA1124" s="20" t="str">
        <f t="shared" si="338"/>
        <v>Incomplete</v>
      </c>
      <c r="BB1124" s="64"/>
      <c r="BC1124" s="20" t="str">
        <f t="shared" si="339"/>
        <v>Incomplete</v>
      </c>
      <c r="BD1124" s="64"/>
      <c r="BE1124" s="20" t="str">
        <f t="shared" si="340"/>
        <v>Incomplete</v>
      </c>
      <c r="BF1124" s="64"/>
      <c r="BG1124" s="64"/>
      <c r="BH1124" s="64">
        <v>50</v>
      </c>
      <c r="BI1124" s="20" t="str">
        <f t="shared" si="346"/>
        <v>Incomplete</v>
      </c>
      <c r="BJ1124" s="66"/>
      <c r="BK1124" s="64">
        <v>12</v>
      </c>
      <c r="BL1124" s="66"/>
      <c r="BM1124" s="64">
        <v>11.5</v>
      </c>
      <c r="BN1124" s="66"/>
      <c r="BO1124" s="64"/>
      <c r="BP1124" s="64"/>
      <c r="BQ1124" s="64"/>
      <c r="BR1124" s="64"/>
      <c r="BS1124" s="64"/>
      <c r="BT1124" s="64"/>
      <c r="BU1124" s="64"/>
      <c r="BV1124" s="64"/>
      <c r="BW1124" s="91">
        <f t="shared" si="344"/>
        <v>0</v>
      </c>
      <c r="BX1124" s="91" t="str">
        <f>_xlfn.XLOOKUP(BW1124,'Normative data'!$V$3:$V$6,'Normative data'!$W$3:$W$6,"Not Found",-1)</f>
        <v>Not completed</v>
      </c>
      <c r="BY1124" s="91">
        <f t="shared" si="345"/>
        <v>0</v>
      </c>
      <c r="BZ1124" s="91" t="str">
        <f>_xlfn.XLOOKUP(BY1124,'Normative data'!$V$3:$V$6,'Normative data'!$W$3:$W$6,"Not Found",-1)</f>
        <v>Not completed</v>
      </c>
      <c r="CA1124" s="66"/>
      <c r="CB1124" s="66"/>
      <c r="CC1124" s="20"/>
      <c r="CD1124" s="66"/>
      <c r="CE1124" s="64">
        <v>6</v>
      </c>
      <c r="CF1124" s="66"/>
      <c r="CG1124" s="64"/>
      <c r="CH1124" s="20" t="str">
        <f>_xlfn.XLOOKUP(CG1124, 'Normative data'!$S$9:$S$15,'Normative data'!$T$9:$T$15, "Not Found", -1)</f>
        <v>not completed</v>
      </c>
      <c r="CI1124" s="64">
        <v>17.87</v>
      </c>
      <c r="CJ1124" s="20" t="str">
        <f>_xlfn.XLOOKUP(CI1124, 'Normative data'!$S$9:$S$15, 'Normative data'!$T$9:$T$15, "Not Found", -1)</f>
        <v>Above Average</v>
      </c>
      <c r="CK1124" s="64">
        <v>2.02</v>
      </c>
      <c r="CL1124" s="64">
        <v>4.95</v>
      </c>
      <c r="CM1124" s="66"/>
      <c r="CN1124" s="64">
        <v>6.42</v>
      </c>
      <c r="CO1124" s="64">
        <v>7.79</v>
      </c>
      <c r="CP1124" s="68"/>
      <c r="CQ1124" s="67">
        <v>6.4</v>
      </c>
      <c r="CR1124" s="20" t="str" cm="1">
        <f t="array" ref="CR1124">IF(OR(ISBLANK(E1124),ISBLANK(CQ1124)),"Incomplete",_xlfn.XLOOKUP(CQ1124,_xlfn.XLOOKUP(E1124,'Normative data'!$Y$3:$Y$6,'Normative data'!$Z$3:$AG$6,,-1),'Normative data'!$Z$2:$AG$2,"Not Found",-1))</f>
        <v>Incomplete</v>
      </c>
      <c r="CS1124" s="68">
        <v>6</v>
      </c>
      <c r="CT1124" s="66">
        <v>4</v>
      </c>
      <c r="CU1124" s="20" cm="1">
        <f t="array" ref="CU1124">_xlfn.XLOOKUP(CS1124&amp;CT1124,(VLOOKUP!$A$3:$A$250)&amp;(VLOOKUP!$B$3:$B$250),VLOOKUP!$C$3:$C$250,"Incomplete",-1)</f>
        <v>900</v>
      </c>
      <c r="CV1124" s="20" t="str" cm="1">
        <f t="array" ref="CV1124">_xlfn.XLOOKUP(CU1124, _xlfn.XLOOKUP(E1124, 'Normative data'!$Y$11:$Y$14, 'Normative data'!$Z$11:$AG$14, ,-1), 'Normative data'!$Z$10:$AG$10, "Not Found", -1)</f>
        <v xml:space="preserve">Fair </v>
      </c>
      <c r="CW1124" s="20" cm="1">
        <f t="array" ref="CW1124">IF(OR(ISBLANK(CS1124),ISBLANK(CT1124)),"Incomplete",_xlfn.XLOOKUP(CS1124&amp;CT1124,VLOOKUP!$A$4:$A$250&amp;VLOOKUP!$B$4:$B$250,VLOOKUP!$D$4:$D$250,"0"))</f>
        <v>34</v>
      </c>
    </row>
    <row r="1125" spans="1:101">
      <c r="A1125" s="64" t="s">
        <v>1095</v>
      </c>
      <c r="B1125" s="64" t="s">
        <v>1094</v>
      </c>
      <c r="C1125" s="64" t="s">
        <v>86</v>
      </c>
      <c r="D1125" s="65">
        <v>40193</v>
      </c>
      <c r="E1125" s="64">
        <v>16.3</v>
      </c>
      <c r="F1125" s="66" t="s">
        <v>99</v>
      </c>
      <c r="G1125" s="64">
        <v>2026</v>
      </c>
      <c r="H1125" s="66"/>
      <c r="I1125" s="66">
        <v>2</v>
      </c>
      <c r="J1125" s="66" t="s">
        <v>100</v>
      </c>
      <c r="K1125" s="66" t="s">
        <v>297</v>
      </c>
      <c r="L1125" s="66" t="s">
        <v>298</v>
      </c>
      <c r="M1125" s="64"/>
      <c r="N1125" s="64"/>
      <c r="O1125" s="64"/>
      <c r="P1125" s="64"/>
      <c r="Q1125" s="64"/>
      <c r="R1125" s="64"/>
      <c r="S1125" s="66">
        <v>86.3</v>
      </c>
      <c r="T1125" s="66">
        <v>161.5</v>
      </c>
      <c r="U1125" s="64">
        <v>64.3</v>
      </c>
      <c r="V1125" s="64">
        <v>34.1</v>
      </c>
      <c r="W1125" s="64">
        <v>17.5</v>
      </c>
      <c r="X1125" s="64">
        <v>46.8</v>
      </c>
      <c r="Y1125" s="64">
        <v>26.3</v>
      </c>
      <c r="Z1125" s="64">
        <v>24.7</v>
      </c>
      <c r="AA1125" s="64">
        <v>27.2</v>
      </c>
      <c r="AB1125" s="64">
        <v>7.33</v>
      </c>
      <c r="AC1125" s="64">
        <v>113</v>
      </c>
      <c r="AD1125" s="64">
        <v>7.24</v>
      </c>
      <c r="AE1125" s="64">
        <v>111.6</v>
      </c>
      <c r="AF1125" s="64">
        <v>2.8</v>
      </c>
      <c r="AG1125" s="64">
        <v>124.5</v>
      </c>
      <c r="AH1125" s="64">
        <v>2.8</v>
      </c>
      <c r="AI1125" s="64">
        <v>123.5</v>
      </c>
      <c r="AJ1125" s="64">
        <v>287.89999999999998</v>
      </c>
      <c r="AK1125" s="64">
        <v>294.8</v>
      </c>
      <c r="AL1125" s="64">
        <v>244.8</v>
      </c>
      <c r="AM1125" s="64">
        <v>251.3</v>
      </c>
      <c r="AN1125" s="64">
        <v>93</v>
      </c>
      <c r="AO1125" s="64">
        <v>0.84</v>
      </c>
      <c r="AP1125" s="64">
        <v>7.4</v>
      </c>
      <c r="AQ1125" s="64">
        <v>23.9</v>
      </c>
      <c r="AR1125" s="64">
        <v>0.442</v>
      </c>
      <c r="AS1125" s="64">
        <v>31.5</v>
      </c>
      <c r="AT1125" s="64">
        <v>0.50700000000000001</v>
      </c>
      <c r="AU1125" s="64">
        <v>17.2</v>
      </c>
      <c r="AV1125" s="64">
        <v>0.375</v>
      </c>
      <c r="AW1125" s="64">
        <v>16.2</v>
      </c>
      <c r="AX1125" s="64">
        <v>0.36299999999999999</v>
      </c>
      <c r="AY1125" s="41">
        <f t="shared" si="337"/>
        <v>2308.5199999999995</v>
      </c>
      <c r="AZ1125" s="64"/>
      <c r="BA1125" s="20">
        <f t="shared" si="338"/>
        <v>2769.84</v>
      </c>
      <c r="BB1125" s="64"/>
      <c r="BC1125" s="20">
        <f t="shared" si="339"/>
        <v>1901.8299999999995</v>
      </c>
      <c r="BD1125" s="64"/>
      <c r="BE1125" s="20">
        <f t="shared" si="340"/>
        <v>1841.1299999999997</v>
      </c>
      <c r="BF1125" s="64"/>
      <c r="BG1125" s="64">
        <v>15.5</v>
      </c>
      <c r="BH1125" s="64">
        <v>53</v>
      </c>
      <c r="BI1125" s="20">
        <f t="shared" si="346"/>
        <v>37.5</v>
      </c>
      <c r="BJ1125" s="66"/>
      <c r="BK1125" s="64">
        <v>7.5</v>
      </c>
      <c r="BL1125" s="66"/>
      <c r="BM1125" s="64">
        <v>6.5</v>
      </c>
      <c r="BN1125" s="66"/>
      <c r="BO1125" s="64">
        <v>55</v>
      </c>
      <c r="BP1125" s="64">
        <v>55.5</v>
      </c>
      <c r="BQ1125" s="64">
        <v>67</v>
      </c>
      <c r="BR1125" s="64">
        <v>74</v>
      </c>
      <c r="BS1125" s="64">
        <v>74</v>
      </c>
      <c r="BT1125" s="64">
        <v>73</v>
      </c>
      <c r="BU1125" s="64">
        <v>87</v>
      </c>
      <c r="BV1125" s="64">
        <v>75</v>
      </c>
      <c r="BW1125" s="91">
        <f t="shared" si="344"/>
        <v>95.301418439716301</v>
      </c>
      <c r="BX1125" s="91" t="str">
        <f>_xlfn.XLOOKUP(BW1125,'Normative data'!$V$3:$V$6,'Normative data'!$W$3:$W$6,"Not Found",-1)</f>
        <v>High risk</v>
      </c>
      <c r="BY1125" s="91">
        <f t="shared" si="345"/>
        <v>104.16666666666666</v>
      </c>
      <c r="BZ1125" s="91" t="str">
        <f>_xlfn.XLOOKUP(BY1125,'Normative data'!$V$3:$V$6,'Normative data'!$W$3:$W$6,"Not Found",-1)</f>
        <v>Low risk</v>
      </c>
      <c r="CA1125" s="64">
        <v>40</v>
      </c>
      <c r="CB1125" s="66"/>
      <c r="CC1125" s="20"/>
      <c r="CD1125" s="66"/>
      <c r="CE1125" s="64">
        <v>32</v>
      </c>
      <c r="CF1125" s="66"/>
      <c r="CG1125" s="64">
        <v>17.59</v>
      </c>
      <c r="CH1125" s="20" t="str">
        <f>_xlfn.XLOOKUP(CG1125, 'Normative data'!$S$9:$S$15,'Normative data'!$T$9:$T$15, "Not Found", -1)</f>
        <v>Above Average</v>
      </c>
      <c r="CI1125" s="64">
        <v>17.5</v>
      </c>
      <c r="CJ1125" s="20" t="str">
        <f>_xlfn.XLOOKUP(CI1125, 'Normative data'!$S$9:$S$15, 'Normative data'!$T$9:$T$15, "Not Found", -1)</f>
        <v>Above Average</v>
      </c>
      <c r="CK1125" s="64">
        <v>1.98</v>
      </c>
      <c r="CL1125" s="64">
        <v>5.05</v>
      </c>
      <c r="CM1125" s="66"/>
      <c r="CN1125" s="64">
        <v>5.94</v>
      </c>
      <c r="CO1125" s="64">
        <v>8.42</v>
      </c>
      <c r="CP1125" s="68"/>
      <c r="CQ1125" s="67">
        <v>8.3000000000000007</v>
      </c>
      <c r="CR1125" s="20" t="str" cm="1">
        <f t="array" ref="CR1125">IF(OR(ISBLANK(E1125),ISBLANK(CQ1125)),"Incomplete",_xlfn.XLOOKUP(CQ1125,_xlfn.XLOOKUP(E1125,'Normative data'!$Y$3:$Y$6,'Normative data'!$Z$3:$AG$6,,-1),'Normative data'!$Z$2:$AG$2,"Not Found",-1))</f>
        <v>Average</v>
      </c>
      <c r="CS1125" s="68">
        <v>8</v>
      </c>
      <c r="CT1125" s="66">
        <v>3</v>
      </c>
      <c r="CU1125" s="20" cm="1">
        <f t="array" ref="CU1125">_xlfn.XLOOKUP(CS1125&amp;CT1125,(VLOOKUP!$A$3:$A$250)&amp;(VLOOKUP!$B$3:$B$250),VLOOKUP!$C$3:$C$250,"Incomplete",-1)</f>
        <v>1280</v>
      </c>
      <c r="CV1125" s="20" t="str" cm="1">
        <f t="array" ref="CV1125">_xlfn.XLOOKUP(CU1125, _xlfn.XLOOKUP(E1125, 'Normative data'!$Y$11:$Y$14, 'Normative data'!$Z$11:$AG$14, ,-1), 'Normative data'!$Z$10:$AG$10, "Not Found", -1)</f>
        <v>Average</v>
      </c>
      <c r="CW1125" s="20" cm="1">
        <f t="array" ref="CW1125">IF(OR(ISBLANK(CS1125),ISBLANK(CT1125)),"Incomplete",_xlfn.XLOOKUP(CS1125&amp;CT1125,VLOOKUP!$A$4:$A$250&amp;VLOOKUP!$B$4:$B$250,VLOOKUP!$D$4:$D$250,"0"))</f>
        <v>41</v>
      </c>
    </row>
    <row r="1126" spans="1:101">
      <c r="A1126" s="64" t="s">
        <v>1769</v>
      </c>
      <c r="B1126" s="64" t="s">
        <v>1770</v>
      </c>
      <c r="C1126" s="64" t="s">
        <v>86</v>
      </c>
      <c r="D1126" s="65">
        <v>41015</v>
      </c>
      <c r="E1126" s="64">
        <v>14</v>
      </c>
      <c r="F1126" s="66" t="s">
        <v>157</v>
      </c>
      <c r="G1126" s="64">
        <v>2026</v>
      </c>
      <c r="H1126" s="66"/>
      <c r="I1126" s="66">
        <v>2</v>
      </c>
      <c r="J1126" s="66" t="s">
        <v>100</v>
      </c>
      <c r="K1126" s="66" t="s">
        <v>108</v>
      </c>
      <c r="L1126" s="66"/>
      <c r="M1126" s="64"/>
      <c r="N1126" s="64"/>
      <c r="O1126" s="64"/>
      <c r="P1126" s="64"/>
      <c r="Q1126" s="64"/>
      <c r="R1126" s="64"/>
      <c r="S1126" s="66"/>
      <c r="T1126" s="66">
        <v>156.1</v>
      </c>
      <c r="U1126" s="64">
        <v>50.4</v>
      </c>
      <c r="V1126" s="64">
        <v>27</v>
      </c>
      <c r="W1126" s="64">
        <v>13.5</v>
      </c>
      <c r="X1126" s="64">
        <v>36.9</v>
      </c>
      <c r="Y1126" s="64">
        <v>19.7</v>
      </c>
      <c r="Z1126" s="64">
        <v>20.7</v>
      </c>
      <c r="AA1126" s="64">
        <v>26.9</v>
      </c>
      <c r="AB1126" s="64">
        <v>5.18</v>
      </c>
      <c r="AC1126" s="64">
        <v>93.1</v>
      </c>
      <c r="AD1126" s="64">
        <v>5.14</v>
      </c>
      <c r="AE1126" s="64">
        <v>92.5</v>
      </c>
      <c r="AF1126" s="64">
        <v>2.1</v>
      </c>
      <c r="AG1126" s="64">
        <v>112</v>
      </c>
      <c r="AH1126" s="64">
        <v>2.1</v>
      </c>
      <c r="AI1126" s="64">
        <v>111.4</v>
      </c>
      <c r="AJ1126" s="64">
        <v>293.60000000000002</v>
      </c>
      <c r="AK1126" s="64">
        <v>295.89999999999998</v>
      </c>
      <c r="AL1126" s="64">
        <v>267.2</v>
      </c>
      <c r="AM1126" s="64">
        <v>270.39999999999998</v>
      </c>
      <c r="AN1126" s="64">
        <v>88</v>
      </c>
      <c r="AO1126" s="64">
        <v>0.84</v>
      </c>
      <c r="AP1126" s="64">
        <v>5.6</v>
      </c>
      <c r="AQ1126" s="66"/>
      <c r="AR1126" s="66"/>
      <c r="AS1126" s="66"/>
      <c r="AT1126" s="66"/>
      <c r="AU1126" s="66"/>
      <c r="AV1126" s="66"/>
      <c r="AW1126" s="66"/>
      <c r="AX1126" s="66"/>
      <c r="AY1126" s="41" t="str">
        <f t="shared" si="337"/>
        <v>Incomplete</v>
      </c>
      <c r="AZ1126" s="64"/>
      <c r="BA1126" s="20" t="str">
        <f t="shared" si="338"/>
        <v>Incomplete</v>
      </c>
      <c r="BB1126" s="64"/>
      <c r="BC1126" s="20" t="str">
        <f t="shared" si="339"/>
        <v>Incomplete</v>
      </c>
      <c r="BD1126" s="64"/>
      <c r="BE1126" s="20" t="str">
        <f t="shared" si="340"/>
        <v>Incomplete</v>
      </c>
      <c r="BF1126" s="64"/>
      <c r="BG1126" s="64"/>
      <c r="BH1126" s="17">
        <v>21.5</v>
      </c>
      <c r="BI1126" s="20" t="str">
        <f t="shared" si="346"/>
        <v>Incomplete</v>
      </c>
      <c r="BJ1126" s="66"/>
      <c r="BK1126" s="64">
        <v>2</v>
      </c>
      <c r="BL1126" s="66"/>
      <c r="BM1126" s="17">
        <v>3</v>
      </c>
      <c r="BN1126" s="66"/>
      <c r="BO1126" s="64"/>
      <c r="BP1126" s="64"/>
      <c r="BQ1126" s="64">
        <v>79</v>
      </c>
      <c r="BR1126" s="64">
        <v>74</v>
      </c>
      <c r="BS1126" s="64">
        <v>65</v>
      </c>
      <c r="BT1126" s="64">
        <v>73</v>
      </c>
      <c r="BU1126" s="64">
        <v>70</v>
      </c>
      <c r="BV1126" s="64">
        <v>69</v>
      </c>
      <c r="BW1126" s="91">
        <f t="shared" si="344"/>
        <v>46.551355968396329</v>
      </c>
      <c r="BX1126" s="91" t="str">
        <f>_xlfn.XLOOKUP(BW1126,'Normative data'!$V$3:$V$6,'Normative data'!$W$3:$W$6,"Not Found",-1)</f>
        <v>High risk</v>
      </c>
      <c r="BY1126" s="91">
        <f t="shared" si="345"/>
        <v>45.270125987614776</v>
      </c>
      <c r="BZ1126" s="91" t="str">
        <f>_xlfn.XLOOKUP(BY1126,'Normative data'!$V$3:$V$6,'Normative data'!$W$3:$W$6,"Not Found",-1)</f>
        <v>High risk</v>
      </c>
      <c r="CA1126" s="64"/>
      <c r="CB1126" s="66"/>
      <c r="CC1126" s="64"/>
      <c r="CD1126" s="66"/>
      <c r="CE1126" s="64"/>
      <c r="CF1126" s="66"/>
      <c r="CG1126" s="66"/>
      <c r="CH1126" s="20" t="str">
        <f>_xlfn.XLOOKUP(CG1126, 'Normative data'!$S$9:$S$15,'Normative data'!$T$9:$T$15, "Not Found", -1)</f>
        <v>not completed</v>
      </c>
      <c r="CI1126" s="66"/>
      <c r="CJ1126" s="20" t="str">
        <f>_xlfn.XLOOKUP(CI1126, 'Normative data'!$S$9:$S$15, 'Normative data'!$T$9:$T$15, "Not Found", -1)</f>
        <v>not completed</v>
      </c>
      <c r="CK1126" s="17">
        <v>2.48</v>
      </c>
      <c r="CL1126" s="17">
        <v>4.03</v>
      </c>
      <c r="CN1126" s="17">
        <v>8.17</v>
      </c>
      <c r="CO1126" s="17">
        <v>6.12</v>
      </c>
      <c r="CP1126" s="68"/>
      <c r="CQ1126" s="67">
        <v>5.0999999999999996</v>
      </c>
      <c r="CR1126" s="20" t="str" cm="1">
        <f t="array" ref="CR1126">IF(OR(ISBLANK(E1126),ISBLANK(CQ1126)),"Incomplete",_xlfn.XLOOKUP(CQ1126,_xlfn.XLOOKUP(E1126,'Normative data'!$Y$3:$Y$6,'Normative data'!$Z$3:$AG$6,,-1),'Normative data'!$Z$2:$AG$2,"Not Found",-1))</f>
        <v>Poor</v>
      </c>
      <c r="CS1126" s="68">
        <v>5</v>
      </c>
      <c r="CT1126" s="66">
        <v>1</v>
      </c>
      <c r="CU1126" s="20" cm="1">
        <f t="array" ref="CU1126">_xlfn.XLOOKUP(CS1126&amp;CT1126,(VLOOKUP!$A$3:$A$250)&amp;(VLOOKUP!$B$3:$B$250),VLOOKUP!$C$3:$C$250,"Incomplete",-1)</f>
        <v>660</v>
      </c>
      <c r="CV1126" s="20" t="str" cm="1">
        <f t="array" ref="CV1126">_xlfn.XLOOKUP(CU1126, _xlfn.XLOOKUP(E1126, 'Normative data'!$Y$11:$Y$14, 'Normative data'!$Z$11:$AG$14, ,-1), 'Normative data'!$Z$10:$AG$10, "Not Found", -1)</f>
        <v xml:space="preserve">Poor </v>
      </c>
      <c r="CW1126" s="20" cm="1">
        <f t="array" ref="CW1126">IF(OR(ISBLANK(CS1126),ISBLANK(CT1126)),"Incomplete",_xlfn.XLOOKUP(CS1126&amp;CT1126,VLOOKUP!$A$4:$A$250&amp;VLOOKUP!$B$4:$B$250,VLOOKUP!$D$4:$D$250,"0"))</f>
        <v>30</v>
      </c>
    </row>
    <row r="1127" spans="1:101">
      <c r="A1127" s="93" t="s">
        <v>216</v>
      </c>
      <c r="B1127" s="93" t="s">
        <v>1771</v>
      </c>
      <c r="C1127" s="64" t="s">
        <v>86</v>
      </c>
      <c r="D1127" s="96">
        <v>39784</v>
      </c>
      <c r="E1127" s="64"/>
      <c r="F1127" s="64">
        <v>11</v>
      </c>
      <c r="G1127" s="64">
        <v>2025</v>
      </c>
      <c r="H1127" s="66"/>
      <c r="I1127" s="64"/>
      <c r="J1127" s="64"/>
      <c r="K1127" s="64"/>
      <c r="L1127" s="64"/>
      <c r="M1127" s="64"/>
      <c r="N1127" s="64"/>
      <c r="O1127" s="64"/>
      <c r="P1127" s="64"/>
      <c r="Q1127" s="64"/>
      <c r="R1127" s="64"/>
      <c r="S1127" s="66"/>
      <c r="T1127" s="66" t="s">
        <v>1772</v>
      </c>
      <c r="U1127" s="66" t="s">
        <v>985</v>
      </c>
      <c r="V1127" s="66"/>
      <c r="W1127" s="66"/>
      <c r="X1127" s="66"/>
      <c r="Y1127" s="66"/>
      <c r="Z1127" s="66"/>
      <c r="AA1127" s="66"/>
      <c r="AB1127" s="66"/>
      <c r="AC1127" s="66"/>
      <c r="AD1127" s="66"/>
      <c r="AE1127" s="66"/>
      <c r="AF1127" s="66"/>
      <c r="AG1127" s="66"/>
      <c r="AH1127" s="66"/>
      <c r="AI1127" s="66"/>
      <c r="AJ1127" s="66"/>
      <c r="AK1127" s="66"/>
      <c r="AL1127" s="66"/>
      <c r="AM1127" s="66"/>
      <c r="AN1127" s="66"/>
      <c r="AO1127" s="66"/>
      <c r="AP1127" s="66"/>
      <c r="AQ1127" s="66"/>
      <c r="AR1127" s="66"/>
      <c r="AS1127" s="66"/>
      <c r="AT1127" s="66"/>
      <c r="AU1127" s="66"/>
      <c r="AV1127" s="66"/>
      <c r="AW1127" s="66"/>
      <c r="AX1127" s="66"/>
      <c r="AY1127" s="41" t="str">
        <f>IF(OR(ISBLANK(#REF!), ISBLANK(AQ1127)), "Incomplete", (60.7*AQ1127)+(45.3*#REF!)-2055)</f>
        <v>Incomplete</v>
      </c>
      <c r="AZ1127" s="66"/>
      <c r="BA1127" s="20" t="str">
        <f>IF(OR(ISBLANK(#REF!), ISBLANK(AS1127)), "Incomplete", (60.7*AS1127)+(45.3*#REF!)-2055)</f>
        <v>Incomplete</v>
      </c>
      <c r="BB1127" s="66"/>
      <c r="BC1127" s="20" t="str">
        <f>IF(OR(ISBLANK(#REF!), ISBLANK(AU1127)), "Incomplete", (60.7*AU1127)+(45.3*#REF!)-2055)</f>
        <v>Incomplete</v>
      </c>
      <c r="BD1127" s="66"/>
      <c r="BE1127" s="20" t="str">
        <f>IF(OR(ISBLANK(#REF!), ISBLANK(AW1127)), "Incomplete", (60.7*AW1127)+(45.3*#REF!)-2055)</f>
        <v>Incomplete</v>
      </c>
      <c r="BF1127" s="66"/>
      <c r="BG1127" s="66">
        <v>14</v>
      </c>
      <c r="BH1127" s="66">
        <v>29</v>
      </c>
      <c r="BI1127" s="20">
        <f t="shared" si="346"/>
        <v>15</v>
      </c>
      <c r="BJ1127" s="66"/>
      <c r="BK1127" s="66"/>
      <c r="BL1127" s="66"/>
      <c r="BM1127" s="20"/>
      <c r="BN1127" s="66"/>
      <c r="BO1127" s="66"/>
      <c r="BP1127" s="66"/>
      <c r="BQ1127" s="66"/>
      <c r="BR1127" s="66"/>
      <c r="BS1127" s="66"/>
      <c r="BT1127" s="66"/>
      <c r="BU1127" s="66"/>
      <c r="BV1127" s="66"/>
      <c r="BW1127" s="91" t="str">
        <f>IFERROR(SUM(BQ1127+BR1127+BS1127)/(3*(#REF!-S1127))*100, "Incomplete")</f>
        <v>Incomplete</v>
      </c>
      <c r="BX1127" s="91" t="str">
        <f>_xlfn.XLOOKUP(BW1127,'Normative data'!$V$3:$V$6,'Normative data'!$W$3:$W$6,"Not Found",-1)</f>
        <v>Very low risk</v>
      </c>
      <c r="BY1127" s="91" t="str">
        <f>IFERROR(SUM(BT1127+BU1127+BV1127)/(3*(#REF!-S1127))*100, "Incomplete")</f>
        <v>Incomplete</v>
      </c>
      <c r="BZ1127" s="91" t="str">
        <f>_xlfn.XLOOKUP(BY1127,'Normative data'!$V$3:$V$6,'Normative data'!$W$3:$W$6,"Not Found",-1)</f>
        <v>Very low risk</v>
      </c>
      <c r="CA1127" s="20"/>
      <c r="CB1127" s="66"/>
      <c r="CC1127" s="20"/>
      <c r="CD1127" s="66"/>
      <c r="CE1127" s="66">
        <v>15</v>
      </c>
      <c r="CF1127" s="66"/>
      <c r="CG1127" s="66">
        <v>16.600000000000001</v>
      </c>
      <c r="CH1127" s="20" t="e">
        <f>_xlfn.XLOOKUP(#REF!, 'Normative data'!$S$9:$S$15,'Normative data'!$T$9:$T$15, "Not Found", -1)</f>
        <v>#REF!</v>
      </c>
      <c r="CI1127" s="66"/>
      <c r="CJ1127" s="20" t="str">
        <f>_xlfn.XLOOKUP(CI1127, 'Normative data'!$S$9:$S$15, 'Normative data'!$T$9:$T$15, "Not Found", -1)</f>
        <v>not completed</v>
      </c>
      <c r="CK1127" s="105">
        <v>2.13</v>
      </c>
      <c r="CL1127" s="105">
        <v>4.6900000000000004</v>
      </c>
      <c r="CM1127" s="105"/>
      <c r="CN1127" s="105">
        <v>6.36</v>
      </c>
      <c r="CO1127" s="105">
        <v>7.86</v>
      </c>
      <c r="CP1127" s="109"/>
      <c r="CQ1127" s="68"/>
      <c r="CR1127" s="20" t="str" cm="1">
        <f t="array" ref="CR1127">IF(OR(ISBLANK(E1127),ISBLANK(CQ1127)),"Incomplete",_xlfn.XLOOKUP(CQ1127,_xlfn.XLOOKUP(E1127,'Normative data'!$Y$3:$Y$6,'Normative data'!$Z$3:$AG$6,,-1),'Normative data'!$Z$2:$AG$2,"Not Found",-1))</f>
        <v>Incomplete</v>
      </c>
      <c r="CS1127" s="68"/>
      <c r="CT1127" s="66"/>
      <c r="CU1127" s="20" t="str" cm="1">
        <f t="array" ref="CU1127">_xlfn.XLOOKUP(CS1127&amp;CT1127,(VLOOKUP!$A$3:$A$250)&amp;(VLOOKUP!$B$3:$B$250),VLOOKUP!$C$3:$C$250,"Incomplete",-1)</f>
        <v>Incomplete</v>
      </c>
      <c r="CV1127" s="20" t="str" cm="1">
        <f t="array" ref="CV1127">_xlfn.XLOOKUP(CU1127, _xlfn.XLOOKUP(E1127, 'Normative data'!$Y$11:$Y$14, 'Normative data'!$Z$11:$AG$14, ,-1), 'Normative data'!$Z$10:$AG$10, "Not Found", -1)</f>
        <v>Excellent</v>
      </c>
      <c r="CW1127" s="20" t="str" cm="1">
        <f t="array" ref="CW1127">IF(OR(ISBLANK(CS1127),ISBLANK(CT1127)),"Incomplete",_xlfn.XLOOKUP(CS1127&amp;CT1127,VLOOKUP!$A$4:$A$250&amp;VLOOKUP!$B$4:$B$250,VLOOKUP!$D$4:$D$250,"0"))</f>
        <v>Incomplete</v>
      </c>
    </row>
    <row r="1128" spans="1:101">
      <c r="A1128" s="64" t="s">
        <v>422</v>
      </c>
      <c r="B1128" s="64" t="s">
        <v>225</v>
      </c>
      <c r="C1128" s="64" t="s">
        <v>86</v>
      </c>
      <c r="D1128" s="96">
        <v>39784</v>
      </c>
      <c r="E1128" s="64"/>
      <c r="F1128" s="64"/>
      <c r="G1128" s="64">
        <v>2026</v>
      </c>
      <c r="H1128" s="66" t="s">
        <v>114</v>
      </c>
      <c r="I1128" s="64">
        <v>1</v>
      </c>
      <c r="J1128" s="64"/>
      <c r="K1128" s="64"/>
      <c r="L1128" s="64"/>
      <c r="M1128" s="64"/>
      <c r="N1128" s="64"/>
      <c r="O1128" s="64"/>
      <c r="P1128" s="64"/>
      <c r="Q1128" s="64"/>
      <c r="R1128" s="64"/>
      <c r="S1128" s="66"/>
      <c r="T1128" s="66"/>
      <c r="U1128" s="66"/>
      <c r="V1128" s="66"/>
      <c r="W1128" s="66"/>
      <c r="X1128" s="66"/>
      <c r="Y1128" s="66"/>
      <c r="Z1128" s="66"/>
      <c r="AA1128" s="66"/>
      <c r="AB1128" s="66"/>
      <c r="AC1128" s="66"/>
      <c r="AD1128" s="66"/>
      <c r="AE1128" s="66"/>
      <c r="AF1128" s="66"/>
      <c r="AG1128" s="66"/>
      <c r="AH1128" s="66"/>
      <c r="AI1128" s="66"/>
      <c r="AJ1128" s="66"/>
      <c r="AK1128" s="66"/>
      <c r="AL1128" s="66"/>
      <c r="AM1128" s="66"/>
      <c r="AN1128" s="66"/>
      <c r="AO1128" s="66"/>
      <c r="AP1128" s="66"/>
      <c r="AQ1128" s="104" t="s">
        <v>1621</v>
      </c>
      <c r="AR1128" s="104" t="s">
        <v>1622</v>
      </c>
      <c r="AS1128" s="104" t="s">
        <v>1773</v>
      </c>
      <c r="AT1128" s="104" t="s">
        <v>1774</v>
      </c>
      <c r="AU1128" s="104" t="s">
        <v>469</v>
      </c>
      <c r="AV1128" s="104" t="s">
        <v>1775</v>
      </c>
      <c r="AW1128" s="104" t="s">
        <v>1776</v>
      </c>
      <c r="AX1128" s="104" t="s">
        <v>1777</v>
      </c>
      <c r="AY1128" s="41" t="str">
        <f t="shared" ref="AY1128:AY1136" si="347">IF(OR(ISBLANK(U1128), ISBLANK(AQ1128)), "Incomplete", (60.7*AQ1128)+(45.3*U1128)-2055)</f>
        <v>Incomplete</v>
      </c>
      <c r="AZ1128" s="66"/>
      <c r="BA1128" s="20" t="str">
        <f t="shared" ref="BA1128:BA1136" si="348">IF(OR(ISBLANK(U1128), ISBLANK(AS1128)), "Incomplete", (60.7*AS1128)+(45.3*U1128)-2055)</f>
        <v>Incomplete</v>
      </c>
      <c r="BB1128" s="66"/>
      <c r="BC1128" s="20" t="str">
        <f t="shared" ref="BC1128:BC1136" si="349">IF(OR(ISBLANK(U1128), ISBLANK(AU1128)), "Incomplete", (60.7*AU1128)+(45.3*U1128)-2055)</f>
        <v>Incomplete</v>
      </c>
      <c r="BD1128" s="66"/>
      <c r="BE1128" s="20" t="str">
        <f t="shared" ref="BE1128:BE1136" si="350">IF(OR(ISBLANK(U1128), ISBLANK(AW1128)), "Incomplete", (60.7*AW1128)+(45.3*U1128)-2055)</f>
        <v>Incomplete</v>
      </c>
      <c r="BF1128" s="66"/>
      <c r="BG1128" s="104" t="s">
        <v>633</v>
      </c>
      <c r="BH1128" s="104" t="s">
        <v>1778</v>
      </c>
      <c r="BI1128" s="20" t="e">
        <f t="shared" si="346"/>
        <v>#VALUE!</v>
      </c>
      <c r="BJ1128" s="66"/>
      <c r="BK1128" s="66"/>
      <c r="BL1128" s="66"/>
      <c r="BM1128" s="66"/>
      <c r="BN1128" s="66"/>
      <c r="BO1128" s="66"/>
      <c r="BP1128" s="66"/>
      <c r="BQ1128" s="66"/>
      <c r="BR1128" s="66"/>
      <c r="BS1128" s="66"/>
      <c r="BT1128" s="66"/>
      <c r="BU1128" s="66"/>
      <c r="BV1128" s="66"/>
      <c r="BW1128" s="91" t="str">
        <f t="shared" ref="BW1128:BW1136" si="351">IFERROR(SUM(BQ1128+BR1128+BS1128)/(3*(T1128-S1128))*100, "Incomplete")</f>
        <v>Incomplete</v>
      </c>
      <c r="BX1128" s="91" t="str">
        <f>_xlfn.XLOOKUP(BW1128,'Normative data'!$V$3:$V$6,'Normative data'!$W$3:$W$6,"Not Found",-1)</f>
        <v>Very low risk</v>
      </c>
      <c r="BY1128" s="91" t="str">
        <f t="shared" ref="BY1128:BY1136" si="352">IFERROR(SUM(BT1128+BU1128+BV1128)/(3*(T1128-S1128))*100, "Incomplete")</f>
        <v>Incomplete</v>
      </c>
      <c r="BZ1128" s="91" t="str">
        <f>_xlfn.XLOOKUP(BY1128,'Normative data'!$V$3:$V$6,'Normative data'!$W$3:$W$6,"Not Found",-1)</f>
        <v>Very low risk</v>
      </c>
      <c r="CA1128" s="66"/>
      <c r="CB1128" s="66"/>
      <c r="CC1128" s="30">
        <v>55</v>
      </c>
      <c r="CD1128" s="104"/>
      <c r="CE1128" s="104">
        <v>15</v>
      </c>
      <c r="CF1128" s="104"/>
      <c r="CG1128" s="104" t="s">
        <v>1779</v>
      </c>
      <c r="CH1128" s="20" t="str">
        <f>_xlfn.XLOOKUP(CG1128, 'Normative data'!$S$9:$S$15,'Normative data'!$T$9:$T$15, "Not Found", -1)</f>
        <v>Poor</v>
      </c>
      <c r="CI1128" s="104" t="s">
        <v>1780</v>
      </c>
      <c r="CJ1128" s="20" t="str">
        <f>_xlfn.XLOOKUP(CI1128, 'Normative data'!$S$9:$S$15, 'Normative data'!$T$9:$T$15, "Not Found", -1)</f>
        <v>Poor</v>
      </c>
      <c r="CK1128" s="104" t="s">
        <v>371</v>
      </c>
      <c r="CL1128" s="104" t="s">
        <v>372</v>
      </c>
      <c r="CM1128" s="104"/>
      <c r="CN1128" s="104" t="s">
        <v>355</v>
      </c>
      <c r="CO1128" s="104" t="s">
        <v>356</v>
      </c>
      <c r="CP1128" s="112"/>
      <c r="CQ1128" s="112" t="s">
        <v>1781</v>
      </c>
      <c r="CR1128" s="20" t="str" cm="1">
        <f t="array" ref="CR1128">IF(OR(ISBLANK(E1128),ISBLANK(CQ1128)),"Incomplete",_xlfn.XLOOKUP(CQ1128,_xlfn.XLOOKUP(E1128,'Normative data'!$Y$3:$Y$6,'Normative data'!$Z$3:$AG$6,,-1),'Normative data'!$Z$2:$AG$2,"Not Found",-1))</f>
        <v>Incomplete</v>
      </c>
      <c r="CS1128" s="68">
        <v>8</v>
      </c>
      <c r="CT1128" s="66">
        <v>2</v>
      </c>
      <c r="CU1128" s="20" cm="1">
        <f t="array" ref="CU1128">_xlfn.XLOOKUP(CS1128&amp;CT1128,(VLOOKUP!$A$3:$A$250)&amp;(VLOOKUP!$B$3:$B$250),VLOOKUP!$C$3:$C$250,"Incomplete",-1)</f>
        <v>1260</v>
      </c>
      <c r="CV1128" s="20" t="str" cm="1">
        <f t="array" ref="CV1128">_xlfn.XLOOKUP(CU1128, _xlfn.XLOOKUP(E1128, 'Normative data'!$Y$11:$Y$14, 'Normative data'!$Z$11:$AG$14, ,-1), 'Normative data'!$Z$10:$AG$10, "Not Found", -1)</f>
        <v>Average</v>
      </c>
      <c r="CW1128" s="20" cm="1">
        <f t="array" ref="CW1128">IF(OR(ISBLANK(CS1128),ISBLANK(CT1128)),"Incomplete",_xlfn.XLOOKUP(CS1128&amp;CT1128,VLOOKUP!$A$4:$A$250&amp;VLOOKUP!$B$4:$B$250,VLOOKUP!$D$4:$D$250,"0"))</f>
        <v>41</v>
      </c>
    </row>
    <row r="1129" spans="1:101">
      <c r="A1129" s="94" t="s">
        <v>758</v>
      </c>
      <c r="B1129" s="94" t="s">
        <v>759</v>
      </c>
      <c r="C1129" s="64" t="s">
        <v>86</v>
      </c>
      <c r="D1129" s="97">
        <v>40307</v>
      </c>
      <c r="E1129" s="64"/>
      <c r="F1129" s="64">
        <v>9</v>
      </c>
      <c r="G1129" s="64">
        <v>2025</v>
      </c>
      <c r="H1129" s="66"/>
      <c r="I1129" s="64"/>
      <c r="J1129" s="64"/>
      <c r="K1129" s="64"/>
      <c r="L1129" s="64"/>
      <c r="M1129" s="64"/>
      <c r="N1129" s="64"/>
      <c r="O1129" s="64"/>
      <c r="P1129" s="64"/>
      <c r="Q1129" s="64"/>
      <c r="R1129" s="64"/>
      <c r="S1129" s="66"/>
      <c r="T1129" s="66"/>
      <c r="U1129" s="66"/>
      <c r="V1129" s="66"/>
      <c r="W1129" s="66"/>
      <c r="X1129" s="66"/>
      <c r="Y1129" s="66"/>
      <c r="Z1129" s="66"/>
      <c r="AA1129" s="66"/>
      <c r="AB1129" s="66"/>
      <c r="AC1129" s="66"/>
      <c r="AD1129" s="66"/>
      <c r="AE1129" s="66"/>
      <c r="AF1129" s="66"/>
      <c r="AG1129" s="66"/>
      <c r="AH1129" s="66"/>
      <c r="AI1129" s="66"/>
      <c r="AJ1129" s="66"/>
      <c r="AK1129" s="66"/>
      <c r="AL1129" s="66"/>
      <c r="AM1129" s="66"/>
      <c r="AN1129" s="66"/>
      <c r="AO1129" s="66"/>
      <c r="AP1129" s="66"/>
      <c r="AQ1129" s="66"/>
      <c r="AR1129" s="66"/>
      <c r="AS1129" s="66"/>
      <c r="AT1129" s="66"/>
      <c r="AU1129" s="66"/>
      <c r="AV1129" s="66"/>
      <c r="AW1129" s="66"/>
      <c r="AX1129" s="66"/>
      <c r="AY1129" s="41" t="str">
        <f t="shared" si="347"/>
        <v>Incomplete</v>
      </c>
      <c r="AZ1129" s="66"/>
      <c r="BA1129" s="20" t="str">
        <f t="shared" si="348"/>
        <v>Incomplete</v>
      </c>
      <c r="BB1129" s="66"/>
      <c r="BC1129" s="20" t="str">
        <f t="shared" si="349"/>
        <v>Incomplete</v>
      </c>
      <c r="BD1129" s="66"/>
      <c r="BE1129" s="20" t="str">
        <f t="shared" si="350"/>
        <v>Incomplete</v>
      </c>
      <c r="BF1129" s="66"/>
      <c r="BG1129" s="66">
        <v>10</v>
      </c>
      <c r="BH1129" s="66">
        <v>21.7</v>
      </c>
      <c r="BI1129" s="20" t="e">
        <f>IF(OR(ISBLANK(#REF!), ISBLANK(#REF!)),"Incomplete",(SUM(#REF!-#REF!)))</f>
        <v>#REF!</v>
      </c>
      <c r="BJ1129" s="66"/>
      <c r="BK1129" s="66"/>
      <c r="BL1129" s="66"/>
      <c r="BM1129" s="66"/>
      <c r="BN1129" s="66"/>
      <c r="BO1129" s="66"/>
      <c r="BP1129" s="66"/>
      <c r="BQ1129" s="66"/>
      <c r="BR1129" s="66"/>
      <c r="BS1129" s="66"/>
      <c r="BT1129" s="66"/>
      <c r="BU1129" s="66"/>
      <c r="BV1129" s="66"/>
      <c r="BW1129" s="91" t="str">
        <f t="shared" si="351"/>
        <v>Incomplete</v>
      </c>
      <c r="BX1129" s="91" t="str">
        <f>_xlfn.XLOOKUP(BW1129,'Normative data'!$V$3:$V$6,'Normative data'!$W$3:$W$6,"Not Found",-1)</f>
        <v>Very low risk</v>
      </c>
      <c r="BY1129" s="91" t="str">
        <f t="shared" si="352"/>
        <v>Incomplete</v>
      </c>
      <c r="BZ1129" s="91" t="str">
        <f>_xlfn.XLOOKUP(BY1129,'Normative data'!$V$3:$V$6,'Normative data'!$W$3:$W$6,"Not Found",-1)</f>
        <v>Very low risk</v>
      </c>
      <c r="CA1129" s="20"/>
      <c r="CB1129" s="66"/>
      <c r="CC1129" s="20"/>
      <c r="CD1129" s="66"/>
      <c r="CE1129" s="66">
        <v>3</v>
      </c>
      <c r="CF1129" s="66"/>
      <c r="CG1129" s="66"/>
      <c r="CH1129" s="20" t="str">
        <f>_xlfn.XLOOKUP(CG1129, 'Normative data'!$S$9:$S$15,'Normative data'!$T$9:$T$15, "Not Found", -1)</f>
        <v>not completed</v>
      </c>
      <c r="CI1129" s="66"/>
      <c r="CJ1129" s="20" t="str">
        <f>_xlfn.XLOOKUP(CI1129, 'Normative data'!$S$9:$S$15, 'Normative data'!$T$9:$T$15, "Not Found", -1)</f>
        <v>not completed</v>
      </c>
      <c r="CK1129" s="106">
        <v>2.4300000000000002</v>
      </c>
      <c r="CL1129" s="106">
        <v>4.12</v>
      </c>
      <c r="CM1129" s="106"/>
      <c r="CN1129" s="106">
        <v>8.15</v>
      </c>
      <c r="CO1129" s="106">
        <v>6.13</v>
      </c>
      <c r="CP1129" s="110"/>
      <c r="CQ1129" s="68"/>
      <c r="CR1129" s="20" t="str" cm="1">
        <f t="array" ref="CR1129">IF(OR(ISBLANK(E1129),ISBLANK(CQ1129)),"Incomplete",_xlfn.XLOOKUP(CQ1129,_xlfn.XLOOKUP(E1129,'Normative data'!$Y$3:$Y$6,'Normative data'!$Z$3:$AG$6,,-1),'Normative data'!$Z$2:$AG$2,"Not Found",-1))</f>
        <v>Incomplete</v>
      </c>
      <c r="CS1129" s="68"/>
      <c r="CT1129" s="66"/>
      <c r="CU1129" s="20" t="str" cm="1">
        <f t="array" ref="CU1129">_xlfn.XLOOKUP(CS1129&amp;CT1129,(VLOOKUP!$A$3:$A$250)&amp;(VLOOKUP!$B$3:$B$250),VLOOKUP!$C$3:$C$250,"Incomplete",-1)</f>
        <v>Incomplete</v>
      </c>
      <c r="CV1129" s="20" t="str" cm="1">
        <f t="array" ref="CV1129">_xlfn.XLOOKUP(CU1129, _xlfn.XLOOKUP(E1129, 'Normative data'!$Y$11:$Y$14, 'Normative data'!$Z$11:$AG$14, ,-1), 'Normative data'!$Z$10:$AG$10, "Not Found", -1)</f>
        <v>Excellent</v>
      </c>
      <c r="CW1129" s="20" t="str" cm="1">
        <f t="array" ref="CW1129">IF(OR(ISBLANK(CS1129),ISBLANK(CT1129)),"Incomplete",_xlfn.XLOOKUP(CS1129&amp;CT1129,VLOOKUP!$A$4:$A$250&amp;VLOOKUP!$B$4:$B$250,VLOOKUP!$D$4:$D$250,"0"))</f>
        <v>Incomplete</v>
      </c>
    </row>
    <row r="1130" spans="1:101">
      <c r="A1130" s="64" t="s">
        <v>758</v>
      </c>
      <c r="B1130" s="64" t="s">
        <v>759</v>
      </c>
      <c r="C1130" s="64" t="s">
        <v>86</v>
      </c>
      <c r="D1130" s="97">
        <v>40307</v>
      </c>
      <c r="E1130" s="64"/>
      <c r="F1130" s="64">
        <v>9</v>
      </c>
      <c r="G1130" s="64">
        <v>2025</v>
      </c>
      <c r="H1130" s="66"/>
      <c r="I1130" s="64"/>
      <c r="J1130" s="64"/>
      <c r="K1130" s="64"/>
      <c r="L1130" s="64"/>
      <c r="M1130" s="64"/>
      <c r="N1130" s="64"/>
      <c r="O1130" s="64"/>
      <c r="P1130" s="64"/>
      <c r="Q1130" s="64"/>
      <c r="R1130" s="64"/>
      <c r="S1130" s="66"/>
      <c r="T1130" s="66"/>
      <c r="U1130" s="66"/>
      <c r="V1130" s="66"/>
      <c r="W1130" s="66"/>
      <c r="X1130" s="66"/>
      <c r="Y1130" s="66"/>
      <c r="Z1130" s="66"/>
      <c r="AA1130" s="66"/>
      <c r="AB1130" s="66"/>
      <c r="AC1130" s="66"/>
      <c r="AD1130" s="66"/>
      <c r="AE1130" s="66"/>
      <c r="AF1130" s="66"/>
      <c r="AG1130" s="66"/>
      <c r="AH1130" s="66"/>
      <c r="AI1130" s="66"/>
      <c r="AJ1130" s="66"/>
      <c r="AK1130" s="66"/>
      <c r="AL1130" s="66"/>
      <c r="AM1130" s="66"/>
      <c r="AN1130" s="66"/>
      <c r="AO1130" s="66"/>
      <c r="AP1130" s="66"/>
      <c r="AQ1130" s="66"/>
      <c r="AR1130" s="66"/>
      <c r="AS1130" s="66"/>
      <c r="AT1130" s="66"/>
      <c r="AU1130" s="66"/>
      <c r="AV1130" s="66"/>
      <c r="AW1130" s="66"/>
      <c r="AX1130" s="66"/>
      <c r="AY1130" s="41" t="str">
        <f t="shared" si="347"/>
        <v>Incomplete</v>
      </c>
      <c r="AZ1130" s="66"/>
      <c r="BA1130" s="20" t="str">
        <f t="shared" si="348"/>
        <v>Incomplete</v>
      </c>
      <c r="BB1130" s="66"/>
      <c r="BC1130" s="20" t="str">
        <f t="shared" si="349"/>
        <v>Incomplete</v>
      </c>
      <c r="BD1130" s="66"/>
      <c r="BE1130" s="20" t="str">
        <f t="shared" si="350"/>
        <v>Incomplete</v>
      </c>
      <c r="BF1130" s="66"/>
      <c r="BG1130" s="66"/>
      <c r="BH1130" s="20"/>
      <c r="BI1130" s="20" t="str">
        <f>IF(OR(ISBLANK(BG1130), ISBLANK(BH1130)),"Incomplete",(SUM(BH1130-BG1130)))</f>
        <v>Incomplete</v>
      </c>
      <c r="BJ1130" s="66"/>
      <c r="BK1130" s="66"/>
      <c r="BL1130" s="66"/>
      <c r="BM1130" s="66"/>
      <c r="BN1130" s="66"/>
      <c r="BO1130" s="66"/>
      <c r="BP1130" s="66"/>
      <c r="BQ1130" s="66"/>
      <c r="BR1130" s="66"/>
      <c r="BS1130" s="66"/>
      <c r="BT1130" s="66"/>
      <c r="BU1130" s="66"/>
      <c r="BV1130" s="66"/>
      <c r="BW1130" s="91" t="str">
        <f t="shared" si="351"/>
        <v>Incomplete</v>
      </c>
      <c r="BX1130" s="91" t="str">
        <f>_xlfn.XLOOKUP(BW1130,'Normative data'!$V$3:$V$6,'Normative data'!$W$3:$W$6,"Not Found",-1)</f>
        <v>Very low risk</v>
      </c>
      <c r="BY1130" s="91" t="str">
        <f t="shared" si="352"/>
        <v>Incomplete</v>
      </c>
      <c r="BZ1130" s="91" t="str">
        <f>_xlfn.XLOOKUP(BY1130,'Normative data'!$V$3:$V$6,'Normative data'!$W$3:$W$6,"Not Found",-1)</f>
        <v>Very low risk</v>
      </c>
      <c r="CA1130" s="20"/>
      <c r="CB1130" s="66"/>
      <c r="CC1130" s="20"/>
      <c r="CD1130" s="66"/>
      <c r="CE1130" s="66"/>
      <c r="CF1130" s="66"/>
      <c r="CG1130" s="20"/>
      <c r="CH1130" s="20" t="str">
        <f>_xlfn.XLOOKUP(CG1130, 'Normative data'!$S$9:$S$15,'Normative data'!$T$9:$T$15, "Not Found", -1)</f>
        <v>not completed</v>
      </c>
      <c r="CI1130" s="20"/>
      <c r="CJ1130" s="20" t="str">
        <f>_xlfn.XLOOKUP(CI1130, 'Normative data'!$S$9:$S$15, 'Normative data'!$T$9:$T$15, "Not Found", -1)</f>
        <v>not completed</v>
      </c>
      <c r="CK1130" s="66" t="s">
        <v>513</v>
      </c>
      <c r="CL1130" s="66" t="s">
        <v>1214</v>
      </c>
      <c r="CM1130" s="66"/>
      <c r="CN1130" s="66" t="s">
        <v>1782</v>
      </c>
      <c r="CO1130" s="66" t="s">
        <v>1783</v>
      </c>
      <c r="CP1130" s="68"/>
      <c r="CQ1130" s="68"/>
      <c r="CR1130" s="20" t="str" cm="1">
        <f t="array" ref="CR1130">IF(OR(ISBLANK(E1130),ISBLANK(CQ1130)),"Incomplete",_xlfn.XLOOKUP(CQ1130,_xlfn.XLOOKUP(E1130,'Normative data'!$Y$3:$Y$6,'Normative data'!$Z$3:$AG$6,,-1),'Normative data'!$Z$2:$AG$2,"Not Found",-1))</f>
        <v>Incomplete</v>
      </c>
      <c r="CS1130" s="68"/>
      <c r="CT1130" s="66"/>
      <c r="CU1130" s="20" t="str" cm="1">
        <f t="array" ref="CU1130">_xlfn.XLOOKUP(CS1130&amp;CT1130,(VLOOKUP!$A$3:$A$250)&amp;(VLOOKUP!$B$3:$B$250),VLOOKUP!$C$3:$C$250,"Incomplete",-1)</f>
        <v>Incomplete</v>
      </c>
      <c r="CV1130" s="20" t="str" cm="1">
        <f t="array" ref="CV1130">_xlfn.XLOOKUP(CU1130, _xlfn.XLOOKUP(E1130, 'Normative data'!$Y$11:$Y$14, 'Normative data'!$Z$11:$AG$14, ,-1), 'Normative data'!$Z$10:$AG$10, "Not Found", -1)</f>
        <v>Excellent</v>
      </c>
      <c r="CW1130" s="20" t="str" cm="1">
        <f t="array" ref="CW1130">IF(OR(ISBLANK(CS1130),ISBLANK(CT1130)),"Incomplete",_xlfn.XLOOKUP(CS1130&amp;CT1130,VLOOKUP!$A$4:$A$250&amp;VLOOKUP!$B$4:$B$250,VLOOKUP!$D$4:$D$250,"0"))</f>
        <v>Incomplete</v>
      </c>
    </row>
    <row r="1131" spans="1:101">
      <c r="A1131" s="94" t="s">
        <v>745</v>
      </c>
      <c r="B1131" s="64" t="s">
        <v>1784</v>
      </c>
      <c r="C1131" s="64" t="s">
        <v>86</v>
      </c>
      <c r="D1131" s="65">
        <v>40449</v>
      </c>
      <c r="E1131" s="64"/>
      <c r="F1131" s="64">
        <v>9</v>
      </c>
      <c r="G1131" s="64">
        <v>2025</v>
      </c>
      <c r="H1131" s="66"/>
      <c r="I1131" s="64"/>
      <c r="J1131" s="64" t="s">
        <v>122</v>
      </c>
      <c r="K1131" s="64"/>
      <c r="L1131" s="64"/>
      <c r="M1131" s="64"/>
      <c r="N1131" s="64"/>
      <c r="O1131" s="64"/>
      <c r="P1131" s="64"/>
      <c r="Q1131" s="64"/>
      <c r="R1131" s="64"/>
      <c r="S1131" s="66"/>
      <c r="T1131" s="66"/>
      <c r="U1131" s="66"/>
      <c r="V1131" s="66"/>
      <c r="W1131" s="66"/>
      <c r="X1131" s="66"/>
      <c r="Y1131" s="66"/>
      <c r="Z1131" s="66"/>
      <c r="AA1131" s="66"/>
      <c r="AB1131" s="66"/>
      <c r="AC1131" s="66"/>
      <c r="AD1131" s="66"/>
      <c r="AE1131" s="66"/>
      <c r="AF1131" s="66"/>
      <c r="AG1131" s="66"/>
      <c r="AH1131" s="66"/>
      <c r="AI1131" s="66"/>
      <c r="AJ1131" s="66"/>
      <c r="AK1131" s="66"/>
      <c r="AL1131" s="66"/>
      <c r="AM1131" s="66"/>
      <c r="AN1131" s="66"/>
      <c r="AO1131" s="66"/>
      <c r="AP1131" s="66"/>
      <c r="AQ1131" s="66"/>
      <c r="AR1131" s="66"/>
      <c r="AS1131" s="66"/>
      <c r="AT1131" s="66"/>
      <c r="AU1131" s="66"/>
      <c r="AV1131" s="66"/>
      <c r="AW1131" s="66"/>
      <c r="AX1131" s="66"/>
      <c r="AY1131" s="41" t="str">
        <f t="shared" si="347"/>
        <v>Incomplete</v>
      </c>
      <c r="AZ1131" s="66"/>
      <c r="BA1131" s="20" t="str">
        <f t="shared" si="348"/>
        <v>Incomplete</v>
      </c>
      <c r="BB1131" s="66"/>
      <c r="BC1131" s="20" t="str">
        <f t="shared" si="349"/>
        <v>Incomplete</v>
      </c>
      <c r="BD1131" s="66"/>
      <c r="BE1131" s="20" t="str">
        <f t="shared" si="350"/>
        <v>Incomplete</v>
      </c>
      <c r="BF1131" s="66"/>
      <c r="BG1131" s="66">
        <v>15</v>
      </c>
      <c r="BH1131" s="66">
        <v>46</v>
      </c>
      <c r="BI1131" s="20">
        <f>IF(OR(ISBLANK(BG1131), ISBLANK(BH1131)),"Incomplete",(SUM(BH1131-BG1131)))</f>
        <v>31</v>
      </c>
      <c r="BJ1131" s="66"/>
      <c r="BK1131" s="66">
        <v>9</v>
      </c>
      <c r="BL1131" s="66"/>
      <c r="BM1131" s="66">
        <v>9</v>
      </c>
      <c r="BN1131" s="66"/>
      <c r="BO1131" s="66"/>
      <c r="BP1131" s="66"/>
      <c r="BQ1131" s="66"/>
      <c r="BR1131" s="66"/>
      <c r="BS1131" s="66"/>
      <c r="BT1131" s="66"/>
      <c r="BU1131" s="66"/>
      <c r="BV1131" s="66"/>
      <c r="BW1131" s="91" t="str">
        <f t="shared" si="351"/>
        <v>Incomplete</v>
      </c>
      <c r="BX1131" s="91" t="str">
        <f>_xlfn.XLOOKUP(BW1131,'Normative data'!$V$3:$V$6,'Normative data'!$W$3:$W$6,"Not Found",-1)</f>
        <v>Very low risk</v>
      </c>
      <c r="BY1131" s="91" t="str">
        <f t="shared" si="352"/>
        <v>Incomplete</v>
      </c>
      <c r="BZ1131" s="91" t="str">
        <f>_xlfn.XLOOKUP(BY1131,'Normative data'!$V$3:$V$6,'Normative data'!$W$3:$W$6,"Not Found",-1)</f>
        <v>Very low risk</v>
      </c>
      <c r="CA1131" s="66"/>
      <c r="CB1131" s="66"/>
      <c r="CC1131" s="20"/>
      <c r="CD1131" s="66"/>
      <c r="CE1131" s="66">
        <v>20</v>
      </c>
      <c r="CF1131" s="66"/>
      <c r="CG1131" s="66">
        <v>18.07</v>
      </c>
      <c r="CH1131" s="20" t="e">
        <f>_xlfn.XLOOKUP(#REF!, 'Normative data'!$S$9:$S$15,'Normative data'!$T$9:$T$15, "Not Found", -1)</f>
        <v>#REF!</v>
      </c>
      <c r="CI1131" s="66">
        <v>18.78</v>
      </c>
      <c r="CJ1131" s="20" t="e">
        <f>_xlfn.XLOOKUP(#REF!, 'Normative data'!$S$9:$S$15, 'Normative data'!$T$9:$T$15, "Not Found", -1)</f>
        <v>#REF!</v>
      </c>
      <c r="CK1131" s="106">
        <v>2.2400000000000002</v>
      </c>
      <c r="CL1131" s="106">
        <v>4.46</v>
      </c>
      <c r="CM1131" s="105"/>
      <c r="CN1131" s="106">
        <v>6.89</v>
      </c>
      <c r="CO1131" s="106">
        <v>7.26</v>
      </c>
      <c r="CP1131" s="110"/>
      <c r="CQ1131" s="68"/>
      <c r="CR1131" s="20" t="str" cm="1">
        <f t="array" ref="CR1131">IF(OR(ISBLANK(E1131),ISBLANK(CQ1131)),"Incomplete",_xlfn.XLOOKUP(CQ1131,_xlfn.XLOOKUP(E1131,'Normative data'!$Y$3:$Y$6,'Normative data'!$Z$3:$AG$6,,-1),'Normative data'!$Z$2:$AG$2,"Not Found",-1))</f>
        <v>Incomplete</v>
      </c>
      <c r="CS1131" s="68"/>
      <c r="CT1131" s="66"/>
      <c r="CU1131" s="20" t="str" cm="1">
        <f t="array" ref="CU1131">_xlfn.XLOOKUP(CS1131&amp;CT1131,(VLOOKUP!$A$3:$A$250)&amp;(VLOOKUP!$B$3:$B$250),VLOOKUP!$C$3:$C$250,"Incomplete",-1)</f>
        <v>Incomplete</v>
      </c>
      <c r="CV1131" s="20" t="str" cm="1">
        <f t="array" ref="CV1131">_xlfn.XLOOKUP(CU1131, _xlfn.XLOOKUP(E1131, 'Normative data'!$Y$11:$Y$14, 'Normative data'!$Z$11:$AG$14, ,-1), 'Normative data'!$Z$10:$AG$10, "Not Found", -1)</f>
        <v>Excellent</v>
      </c>
      <c r="CW1131" s="20" t="str" cm="1">
        <f t="array" ref="CW1131">IF(OR(ISBLANK(CS1131),ISBLANK(CT1131)),"Incomplete",_xlfn.XLOOKUP(CS1131&amp;CT1131,VLOOKUP!$A$4:$A$250&amp;VLOOKUP!$B$4:$B$250,VLOOKUP!$D$4:$D$250,"0"))</f>
        <v>Incomplete</v>
      </c>
    </row>
    <row r="1132" spans="1:101">
      <c r="A1132" s="64" t="s">
        <v>745</v>
      </c>
      <c r="B1132" s="64" t="s">
        <v>1784</v>
      </c>
      <c r="C1132" s="64" t="s">
        <v>86</v>
      </c>
      <c r="D1132" s="65">
        <v>40449</v>
      </c>
      <c r="E1132" s="64"/>
      <c r="F1132" s="64">
        <v>9</v>
      </c>
      <c r="G1132" s="64">
        <v>2025</v>
      </c>
      <c r="H1132" s="66"/>
      <c r="I1132" s="64"/>
      <c r="J1132" s="64"/>
      <c r="K1132" s="64"/>
      <c r="L1132" s="64"/>
      <c r="M1132" s="64"/>
      <c r="N1132" s="64"/>
      <c r="O1132" s="64"/>
      <c r="P1132" s="64"/>
      <c r="Q1132" s="64"/>
      <c r="R1132" s="64"/>
      <c r="S1132" s="66"/>
      <c r="T1132" s="66"/>
      <c r="U1132" s="66"/>
      <c r="V1132" s="66"/>
      <c r="W1132" s="66"/>
      <c r="X1132" s="66"/>
      <c r="Y1132" s="66"/>
      <c r="Z1132" s="66"/>
      <c r="AA1132" s="66"/>
      <c r="AB1132" s="66"/>
      <c r="AC1132" s="66"/>
      <c r="AD1132" s="66"/>
      <c r="AE1132" s="66"/>
      <c r="AF1132" s="66"/>
      <c r="AG1132" s="66"/>
      <c r="AH1132" s="66"/>
      <c r="AI1132" s="66"/>
      <c r="AJ1132" s="66"/>
      <c r="AK1132" s="66"/>
      <c r="AL1132" s="66"/>
      <c r="AM1132" s="66"/>
      <c r="AN1132" s="66"/>
      <c r="AO1132" s="66"/>
      <c r="AP1132" s="66"/>
      <c r="AQ1132" s="66"/>
      <c r="AR1132" s="66"/>
      <c r="AS1132" s="66"/>
      <c r="AT1132" s="66"/>
      <c r="AU1132" s="66"/>
      <c r="AV1132" s="66"/>
      <c r="AW1132" s="66"/>
      <c r="AX1132" s="66"/>
      <c r="AY1132" s="41" t="str">
        <f t="shared" si="347"/>
        <v>Incomplete</v>
      </c>
      <c r="AZ1132" s="66"/>
      <c r="BA1132" s="20" t="str">
        <f t="shared" si="348"/>
        <v>Incomplete</v>
      </c>
      <c r="BB1132" s="66"/>
      <c r="BC1132" s="20" t="str">
        <f t="shared" si="349"/>
        <v>Incomplete</v>
      </c>
      <c r="BD1132" s="66"/>
      <c r="BE1132" s="20" t="str">
        <f t="shared" si="350"/>
        <v>Incomplete</v>
      </c>
      <c r="BF1132" s="66"/>
      <c r="BG1132" s="66"/>
      <c r="BH1132" s="20"/>
      <c r="BI1132" s="20" t="str">
        <f>IF(OR(ISBLANK(BG1132), ISBLANK(BH1132)),"Incomplete",(SUM(BH1132-BG1132)))</f>
        <v>Incomplete</v>
      </c>
      <c r="BJ1132" s="66"/>
      <c r="BK1132" s="66"/>
      <c r="BL1132" s="66"/>
      <c r="BM1132" s="66"/>
      <c r="BN1132" s="66"/>
      <c r="BO1132" s="66"/>
      <c r="BP1132" s="66"/>
      <c r="BQ1132" s="66"/>
      <c r="BR1132" s="66"/>
      <c r="BS1132" s="66"/>
      <c r="BT1132" s="66"/>
      <c r="BU1132" s="66"/>
      <c r="BV1132" s="66"/>
      <c r="BW1132" s="91" t="str">
        <f t="shared" si="351"/>
        <v>Incomplete</v>
      </c>
      <c r="BX1132" s="91" t="str">
        <f>_xlfn.XLOOKUP(BW1132,'Normative data'!$V$3:$V$6,'Normative data'!$W$3:$W$6,"Not Found",-1)</f>
        <v>Very low risk</v>
      </c>
      <c r="BY1132" s="91" t="str">
        <f t="shared" si="352"/>
        <v>Incomplete</v>
      </c>
      <c r="BZ1132" s="91" t="str">
        <f>_xlfn.XLOOKUP(BY1132,'Normative data'!$V$3:$V$6,'Normative data'!$W$3:$W$6,"Not Found",-1)</f>
        <v>Very low risk</v>
      </c>
      <c r="CA1132" s="66"/>
      <c r="CB1132" s="66"/>
      <c r="CC1132" s="20"/>
      <c r="CD1132" s="66"/>
      <c r="CE1132" s="66"/>
      <c r="CF1132" s="66"/>
      <c r="CG1132" s="66">
        <v>19.48</v>
      </c>
      <c r="CH1132" s="20" t="e">
        <f>_xlfn.XLOOKUP(#REF!, 'Normative data'!$S$9:$S$15,'Normative data'!$T$9:$T$15, "Not Found", -1)</f>
        <v>#REF!</v>
      </c>
      <c r="CI1132" s="66">
        <v>18.87</v>
      </c>
      <c r="CJ1132" s="20" t="e">
        <f>_xlfn.XLOOKUP(#REF!, 'Normative data'!$S$9:$S$15, 'Normative data'!$T$9:$T$15, "Not Found", -1)</f>
        <v>#REF!</v>
      </c>
      <c r="CK1132" s="66" t="s">
        <v>360</v>
      </c>
      <c r="CL1132" s="66" t="s">
        <v>451</v>
      </c>
      <c r="CM1132" s="66"/>
      <c r="CN1132" s="66" t="s">
        <v>1146</v>
      </c>
      <c r="CO1132" s="66" t="s">
        <v>1145</v>
      </c>
      <c r="CP1132" s="68"/>
      <c r="CQ1132" s="68"/>
      <c r="CR1132" s="20" t="str" cm="1">
        <f t="array" ref="CR1132">IF(OR(ISBLANK(E1132),ISBLANK(CQ1132)),"Incomplete",_xlfn.XLOOKUP(CQ1132,_xlfn.XLOOKUP(E1132,'Normative data'!$Y$3:$Y$6,'Normative data'!$Z$3:$AG$6,,-1),'Normative data'!$Z$2:$AG$2,"Not Found",-1))</f>
        <v>Incomplete</v>
      </c>
      <c r="CS1132" s="68"/>
      <c r="CT1132" s="66"/>
      <c r="CU1132" s="20" t="str" cm="1">
        <f t="array" ref="CU1132">_xlfn.XLOOKUP(CS1132&amp;CT1132,(VLOOKUP!$A$3:$A$250)&amp;(VLOOKUP!$B$3:$B$250),VLOOKUP!$C$3:$C$250,"Incomplete",-1)</f>
        <v>Incomplete</v>
      </c>
      <c r="CV1132" s="20" t="str" cm="1">
        <f t="array" ref="CV1132">_xlfn.XLOOKUP(CU1132, _xlfn.XLOOKUP(E1132, 'Normative data'!$Y$11:$Y$14, 'Normative data'!$Z$11:$AG$14, ,-1), 'Normative data'!$Z$10:$AG$10, "Not Found", -1)</f>
        <v>Excellent</v>
      </c>
      <c r="CW1132" s="20" t="str" cm="1">
        <f t="array" ref="CW1132">IF(OR(ISBLANK(CS1132),ISBLANK(CT1132)),"Incomplete",_xlfn.XLOOKUP(CS1132&amp;CT1132,VLOOKUP!$A$4:$A$250&amp;VLOOKUP!$B$4:$B$250,VLOOKUP!$D$4:$D$250,"0"))</f>
        <v>Incomplete</v>
      </c>
    </row>
    <row r="1133" spans="1:101">
      <c r="A1133" s="93" t="s">
        <v>1386</v>
      </c>
      <c r="B1133" s="64" t="s">
        <v>1785</v>
      </c>
      <c r="C1133" s="64" t="s">
        <v>86</v>
      </c>
      <c r="D1133" s="96">
        <v>40648</v>
      </c>
      <c r="E1133" s="64"/>
      <c r="F1133" s="64">
        <v>8</v>
      </c>
      <c r="G1133" s="64">
        <v>2025</v>
      </c>
      <c r="H1133" s="66"/>
      <c r="I1133" s="64"/>
      <c r="J1133" s="64" t="s">
        <v>122</v>
      </c>
      <c r="K1133" s="64"/>
      <c r="L1133" s="64"/>
      <c r="M1133" s="64"/>
      <c r="N1133" s="64"/>
      <c r="O1133" s="64"/>
      <c r="P1133" s="64"/>
      <c r="Q1133" s="64"/>
      <c r="R1133" s="64"/>
      <c r="S1133" s="66"/>
      <c r="T1133" s="66">
        <v>165</v>
      </c>
      <c r="U1133" s="66">
        <v>53.7</v>
      </c>
      <c r="V1133" s="66"/>
      <c r="W1133" s="66">
        <v>7.2</v>
      </c>
      <c r="X1133" s="66">
        <f>SUM(T1133-W1133)</f>
        <v>157.80000000000001</v>
      </c>
      <c r="Y1133" s="66">
        <v>26</v>
      </c>
      <c r="Z1133" s="66">
        <v>19.7</v>
      </c>
      <c r="AA1133" s="66">
        <v>13.4</v>
      </c>
      <c r="AB1133" s="66"/>
      <c r="AC1133" s="66"/>
      <c r="AD1133" s="66"/>
      <c r="AE1133" s="66"/>
      <c r="AF1133" s="66"/>
      <c r="AG1133" s="66"/>
      <c r="AH1133" s="66"/>
      <c r="AI1133" s="66"/>
      <c r="AJ1133" s="66"/>
      <c r="AK1133" s="66"/>
      <c r="AL1133" s="66"/>
      <c r="AM1133" s="66"/>
      <c r="AN1133" s="66"/>
      <c r="AO1133" s="66"/>
      <c r="AP1133" s="66"/>
      <c r="AQ1133" s="66"/>
      <c r="AR1133" s="66"/>
      <c r="AS1133" s="66"/>
      <c r="AT1133" s="66"/>
      <c r="AU1133" s="66"/>
      <c r="AV1133" s="66"/>
      <c r="AW1133" s="66"/>
      <c r="AX1133" s="66"/>
      <c r="AY1133" s="41" t="str">
        <f t="shared" si="347"/>
        <v>Incomplete</v>
      </c>
      <c r="AZ1133" s="66"/>
      <c r="BA1133" s="20" t="str">
        <f t="shared" si="348"/>
        <v>Incomplete</v>
      </c>
      <c r="BB1133" s="66"/>
      <c r="BC1133" s="20" t="str">
        <f t="shared" si="349"/>
        <v>Incomplete</v>
      </c>
      <c r="BD1133" s="66"/>
      <c r="BE1133" s="20" t="str">
        <f t="shared" si="350"/>
        <v>Incomplete</v>
      </c>
      <c r="BF1133" s="66"/>
      <c r="BG1133" s="66">
        <v>16</v>
      </c>
      <c r="BH1133" s="66">
        <v>38</v>
      </c>
      <c r="BI1133" s="20" t="e">
        <f>IF(OR(ISBLANK(#REF!), ISBLANK(#REF!)),"Incomplete",(SUM(#REF!-#REF!)))</f>
        <v>#REF!</v>
      </c>
      <c r="BJ1133" s="66"/>
      <c r="BK1133" s="66">
        <v>7</v>
      </c>
      <c r="BL1133" s="66"/>
      <c r="BM1133" s="66">
        <v>6</v>
      </c>
      <c r="BN1133" s="66"/>
      <c r="BO1133" s="66"/>
      <c r="BP1133" s="66"/>
      <c r="BQ1133" s="66"/>
      <c r="BR1133" s="66"/>
      <c r="BS1133" s="66"/>
      <c r="BT1133" s="66"/>
      <c r="BU1133" s="66"/>
      <c r="BV1133" s="66"/>
      <c r="BW1133" s="91">
        <f t="shared" si="351"/>
        <v>0</v>
      </c>
      <c r="BX1133" s="91" t="str">
        <f>_xlfn.XLOOKUP(BW1133,'Normative data'!$V$3:$V$6,'Normative data'!$W$3:$W$6,"Not Found",-1)</f>
        <v>Not completed</v>
      </c>
      <c r="BY1133" s="91">
        <f t="shared" si="352"/>
        <v>0</v>
      </c>
      <c r="BZ1133" s="91" t="str">
        <f>_xlfn.XLOOKUP(BY1133,'Normative data'!$V$3:$V$6,'Normative data'!$W$3:$W$6,"Not Found",-1)</f>
        <v>Not completed</v>
      </c>
      <c r="CA1133" s="66"/>
      <c r="CB1133" s="66"/>
      <c r="CC1133" s="20"/>
      <c r="CD1133" s="66"/>
      <c r="CE1133" s="66">
        <v>22</v>
      </c>
      <c r="CF1133" s="66"/>
      <c r="CG1133" s="66">
        <v>16.82</v>
      </c>
      <c r="CH1133" s="20" t="e">
        <f>_xlfn.XLOOKUP(#REF!, 'Normative data'!$S$9:$S$15,'Normative data'!$T$9:$T$15, "Not Found", -1)</f>
        <v>#REF!</v>
      </c>
      <c r="CI1133" s="66">
        <v>16.64</v>
      </c>
      <c r="CJ1133" s="20" t="e">
        <f>_xlfn.XLOOKUP(#REF!, 'Normative data'!$S$9:$S$15, 'Normative data'!$T$9:$T$15, "Not Found", -1)</f>
        <v>#REF!</v>
      </c>
      <c r="CK1133" s="105">
        <v>2.0099999999999998</v>
      </c>
      <c r="CL1133" s="105">
        <v>4.9800000000000004</v>
      </c>
      <c r="CM1133" s="105"/>
      <c r="CN1133" s="105">
        <v>6.3</v>
      </c>
      <c r="CO1133" s="105">
        <v>8.9</v>
      </c>
      <c r="CP1133" s="109"/>
      <c r="CQ1133" s="68"/>
      <c r="CR1133" s="20" t="str" cm="1">
        <f t="array" ref="CR1133">IF(OR(ISBLANK(E1133),ISBLANK(CQ1133)),"Incomplete",_xlfn.XLOOKUP(CQ1133,_xlfn.XLOOKUP(E1133,'Normative data'!$Y$3:$Y$6,'Normative data'!$Z$3:$AG$6,,-1),'Normative data'!$Z$2:$AG$2,"Not Found",-1))</f>
        <v>Incomplete</v>
      </c>
      <c r="CS1133" s="68"/>
      <c r="CT1133" s="66"/>
      <c r="CU1133" s="20" t="str" cm="1">
        <f t="array" ref="CU1133">_xlfn.XLOOKUP(CS1133&amp;CT1133,(VLOOKUP!$A$3:$A$250)&amp;(VLOOKUP!$B$3:$B$250),VLOOKUP!$C$3:$C$250,"Incomplete",-1)</f>
        <v>Incomplete</v>
      </c>
      <c r="CV1133" s="20" t="str" cm="1">
        <f t="array" ref="CV1133">_xlfn.XLOOKUP(CU1133, _xlfn.XLOOKUP(E1133, 'Normative data'!$Y$11:$Y$14, 'Normative data'!$Z$11:$AG$14, ,-1), 'Normative data'!$Z$10:$AG$10, "Not Found", -1)</f>
        <v>Excellent</v>
      </c>
      <c r="CW1133" s="20" t="str" cm="1">
        <f t="array" ref="CW1133">IF(OR(ISBLANK(CS1133),ISBLANK(CT1133)),"Incomplete",_xlfn.XLOOKUP(CS1133&amp;CT1133,VLOOKUP!$A$4:$A$250&amp;VLOOKUP!$B$4:$B$250,VLOOKUP!$D$4:$D$250,"0"))</f>
        <v>Incomplete</v>
      </c>
    </row>
    <row r="1134" spans="1:101">
      <c r="A1134" s="93" t="s">
        <v>1386</v>
      </c>
      <c r="B1134" s="64" t="s">
        <v>1785</v>
      </c>
      <c r="C1134" s="64" t="s">
        <v>86</v>
      </c>
      <c r="D1134" s="96">
        <v>40648</v>
      </c>
      <c r="E1134" s="64"/>
      <c r="F1134" s="64">
        <v>8</v>
      </c>
      <c r="G1134" s="64">
        <v>2025</v>
      </c>
      <c r="H1134" s="66"/>
      <c r="I1134" s="64"/>
      <c r="J1134" s="64"/>
      <c r="K1134" s="64"/>
      <c r="L1134" s="64"/>
      <c r="M1134" s="64"/>
      <c r="N1134" s="64"/>
      <c r="O1134" s="64"/>
      <c r="P1134" s="64"/>
      <c r="Q1134" s="64"/>
      <c r="R1134" s="64"/>
      <c r="S1134" s="66"/>
      <c r="T1134" s="66"/>
      <c r="U1134" s="66"/>
      <c r="V1134" s="66"/>
      <c r="W1134" s="66"/>
      <c r="X1134" s="66"/>
      <c r="Y1134" s="66"/>
      <c r="Z1134" s="66"/>
      <c r="AA1134" s="66"/>
      <c r="AB1134" s="66"/>
      <c r="AC1134" s="66"/>
      <c r="AD1134" s="66"/>
      <c r="AE1134" s="66"/>
      <c r="AF1134" s="66"/>
      <c r="AG1134" s="66"/>
      <c r="AH1134" s="66"/>
      <c r="AI1134" s="66"/>
      <c r="AJ1134" s="66"/>
      <c r="AK1134" s="66"/>
      <c r="AL1134" s="66"/>
      <c r="AM1134" s="66"/>
      <c r="AN1134" s="66"/>
      <c r="AO1134" s="66"/>
      <c r="AP1134" s="66"/>
      <c r="AQ1134" s="66"/>
      <c r="AR1134" s="66"/>
      <c r="AS1134" s="66"/>
      <c r="AT1134" s="66"/>
      <c r="AU1134" s="66"/>
      <c r="AV1134" s="66"/>
      <c r="AW1134" s="66"/>
      <c r="AX1134" s="66"/>
      <c r="AY1134" s="41" t="str">
        <f t="shared" si="347"/>
        <v>Incomplete</v>
      </c>
      <c r="AZ1134" s="66"/>
      <c r="BA1134" s="20" t="str">
        <f t="shared" si="348"/>
        <v>Incomplete</v>
      </c>
      <c r="BB1134" s="66"/>
      <c r="BC1134" s="20" t="str">
        <f t="shared" si="349"/>
        <v>Incomplete</v>
      </c>
      <c r="BD1134" s="66"/>
      <c r="BE1134" s="20" t="str">
        <f t="shared" si="350"/>
        <v>Incomplete</v>
      </c>
      <c r="BF1134" s="66"/>
      <c r="BG1134" s="64"/>
      <c r="BH1134" s="64"/>
      <c r="BI1134" s="20">
        <f>IF(OR(ISBLANK(BG1133), ISBLANK(BH1133)),"Incomplete",(SUM(BH1133-BG1133)))</f>
        <v>22</v>
      </c>
      <c r="BJ1134" s="66"/>
      <c r="BK1134" s="66">
        <v>6</v>
      </c>
      <c r="BL1134" s="66"/>
      <c r="BM1134" s="66">
        <v>5</v>
      </c>
      <c r="BN1134" s="66"/>
      <c r="BO1134" s="66"/>
      <c r="BP1134" s="66"/>
      <c r="BQ1134" s="66"/>
      <c r="BR1134" s="66"/>
      <c r="BS1134" s="66"/>
      <c r="BT1134" s="66"/>
      <c r="BU1134" s="66"/>
      <c r="BV1134" s="66"/>
      <c r="BW1134" s="91" t="str">
        <f t="shared" si="351"/>
        <v>Incomplete</v>
      </c>
      <c r="BX1134" s="91" t="str">
        <f>_xlfn.XLOOKUP(BW1134,'Normative data'!$V$3:$V$6,'Normative data'!$W$3:$W$6,"Not Found",-1)</f>
        <v>Very low risk</v>
      </c>
      <c r="BY1134" s="91" t="str">
        <f t="shared" si="352"/>
        <v>Incomplete</v>
      </c>
      <c r="BZ1134" s="91" t="str">
        <f>_xlfn.XLOOKUP(BY1134,'Normative data'!$V$3:$V$6,'Normative data'!$W$3:$W$6,"Not Found",-1)</f>
        <v>Very low risk</v>
      </c>
      <c r="CA1134" s="20"/>
      <c r="CB1134" s="66"/>
      <c r="CC1134" s="20"/>
      <c r="CD1134" s="66"/>
      <c r="CE1134" s="66"/>
      <c r="CF1134" s="66"/>
      <c r="CG1134" s="20">
        <v>17.010000000000002</v>
      </c>
      <c r="CH1134" s="20" t="e">
        <f>_xlfn.XLOOKUP(#REF!, 'Normative data'!$S$9:$S$15,'Normative data'!$T$9:$T$15, "Not Found", -1)</f>
        <v>#REF!</v>
      </c>
      <c r="CI1134" s="20">
        <v>17.37</v>
      </c>
      <c r="CJ1134" s="20" t="e">
        <f>_xlfn.XLOOKUP(#REF!, 'Normative data'!$S$9:$S$15, 'Normative data'!$T$9:$T$15, "Not Found", -1)</f>
        <v>#REF!</v>
      </c>
      <c r="CK1134" s="105"/>
      <c r="CL1134" s="105"/>
      <c r="CM1134" s="105"/>
      <c r="CN1134" s="105"/>
      <c r="CO1134" s="105"/>
      <c r="CP1134" s="109"/>
      <c r="CQ1134" s="68"/>
      <c r="CR1134" s="20" t="str" cm="1">
        <f t="array" ref="CR1134">IF(OR(ISBLANK(E1134),ISBLANK(CQ1134)),"Incomplete",_xlfn.XLOOKUP(CQ1134,_xlfn.XLOOKUP(E1134,'Normative data'!$Y$3:$Y$6,'Normative data'!$Z$3:$AG$6,,-1),'Normative data'!$Z$2:$AG$2,"Not Found",-1))</f>
        <v>Incomplete</v>
      </c>
      <c r="CS1134" s="68"/>
      <c r="CT1134" s="66"/>
      <c r="CU1134" s="20" t="str" cm="1">
        <f t="array" ref="CU1134">_xlfn.XLOOKUP(CS1134&amp;CT1134,(VLOOKUP!$A$3:$A$250)&amp;(VLOOKUP!$B$3:$B$250),VLOOKUP!$C$3:$C$250,"Incomplete",-1)</f>
        <v>Incomplete</v>
      </c>
      <c r="CV1134" s="20" t="str" cm="1">
        <f t="array" ref="CV1134">_xlfn.XLOOKUP(CU1134, _xlfn.XLOOKUP(E1134, 'Normative data'!$Y$11:$Y$14, 'Normative data'!$Z$11:$AG$14, ,-1), 'Normative data'!$Z$10:$AG$10, "Not Found", -1)</f>
        <v>Excellent</v>
      </c>
      <c r="CW1134" s="20" t="str" cm="1">
        <f t="array" ref="CW1134">IF(OR(ISBLANK(CS1134),ISBLANK(CT1134)),"Incomplete",_xlfn.XLOOKUP(CS1134&amp;CT1134,VLOOKUP!$A$4:$A$250&amp;VLOOKUP!$B$4:$B$250,VLOOKUP!$D$4:$D$250,"0"))</f>
        <v>Incomplete</v>
      </c>
    </row>
    <row r="1135" spans="1:101">
      <c r="A1135" s="94" t="s">
        <v>1222</v>
      </c>
      <c r="B1135" s="94" t="s">
        <v>1223</v>
      </c>
      <c r="C1135" s="64" t="s">
        <v>86</v>
      </c>
      <c r="D1135" s="97"/>
      <c r="E1135" s="64"/>
      <c r="F1135" s="64">
        <v>10</v>
      </c>
      <c r="G1135" s="64">
        <v>2025</v>
      </c>
      <c r="H1135" s="66"/>
      <c r="I1135" s="64"/>
      <c r="J1135" s="64"/>
      <c r="K1135" s="64"/>
      <c r="L1135" s="64"/>
      <c r="M1135" s="64"/>
      <c r="N1135" s="64"/>
      <c r="O1135" s="64"/>
      <c r="P1135" s="64"/>
      <c r="Q1135" s="64"/>
      <c r="R1135" s="64"/>
      <c r="S1135" s="66"/>
      <c r="T1135" s="66"/>
      <c r="U1135" s="66"/>
      <c r="V1135" s="66"/>
      <c r="W1135" s="66"/>
      <c r="X1135" s="66"/>
      <c r="Y1135" s="66"/>
      <c r="Z1135" s="66"/>
      <c r="AA1135" s="66"/>
      <c r="AB1135" s="66"/>
      <c r="AC1135" s="66"/>
      <c r="AD1135" s="66"/>
      <c r="AE1135" s="66"/>
      <c r="AF1135" s="66"/>
      <c r="AG1135" s="66"/>
      <c r="AH1135" s="66"/>
      <c r="AI1135" s="66"/>
      <c r="AJ1135" s="66"/>
      <c r="AK1135" s="66"/>
      <c r="AL1135" s="66"/>
      <c r="AM1135" s="66"/>
      <c r="AN1135" s="66"/>
      <c r="AO1135" s="66"/>
      <c r="AP1135" s="66"/>
      <c r="AQ1135" s="66"/>
      <c r="AR1135" s="66"/>
      <c r="AS1135" s="66"/>
      <c r="AT1135" s="66"/>
      <c r="AU1135" s="66"/>
      <c r="AV1135" s="66"/>
      <c r="AW1135" s="66"/>
      <c r="AX1135" s="66"/>
      <c r="AY1135" s="41" t="str">
        <f t="shared" si="347"/>
        <v>Incomplete</v>
      </c>
      <c r="AZ1135" s="66"/>
      <c r="BA1135" s="20" t="str">
        <f t="shared" si="348"/>
        <v>Incomplete</v>
      </c>
      <c r="BB1135" s="66"/>
      <c r="BC1135" s="20" t="str">
        <f t="shared" si="349"/>
        <v>Incomplete</v>
      </c>
      <c r="BD1135" s="66"/>
      <c r="BE1135" s="20" t="str">
        <f t="shared" si="350"/>
        <v>Incomplete</v>
      </c>
      <c r="BF1135" s="66"/>
      <c r="BG1135" s="66">
        <v>20</v>
      </c>
      <c r="BH1135" s="66">
        <v>31</v>
      </c>
      <c r="BI1135" s="20">
        <f>IF(OR(ISBLANK(BG1135), ISBLANK(BH1135)),"Incomplete",(SUM(BH1135-BG1135)))</f>
        <v>11</v>
      </c>
      <c r="BJ1135" s="66"/>
      <c r="BK1135" s="66">
        <v>5</v>
      </c>
      <c r="BL1135" s="66"/>
      <c r="BM1135" s="66">
        <v>5</v>
      </c>
      <c r="BN1135" s="66"/>
      <c r="BO1135" s="66"/>
      <c r="BP1135" s="66"/>
      <c r="BQ1135" s="66"/>
      <c r="BR1135" s="66"/>
      <c r="BS1135" s="66"/>
      <c r="BT1135" s="66"/>
      <c r="BU1135" s="66"/>
      <c r="BV1135" s="66"/>
      <c r="BW1135" s="91" t="str">
        <f t="shared" si="351"/>
        <v>Incomplete</v>
      </c>
      <c r="BX1135" s="91" t="str">
        <f>_xlfn.XLOOKUP(BW1135,'Normative data'!$V$3:$V$6,'Normative data'!$W$3:$W$6,"Not Found",-1)</f>
        <v>Very low risk</v>
      </c>
      <c r="BY1135" s="91" t="str">
        <f t="shared" si="352"/>
        <v>Incomplete</v>
      </c>
      <c r="BZ1135" s="91" t="str">
        <f>_xlfn.XLOOKUP(BY1135,'Normative data'!$V$3:$V$6,'Normative data'!$W$3:$W$6,"Not Found",-1)</f>
        <v>Very low risk</v>
      </c>
      <c r="CA1135" s="20"/>
      <c r="CB1135" s="66"/>
      <c r="CC1135" s="20"/>
      <c r="CD1135" s="66"/>
      <c r="CE1135" s="66">
        <v>21</v>
      </c>
      <c r="CF1135" s="66"/>
      <c r="CG1135" s="66"/>
      <c r="CH1135" s="20" t="str">
        <f>_xlfn.XLOOKUP(CG1135, 'Normative data'!$S$9:$S$15,'Normative data'!$T$9:$T$15, "Not Found", -1)</f>
        <v>not completed</v>
      </c>
      <c r="CI1135" s="66"/>
      <c r="CJ1135" s="20" t="str">
        <f>_xlfn.XLOOKUP(CI1135, 'Normative data'!$S$9:$S$15, 'Normative data'!$T$9:$T$15, "Not Found", -1)</f>
        <v>not completed</v>
      </c>
      <c r="CK1135" s="106">
        <v>2.2200000000000002</v>
      </c>
      <c r="CL1135" s="106">
        <v>4.5</v>
      </c>
      <c r="CM1135" s="105"/>
      <c r="CN1135" s="106">
        <v>6.9</v>
      </c>
      <c r="CO1135" s="106">
        <v>7.25</v>
      </c>
      <c r="CP1135" s="110"/>
      <c r="CQ1135" s="68"/>
      <c r="CR1135" s="20" t="str" cm="1">
        <f t="array" ref="CR1135">IF(OR(ISBLANK(E1135),ISBLANK(CQ1135)),"Incomplete",_xlfn.XLOOKUP(CQ1135,_xlfn.XLOOKUP(E1135,'Normative data'!$Y$3:$Y$6,'Normative data'!$Z$3:$AG$6,,-1),'Normative data'!$Z$2:$AG$2,"Not Found",-1))</f>
        <v>Incomplete</v>
      </c>
      <c r="CS1135" s="68"/>
      <c r="CT1135" s="66"/>
      <c r="CU1135" s="20" t="str" cm="1">
        <f t="array" ref="CU1135">_xlfn.XLOOKUP(CS1135&amp;CT1135,(VLOOKUP!$A$3:$A$250)&amp;(VLOOKUP!$B$3:$B$250),VLOOKUP!$C$3:$C$250,"Incomplete",-1)</f>
        <v>Incomplete</v>
      </c>
      <c r="CV1135" s="20" t="str" cm="1">
        <f t="array" ref="CV1135">_xlfn.XLOOKUP(CU1135, _xlfn.XLOOKUP(E1135, 'Normative data'!$Y$11:$Y$14, 'Normative data'!$Z$11:$AG$14, ,-1), 'Normative data'!$Z$10:$AG$10, "Not Found", -1)</f>
        <v>Excellent</v>
      </c>
      <c r="CW1135" s="20" t="str" cm="1">
        <f t="array" ref="CW1135">IF(OR(ISBLANK(CS1135),ISBLANK(CT1135)),"Incomplete",_xlfn.XLOOKUP(CS1135&amp;CT1135,VLOOKUP!$A$4:$A$250&amp;VLOOKUP!$B$4:$B$250,VLOOKUP!$D$4:$D$250,"0"))</f>
        <v>Incomplete</v>
      </c>
    </row>
    <row r="1136" spans="1:101">
      <c r="A1136" s="64" t="s">
        <v>700</v>
      </c>
      <c r="B1136" s="64" t="s">
        <v>1223</v>
      </c>
      <c r="C1136" s="64" t="s">
        <v>86</v>
      </c>
      <c r="D1136" s="65">
        <v>40847</v>
      </c>
      <c r="E1136" s="64"/>
      <c r="F1136" s="64">
        <v>8</v>
      </c>
      <c r="G1136" s="64">
        <v>2025</v>
      </c>
      <c r="H1136" s="66"/>
      <c r="I1136" s="64"/>
      <c r="J1136" s="64" t="s">
        <v>122</v>
      </c>
      <c r="K1136" s="64"/>
      <c r="L1136" s="64"/>
      <c r="M1136" s="64"/>
      <c r="N1136" s="64"/>
      <c r="O1136" s="64"/>
      <c r="P1136" s="64"/>
      <c r="Q1136" s="64"/>
      <c r="R1136" s="64"/>
      <c r="S1136" s="66"/>
      <c r="T1136" s="66">
        <v>161</v>
      </c>
      <c r="U1136" s="66">
        <v>57.6</v>
      </c>
      <c r="V1136" s="66"/>
      <c r="W1136" s="66">
        <v>12</v>
      </c>
      <c r="X1136" s="66">
        <f>SUM(T1136-W1136)</f>
        <v>149</v>
      </c>
      <c r="Y1136" s="66">
        <v>25.4</v>
      </c>
      <c r="Z1136" s="66">
        <v>22.2</v>
      </c>
      <c r="AA1136" s="66">
        <v>20.8</v>
      </c>
      <c r="AB1136" s="66"/>
      <c r="AC1136" s="66"/>
      <c r="AD1136" s="66"/>
      <c r="AE1136" s="66"/>
      <c r="AF1136" s="66"/>
      <c r="AG1136" s="66"/>
      <c r="AH1136" s="66"/>
      <c r="AI1136" s="66"/>
      <c r="AJ1136" s="66"/>
      <c r="AK1136" s="66"/>
      <c r="AL1136" s="66"/>
      <c r="AM1136" s="66"/>
      <c r="AN1136" s="66"/>
      <c r="AO1136" s="66"/>
      <c r="AP1136" s="66"/>
      <c r="AQ1136" s="66"/>
      <c r="AR1136" s="66"/>
      <c r="AS1136" s="66"/>
      <c r="AT1136" s="66"/>
      <c r="AU1136" s="66"/>
      <c r="AV1136" s="66"/>
      <c r="AW1136" s="66"/>
      <c r="AX1136" s="66"/>
      <c r="AY1136" s="41" t="str">
        <f t="shared" si="347"/>
        <v>Incomplete</v>
      </c>
      <c r="AZ1136" s="66"/>
      <c r="BA1136" s="20" t="str">
        <f t="shared" si="348"/>
        <v>Incomplete</v>
      </c>
      <c r="BB1136" s="66"/>
      <c r="BC1136" s="20" t="str">
        <f t="shared" si="349"/>
        <v>Incomplete</v>
      </c>
      <c r="BD1136" s="66"/>
      <c r="BE1136" s="20" t="str">
        <f t="shared" si="350"/>
        <v>Incomplete</v>
      </c>
      <c r="BF1136" s="66"/>
      <c r="BG1136" s="66">
        <v>15</v>
      </c>
      <c r="BH1136" s="20">
        <v>35</v>
      </c>
      <c r="BI1136" s="20" t="e">
        <f>IF(OR(ISBLANK(#REF!), ISBLANK(#REF!)),"Incomplete",(SUM(#REF!-#REF!)))</f>
        <v>#REF!</v>
      </c>
      <c r="BJ1136" s="66"/>
      <c r="BK1136" s="66">
        <v>8</v>
      </c>
      <c r="BL1136" s="66"/>
      <c r="BM1136" s="66">
        <v>8</v>
      </c>
      <c r="BN1136" s="66"/>
      <c r="BO1136" s="66"/>
      <c r="BP1136" s="66"/>
      <c r="BQ1136" s="66"/>
      <c r="BR1136" s="66"/>
      <c r="BS1136" s="66"/>
      <c r="BT1136" s="66"/>
      <c r="BU1136" s="66"/>
      <c r="BV1136" s="66"/>
      <c r="BW1136" s="91">
        <f t="shared" si="351"/>
        <v>0</v>
      </c>
      <c r="BX1136" s="91" t="str">
        <f>_xlfn.XLOOKUP(BW1136,'Normative data'!$V$3:$V$6,'Normative data'!$W$3:$W$6,"Not Found",-1)</f>
        <v>Not completed</v>
      </c>
      <c r="BY1136" s="91">
        <f t="shared" si="352"/>
        <v>0</v>
      </c>
      <c r="BZ1136" s="91" t="str">
        <f>_xlfn.XLOOKUP(BY1136,'Normative data'!$V$3:$V$6,'Normative data'!$W$3:$W$6,"Not Found",-1)</f>
        <v>Not completed</v>
      </c>
      <c r="CA1136" s="66"/>
      <c r="CB1136" s="66"/>
      <c r="CC1136" s="20"/>
      <c r="CD1136" s="66"/>
      <c r="CE1136" s="66"/>
      <c r="CF1136" s="66"/>
      <c r="CG1136" s="20"/>
      <c r="CH1136" s="20" t="str">
        <f>_xlfn.XLOOKUP(CG1136, 'Normative data'!$S$9:$S$15,'Normative data'!$T$9:$T$15, "Not Found", -1)</f>
        <v>not completed</v>
      </c>
      <c r="CI1136" s="20"/>
      <c r="CJ1136" s="20" t="str">
        <f>_xlfn.XLOOKUP(CI1136, 'Normative data'!$S$9:$S$15, 'Normative data'!$T$9:$T$15, "Not Found", -1)</f>
        <v>not completed</v>
      </c>
      <c r="CK1136" s="105"/>
      <c r="CL1136" s="105"/>
      <c r="CM1136" s="105"/>
      <c r="CN1136" s="105"/>
      <c r="CO1136" s="105"/>
      <c r="CP1136" s="111"/>
      <c r="CQ1136" s="68"/>
      <c r="CR1136" s="20" t="str" cm="1">
        <f t="array" ref="CR1136">IF(OR(ISBLANK(E1136),ISBLANK(CQ1136)),"Incomplete",_xlfn.XLOOKUP(CQ1136,_xlfn.XLOOKUP(E1136,'Normative data'!$Y$3:$Y$6,'Normative data'!$Z$3:$AG$6,,-1),'Normative data'!$Z$2:$AG$2,"Not Found",-1))</f>
        <v>Incomplete</v>
      </c>
      <c r="CS1136" s="68"/>
      <c r="CT1136" s="66"/>
      <c r="CU1136" s="20" t="str" cm="1">
        <f t="array" ref="CU1136">_xlfn.XLOOKUP(CS1136&amp;CT1136,(VLOOKUP!$A$3:$A$250)&amp;(VLOOKUP!$B$3:$B$250),VLOOKUP!$C$3:$C$250,"Incomplete",-1)</f>
        <v>Incomplete</v>
      </c>
      <c r="CV1136" s="20" t="str" cm="1">
        <f t="array" ref="CV1136">_xlfn.XLOOKUP(CU1136, _xlfn.XLOOKUP(E1136, 'Normative data'!$Y$11:$Y$14, 'Normative data'!$Z$11:$AG$14, ,-1), 'Normative data'!$Z$10:$AG$10, "Not Found", -1)</f>
        <v>Excellent</v>
      </c>
      <c r="CW1136" s="20" t="str" cm="1">
        <f t="array" ref="CW1136">IF(OR(ISBLANK(CS1136),ISBLANK(CT1136)),"Incomplete",_xlfn.XLOOKUP(CS1136&amp;CT1136,VLOOKUP!$A$4:$A$250&amp;VLOOKUP!$B$4:$B$250,VLOOKUP!$D$4:$D$250,"0"))</f>
        <v>Incomplete</v>
      </c>
    </row>
    <row r="1137" spans="1:101">
      <c r="A1137" s="64" t="s">
        <v>700</v>
      </c>
      <c r="B1137" s="64" t="s">
        <v>1786</v>
      </c>
      <c r="C1137" s="64" t="s">
        <v>86</v>
      </c>
      <c r="D1137" s="65">
        <v>40847</v>
      </c>
      <c r="E1137" s="64"/>
      <c r="F1137" s="64"/>
      <c r="G1137" s="64">
        <v>2025</v>
      </c>
      <c r="H1137" s="66"/>
      <c r="I1137" s="64"/>
      <c r="J1137" s="64" t="s">
        <v>122</v>
      </c>
      <c r="K1137" s="64"/>
      <c r="L1137" s="64"/>
      <c r="M1137" s="64"/>
      <c r="N1137" s="64"/>
      <c r="O1137" s="64"/>
      <c r="P1137" s="64"/>
      <c r="Q1137" s="64"/>
      <c r="R1137" s="64"/>
      <c r="S1137" s="66"/>
      <c r="T1137" s="66" t="s">
        <v>1787</v>
      </c>
      <c r="U1137" s="66" t="s">
        <v>1365</v>
      </c>
      <c r="V1137" s="66"/>
      <c r="W1137" s="66"/>
      <c r="X1137" s="66"/>
      <c r="Y1137" s="66"/>
      <c r="Z1137" s="66"/>
      <c r="AA1137" s="66"/>
      <c r="AB1137" s="66"/>
      <c r="AC1137" s="66"/>
      <c r="AD1137" s="66"/>
      <c r="AE1137" s="66"/>
      <c r="AF1137" s="66"/>
      <c r="AG1137" s="66"/>
      <c r="AH1137" s="66"/>
      <c r="AI1137" s="66"/>
      <c r="AJ1137" s="66"/>
      <c r="AK1137" s="66"/>
      <c r="AL1137" s="66"/>
      <c r="AM1137" s="66"/>
      <c r="AN1137" s="66"/>
      <c r="AO1137" s="66"/>
      <c r="AP1137" s="66"/>
      <c r="AQ1137" s="66">
        <v>21.8</v>
      </c>
      <c r="AR1137" s="66">
        <v>0.42199999999999999</v>
      </c>
      <c r="AS1137" s="66">
        <v>21.6</v>
      </c>
      <c r="AT1137" s="66">
        <v>0.42</v>
      </c>
      <c r="AU1137" s="66">
        <v>4.2</v>
      </c>
      <c r="AV1137" s="66">
        <v>0.27400000000000002</v>
      </c>
      <c r="AW1137" s="66">
        <v>14.2</v>
      </c>
      <c r="AX1137" s="66">
        <v>0.34300000000000003</v>
      </c>
      <c r="AY1137" s="41" t="e">
        <f>IF(OR(ISBLANK(#REF!), ISBLANK(AQ1137)), "Incomplete", (60.7*AQ1137)+(45.3*#REF!)-2055)</f>
        <v>#REF!</v>
      </c>
      <c r="AZ1137" s="66"/>
      <c r="BA1137" s="20" t="e">
        <f>IF(OR(ISBLANK(#REF!), ISBLANK(AS1137)), "Incomplete", (60.7*AS1137)+(45.3*#REF!)-2055)</f>
        <v>#REF!</v>
      </c>
      <c r="BB1137" s="66"/>
      <c r="BC1137" s="20" t="e">
        <f>IF(OR(ISBLANK(#REF!), ISBLANK(AU1137)), "Incomplete", (60.7*AU1137)+(45.3*#REF!)-2055)</f>
        <v>#REF!</v>
      </c>
      <c r="BD1137" s="66"/>
      <c r="BE1137" s="20" t="e">
        <f>IF(OR(ISBLANK(#REF!), ISBLANK(AW1137)), "Incomplete", (60.7*AW1137)+(45.3*#REF!)-2055)</f>
        <v>#REF!</v>
      </c>
      <c r="BF1137" s="66"/>
      <c r="BG1137" s="66"/>
      <c r="BH1137" s="66"/>
      <c r="BI1137" s="20" t="str">
        <f>IF(OR(ISBLANK(BG1137), ISBLANK(BH1137)),"Incomplete",(SUM(BH1137-BG1137)))</f>
        <v>Incomplete</v>
      </c>
      <c r="BJ1137" s="66"/>
      <c r="BK1137" s="66"/>
      <c r="BL1137" s="66"/>
      <c r="BM1137" s="66"/>
      <c r="BN1137" s="66"/>
      <c r="BO1137" s="66"/>
      <c r="BP1137" s="66"/>
      <c r="BQ1137" s="66"/>
      <c r="BR1137" s="66"/>
      <c r="BS1137" s="66"/>
      <c r="BT1137" s="66"/>
      <c r="BU1137" s="66"/>
      <c r="BV1137" s="66"/>
      <c r="BW1137" s="91" t="str">
        <f>IFERROR(SUM(BQ1137+BR1137+BS1137)/(3*(#REF!-S1137))*100, "Incomplete")</f>
        <v>Incomplete</v>
      </c>
      <c r="BX1137" s="91" t="str">
        <f>_xlfn.XLOOKUP(BW1137,'Normative data'!$V$3:$V$6,'Normative data'!$W$3:$W$6,"Not Found",-1)</f>
        <v>Very low risk</v>
      </c>
      <c r="BY1137" s="91" t="str">
        <f>IFERROR(SUM(BT1137+BU1137+BV1137)/(3*(#REF!-S1137))*100, "Incomplete")</f>
        <v>Incomplete</v>
      </c>
      <c r="BZ1137" s="91" t="str">
        <f>_xlfn.XLOOKUP(BY1137,'Normative data'!$V$3:$V$6,'Normative data'!$W$3:$W$6,"Not Found",-1)</f>
        <v>Very low risk</v>
      </c>
      <c r="CA1137" s="20"/>
      <c r="CB1137" s="66"/>
      <c r="CC1137" s="20"/>
      <c r="CD1137" s="66"/>
      <c r="CE1137" s="66">
        <v>2</v>
      </c>
      <c r="CF1137" s="66"/>
      <c r="CG1137" s="66">
        <v>19.04</v>
      </c>
      <c r="CH1137" s="20" t="e">
        <f>_xlfn.XLOOKUP(#REF!, 'Normative data'!$S$9:$S$15,'Normative data'!$T$9:$T$15, "Not Found", -1)</f>
        <v>#REF!</v>
      </c>
      <c r="CI1137" s="66">
        <v>17.920000000000002</v>
      </c>
      <c r="CJ1137" s="20" t="e">
        <f>_xlfn.XLOOKUP(#REF!, 'Normative data'!$S$9:$S$15, 'Normative data'!$T$9:$T$15, "Not Found", -1)</f>
        <v>#REF!</v>
      </c>
      <c r="CK1137" s="66" t="s">
        <v>1073</v>
      </c>
      <c r="CL1137" s="66" t="s">
        <v>1074</v>
      </c>
      <c r="CM1137" s="105"/>
      <c r="CN1137" s="66" t="s">
        <v>1075</v>
      </c>
      <c r="CO1137" s="66" t="s">
        <v>1076</v>
      </c>
      <c r="CP1137" s="68"/>
      <c r="CQ1137" s="68"/>
      <c r="CR1137" s="20" t="str" cm="1">
        <f t="array" ref="CR1137">IF(OR(ISBLANK(E1137),ISBLANK(CQ1137)),"Incomplete",_xlfn.XLOOKUP(CQ1137,_xlfn.XLOOKUP(E1137,'Normative data'!$Y$3:$Y$6,'Normative data'!$Z$3:$AG$6,,-1),'Normative data'!$Z$2:$AG$2,"Not Found",-1))</f>
        <v>Incomplete</v>
      </c>
      <c r="CS1137" s="68"/>
      <c r="CT1137" s="66"/>
      <c r="CU1137" s="20" t="str" cm="1">
        <f t="array" ref="CU1137">_xlfn.XLOOKUP(CS1137&amp;CT1137,(VLOOKUP!$A$3:$A$250)&amp;(VLOOKUP!$B$3:$B$250),VLOOKUP!$C$3:$C$250,"Incomplete",-1)</f>
        <v>Incomplete</v>
      </c>
      <c r="CV1137" s="20" t="str" cm="1">
        <f t="array" ref="CV1137">_xlfn.XLOOKUP(CU1137, _xlfn.XLOOKUP(E1137, 'Normative data'!$Y$11:$Y$14, 'Normative data'!$Z$11:$AG$14, ,-1), 'Normative data'!$Z$10:$AG$10, "Not Found", -1)</f>
        <v>Excellent</v>
      </c>
      <c r="CW1137" s="20" t="str" cm="1">
        <f t="array" ref="CW1137">IF(OR(ISBLANK(CS1137),ISBLANK(CT1137)),"Incomplete",_xlfn.XLOOKUP(CS1137&amp;CT1137,VLOOKUP!$A$4:$A$250&amp;VLOOKUP!$B$4:$B$250,VLOOKUP!$D$4:$D$250,"0"))</f>
        <v>Incomplete</v>
      </c>
    </row>
    <row r="1138" spans="1:101">
      <c r="A1138" s="93" t="s">
        <v>1788</v>
      </c>
      <c r="B1138" s="93" t="s">
        <v>1789</v>
      </c>
      <c r="C1138" s="64" t="s">
        <v>86</v>
      </c>
      <c r="D1138" s="96">
        <v>39463</v>
      </c>
      <c r="E1138" s="64"/>
      <c r="F1138" s="64">
        <v>11</v>
      </c>
      <c r="G1138" s="64">
        <v>2025</v>
      </c>
      <c r="H1138" s="66"/>
      <c r="I1138" s="64"/>
      <c r="J1138" s="64"/>
      <c r="K1138" s="64"/>
      <c r="L1138" s="64"/>
      <c r="M1138" s="64"/>
      <c r="N1138" s="64"/>
      <c r="O1138" s="64"/>
      <c r="P1138" s="64"/>
      <c r="Q1138" s="64"/>
      <c r="R1138" s="64"/>
      <c r="S1138" s="66"/>
      <c r="T1138" s="66"/>
      <c r="U1138" s="66"/>
      <c r="V1138" s="66"/>
      <c r="W1138" s="66"/>
      <c r="X1138" s="66"/>
      <c r="Y1138" s="66"/>
      <c r="Z1138" s="66"/>
      <c r="AA1138" s="66"/>
      <c r="AB1138" s="66"/>
      <c r="AC1138" s="66"/>
      <c r="AD1138" s="66"/>
      <c r="AE1138" s="66"/>
      <c r="AF1138" s="66"/>
      <c r="AG1138" s="66"/>
      <c r="AH1138" s="66"/>
      <c r="AI1138" s="66"/>
      <c r="AJ1138" s="66"/>
      <c r="AK1138" s="66"/>
      <c r="AL1138" s="66"/>
      <c r="AM1138" s="66"/>
      <c r="AN1138" s="66"/>
      <c r="AO1138" s="66"/>
      <c r="AP1138" s="66"/>
      <c r="AQ1138" s="66"/>
      <c r="AR1138" s="66"/>
      <c r="AS1138" s="66"/>
      <c r="AT1138" s="66"/>
      <c r="AU1138" s="66"/>
      <c r="AV1138" s="66"/>
      <c r="AW1138" s="66"/>
      <c r="AX1138" s="66"/>
      <c r="AY1138" s="41" t="str">
        <f t="shared" ref="AY1138:AY1145" si="353">IF(OR(ISBLANK(U1138), ISBLANK(AQ1138)), "Incomplete", (60.7*AQ1138)+(45.3*U1138)-2055)</f>
        <v>Incomplete</v>
      </c>
      <c r="AZ1138" s="66"/>
      <c r="BA1138" s="20" t="str">
        <f t="shared" ref="BA1138:BA1145" si="354">IF(OR(ISBLANK(U1138), ISBLANK(AS1138)), "Incomplete", (60.7*AS1138)+(45.3*U1138)-2055)</f>
        <v>Incomplete</v>
      </c>
      <c r="BB1138" s="66"/>
      <c r="BC1138" s="20" t="str">
        <f t="shared" ref="BC1138:BC1145" si="355">IF(OR(ISBLANK(U1138), ISBLANK(AU1138)), "Incomplete", (60.7*AU1138)+(45.3*U1138)-2055)</f>
        <v>Incomplete</v>
      </c>
      <c r="BD1138" s="66"/>
      <c r="BE1138" s="20" t="str">
        <f t="shared" ref="BE1138:BE1145" si="356">IF(OR(ISBLANK(U1138), ISBLANK(AW1138)), "Incomplete", (60.7*AW1138)+(45.3*U1138)-2055)</f>
        <v>Incomplete</v>
      </c>
      <c r="BF1138" s="66"/>
      <c r="BG1138" s="66">
        <v>18</v>
      </c>
      <c r="BH1138" s="20">
        <v>28.8</v>
      </c>
      <c r="BI1138" s="20" t="e">
        <f>IF(OR(ISBLANK(#REF!), ISBLANK(#REF!)),"Incomplete",(SUM(#REF!-#REF!)))</f>
        <v>#REF!</v>
      </c>
      <c r="BJ1138" s="66"/>
      <c r="BK1138" s="66"/>
      <c r="BL1138" s="66"/>
      <c r="BM1138" s="66"/>
      <c r="BN1138" s="66"/>
      <c r="BO1138" s="66"/>
      <c r="BP1138" s="66"/>
      <c r="BQ1138" s="66"/>
      <c r="BR1138" s="66"/>
      <c r="BS1138" s="66"/>
      <c r="BT1138" s="66"/>
      <c r="BU1138" s="66"/>
      <c r="BV1138" s="66"/>
      <c r="BW1138" s="91" t="str">
        <f t="shared" ref="BW1138:BW1146" si="357">IFERROR(SUM(BQ1138+BR1138+BS1138)/(3*(T1138-S1138))*100, "Incomplete")</f>
        <v>Incomplete</v>
      </c>
      <c r="BX1138" s="91" t="str">
        <f>_xlfn.XLOOKUP(BW1138,'Normative data'!$V$3:$V$6,'Normative data'!$W$3:$W$6,"Not Found",-1)</f>
        <v>Very low risk</v>
      </c>
      <c r="BY1138" s="91" t="str">
        <f t="shared" ref="BY1138:BY1146" si="358">IFERROR(SUM(BT1138+BU1138+BV1138)/(3*(T1138-S1138))*100, "Incomplete")</f>
        <v>Incomplete</v>
      </c>
      <c r="BZ1138" s="91" t="str">
        <f>_xlfn.XLOOKUP(BY1138,'Normative data'!$V$3:$V$6,'Normative data'!$W$3:$W$6,"Not Found",-1)</f>
        <v>Very low risk</v>
      </c>
      <c r="CA1138" s="66"/>
      <c r="CB1138" s="66"/>
      <c r="CC1138" s="20"/>
      <c r="CD1138" s="66"/>
      <c r="CE1138" s="66">
        <v>8</v>
      </c>
      <c r="CF1138" s="66"/>
      <c r="CG1138" s="66"/>
      <c r="CH1138" s="20" t="str">
        <f>_xlfn.XLOOKUP(CG1138, 'Normative data'!$S$9:$S$15,'Normative data'!$T$9:$T$15, "Not Found", -1)</f>
        <v>not completed</v>
      </c>
      <c r="CI1138" s="66"/>
      <c r="CJ1138" s="20" t="str">
        <f>_xlfn.XLOOKUP(CI1138, 'Normative data'!$S$9:$S$15, 'Normative data'!$T$9:$T$15, "Not Found", -1)</f>
        <v>not completed</v>
      </c>
      <c r="CK1138" s="105">
        <v>2.17</v>
      </c>
      <c r="CL1138" s="105">
        <v>4.6100000000000003</v>
      </c>
      <c r="CM1138" s="105"/>
      <c r="CN1138" s="105">
        <v>6.78</v>
      </c>
      <c r="CO1138" s="105">
        <v>7.37</v>
      </c>
      <c r="CP1138" s="109"/>
      <c r="CQ1138" s="68"/>
      <c r="CR1138" s="20" t="str" cm="1">
        <f t="array" ref="CR1138">IF(OR(ISBLANK(E1138),ISBLANK(CQ1138)),"Incomplete",_xlfn.XLOOKUP(CQ1138,_xlfn.XLOOKUP(E1138,'Normative data'!$Y$3:$Y$6,'Normative data'!$Z$3:$AG$6,,-1),'Normative data'!$Z$2:$AG$2,"Not Found",-1))</f>
        <v>Incomplete</v>
      </c>
      <c r="CS1138" s="68"/>
      <c r="CT1138" s="66"/>
      <c r="CU1138" s="20" t="str" cm="1">
        <f t="array" ref="CU1138">_xlfn.XLOOKUP(CS1138&amp;CT1138,(VLOOKUP!$A$3:$A$250)&amp;(VLOOKUP!$B$3:$B$250),VLOOKUP!$C$3:$C$250,"Incomplete",-1)</f>
        <v>Incomplete</v>
      </c>
      <c r="CV1138" s="20" t="str" cm="1">
        <f t="array" ref="CV1138">_xlfn.XLOOKUP(CU1138, _xlfn.XLOOKUP(E1138, 'Normative data'!$Y$11:$Y$14, 'Normative data'!$Z$11:$AG$14, ,-1), 'Normative data'!$Z$10:$AG$10, "Not Found", -1)</f>
        <v>Excellent</v>
      </c>
      <c r="CW1138" s="20" t="str" cm="1">
        <f t="array" ref="CW1138">IF(OR(ISBLANK(CS1138),ISBLANK(CT1138)),"Incomplete",_xlfn.XLOOKUP(CS1138&amp;CT1138,VLOOKUP!$A$4:$A$250&amp;VLOOKUP!$B$4:$B$250,VLOOKUP!$D$4:$D$250,"0"))</f>
        <v>Incomplete</v>
      </c>
    </row>
    <row r="1139" spans="1:101">
      <c r="A1139" s="94" t="s">
        <v>1346</v>
      </c>
      <c r="B1139" s="94" t="s">
        <v>1790</v>
      </c>
      <c r="C1139" s="64" t="s">
        <v>86</v>
      </c>
      <c r="D1139" s="97">
        <v>39627</v>
      </c>
      <c r="E1139" s="64"/>
      <c r="F1139" s="64">
        <v>11</v>
      </c>
      <c r="G1139" s="64">
        <v>2025</v>
      </c>
      <c r="H1139" s="66"/>
      <c r="I1139" s="64"/>
      <c r="J1139" s="64"/>
      <c r="K1139" s="64"/>
      <c r="L1139" s="64"/>
      <c r="M1139" s="64"/>
      <c r="N1139" s="64"/>
      <c r="O1139" s="64"/>
      <c r="P1139" s="64"/>
      <c r="Q1139" s="64"/>
      <c r="R1139" s="64"/>
      <c r="S1139" s="66"/>
      <c r="T1139" s="66"/>
      <c r="U1139" s="66"/>
      <c r="V1139" s="66"/>
      <c r="W1139" s="66"/>
      <c r="X1139" s="66"/>
      <c r="Y1139" s="66"/>
      <c r="Z1139" s="66"/>
      <c r="AA1139" s="66"/>
      <c r="AB1139" s="66"/>
      <c r="AC1139" s="66"/>
      <c r="AD1139" s="66"/>
      <c r="AE1139" s="66"/>
      <c r="AF1139" s="66"/>
      <c r="AG1139" s="66"/>
      <c r="AH1139" s="66"/>
      <c r="AI1139" s="66"/>
      <c r="AJ1139" s="66"/>
      <c r="AK1139" s="66"/>
      <c r="AL1139" s="66"/>
      <c r="AM1139" s="66"/>
      <c r="AN1139" s="66"/>
      <c r="AO1139" s="66"/>
      <c r="AP1139" s="66"/>
      <c r="AQ1139" s="66"/>
      <c r="AR1139" s="66"/>
      <c r="AS1139" s="66"/>
      <c r="AT1139" s="66"/>
      <c r="AU1139" s="66"/>
      <c r="AV1139" s="66"/>
      <c r="AW1139" s="66"/>
      <c r="AX1139" s="66"/>
      <c r="AY1139" s="41" t="str">
        <f t="shared" si="353"/>
        <v>Incomplete</v>
      </c>
      <c r="AZ1139" s="66"/>
      <c r="BA1139" s="20" t="str">
        <f t="shared" si="354"/>
        <v>Incomplete</v>
      </c>
      <c r="BB1139" s="66"/>
      <c r="BC1139" s="20" t="str">
        <f t="shared" si="355"/>
        <v>Incomplete</v>
      </c>
      <c r="BD1139" s="66"/>
      <c r="BE1139" s="20" t="str">
        <f t="shared" si="356"/>
        <v>Incomplete</v>
      </c>
      <c r="BF1139" s="66"/>
      <c r="BG1139" s="66">
        <v>12.2</v>
      </c>
      <c r="BH1139" s="66">
        <v>36.4</v>
      </c>
      <c r="BI1139" s="20">
        <f>IF(OR(ISBLANK(BG1139), ISBLANK(BH1139)),"Incomplete",(SUM(BH1139-BG1139)))</f>
        <v>24.2</v>
      </c>
      <c r="BJ1139" s="66"/>
      <c r="BK1139" s="66">
        <v>6</v>
      </c>
      <c r="BL1139" s="66"/>
      <c r="BM1139" s="66">
        <v>4</v>
      </c>
      <c r="BN1139" s="66"/>
      <c r="BO1139" s="66"/>
      <c r="BP1139" s="66"/>
      <c r="BQ1139" s="66"/>
      <c r="BR1139" s="66"/>
      <c r="BS1139" s="66"/>
      <c r="BT1139" s="66"/>
      <c r="BU1139" s="66"/>
      <c r="BV1139" s="66"/>
      <c r="BW1139" s="91" t="str">
        <f t="shared" si="357"/>
        <v>Incomplete</v>
      </c>
      <c r="BX1139" s="91" t="str">
        <f>_xlfn.XLOOKUP(BW1139,'Normative data'!$V$3:$V$6,'Normative data'!$W$3:$W$6,"Not Found",-1)</f>
        <v>Very low risk</v>
      </c>
      <c r="BY1139" s="91" t="str">
        <f t="shared" si="358"/>
        <v>Incomplete</v>
      </c>
      <c r="BZ1139" s="91" t="str">
        <f>_xlfn.XLOOKUP(BY1139,'Normative data'!$V$3:$V$6,'Normative data'!$W$3:$W$6,"Not Found",-1)</f>
        <v>Very low risk</v>
      </c>
      <c r="CA1139" s="66"/>
      <c r="CB1139" s="66"/>
      <c r="CC1139" s="20"/>
      <c r="CD1139" s="66"/>
      <c r="CE1139" s="66"/>
      <c r="CF1139" s="66"/>
      <c r="CG1139" s="20"/>
      <c r="CH1139" s="20" t="str">
        <f>_xlfn.XLOOKUP(CG1139, 'Normative data'!$S$9:$S$15,'Normative data'!$T$9:$T$15, "Not Found", -1)</f>
        <v>not completed</v>
      </c>
      <c r="CI1139" s="20"/>
      <c r="CJ1139" s="20" t="str">
        <f>_xlfn.XLOOKUP(CI1139, 'Normative data'!$S$9:$S$15, 'Normative data'!$T$9:$T$15, "Not Found", -1)</f>
        <v>not completed</v>
      </c>
      <c r="CK1139" s="106">
        <v>2.09</v>
      </c>
      <c r="CL1139" s="106">
        <v>4.78</v>
      </c>
      <c r="CM1139" s="105"/>
      <c r="CN1139" s="106">
        <v>6.67</v>
      </c>
      <c r="CO1139" s="106">
        <v>7.5</v>
      </c>
      <c r="CP1139" s="110"/>
      <c r="CQ1139" s="68"/>
      <c r="CR1139" s="20" t="str" cm="1">
        <f t="array" ref="CR1139">IF(OR(ISBLANK(E1139),ISBLANK(CQ1139)),"Incomplete",_xlfn.XLOOKUP(CQ1139,_xlfn.XLOOKUP(E1139,'Normative data'!$Y$3:$Y$6,'Normative data'!$Z$3:$AG$6,,-1),'Normative data'!$Z$2:$AG$2,"Not Found",-1))</f>
        <v>Incomplete</v>
      </c>
      <c r="CS1139" s="68"/>
      <c r="CT1139" s="66"/>
      <c r="CU1139" s="20" t="str" cm="1">
        <f t="array" ref="CU1139">_xlfn.XLOOKUP(CS1139&amp;CT1139,(VLOOKUP!$A$3:$A$250)&amp;(VLOOKUP!$B$3:$B$250),VLOOKUP!$C$3:$C$250,"Incomplete",-1)</f>
        <v>Incomplete</v>
      </c>
      <c r="CV1139" s="20" t="str" cm="1">
        <f t="array" ref="CV1139">_xlfn.XLOOKUP(CU1139, _xlfn.XLOOKUP(E1139, 'Normative data'!$Y$11:$Y$14, 'Normative data'!$Z$11:$AG$14, ,-1), 'Normative data'!$Z$10:$AG$10, "Not Found", -1)</f>
        <v>Excellent</v>
      </c>
      <c r="CW1139" s="20" t="str" cm="1">
        <f t="array" ref="CW1139">IF(OR(ISBLANK(CS1139),ISBLANK(CT1139)),"Incomplete",_xlfn.XLOOKUP(CS1139&amp;CT1139,VLOOKUP!$A$4:$A$250&amp;VLOOKUP!$B$4:$B$250,VLOOKUP!$D$4:$D$250,"0"))</f>
        <v>Incomplete</v>
      </c>
    </row>
    <row r="1140" spans="1:101">
      <c r="A1140" s="64" t="s">
        <v>639</v>
      </c>
      <c r="B1140" s="64" t="s">
        <v>1791</v>
      </c>
      <c r="C1140" s="64" t="s">
        <v>86</v>
      </c>
      <c r="D1140" s="65"/>
      <c r="E1140" s="64"/>
      <c r="F1140" s="64">
        <v>10</v>
      </c>
      <c r="G1140" s="64">
        <v>2025</v>
      </c>
      <c r="H1140" s="66"/>
      <c r="I1140" s="64"/>
      <c r="J1140" s="64"/>
      <c r="K1140" s="64"/>
      <c r="L1140" s="64"/>
      <c r="M1140" s="64"/>
      <c r="N1140" s="64"/>
      <c r="O1140" s="64"/>
      <c r="P1140" s="64"/>
      <c r="Q1140" s="64"/>
      <c r="R1140" s="64"/>
      <c r="S1140" s="66"/>
      <c r="T1140" s="66"/>
      <c r="U1140" s="66"/>
      <c r="V1140" s="66"/>
      <c r="W1140" s="66"/>
      <c r="X1140" s="66"/>
      <c r="Y1140" s="66"/>
      <c r="Z1140" s="66"/>
      <c r="AA1140" s="66"/>
      <c r="AB1140" s="66"/>
      <c r="AC1140" s="66"/>
      <c r="AD1140" s="66"/>
      <c r="AE1140" s="66"/>
      <c r="AF1140" s="66"/>
      <c r="AG1140" s="66"/>
      <c r="AH1140" s="66"/>
      <c r="AI1140" s="66"/>
      <c r="AJ1140" s="66"/>
      <c r="AK1140" s="66"/>
      <c r="AL1140" s="66"/>
      <c r="AM1140" s="66"/>
      <c r="AN1140" s="66"/>
      <c r="AO1140" s="66"/>
      <c r="AP1140" s="66"/>
      <c r="AQ1140" s="66"/>
      <c r="AR1140" s="66"/>
      <c r="AS1140" s="66"/>
      <c r="AT1140" s="66"/>
      <c r="AU1140" s="66"/>
      <c r="AV1140" s="66"/>
      <c r="AW1140" s="66"/>
      <c r="AX1140" s="66"/>
      <c r="AY1140" s="41" t="str">
        <f t="shared" si="353"/>
        <v>Incomplete</v>
      </c>
      <c r="AZ1140" s="66"/>
      <c r="BA1140" s="20" t="str">
        <f t="shared" si="354"/>
        <v>Incomplete</v>
      </c>
      <c r="BB1140" s="66"/>
      <c r="BC1140" s="20" t="str">
        <f t="shared" si="355"/>
        <v>Incomplete</v>
      </c>
      <c r="BD1140" s="66"/>
      <c r="BE1140" s="20" t="str">
        <f t="shared" si="356"/>
        <v>Incomplete</v>
      </c>
      <c r="BF1140" s="66"/>
      <c r="BG1140" s="66"/>
      <c r="BH1140" s="66"/>
      <c r="BI1140" s="20" t="str">
        <f>IF(OR(ISBLANK(BG1140), ISBLANK(BH1140)),"Incomplete",(SUM(BH1140-BG1140)))</f>
        <v>Incomplete</v>
      </c>
      <c r="BJ1140" s="66"/>
      <c r="BK1140" s="66"/>
      <c r="BL1140" s="66"/>
      <c r="BM1140" s="66"/>
      <c r="BN1140" s="66"/>
      <c r="BO1140" s="66"/>
      <c r="BP1140" s="66"/>
      <c r="BQ1140" s="66"/>
      <c r="BR1140" s="66"/>
      <c r="BS1140" s="66"/>
      <c r="BT1140" s="66"/>
      <c r="BU1140" s="66"/>
      <c r="BV1140" s="66"/>
      <c r="BW1140" s="91" t="str">
        <f t="shared" si="357"/>
        <v>Incomplete</v>
      </c>
      <c r="BX1140" s="91" t="str">
        <f>_xlfn.XLOOKUP(BW1140,'Normative data'!$V$3:$V$6,'Normative data'!$W$3:$W$6,"Not Found",-1)</f>
        <v>Very low risk</v>
      </c>
      <c r="BY1140" s="91" t="str">
        <f t="shared" si="358"/>
        <v>Incomplete</v>
      </c>
      <c r="BZ1140" s="91" t="str">
        <f>_xlfn.XLOOKUP(BY1140,'Normative data'!$V$3:$V$6,'Normative data'!$W$3:$W$6,"Not Found",-1)</f>
        <v>Very low risk</v>
      </c>
      <c r="CA1140" s="66"/>
      <c r="CB1140" s="66"/>
      <c r="CC1140" s="66"/>
      <c r="CD1140" s="66"/>
      <c r="CE1140" s="66"/>
      <c r="CF1140" s="66"/>
      <c r="CG1140" s="66"/>
      <c r="CH1140" s="20" t="str">
        <f>_xlfn.XLOOKUP(CG1140, 'Normative data'!$S$9:$S$15,'Normative data'!$T$9:$T$15, "Not Found", -1)</f>
        <v>not completed</v>
      </c>
      <c r="CI1140" s="66"/>
      <c r="CJ1140" s="20" t="str">
        <f>_xlfn.XLOOKUP(CI1140, 'Normative data'!$S$9:$S$15, 'Normative data'!$T$9:$T$15, "Not Found", -1)</f>
        <v>not completed</v>
      </c>
      <c r="CK1140" s="20" t="s">
        <v>327</v>
      </c>
      <c r="CL1140" s="20" t="s">
        <v>624</v>
      </c>
      <c r="CN1140" s="20" t="s">
        <v>1203</v>
      </c>
      <c r="CO1140" s="20" t="s">
        <v>1202</v>
      </c>
      <c r="CP1140" s="68"/>
      <c r="CQ1140" s="68"/>
      <c r="CR1140" s="20" t="str" cm="1">
        <f t="array" ref="CR1140">IF(OR(ISBLANK(E1140),ISBLANK(CQ1140)),"Incomplete",_xlfn.XLOOKUP(CQ1140,_xlfn.XLOOKUP(E1140,'Normative data'!$Y$3:$Y$6,'Normative data'!$Z$3:$AG$6,,-1),'Normative data'!$Z$2:$AG$2,"Not Found",-1))</f>
        <v>Incomplete</v>
      </c>
      <c r="CS1140" s="68"/>
      <c r="CT1140" s="66"/>
      <c r="CU1140" s="20" t="str" cm="1">
        <f t="array" ref="CU1140">_xlfn.XLOOKUP(CS1140&amp;CT1140,(VLOOKUP!$A$3:$A$250)&amp;(VLOOKUP!$B$3:$B$250),VLOOKUP!$C$3:$C$250,"Incomplete",-1)</f>
        <v>Incomplete</v>
      </c>
      <c r="CV1140" s="20" t="str" cm="1">
        <f t="array" ref="CV1140">_xlfn.XLOOKUP(CU1140, _xlfn.XLOOKUP(E1140, 'Normative data'!$Y$11:$Y$14, 'Normative data'!$Z$11:$AG$14, ,-1), 'Normative data'!$Z$10:$AG$10, "Not Found", -1)</f>
        <v>Excellent</v>
      </c>
      <c r="CW1140" s="20" t="str" cm="1">
        <f t="array" ref="CW1140">IF(OR(ISBLANK(CS1140),ISBLANK(CT1140)),"Incomplete",_xlfn.XLOOKUP(CS1140&amp;CT1140,VLOOKUP!$A$4:$A$250&amp;VLOOKUP!$B$4:$B$250,VLOOKUP!$D$4:$D$250,"0"))</f>
        <v>Incomplete</v>
      </c>
    </row>
    <row r="1141" spans="1:101">
      <c r="A1141" s="94" t="s">
        <v>91</v>
      </c>
      <c r="B1141" s="94" t="s">
        <v>1792</v>
      </c>
      <c r="C1141" s="64" t="s">
        <v>86</v>
      </c>
      <c r="D1141" s="97"/>
      <c r="E1141" s="64"/>
      <c r="F1141" s="64">
        <v>10</v>
      </c>
      <c r="G1141" s="64">
        <v>2025</v>
      </c>
      <c r="H1141" s="66"/>
      <c r="I1141" s="64"/>
      <c r="J1141" s="64"/>
      <c r="K1141" s="64"/>
      <c r="L1141" s="64"/>
      <c r="M1141" s="64"/>
      <c r="N1141" s="64"/>
      <c r="O1141" s="64"/>
      <c r="P1141" s="64"/>
      <c r="Q1141" s="64"/>
      <c r="R1141" s="64"/>
      <c r="S1141" s="66"/>
      <c r="T1141" s="66">
        <v>175</v>
      </c>
      <c r="U1141" s="66">
        <v>55</v>
      </c>
      <c r="V1141" s="66"/>
      <c r="W1141" s="66">
        <v>10.6</v>
      </c>
      <c r="X1141" s="66">
        <f>SUM(T1141-W1141)</f>
        <v>164.4</v>
      </c>
      <c r="Y1141" s="66">
        <v>24.3</v>
      </c>
      <c r="Z1141" s="66">
        <v>18</v>
      </c>
      <c r="AA1141" s="66">
        <v>19.3</v>
      </c>
      <c r="AB1141" s="66"/>
      <c r="AC1141" s="66"/>
      <c r="AD1141" s="66"/>
      <c r="AE1141" s="66"/>
      <c r="AF1141" s="66"/>
      <c r="AG1141" s="66"/>
      <c r="AH1141" s="66"/>
      <c r="AI1141" s="66"/>
      <c r="AJ1141" s="66"/>
      <c r="AK1141" s="66"/>
      <c r="AL1141" s="66"/>
      <c r="AM1141" s="66"/>
      <c r="AN1141" s="66"/>
      <c r="AO1141" s="66"/>
      <c r="AP1141" s="66"/>
      <c r="AQ1141" s="66"/>
      <c r="AR1141" s="66"/>
      <c r="AS1141" s="66"/>
      <c r="AT1141" s="66"/>
      <c r="AU1141" s="66"/>
      <c r="AV1141" s="66"/>
      <c r="AW1141" s="66"/>
      <c r="AX1141" s="66"/>
      <c r="AY1141" s="41" t="str">
        <f t="shared" si="353"/>
        <v>Incomplete</v>
      </c>
      <c r="AZ1141" s="66"/>
      <c r="BA1141" s="20" t="str">
        <f t="shared" si="354"/>
        <v>Incomplete</v>
      </c>
      <c r="BB1141" s="66"/>
      <c r="BC1141" s="20" t="str">
        <f t="shared" si="355"/>
        <v>Incomplete</v>
      </c>
      <c r="BD1141" s="66"/>
      <c r="BE1141" s="20" t="str">
        <f t="shared" si="356"/>
        <v>Incomplete</v>
      </c>
      <c r="BF1141" s="66"/>
      <c r="BG1141" s="66">
        <v>8.5</v>
      </c>
      <c r="BH1141" s="66">
        <v>38</v>
      </c>
      <c r="BI1141" s="20" t="e">
        <f>IF(OR(ISBLANK(#REF!), ISBLANK(#REF!)),"Incomplete",(SUM(#REF!-#REF!)))</f>
        <v>#REF!</v>
      </c>
      <c r="BJ1141" s="66"/>
      <c r="BK1141" s="66">
        <v>10</v>
      </c>
      <c r="BL1141" s="66"/>
      <c r="BM1141" s="66">
        <v>9</v>
      </c>
      <c r="BN1141" s="66"/>
      <c r="BO1141" s="66"/>
      <c r="BP1141" s="66"/>
      <c r="BQ1141" s="66"/>
      <c r="BR1141" s="66"/>
      <c r="BS1141" s="66"/>
      <c r="BT1141" s="66"/>
      <c r="BU1141" s="66"/>
      <c r="BV1141" s="66"/>
      <c r="BW1141" s="91">
        <f t="shared" si="357"/>
        <v>0</v>
      </c>
      <c r="BX1141" s="91" t="str">
        <f>_xlfn.XLOOKUP(BW1141,'Normative data'!$V$3:$V$6,'Normative data'!$W$3:$W$6,"Not Found",-1)</f>
        <v>Not completed</v>
      </c>
      <c r="BY1141" s="91">
        <f t="shared" si="358"/>
        <v>0</v>
      </c>
      <c r="BZ1141" s="91" t="str">
        <f>_xlfn.XLOOKUP(BY1141,'Normative data'!$V$3:$V$6,'Normative data'!$W$3:$W$6,"Not Found",-1)</f>
        <v>Not completed</v>
      </c>
      <c r="CA1141" s="66"/>
      <c r="CB1141" s="66"/>
      <c r="CC1141" s="66"/>
      <c r="CD1141" s="66"/>
      <c r="CE1141" s="66"/>
      <c r="CF1141" s="66"/>
      <c r="CG1141" s="66"/>
      <c r="CH1141" s="20" t="str">
        <f>_xlfn.XLOOKUP(CG1141, 'Normative data'!$S$9:$S$15,'Normative data'!$T$9:$T$15, "Not Found", -1)</f>
        <v>not completed</v>
      </c>
      <c r="CI1141" s="66"/>
      <c r="CJ1141" s="20" t="str">
        <f>_xlfn.XLOOKUP(CI1141, 'Normative data'!$S$9:$S$15, 'Normative data'!$T$9:$T$15, "Not Found", -1)</f>
        <v>not completed</v>
      </c>
      <c r="CK1141" s="24">
        <v>2.4500000000000002</v>
      </c>
      <c r="CL1141" s="24">
        <v>4.08</v>
      </c>
      <c r="CM1141" s="21"/>
      <c r="CN1141" s="24">
        <v>8.19</v>
      </c>
      <c r="CO1141" s="24">
        <v>6.11</v>
      </c>
      <c r="CP1141" s="110"/>
      <c r="CQ1141" s="68"/>
      <c r="CR1141" s="20" t="str" cm="1">
        <f t="array" ref="CR1141">IF(OR(ISBLANK(E1141),ISBLANK(CQ1141)),"Incomplete",_xlfn.XLOOKUP(CQ1141,_xlfn.XLOOKUP(E1141,'Normative data'!$Y$3:$Y$6,'Normative data'!$Z$3:$AG$6,,-1),'Normative data'!$Z$2:$AG$2,"Not Found",-1))</f>
        <v>Incomplete</v>
      </c>
      <c r="CS1141" s="68"/>
      <c r="CT1141" s="66"/>
      <c r="CU1141" s="20" t="str" cm="1">
        <f t="array" ref="CU1141">_xlfn.XLOOKUP(CS1141&amp;CT1141,(VLOOKUP!$A$3:$A$250)&amp;(VLOOKUP!$B$3:$B$250),VLOOKUP!$C$3:$C$250,"Incomplete",-1)</f>
        <v>Incomplete</v>
      </c>
      <c r="CV1141" s="20" t="str" cm="1">
        <f t="array" ref="CV1141">_xlfn.XLOOKUP(CU1141, _xlfn.XLOOKUP(E1141, 'Normative data'!$Y$11:$Y$14, 'Normative data'!$Z$11:$AG$14, ,-1), 'Normative data'!$Z$10:$AG$10, "Not Found", -1)</f>
        <v>Excellent</v>
      </c>
      <c r="CW1141" s="20" t="str" cm="1">
        <f t="array" ref="CW1141">IF(OR(ISBLANK(CS1141),ISBLANK(CT1141)),"Incomplete",_xlfn.XLOOKUP(CS1141&amp;CT1141,VLOOKUP!$A$4:$A$250&amp;VLOOKUP!$B$4:$B$250,VLOOKUP!$D$4:$D$250,"0"))</f>
        <v>Incomplete</v>
      </c>
    </row>
    <row r="1142" spans="1:101">
      <c r="A1142" s="94" t="s">
        <v>91</v>
      </c>
      <c r="B1142" s="94" t="s">
        <v>1792</v>
      </c>
      <c r="C1142" s="64" t="s">
        <v>86</v>
      </c>
      <c r="D1142" s="97"/>
      <c r="E1142" s="64"/>
      <c r="F1142" s="64">
        <v>10</v>
      </c>
      <c r="G1142" s="64">
        <v>2025</v>
      </c>
      <c r="H1142" s="66"/>
      <c r="I1142" s="64"/>
      <c r="J1142" s="64"/>
      <c r="K1142" s="64"/>
      <c r="L1142" s="64"/>
      <c r="M1142" s="64"/>
      <c r="N1142" s="64"/>
      <c r="O1142" s="64"/>
      <c r="P1142" s="64"/>
      <c r="Q1142" s="64"/>
      <c r="R1142" s="64"/>
      <c r="S1142" s="66"/>
      <c r="T1142" s="66"/>
      <c r="U1142" s="66"/>
      <c r="V1142" s="66"/>
      <c r="W1142" s="66"/>
      <c r="X1142" s="66"/>
      <c r="Y1142" s="66"/>
      <c r="Z1142" s="66"/>
      <c r="AA1142" s="66"/>
      <c r="AB1142" s="66"/>
      <c r="AC1142" s="66"/>
      <c r="AD1142" s="66"/>
      <c r="AE1142" s="66"/>
      <c r="AF1142" s="66"/>
      <c r="AG1142" s="66"/>
      <c r="AH1142" s="66"/>
      <c r="AI1142" s="66"/>
      <c r="AJ1142" s="66"/>
      <c r="AK1142" s="66"/>
      <c r="AL1142" s="66"/>
      <c r="AM1142" s="66"/>
      <c r="AN1142" s="66"/>
      <c r="AO1142" s="66"/>
      <c r="AP1142" s="66"/>
      <c r="AQ1142" s="66"/>
      <c r="AR1142" s="66"/>
      <c r="AS1142" s="66"/>
      <c r="AT1142" s="66"/>
      <c r="AU1142" s="66"/>
      <c r="AV1142" s="66"/>
      <c r="AW1142" s="66"/>
      <c r="AX1142" s="66"/>
      <c r="AY1142" s="41" t="str">
        <f t="shared" si="353"/>
        <v>Incomplete</v>
      </c>
      <c r="AZ1142" s="66"/>
      <c r="BA1142" s="20" t="str">
        <f t="shared" si="354"/>
        <v>Incomplete</v>
      </c>
      <c r="BB1142" s="66"/>
      <c r="BC1142" s="20" t="str">
        <f t="shared" si="355"/>
        <v>Incomplete</v>
      </c>
      <c r="BD1142" s="66"/>
      <c r="BE1142" s="20" t="str">
        <f t="shared" si="356"/>
        <v>Incomplete</v>
      </c>
      <c r="BF1142" s="66"/>
      <c r="BG1142" s="64"/>
      <c r="BH1142" s="64"/>
      <c r="BI1142" s="20">
        <f>IF(OR(ISBLANK(BG1141), ISBLANK(BH1141)),"Incomplete",(SUM(BH1141-BG1141)))</f>
        <v>29.5</v>
      </c>
      <c r="BJ1142" s="66"/>
      <c r="BK1142" s="66">
        <v>7</v>
      </c>
      <c r="BL1142" s="66"/>
      <c r="BM1142" s="66">
        <v>5</v>
      </c>
      <c r="BN1142" s="66"/>
      <c r="BO1142" s="66"/>
      <c r="BP1142" s="66"/>
      <c r="BQ1142" s="66"/>
      <c r="BR1142" s="66"/>
      <c r="BS1142" s="66"/>
      <c r="BT1142" s="66"/>
      <c r="BU1142" s="66"/>
      <c r="BV1142" s="66"/>
      <c r="BW1142" s="91" t="str">
        <f t="shared" si="357"/>
        <v>Incomplete</v>
      </c>
      <c r="BX1142" s="91" t="str">
        <f>_xlfn.XLOOKUP(BW1142,'Normative data'!$V$3:$V$6,'Normative data'!$W$3:$W$6,"Not Found",-1)</f>
        <v>Very low risk</v>
      </c>
      <c r="BY1142" s="91" t="str">
        <f t="shared" si="358"/>
        <v>Incomplete</v>
      </c>
      <c r="BZ1142" s="91" t="str">
        <f>_xlfn.XLOOKUP(BY1142,'Normative data'!$V$3:$V$6,'Normative data'!$W$3:$W$6,"Not Found",-1)</f>
        <v>Very low risk</v>
      </c>
      <c r="CA1142" s="66"/>
      <c r="CB1142" s="66"/>
      <c r="CC1142" s="66"/>
      <c r="CD1142" s="66"/>
      <c r="CE1142" s="66"/>
      <c r="CF1142" s="66"/>
      <c r="CG1142" s="20"/>
      <c r="CH1142" s="20" t="str">
        <f>_xlfn.XLOOKUP(CG1142, 'Normative data'!$S$9:$S$15,'Normative data'!$T$9:$T$15, "Not Found", -1)</f>
        <v>not completed</v>
      </c>
      <c r="CI1142" s="20"/>
      <c r="CJ1142" s="20" t="str">
        <f>_xlfn.XLOOKUP(CI1142, 'Normative data'!$S$9:$S$15, 'Normative data'!$T$9:$T$15, "Not Found", -1)</f>
        <v>not completed</v>
      </c>
      <c r="CK1142" s="24">
        <v>2.36</v>
      </c>
      <c r="CL1142" s="24">
        <v>4.24</v>
      </c>
      <c r="CM1142" s="21"/>
      <c r="CN1142" s="24">
        <v>7.36</v>
      </c>
      <c r="CO1142" s="24">
        <v>6.79</v>
      </c>
      <c r="CP1142" s="110"/>
      <c r="CQ1142" s="68"/>
      <c r="CR1142" s="20" t="str" cm="1">
        <f t="array" ref="CR1142">IF(OR(ISBLANK(E1142),ISBLANK(CQ1142)),"Incomplete",_xlfn.XLOOKUP(CQ1142,_xlfn.XLOOKUP(E1142,'Normative data'!$Y$3:$Y$6,'Normative data'!$Z$3:$AG$6,,-1),'Normative data'!$Z$2:$AG$2,"Not Found",-1))</f>
        <v>Incomplete</v>
      </c>
      <c r="CS1142" s="68"/>
      <c r="CT1142" s="66"/>
      <c r="CU1142" s="20" t="str" cm="1">
        <f t="array" ref="CU1142">_xlfn.XLOOKUP(CS1142&amp;CT1142,(VLOOKUP!$A$3:$A$250)&amp;(VLOOKUP!$B$3:$B$250),VLOOKUP!$C$3:$C$250,"Incomplete",-1)</f>
        <v>Incomplete</v>
      </c>
      <c r="CV1142" s="20" t="str" cm="1">
        <f t="array" ref="CV1142">_xlfn.XLOOKUP(CU1142, _xlfn.XLOOKUP(E1142, 'Normative data'!$Y$11:$Y$14, 'Normative data'!$Z$11:$AG$14, ,-1), 'Normative data'!$Z$10:$AG$10, "Not Found", -1)</f>
        <v>Excellent</v>
      </c>
      <c r="CW1142" s="20" t="str" cm="1">
        <f t="array" ref="CW1142">IF(OR(ISBLANK(CS1142),ISBLANK(CT1142)),"Incomplete",_xlfn.XLOOKUP(CS1142&amp;CT1142,VLOOKUP!$A$4:$A$250&amp;VLOOKUP!$B$4:$B$250,VLOOKUP!$D$4:$D$250,"0"))</f>
        <v>Incomplete</v>
      </c>
    </row>
    <row r="1143" spans="1:101">
      <c r="A1143" s="64" t="s">
        <v>91</v>
      </c>
      <c r="B1143" s="64" t="s">
        <v>1792</v>
      </c>
      <c r="C1143" s="64" t="s">
        <v>86</v>
      </c>
      <c r="D1143" s="65"/>
      <c r="E1143" s="64"/>
      <c r="F1143" s="64">
        <v>10</v>
      </c>
      <c r="G1143" s="64">
        <v>2025</v>
      </c>
      <c r="H1143" s="66"/>
      <c r="I1143" s="64"/>
      <c r="J1143" s="64"/>
      <c r="K1143" s="64"/>
      <c r="L1143" s="64"/>
      <c r="M1143" s="64"/>
      <c r="N1143" s="64"/>
      <c r="O1143" s="64"/>
      <c r="P1143" s="64"/>
      <c r="Q1143" s="64"/>
      <c r="R1143" s="64"/>
      <c r="S1143" s="66"/>
      <c r="T1143" s="66"/>
      <c r="U1143" s="66"/>
      <c r="V1143" s="66"/>
      <c r="W1143" s="66"/>
      <c r="X1143" s="66"/>
      <c r="Y1143" s="66"/>
      <c r="Z1143" s="66"/>
      <c r="AA1143" s="66"/>
      <c r="AB1143" s="66"/>
      <c r="AC1143" s="66"/>
      <c r="AD1143" s="66"/>
      <c r="AE1143" s="66"/>
      <c r="AF1143" s="66"/>
      <c r="AG1143" s="66"/>
      <c r="AH1143" s="66"/>
      <c r="AI1143" s="66"/>
      <c r="AJ1143" s="66"/>
      <c r="AK1143" s="66"/>
      <c r="AL1143" s="66"/>
      <c r="AM1143" s="66"/>
      <c r="AN1143" s="66"/>
      <c r="AO1143" s="66"/>
      <c r="AP1143" s="66"/>
      <c r="AQ1143" s="66"/>
      <c r="AR1143" s="66"/>
      <c r="AS1143" s="66"/>
      <c r="AT1143" s="66"/>
      <c r="AU1143" s="66"/>
      <c r="AV1143" s="66"/>
      <c r="AW1143" s="66"/>
      <c r="AX1143" s="66"/>
      <c r="AY1143" s="41" t="str">
        <f t="shared" si="353"/>
        <v>Incomplete</v>
      </c>
      <c r="AZ1143" s="66"/>
      <c r="BA1143" s="20" t="str">
        <f t="shared" si="354"/>
        <v>Incomplete</v>
      </c>
      <c r="BB1143" s="66"/>
      <c r="BC1143" s="20" t="str">
        <f t="shared" si="355"/>
        <v>Incomplete</v>
      </c>
      <c r="BD1143" s="66"/>
      <c r="BE1143" s="20" t="str">
        <f t="shared" si="356"/>
        <v>Incomplete</v>
      </c>
      <c r="BF1143" s="66"/>
      <c r="BG1143" s="66"/>
      <c r="BH1143" s="66"/>
      <c r="BI1143" s="20" t="str">
        <f>IF(OR(ISBLANK(BG1143), ISBLANK(BH1143)),"Incomplete",(SUM(BH1143-BG1143)))</f>
        <v>Incomplete</v>
      </c>
      <c r="BJ1143" s="66"/>
      <c r="BK1143" s="66"/>
      <c r="BL1143" s="66"/>
      <c r="BM1143" s="66"/>
      <c r="BN1143" s="66"/>
      <c r="BO1143" s="66"/>
      <c r="BP1143" s="66"/>
      <c r="BQ1143" s="66"/>
      <c r="BR1143" s="66"/>
      <c r="BS1143" s="66"/>
      <c r="BT1143" s="66"/>
      <c r="BU1143" s="66"/>
      <c r="BV1143" s="66"/>
      <c r="BW1143" s="91" t="str">
        <f t="shared" si="357"/>
        <v>Incomplete</v>
      </c>
      <c r="BX1143" s="91" t="str">
        <f>_xlfn.XLOOKUP(BW1143,'Normative data'!$V$3:$V$6,'Normative data'!$W$3:$W$6,"Not Found",-1)</f>
        <v>Very low risk</v>
      </c>
      <c r="BY1143" s="91" t="str">
        <f t="shared" si="358"/>
        <v>Incomplete</v>
      </c>
      <c r="BZ1143" s="91" t="str">
        <f>_xlfn.XLOOKUP(BY1143,'Normative data'!$V$3:$V$6,'Normative data'!$W$3:$W$6,"Not Found",-1)</f>
        <v>Very low risk</v>
      </c>
      <c r="CA1143" s="66"/>
      <c r="CB1143" s="66"/>
      <c r="CC1143" s="66"/>
      <c r="CD1143" s="66"/>
      <c r="CE1143" s="66"/>
      <c r="CF1143" s="66"/>
      <c r="CG1143" s="20"/>
      <c r="CH1143" s="20" t="str">
        <f>_xlfn.XLOOKUP(CG1143, 'Normative data'!$S$9:$S$15,'Normative data'!$T$9:$T$15, "Not Found", -1)</f>
        <v>not completed</v>
      </c>
      <c r="CI1143" s="20"/>
      <c r="CJ1143" s="20" t="str">
        <f>_xlfn.XLOOKUP(CI1143, 'Normative data'!$S$9:$S$15, 'Normative data'!$T$9:$T$15, "Not Found", -1)</f>
        <v>not completed</v>
      </c>
      <c r="CK1143" s="20" t="s">
        <v>328</v>
      </c>
      <c r="CL1143" s="20" t="s">
        <v>784</v>
      </c>
      <c r="CN1143" s="20" t="s">
        <v>247</v>
      </c>
      <c r="CO1143" s="20" t="s">
        <v>248</v>
      </c>
      <c r="CP1143" s="68"/>
      <c r="CQ1143" s="68"/>
      <c r="CR1143" s="20" t="str" cm="1">
        <f t="array" ref="CR1143">IF(OR(ISBLANK(E1143),ISBLANK(CQ1143)),"Incomplete",_xlfn.XLOOKUP(CQ1143,_xlfn.XLOOKUP(E1143,'Normative data'!$Y$3:$Y$6,'Normative data'!$Z$3:$AG$6,,-1),'Normative data'!$Z$2:$AG$2,"Not Found",-1))</f>
        <v>Incomplete</v>
      </c>
      <c r="CS1143" s="68"/>
      <c r="CT1143" s="66"/>
      <c r="CU1143" s="20" t="str" cm="1">
        <f t="array" ref="CU1143">_xlfn.XLOOKUP(CS1143&amp;CT1143,(VLOOKUP!$A$3:$A$250)&amp;(VLOOKUP!$B$3:$B$250),VLOOKUP!$C$3:$C$250,"Incomplete",-1)</f>
        <v>Incomplete</v>
      </c>
      <c r="CV1143" s="20" t="str" cm="1">
        <f t="array" ref="CV1143">_xlfn.XLOOKUP(CU1143, _xlfn.XLOOKUP(E1143, 'Normative data'!$Y$11:$Y$14, 'Normative data'!$Z$11:$AG$14, ,-1), 'Normative data'!$Z$10:$AG$10, "Not Found", -1)</f>
        <v>Excellent</v>
      </c>
      <c r="CW1143" s="20" t="str" cm="1">
        <f t="array" ref="CW1143">IF(OR(ISBLANK(CS1143),ISBLANK(CT1143)),"Incomplete",_xlfn.XLOOKUP(CS1143&amp;CT1143,VLOOKUP!$A$4:$A$250&amp;VLOOKUP!$B$4:$B$250,VLOOKUP!$D$4:$D$250,"0"))</f>
        <v>Incomplete</v>
      </c>
    </row>
    <row r="1144" spans="1:101">
      <c r="A1144" s="93" t="s">
        <v>1448</v>
      </c>
      <c r="B1144" s="93" t="s">
        <v>109</v>
      </c>
      <c r="C1144" s="64" t="s">
        <v>86</v>
      </c>
      <c r="D1144" s="96">
        <v>40797</v>
      </c>
      <c r="E1144" s="64"/>
      <c r="F1144" s="64">
        <v>8</v>
      </c>
      <c r="G1144" s="64">
        <v>2025</v>
      </c>
      <c r="H1144" s="66"/>
      <c r="I1144" s="64"/>
      <c r="J1144" s="64"/>
      <c r="K1144" s="64"/>
      <c r="L1144" s="64"/>
      <c r="M1144" s="64"/>
      <c r="N1144" s="64"/>
      <c r="O1144" s="64"/>
      <c r="P1144" s="64"/>
      <c r="Q1144" s="64"/>
      <c r="R1144" s="64"/>
      <c r="S1144" s="66"/>
      <c r="T1144" s="66"/>
      <c r="U1144" s="66"/>
      <c r="V1144" s="66"/>
      <c r="W1144" s="66"/>
      <c r="X1144" s="66"/>
      <c r="Y1144" s="66"/>
      <c r="Z1144" s="66"/>
      <c r="AA1144" s="66"/>
      <c r="AB1144" s="66"/>
      <c r="AC1144" s="66"/>
      <c r="AD1144" s="66"/>
      <c r="AE1144" s="66"/>
      <c r="AF1144" s="66"/>
      <c r="AG1144" s="66"/>
      <c r="AH1144" s="66"/>
      <c r="AI1144" s="66"/>
      <c r="AJ1144" s="66"/>
      <c r="AK1144" s="66"/>
      <c r="AL1144" s="66"/>
      <c r="AM1144" s="66"/>
      <c r="AN1144" s="66"/>
      <c r="AO1144" s="66"/>
      <c r="AP1144" s="66"/>
      <c r="AQ1144" s="66"/>
      <c r="AR1144" s="66"/>
      <c r="AS1144" s="66"/>
      <c r="AT1144" s="66"/>
      <c r="AU1144" s="66"/>
      <c r="AV1144" s="66"/>
      <c r="AW1144" s="66"/>
      <c r="AX1144" s="66"/>
      <c r="AY1144" s="41" t="str">
        <f t="shared" si="353"/>
        <v>Incomplete</v>
      </c>
      <c r="AZ1144" s="66"/>
      <c r="BA1144" s="20" t="str">
        <f t="shared" si="354"/>
        <v>Incomplete</v>
      </c>
      <c r="BB1144" s="66"/>
      <c r="BC1144" s="20" t="str">
        <f t="shared" si="355"/>
        <v>Incomplete</v>
      </c>
      <c r="BD1144" s="66"/>
      <c r="BE1144" s="20" t="str">
        <f t="shared" si="356"/>
        <v>Incomplete</v>
      </c>
      <c r="BF1144" s="66"/>
      <c r="BG1144" s="66">
        <v>9</v>
      </c>
      <c r="BH1144" s="20">
        <v>39.4</v>
      </c>
      <c r="BI1144" s="20">
        <f>IF(OR(ISBLANK(BG1144), ISBLANK(BH1144)),"Incomplete",(SUM(BH1144-BG1144)))</f>
        <v>30.4</v>
      </c>
      <c r="BJ1144" s="66"/>
      <c r="BK1144" s="66"/>
      <c r="BL1144" s="66"/>
      <c r="BM1144" s="66"/>
      <c r="BN1144" s="66"/>
      <c r="BO1144" s="66"/>
      <c r="BP1144" s="66"/>
      <c r="BQ1144" s="66"/>
      <c r="BR1144" s="66"/>
      <c r="BS1144" s="66"/>
      <c r="BT1144" s="66"/>
      <c r="BU1144" s="66"/>
      <c r="BV1144" s="66"/>
      <c r="BW1144" s="91" t="str">
        <f t="shared" si="357"/>
        <v>Incomplete</v>
      </c>
      <c r="BX1144" s="91" t="str">
        <f>_xlfn.XLOOKUP(BW1144,'Normative data'!$V$3:$V$6,'Normative data'!$W$3:$W$6,"Not Found",-1)</f>
        <v>Very low risk</v>
      </c>
      <c r="BY1144" s="91" t="str">
        <f t="shared" si="358"/>
        <v>Incomplete</v>
      </c>
      <c r="BZ1144" s="91" t="str">
        <f>_xlfn.XLOOKUP(BY1144,'Normative data'!$V$3:$V$6,'Normative data'!$W$3:$W$6,"Not Found",-1)</f>
        <v>Very low risk</v>
      </c>
      <c r="CA1144" s="66"/>
      <c r="CB1144" s="66"/>
      <c r="CC1144" s="20"/>
      <c r="CD1144" s="66"/>
      <c r="CE1144" s="66"/>
      <c r="CF1144" s="66"/>
      <c r="CG1144" s="66"/>
      <c r="CH1144" s="20" t="str">
        <f>_xlfn.XLOOKUP(CG1144, 'Normative data'!$S$9:$S$15,'Normative data'!$T$9:$T$15, "Not Found", -1)</f>
        <v>not completed</v>
      </c>
      <c r="CI1144" s="66"/>
      <c r="CJ1144" s="20" t="str">
        <f>_xlfn.XLOOKUP(CI1144, 'Normative data'!$S$9:$S$15, 'Normative data'!$T$9:$T$15, "Not Found", -1)</f>
        <v>not completed</v>
      </c>
      <c r="CK1144" s="105">
        <v>2.29</v>
      </c>
      <c r="CL1144" s="105">
        <v>4.37</v>
      </c>
      <c r="CM1144" s="105"/>
      <c r="CN1144" s="105">
        <v>6.83</v>
      </c>
      <c r="CO1144" s="105">
        <v>7.32</v>
      </c>
      <c r="CP1144" s="109"/>
      <c r="CQ1144" s="68"/>
      <c r="CR1144" s="20" t="str" cm="1">
        <f t="array" ref="CR1144">IF(OR(ISBLANK(E1144),ISBLANK(CQ1144)),"Incomplete",_xlfn.XLOOKUP(CQ1144,_xlfn.XLOOKUP(E1144,'Normative data'!$Y$3:$Y$6,'Normative data'!$Z$3:$AG$6,,-1),'Normative data'!$Z$2:$AG$2,"Not Found",-1))</f>
        <v>Incomplete</v>
      </c>
      <c r="CS1144" s="68"/>
      <c r="CT1144" s="66"/>
      <c r="CU1144" s="20" t="str" cm="1">
        <f t="array" ref="CU1144">_xlfn.XLOOKUP(CS1144&amp;CT1144,(VLOOKUP!$A$3:$A$250)&amp;(VLOOKUP!$B$3:$B$250),VLOOKUP!$C$3:$C$250,"Incomplete",-1)</f>
        <v>Incomplete</v>
      </c>
      <c r="CV1144" s="20" t="str" cm="1">
        <f t="array" ref="CV1144">_xlfn.XLOOKUP(CU1144, _xlfn.XLOOKUP(E1144, 'Normative data'!$Y$11:$Y$14, 'Normative data'!$Z$11:$AG$14, ,-1), 'Normative data'!$Z$10:$AG$10, "Not Found", -1)</f>
        <v>Excellent</v>
      </c>
      <c r="CW1144" s="20" t="str" cm="1">
        <f t="array" ref="CW1144">IF(OR(ISBLANK(CS1144),ISBLANK(CT1144)),"Incomplete",_xlfn.XLOOKUP(CS1144&amp;CT1144,VLOOKUP!$A$4:$A$250&amp;VLOOKUP!$B$4:$B$250,VLOOKUP!$D$4:$D$250,"0"))</f>
        <v>Incomplete</v>
      </c>
    </row>
    <row r="1145" spans="1:101">
      <c r="A1145" s="64" t="s">
        <v>1793</v>
      </c>
      <c r="B1145" s="64" t="s">
        <v>1794</v>
      </c>
      <c r="C1145" s="64" t="s">
        <v>86</v>
      </c>
      <c r="D1145" s="65"/>
      <c r="E1145" s="64"/>
      <c r="F1145" s="64"/>
      <c r="G1145" s="64">
        <v>2025</v>
      </c>
      <c r="H1145" s="66"/>
      <c r="I1145" s="64"/>
      <c r="J1145" s="64"/>
      <c r="K1145" s="64"/>
      <c r="L1145" s="64"/>
      <c r="M1145" s="64"/>
      <c r="N1145" s="64"/>
      <c r="O1145" s="64"/>
      <c r="P1145" s="64"/>
      <c r="Q1145" s="64"/>
      <c r="R1145" s="64"/>
      <c r="S1145" s="66"/>
      <c r="T1145" s="66" t="s">
        <v>1795</v>
      </c>
      <c r="U1145" s="66" t="s">
        <v>1796</v>
      </c>
      <c r="V1145" s="66"/>
      <c r="W1145" s="66"/>
      <c r="X1145" s="66"/>
      <c r="Y1145" s="66"/>
      <c r="Z1145" s="66"/>
      <c r="AA1145" s="66"/>
      <c r="AB1145" s="66"/>
      <c r="AC1145" s="66"/>
      <c r="AD1145" s="66"/>
      <c r="AE1145" s="66"/>
      <c r="AF1145" s="66"/>
      <c r="AG1145" s="66"/>
      <c r="AH1145" s="66"/>
      <c r="AI1145" s="66"/>
      <c r="AJ1145" s="66"/>
      <c r="AK1145" s="66"/>
      <c r="AL1145" s="66"/>
      <c r="AM1145" s="66"/>
      <c r="AN1145" s="66"/>
      <c r="AO1145" s="66"/>
      <c r="AP1145" s="66"/>
      <c r="AQ1145" s="66"/>
      <c r="AR1145" s="66"/>
      <c r="AS1145" s="66"/>
      <c r="AT1145" s="66"/>
      <c r="AU1145" s="66"/>
      <c r="AV1145" s="66"/>
      <c r="AW1145" s="66"/>
      <c r="AX1145" s="66"/>
      <c r="AY1145" s="41" t="str">
        <f t="shared" si="353"/>
        <v>Incomplete</v>
      </c>
      <c r="AZ1145" s="66"/>
      <c r="BA1145" s="20" t="str">
        <f t="shared" si="354"/>
        <v>Incomplete</v>
      </c>
      <c r="BB1145" s="66"/>
      <c r="BC1145" s="20" t="str">
        <f t="shared" si="355"/>
        <v>Incomplete</v>
      </c>
      <c r="BD1145" s="66"/>
      <c r="BE1145" s="20" t="str">
        <f t="shared" si="356"/>
        <v>Incomplete</v>
      </c>
      <c r="BF1145" s="66"/>
      <c r="BG1145" s="66"/>
      <c r="BH1145" s="66"/>
      <c r="BI1145" s="20" t="str">
        <f>IF(OR(ISBLANK(BG1145), ISBLANK(BH1145)),"Incomplete",(SUM(BH1145-BG1145)))</f>
        <v>Incomplete</v>
      </c>
      <c r="BJ1145" s="66"/>
      <c r="BK1145" s="66"/>
      <c r="BL1145" s="66"/>
      <c r="BM1145" s="66"/>
      <c r="BN1145" s="66"/>
      <c r="BO1145" s="66"/>
      <c r="BP1145" s="66"/>
      <c r="BQ1145" s="66"/>
      <c r="BR1145" s="66"/>
      <c r="BS1145" s="66"/>
      <c r="BT1145" s="66"/>
      <c r="BU1145" s="66"/>
      <c r="BV1145" s="66"/>
      <c r="BW1145" s="91" t="str">
        <f t="shared" si="357"/>
        <v>Incomplete</v>
      </c>
      <c r="BX1145" s="91" t="str">
        <f>_xlfn.XLOOKUP(BW1145,'Normative data'!$V$3:$V$6,'Normative data'!$W$3:$W$6,"Not Found",-1)</f>
        <v>Very low risk</v>
      </c>
      <c r="BY1145" s="91" t="str">
        <f t="shared" si="358"/>
        <v>Incomplete</v>
      </c>
      <c r="BZ1145" s="91" t="str">
        <f>_xlfn.XLOOKUP(BY1145,'Normative data'!$V$3:$V$6,'Normative data'!$W$3:$W$6,"Not Found",-1)</f>
        <v>Very low risk</v>
      </c>
      <c r="CA1145" s="66"/>
      <c r="CB1145" s="66"/>
      <c r="CC1145" s="20"/>
      <c r="CD1145" s="66"/>
      <c r="CE1145" s="66"/>
      <c r="CF1145" s="66"/>
      <c r="CG1145" s="66"/>
      <c r="CH1145" s="20" t="str">
        <f>_xlfn.XLOOKUP(CG1145, 'Normative data'!$S$9:$S$15,'Normative data'!$T$9:$T$15, "Not Found", -1)</f>
        <v>not completed</v>
      </c>
      <c r="CI1145" s="66"/>
      <c r="CJ1145" s="20" t="str">
        <f>_xlfn.XLOOKUP(CI1145, 'Normative data'!$S$9:$S$15, 'Normative data'!$T$9:$T$15, "Not Found", -1)</f>
        <v>not completed</v>
      </c>
      <c r="CK1145" s="21"/>
      <c r="CL1145" s="21"/>
      <c r="CM1145" s="21"/>
      <c r="CN1145" s="21"/>
      <c r="CO1145" s="21"/>
      <c r="CP1145" s="68"/>
      <c r="CQ1145" s="68"/>
      <c r="CR1145" s="20" t="str" cm="1">
        <f t="array" ref="CR1145">IF(OR(ISBLANK(E1145),ISBLANK(CQ1145)),"Incomplete",_xlfn.XLOOKUP(CQ1145,_xlfn.XLOOKUP(E1145,'Normative data'!$Y$3:$Y$6,'Normative data'!$Z$3:$AG$6,,-1),'Normative data'!$Z$2:$AG$2,"Not Found",-1))</f>
        <v>Incomplete</v>
      </c>
      <c r="CS1145" s="68"/>
      <c r="CT1145" s="66"/>
      <c r="CU1145" s="20" t="str" cm="1">
        <f t="array" ref="CU1145">_xlfn.XLOOKUP(CS1145&amp;CT1145,(VLOOKUP!$A$3:$A$250)&amp;(VLOOKUP!$B$3:$B$250),VLOOKUP!$C$3:$C$250,"Incomplete",-1)</f>
        <v>Incomplete</v>
      </c>
      <c r="CV1145" s="20" t="str" cm="1">
        <f t="array" ref="CV1145">_xlfn.XLOOKUP(CU1145, _xlfn.XLOOKUP(E1145, 'Normative data'!$Y$11:$Y$14, 'Normative data'!$Z$11:$AG$14, ,-1), 'Normative data'!$Z$10:$AG$10, "Not Found", -1)</f>
        <v>Excellent</v>
      </c>
      <c r="CW1145" s="20" t="str" cm="1">
        <f t="array" ref="CW1145">IF(OR(ISBLANK(CS1145),ISBLANK(CT1145)),"Incomplete",_xlfn.XLOOKUP(CS1145&amp;CT1145,VLOOKUP!$A$4:$A$250&amp;VLOOKUP!$B$4:$B$250,VLOOKUP!$D$4:$D$250,"0"))</f>
        <v>Incomplete</v>
      </c>
    </row>
    <row r="1146" spans="1:101">
      <c r="A1146" s="93" t="s">
        <v>1084</v>
      </c>
      <c r="B1146" s="64" t="s">
        <v>1797</v>
      </c>
      <c r="C1146" s="64" t="s">
        <v>86</v>
      </c>
      <c r="D1146" s="96">
        <v>40513</v>
      </c>
      <c r="E1146" s="64"/>
      <c r="F1146" s="64">
        <v>9</v>
      </c>
      <c r="G1146" s="64">
        <v>2025</v>
      </c>
      <c r="H1146" s="66"/>
      <c r="I1146" s="64"/>
      <c r="J1146" s="64" t="s">
        <v>88</v>
      </c>
      <c r="K1146" s="64"/>
      <c r="L1146" s="64"/>
      <c r="M1146" s="64"/>
      <c r="N1146" s="64"/>
      <c r="O1146" s="64"/>
      <c r="P1146" s="64"/>
      <c r="Q1146" s="64"/>
      <c r="R1146" s="64"/>
      <c r="S1146" s="66"/>
      <c r="T1146" s="66">
        <v>175</v>
      </c>
      <c r="U1146" s="66">
        <v>69.5</v>
      </c>
      <c r="V1146" s="66"/>
      <c r="W1146" s="66">
        <v>16.899999999999999</v>
      </c>
      <c r="X1146" s="66">
        <f>SUM(T1146-W1146)</f>
        <v>158.1</v>
      </c>
      <c r="Y1146" s="66">
        <v>29.5</v>
      </c>
      <c r="Z1146" s="66">
        <v>22.7</v>
      </c>
      <c r="AA1146" s="66">
        <v>24.3</v>
      </c>
      <c r="AB1146" s="66"/>
      <c r="AC1146" s="66"/>
      <c r="AD1146" s="66"/>
      <c r="AE1146" s="66"/>
      <c r="AF1146" s="66"/>
      <c r="AG1146" s="66"/>
      <c r="AH1146" s="66"/>
      <c r="AI1146" s="66"/>
      <c r="AJ1146" s="66"/>
      <c r="AK1146" s="66"/>
      <c r="AL1146" s="66"/>
      <c r="AM1146" s="66"/>
      <c r="AN1146" s="66"/>
      <c r="AO1146" s="66"/>
      <c r="AP1146" s="66"/>
      <c r="AQ1146" s="66">
        <v>18.7</v>
      </c>
      <c r="AR1146" s="66">
        <v>0.39100000000000001</v>
      </c>
      <c r="AS1146" s="66">
        <v>23.9</v>
      </c>
      <c r="AT1146" s="66">
        <v>0.44700000000000001</v>
      </c>
      <c r="AU1146" s="66">
        <v>11</v>
      </c>
      <c r="AV1146" s="66">
        <v>0.29899999999999999</v>
      </c>
      <c r="AW1146" s="66">
        <v>11.6</v>
      </c>
      <c r="AX1146" s="66">
        <v>0.308</v>
      </c>
      <c r="AY1146" s="41" t="e">
        <f>IF(OR(ISBLANK(U1146), ISBLANK(#REF!)), "Incomplete", (60.7*#REF!)+(45.3*U1146)-2055)</f>
        <v>#REF!</v>
      </c>
      <c r="AZ1146" s="66"/>
      <c r="BA1146" s="20" t="e">
        <f>IF(OR(ISBLANK(U1146), ISBLANK(#REF!)), "Incomplete", (60.7*#REF!)+(45.3*U1146)-2055)</f>
        <v>#REF!</v>
      </c>
      <c r="BB1146" s="66"/>
      <c r="BC1146" s="20" t="e">
        <f>IF(OR(ISBLANK(U1146), ISBLANK(#REF!)), "Incomplete", (60.7*#REF!)+(45.3*U1146)-2055)</f>
        <v>#REF!</v>
      </c>
      <c r="BD1146" s="66"/>
      <c r="BE1146" s="20" t="e">
        <f>IF(OR(ISBLANK(U1146), ISBLANK(#REF!)), "Incomplete", (60.7*#REF!)+(45.3*U1146)-2055)</f>
        <v>#REF!</v>
      </c>
      <c r="BF1146" s="66"/>
      <c r="BG1146" s="66">
        <v>9</v>
      </c>
      <c r="BH1146" s="20">
        <v>36.799999999999997</v>
      </c>
      <c r="BI1146" s="20" t="e">
        <f>IF(OR(ISBLANK(#REF!), ISBLANK(#REF!)),"Incomplete",(SUM(#REF!-#REF!)))</f>
        <v>#REF!</v>
      </c>
      <c r="BJ1146" s="66"/>
      <c r="BK1146" s="66">
        <v>5</v>
      </c>
      <c r="BL1146" s="66"/>
      <c r="BM1146" s="66">
        <v>6</v>
      </c>
      <c r="BN1146" s="66"/>
      <c r="BO1146" s="66"/>
      <c r="BP1146" s="66"/>
      <c r="BQ1146" s="66"/>
      <c r="BR1146" s="66"/>
      <c r="BS1146" s="66"/>
      <c r="BT1146" s="66"/>
      <c r="BU1146" s="66"/>
      <c r="BV1146" s="66"/>
      <c r="BW1146" s="91">
        <f t="shared" si="357"/>
        <v>0</v>
      </c>
      <c r="BX1146" s="91" t="str">
        <f>_xlfn.XLOOKUP(BW1146,'Normative data'!$V$3:$V$6,'Normative data'!$W$3:$W$6,"Not Found",-1)</f>
        <v>Not completed</v>
      </c>
      <c r="BY1146" s="91">
        <f t="shared" si="358"/>
        <v>0</v>
      </c>
      <c r="BZ1146" s="91" t="str">
        <f>_xlfn.XLOOKUP(BY1146,'Normative data'!$V$3:$V$6,'Normative data'!$W$3:$W$6,"Not Found",-1)</f>
        <v>Not completed</v>
      </c>
      <c r="CA1146" s="66"/>
      <c r="CB1146" s="66"/>
      <c r="CC1146" s="66"/>
      <c r="CD1146" s="66"/>
      <c r="CE1146" s="66">
        <v>19</v>
      </c>
      <c r="CF1146" s="66"/>
      <c r="CG1146" s="66">
        <v>17.48</v>
      </c>
      <c r="CH1146" s="20" t="e">
        <f>_xlfn.XLOOKUP(#REF!, 'Normative data'!$S$9:$S$15,'Normative data'!$T$9:$T$15, "Not Found", -1)</f>
        <v>#REF!</v>
      </c>
      <c r="CI1146" s="66">
        <v>17.5</v>
      </c>
      <c r="CJ1146" s="20" t="e">
        <f>_xlfn.XLOOKUP(#REF!, 'Normative data'!$S$9:$S$15, 'Normative data'!$T$9:$T$15, "Not Found", -1)</f>
        <v>#REF!</v>
      </c>
      <c r="CK1146" s="21">
        <v>2.11</v>
      </c>
      <c r="CL1146" s="21">
        <v>4.74</v>
      </c>
      <c r="CM1146" s="21"/>
      <c r="CN1146" s="21">
        <v>6.37</v>
      </c>
      <c r="CO1146" s="21">
        <v>7.85</v>
      </c>
      <c r="CP1146" s="109"/>
      <c r="CQ1146" s="68"/>
      <c r="CR1146" s="20" t="str" cm="1">
        <f t="array" ref="CR1146">IF(OR(ISBLANK(E1146),ISBLANK(CQ1146)),"Incomplete",_xlfn.XLOOKUP(CQ1146,_xlfn.XLOOKUP(E1146,'Normative data'!$Y$3:$Y$6,'Normative data'!$Z$3:$AG$6,,-1),'Normative data'!$Z$2:$AG$2,"Not Found",-1))</f>
        <v>Incomplete</v>
      </c>
      <c r="CS1146" s="68"/>
      <c r="CT1146" s="66"/>
      <c r="CU1146" s="20" t="str" cm="1">
        <f t="array" ref="CU1146">_xlfn.XLOOKUP(CS1146&amp;CT1146,(VLOOKUP!$A$3:$A$250)&amp;(VLOOKUP!$B$3:$B$250),VLOOKUP!$C$3:$C$250,"Incomplete",-1)</f>
        <v>Incomplete</v>
      </c>
      <c r="CV1146" s="20" t="str" cm="1">
        <f t="array" ref="CV1146">_xlfn.XLOOKUP(CU1146, _xlfn.XLOOKUP(E1146, 'Normative data'!$Y$11:$Y$14, 'Normative data'!$Z$11:$AG$14, ,-1), 'Normative data'!$Z$10:$AG$10, "Not Found", -1)</f>
        <v>Excellent</v>
      </c>
      <c r="CW1146" s="20" t="str" cm="1">
        <f t="array" ref="CW1146">IF(OR(ISBLANK(CS1146),ISBLANK(CT1146)),"Incomplete",_xlfn.XLOOKUP(CS1146&amp;CT1146,VLOOKUP!$A$4:$A$250&amp;VLOOKUP!$B$4:$B$250,VLOOKUP!$D$4:$D$250,"0"))</f>
        <v>Incomplete</v>
      </c>
    </row>
    <row r="1147" spans="1:101">
      <c r="A1147" s="93" t="s">
        <v>1084</v>
      </c>
      <c r="B1147" s="64" t="s">
        <v>1797</v>
      </c>
      <c r="C1147" s="64" t="s">
        <v>86</v>
      </c>
      <c r="D1147" s="96">
        <v>40513</v>
      </c>
      <c r="E1147" s="64"/>
      <c r="F1147" s="64">
        <v>9</v>
      </c>
      <c r="G1147" s="64">
        <v>2025</v>
      </c>
      <c r="H1147" s="66"/>
      <c r="I1147" s="64"/>
      <c r="J1147" s="64"/>
      <c r="K1147" s="64"/>
      <c r="L1147" s="64"/>
      <c r="M1147" s="64"/>
      <c r="N1147" s="64"/>
      <c r="O1147" s="64"/>
      <c r="P1147" s="64"/>
      <c r="Q1147" s="64"/>
      <c r="R1147" s="64"/>
      <c r="S1147" s="66"/>
      <c r="T1147" s="66" t="s">
        <v>1143</v>
      </c>
      <c r="U1147" s="66">
        <v>71</v>
      </c>
      <c r="V1147" s="66"/>
      <c r="W1147" s="66"/>
      <c r="X1147" s="66"/>
      <c r="Y1147" s="66"/>
      <c r="Z1147" s="66"/>
      <c r="AA1147" s="66"/>
      <c r="AB1147" s="66"/>
      <c r="AC1147" s="66"/>
      <c r="AD1147" s="66"/>
      <c r="AE1147" s="66"/>
      <c r="AF1147" s="66"/>
      <c r="AG1147" s="66"/>
      <c r="AH1147" s="66"/>
      <c r="AI1147" s="66"/>
      <c r="AJ1147" s="66"/>
      <c r="AK1147" s="66"/>
      <c r="AL1147" s="66"/>
      <c r="AM1147" s="66"/>
      <c r="AN1147" s="66"/>
      <c r="AO1147" s="66"/>
      <c r="AP1147" s="66"/>
      <c r="AQ1147" s="66"/>
      <c r="AR1147" s="66"/>
      <c r="AS1147" s="66"/>
      <c r="AT1147" s="66"/>
      <c r="AU1147" s="66"/>
      <c r="AV1147" s="66"/>
      <c r="AW1147" s="66"/>
      <c r="AX1147" s="66"/>
      <c r="AY1147" s="41" t="str">
        <f>IF(OR(ISBLANK(#REF!), ISBLANK(AQ1147)), "Incomplete", (60.7*AQ1147)+(45.3*#REF!)-2055)</f>
        <v>Incomplete</v>
      </c>
      <c r="AZ1147" s="66"/>
      <c r="BA1147" s="20" t="str">
        <f>IF(OR(ISBLANK(#REF!), ISBLANK(AS1147)), "Incomplete", (60.7*AS1147)+(45.3*#REF!)-2055)</f>
        <v>Incomplete</v>
      </c>
      <c r="BB1147" s="66"/>
      <c r="BC1147" s="20" t="str">
        <f>IF(OR(ISBLANK(#REF!), ISBLANK(AU1147)), "Incomplete", (60.7*AU1147)+(45.3*#REF!)-2055)</f>
        <v>Incomplete</v>
      </c>
      <c r="BD1147" s="66"/>
      <c r="BE1147" s="20" t="str">
        <f>IF(OR(ISBLANK(#REF!), ISBLANK(AW1147)), "Incomplete", (60.7*AW1147)+(45.3*#REF!)-2055)</f>
        <v>Incomplete</v>
      </c>
      <c r="BF1147" s="66"/>
      <c r="BG1147" s="66"/>
      <c r="BH1147" s="66"/>
      <c r="BI1147" s="20" t="str">
        <f t="shared" ref="BI1147:BI1153" si="359">IF(OR(ISBLANK(BG1147), ISBLANK(BH1147)),"Incomplete",(SUM(BH1147-BG1147)))</f>
        <v>Incomplete</v>
      </c>
      <c r="BJ1147" s="66"/>
      <c r="BK1147" s="66"/>
      <c r="BL1147" s="66"/>
      <c r="BM1147" s="66"/>
      <c r="BN1147" s="66"/>
      <c r="BO1147" s="66"/>
      <c r="BP1147" s="66"/>
      <c r="BQ1147" s="66"/>
      <c r="BR1147" s="66"/>
      <c r="BS1147" s="66"/>
      <c r="BT1147" s="66"/>
      <c r="BU1147" s="66"/>
      <c r="BV1147" s="66"/>
      <c r="BW1147" s="91" t="str">
        <f>IFERROR(SUM(BQ1147+BR1147+BS1147)/(3*(#REF!-S1147))*100, "Incomplete")</f>
        <v>Incomplete</v>
      </c>
      <c r="BX1147" s="91" t="str">
        <f>_xlfn.XLOOKUP(BW1147,'Normative data'!$V$3:$V$6,'Normative data'!$W$3:$W$6,"Not Found",-1)</f>
        <v>Very low risk</v>
      </c>
      <c r="BY1147" s="91" t="str">
        <f>IFERROR(SUM(BT1147+BU1147+BV1147)/(3*(#REF!-S1147))*100, "Incomplete")</f>
        <v>Incomplete</v>
      </c>
      <c r="BZ1147" s="91" t="str">
        <f>_xlfn.XLOOKUP(BY1147,'Normative data'!$V$3:$V$6,'Normative data'!$W$3:$W$6,"Not Found",-1)</f>
        <v>Very low risk</v>
      </c>
      <c r="CA1147" s="66"/>
      <c r="CB1147" s="66"/>
      <c r="CC1147" s="20"/>
      <c r="CD1147" s="66"/>
      <c r="CE1147" s="66"/>
      <c r="CF1147" s="66"/>
      <c r="CG1147" s="66"/>
      <c r="CH1147" s="20" t="str">
        <f>_xlfn.XLOOKUP(CG1147, 'Normative data'!$S$9:$S$15,'Normative data'!$T$9:$T$15, "Not Found", -1)</f>
        <v>not completed</v>
      </c>
      <c r="CI1147" s="66"/>
      <c r="CJ1147" s="20" t="str">
        <f>_xlfn.XLOOKUP(CI1147, 'Normative data'!$S$9:$S$15, 'Normative data'!$T$9:$T$15, "Not Found", -1)</f>
        <v>not completed</v>
      </c>
      <c r="CK1147" s="66" t="s">
        <v>289</v>
      </c>
      <c r="CL1147" s="66" t="s">
        <v>825</v>
      </c>
      <c r="CM1147" s="105"/>
      <c r="CN1147" s="66" t="s">
        <v>479</v>
      </c>
      <c r="CO1147" s="66" t="s">
        <v>1798</v>
      </c>
      <c r="CP1147" s="109"/>
      <c r="CQ1147" s="68"/>
      <c r="CR1147" s="20" t="str" cm="1">
        <f t="array" ref="CR1147">IF(OR(ISBLANK(E1147),ISBLANK(CQ1147)),"Incomplete",_xlfn.XLOOKUP(CQ1147,_xlfn.XLOOKUP(E1147,'Normative data'!$Y$3:$Y$6,'Normative data'!$Z$3:$AG$6,,-1),'Normative data'!$Z$2:$AG$2,"Not Found",-1))</f>
        <v>Incomplete</v>
      </c>
      <c r="CS1147" s="68"/>
      <c r="CT1147" s="66"/>
      <c r="CU1147" s="20" t="str" cm="1">
        <f t="array" ref="CU1147">_xlfn.XLOOKUP(CS1147&amp;CT1147,(VLOOKUP!$A$3:$A$250)&amp;(VLOOKUP!$B$3:$B$250),VLOOKUP!$C$3:$C$250,"Incomplete",-1)</f>
        <v>Incomplete</v>
      </c>
      <c r="CV1147" s="20" t="str" cm="1">
        <f t="array" ref="CV1147">_xlfn.XLOOKUP(CU1147, _xlfn.XLOOKUP(E1147, 'Normative data'!$Y$11:$Y$14, 'Normative data'!$Z$11:$AG$14, ,-1), 'Normative data'!$Z$10:$AG$10, "Not Found", -1)</f>
        <v>Excellent</v>
      </c>
      <c r="CW1147" s="20" t="str" cm="1">
        <f t="array" ref="CW1147">IF(OR(ISBLANK(CS1147),ISBLANK(CT1147)),"Incomplete",_xlfn.XLOOKUP(CS1147&amp;CT1147,VLOOKUP!$A$4:$A$250&amp;VLOOKUP!$B$4:$B$250,VLOOKUP!$D$4:$D$250,"0"))</f>
        <v>Incomplete</v>
      </c>
    </row>
    <row r="1148" spans="1:101">
      <c r="A1148" s="93" t="s">
        <v>1084</v>
      </c>
      <c r="B1148" s="64" t="s">
        <v>1797</v>
      </c>
      <c r="C1148" s="64" t="s">
        <v>86</v>
      </c>
      <c r="D1148" s="96">
        <v>40513</v>
      </c>
      <c r="E1148" s="64"/>
      <c r="F1148" s="64">
        <v>9</v>
      </c>
      <c r="G1148" s="64">
        <v>2025</v>
      </c>
      <c r="H1148" s="66"/>
      <c r="I1148" s="64"/>
      <c r="J1148" s="64"/>
      <c r="K1148" s="64"/>
      <c r="L1148" s="64"/>
      <c r="M1148" s="64"/>
      <c r="N1148" s="64"/>
      <c r="O1148" s="64"/>
      <c r="P1148" s="64"/>
      <c r="Q1148" s="64"/>
      <c r="R1148" s="64"/>
      <c r="S1148" s="66"/>
      <c r="T1148" s="66" t="s">
        <v>1799</v>
      </c>
      <c r="U1148" s="66" t="s">
        <v>1800</v>
      </c>
      <c r="V1148" s="66"/>
      <c r="W1148" s="66"/>
      <c r="X1148" s="66"/>
      <c r="Y1148" s="66"/>
      <c r="Z1148" s="66"/>
      <c r="AA1148" s="66"/>
      <c r="AB1148" s="66"/>
      <c r="AC1148" s="66"/>
      <c r="AD1148" s="66"/>
      <c r="AE1148" s="66"/>
      <c r="AF1148" s="66"/>
      <c r="AG1148" s="66"/>
      <c r="AH1148" s="66"/>
      <c r="AI1148" s="66"/>
      <c r="AJ1148" s="66"/>
      <c r="AK1148" s="66"/>
      <c r="AL1148" s="66"/>
      <c r="AM1148" s="66"/>
      <c r="AN1148" s="66"/>
      <c r="AO1148" s="66"/>
      <c r="AP1148" s="66"/>
      <c r="AQ1148" s="66"/>
      <c r="AR1148" s="66"/>
      <c r="AS1148" s="66" t="s">
        <v>1801</v>
      </c>
      <c r="AT1148" s="66" t="s">
        <v>1802</v>
      </c>
      <c r="AU1148" s="66" t="s">
        <v>1318</v>
      </c>
      <c r="AV1148" s="66" t="s">
        <v>1803</v>
      </c>
      <c r="AW1148" s="122" t="s">
        <v>1804</v>
      </c>
      <c r="AX1148" s="66" t="s">
        <v>1805</v>
      </c>
      <c r="AY1148" s="41" t="str">
        <f>IF(OR(ISBLANK(#REF!), ISBLANK(AQ1148)), "Incomplete", (60.7*AQ1148)+(45.3*#REF!)-2055)</f>
        <v>Incomplete</v>
      </c>
      <c r="AZ1148" s="66"/>
      <c r="BA1148" s="20" t="e">
        <f>IF(OR(ISBLANK(#REF!), ISBLANK(#REF!)), "Incomplete", (60.7*#REF!)+(45.3*#REF!)-2055)</f>
        <v>#REF!</v>
      </c>
      <c r="BB1148" s="66"/>
      <c r="BC1148" s="20" t="e">
        <f>IF(OR(ISBLANK(#REF!), ISBLANK(#REF!)), "Incomplete", (60.7*#REF!)+(45.3*#REF!)-2055)</f>
        <v>#REF!</v>
      </c>
      <c r="BD1148" s="66"/>
      <c r="BE1148" s="20" t="e">
        <f>IF(OR(ISBLANK(#REF!), ISBLANK(#REF!)), "Incomplete", (60.7*#REF!)+(45.3*#REF!)-2055)</f>
        <v>#REF!</v>
      </c>
      <c r="BF1148" s="66"/>
      <c r="BG1148" s="66"/>
      <c r="BH1148" s="66"/>
      <c r="BI1148" s="20" t="str">
        <f t="shared" si="359"/>
        <v>Incomplete</v>
      </c>
      <c r="BJ1148" s="66"/>
      <c r="BK1148" s="66"/>
      <c r="BL1148" s="66"/>
      <c r="BM1148" s="66"/>
      <c r="BN1148" s="66"/>
      <c r="BO1148" s="66"/>
      <c r="BP1148" s="66"/>
      <c r="BQ1148" s="66"/>
      <c r="BR1148" s="66"/>
      <c r="BS1148" s="66"/>
      <c r="BT1148" s="66"/>
      <c r="BU1148" s="66"/>
      <c r="BV1148" s="66"/>
      <c r="BW1148" s="91" t="str">
        <f>IFERROR(SUM(BQ1148+BR1148+BS1148)/(3*(#REF!-S1148))*100, "Incomplete")</f>
        <v>Incomplete</v>
      </c>
      <c r="BX1148" s="91" t="str">
        <f>_xlfn.XLOOKUP(BW1148,'Normative data'!$V$3:$V$6,'Normative data'!$W$3:$W$6,"Not Found",-1)</f>
        <v>Very low risk</v>
      </c>
      <c r="BY1148" s="91" t="str">
        <f>IFERROR(SUM(BT1148+BU1148+BV1148)/(3*(#REF!-S1148))*100, "Incomplete")</f>
        <v>Incomplete</v>
      </c>
      <c r="BZ1148" s="91" t="str">
        <f>_xlfn.XLOOKUP(BY1148,'Normative data'!$V$3:$V$6,'Normative data'!$W$3:$W$6,"Not Found",-1)</f>
        <v>Very low risk</v>
      </c>
      <c r="CA1148" s="66"/>
      <c r="CB1148" s="66"/>
      <c r="CC1148" s="20"/>
      <c r="CD1148" s="66"/>
      <c r="CE1148" s="66"/>
      <c r="CF1148" s="66"/>
      <c r="CG1148" s="66"/>
      <c r="CH1148" s="20" t="str">
        <f>_xlfn.XLOOKUP(CG1148, 'Normative data'!$S$9:$S$15,'Normative data'!$T$9:$T$15, "Not Found", -1)</f>
        <v>not completed</v>
      </c>
      <c r="CI1148" s="66"/>
      <c r="CJ1148" s="20" t="str">
        <f>_xlfn.XLOOKUP(CI1148, 'Normative data'!$S$9:$S$15, 'Normative data'!$T$9:$T$15, "Not Found", -1)</f>
        <v>not completed</v>
      </c>
      <c r="CK1148" s="66" t="s">
        <v>1395</v>
      </c>
      <c r="CL1148" s="66" t="s">
        <v>1396</v>
      </c>
      <c r="CM1148" s="105"/>
      <c r="CN1148" s="66" t="s">
        <v>1806</v>
      </c>
      <c r="CO1148" s="66" t="s">
        <v>1807</v>
      </c>
      <c r="CP1148" s="109"/>
      <c r="CQ1148" s="68"/>
      <c r="CR1148" s="20" t="str" cm="1">
        <f t="array" ref="CR1148">IF(OR(ISBLANK(E1148),ISBLANK(CQ1148)),"Incomplete",_xlfn.XLOOKUP(CQ1148,_xlfn.XLOOKUP(E1148,'Normative data'!$Y$3:$Y$6,'Normative data'!$Z$3:$AG$6,,-1),'Normative data'!$Z$2:$AG$2,"Not Found",-1))</f>
        <v>Incomplete</v>
      </c>
      <c r="CS1148" s="68"/>
      <c r="CT1148" s="66"/>
      <c r="CU1148" s="20" t="str" cm="1">
        <f t="array" ref="CU1148">_xlfn.XLOOKUP(CS1148&amp;CT1148,(VLOOKUP!$A$3:$A$250)&amp;(VLOOKUP!$B$3:$B$250),VLOOKUP!$C$3:$C$250,"Incomplete",-1)</f>
        <v>Incomplete</v>
      </c>
      <c r="CV1148" s="20" t="str" cm="1">
        <f t="array" ref="CV1148">_xlfn.XLOOKUP(CU1148, _xlfn.XLOOKUP(E1148, 'Normative data'!$Y$11:$Y$14, 'Normative data'!$Z$11:$AG$14, ,-1), 'Normative data'!$Z$10:$AG$10, "Not Found", -1)</f>
        <v>Excellent</v>
      </c>
      <c r="CW1148" s="20" t="str" cm="1">
        <f t="array" ref="CW1148">IF(OR(ISBLANK(CS1148),ISBLANK(CT1148)),"Incomplete",_xlfn.XLOOKUP(CS1148&amp;CT1148,VLOOKUP!$A$4:$A$250&amp;VLOOKUP!$B$4:$B$250,VLOOKUP!$D$4:$D$250,"0"))</f>
        <v>Incomplete</v>
      </c>
    </row>
    <row r="1149" spans="1:101">
      <c r="A1149" s="64" t="s">
        <v>1084</v>
      </c>
      <c r="B1149" s="64" t="s">
        <v>1794</v>
      </c>
      <c r="C1149" s="64" t="s">
        <v>86</v>
      </c>
      <c r="D1149" s="96">
        <v>40513</v>
      </c>
      <c r="E1149" s="64"/>
      <c r="F1149" s="64"/>
      <c r="G1149" s="64">
        <v>2026</v>
      </c>
      <c r="H1149" s="66" t="s">
        <v>114</v>
      </c>
      <c r="I1149" s="64">
        <v>1</v>
      </c>
      <c r="J1149" s="64"/>
      <c r="K1149" s="64"/>
      <c r="L1149" s="64"/>
      <c r="M1149" s="64"/>
      <c r="N1149" s="64"/>
      <c r="O1149" s="64"/>
      <c r="P1149" s="64"/>
      <c r="Q1149" s="64"/>
      <c r="R1149" s="64"/>
      <c r="S1149" s="66"/>
      <c r="T1149" s="66"/>
      <c r="U1149" s="66"/>
      <c r="V1149" s="66"/>
      <c r="W1149" s="66"/>
      <c r="X1149" s="66"/>
      <c r="Y1149" s="66"/>
      <c r="Z1149" s="66"/>
      <c r="AA1149" s="66"/>
      <c r="AB1149" s="66"/>
      <c r="AC1149" s="66"/>
      <c r="AD1149" s="66"/>
      <c r="AE1149" s="66"/>
      <c r="AF1149" s="66"/>
      <c r="AG1149" s="66"/>
      <c r="AH1149" s="66"/>
      <c r="AI1149" s="66"/>
      <c r="AJ1149" s="66"/>
      <c r="AK1149" s="66"/>
      <c r="AL1149" s="66"/>
      <c r="AM1149" s="66"/>
      <c r="AN1149" s="66"/>
      <c r="AO1149" s="66"/>
      <c r="AP1149" s="66"/>
      <c r="AQ1149" s="66">
        <v>21</v>
      </c>
      <c r="AR1149" s="66">
        <v>0.41399999999999998</v>
      </c>
      <c r="AS1149" s="66">
        <v>21.9</v>
      </c>
      <c r="AT1149" s="66">
        <v>0.42299999999999999</v>
      </c>
      <c r="AU1149" s="66">
        <v>12.2</v>
      </c>
      <c r="AV1149" s="66">
        <v>0.315</v>
      </c>
      <c r="AW1149" s="66">
        <v>14.3</v>
      </c>
      <c r="AX1149" s="66">
        <v>0.34100000000000003</v>
      </c>
      <c r="AY1149" s="41" t="str">
        <f t="shared" ref="AY1149:AY1163" si="360">IF(OR(ISBLANK(U1149), ISBLANK(AQ1149)), "Incomplete", (60.7*AQ1149)+(45.3*U1149)-2055)</f>
        <v>Incomplete</v>
      </c>
      <c r="AZ1149" s="66"/>
      <c r="BA1149" s="20" t="str">
        <f t="shared" ref="BA1149:BA1163" si="361">IF(OR(ISBLANK(U1149), ISBLANK(AS1149)), "Incomplete", (60.7*AS1149)+(45.3*U1149)-2055)</f>
        <v>Incomplete</v>
      </c>
      <c r="BB1149" s="66"/>
      <c r="BC1149" s="20" t="str">
        <f t="shared" ref="BC1149:BC1163" si="362">IF(OR(ISBLANK(U1149), ISBLANK(AU1149)), "Incomplete", (60.7*AU1149)+(45.3*U1149)-2055)</f>
        <v>Incomplete</v>
      </c>
      <c r="BD1149" s="66"/>
      <c r="BE1149" s="20" t="str">
        <f t="shared" ref="BE1149:BE1163" si="363">IF(OR(ISBLANK(U1149), ISBLANK(AW1149)), "Incomplete", (60.7*AW1149)+(45.3*U1149)-2055)</f>
        <v>Incomplete</v>
      </c>
      <c r="BF1149" s="66"/>
      <c r="BG1149" s="66">
        <v>7</v>
      </c>
      <c r="BH1149" s="20">
        <v>45</v>
      </c>
      <c r="BI1149" s="20">
        <f t="shared" si="359"/>
        <v>38</v>
      </c>
      <c r="BJ1149" s="66"/>
      <c r="BK1149" s="66"/>
      <c r="BL1149" s="66"/>
      <c r="BM1149" s="66"/>
      <c r="BN1149" s="66"/>
      <c r="BO1149" s="66"/>
      <c r="BP1149" s="66"/>
      <c r="BQ1149" s="66"/>
      <c r="BR1149" s="66"/>
      <c r="BS1149" s="66"/>
      <c r="BT1149" s="66"/>
      <c r="BU1149" s="66"/>
      <c r="BV1149" s="66"/>
      <c r="BW1149" s="91" t="str">
        <f t="shared" ref="BW1149:BW1163" si="364">IFERROR(SUM(BQ1149+BR1149+BS1149)/(3*(T1149-S1149))*100, "Incomplete")</f>
        <v>Incomplete</v>
      </c>
      <c r="BX1149" s="91" t="str">
        <f>_xlfn.XLOOKUP(BW1149,'Normative data'!$V$3:$V$6,'Normative data'!$W$3:$W$6,"Not Found",-1)</f>
        <v>Very low risk</v>
      </c>
      <c r="BY1149" s="91" t="str">
        <f t="shared" ref="BY1149:BY1163" si="365">IFERROR(SUM(BT1149+BU1149+BV1149)/(3*(T1149-S1149))*100, "Incomplete")</f>
        <v>Incomplete</v>
      </c>
      <c r="BZ1149" s="91" t="str">
        <f>_xlfn.XLOOKUP(BY1149,'Normative data'!$V$3:$V$6,'Normative data'!$W$3:$W$6,"Not Found",-1)</f>
        <v>Very low risk</v>
      </c>
      <c r="CA1149" s="66"/>
      <c r="CB1149" s="66"/>
      <c r="CC1149" s="20">
        <v>43</v>
      </c>
      <c r="CD1149" s="66"/>
      <c r="CE1149" s="66">
        <v>11</v>
      </c>
      <c r="CF1149" s="66"/>
      <c r="CG1149" s="20"/>
      <c r="CH1149" s="20" t="str">
        <f>_xlfn.XLOOKUP(CG1149, 'Normative data'!$S$9:$S$15,'Normative data'!$T$9:$T$15, "Not Found", -1)</f>
        <v>not completed</v>
      </c>
      <c r="CI1149" s="20"/>
      <c r="CJ1149" s="20" t="str">
        <f>_xlfn.XLOOKUP(CI1149, 'Normative data'!$S$9:$S$15, 'Normative data'!$T$9:$T$15, "Not Found", -1)</f>
        <v>not completed</v>
      </c>
      <c r="CK1149" s="66">
        <v>2.23</v>
      </c>
      <c r="CL1149" s="66">
        <v>4.4800000000000004</v>
      </c>
      <c r="CM1149" s="66"/>
      <c r="CN1149" s="66">
        <v>6.92</v>
      </c>
      <c r="CO1149" s="66">
        <v>7.23</v>
      </c>
      <c r="CP1149" s="68"/>
      <c r="CQ1149" s="68">
        <v>8.8000000000000007</v>
      </c>
      <c r="CR1149" s="20" t="str" cm="1">
        <f t="array" ref="CR1149">IF(OR(ISBLANK(E1149),ISBLANK(CQ1149)),"Incomplete",_xlfn.XLOOKUP(CQ1149,_xlfn.XLOOKUP(E1149,'Normative data'!$Y$3:$Y$6,'Normative data'!$Z$3:$AG$6,,-1),'Normative data'!$Z$2:$AG$2,"Not Found",-1))</f>
        <v>Incomplete</v>
      </c>
      <c r="CS1149" s="68">
        <v>8</v>
      </c>
      <c r="CT1149" s="66">
        <v>8</v>
      </c>
      <c r="CU1149" s="20" cm="1">
        <f t="array" ref="CU1149">_xlfn.XLOOKUP(CS1149&amp;CT1149,(VLOOKUP!$A$3:$A$250)&amp;(VLOOKUP!$B$3:$B$250),VLOOKUP!$C$3:$C$250,"Incomplete",-1)</f>
        <v>1380</v>
      </c>
      <c r="CV1149" s="20" t="str" cm="1">
        <f t="array" ref="CV1149">_xlfn.XLOOKUP(CU1149, _xlfn.XLOOKUP(E1149, 'Normative data'!$Y$11:$Y$14, 'Normative data'!$Z$11:$AG$14, ,-1), 'Normative data'!$Z$10:$AG$10, "Not Found", -1)</f>
        <v>Average</v>
      </c>
      <c r="CW1149" s="20" cm="1">
        <f t="array" ref="CW1149">IF(OR(ISBLANK(CS1149),ISBLANK(CT1149)),"Incomplete",_xlfn.XLOOKUP(CS1149&amp;CT1149,VLOOKUP!$A$4:$A$250&amp;VLOOKUP!$B$4:$B$250,VLOOKUP!$D$4:$D$250,"0"))</f>
        <v>43</v>
      </c>
    </row>
    <row r="1150" spans="1:101">
      <c r="A1150" s="64" t="s">
        <v>1084</v>
      </c>
      <c r="B1150" s="64" t="s">
        <v>1794</v>
      </c>
      <c r="C1150" s="64" t="s">
        <v>86</v>
      </c>
      <c r="D1150" s="96">
        <v>40513</v>
      </c>
      <c r="E1150" s="64"/>
      <c r="F1150" s="64"/>
      <c r="G1150" s="64">
        <v>2026</v>
      </c>
      <c r="H1150" s="66" t="s">
        <v>114</v>
      </c>
      <c r="I1150" s="64">
        <v>1</v>
      </c>
      <c r="J1150" s="64"/>
      <c r="K1150" s="64"/>
      <c r="L1150" s="64"/>
      <c r="M1150" s="64"/>
      <c r="N1150" s="64"/>
      <c r="O1150" s="64"/>
      <c r="P1150" s="64"/>
      <c r="Q1150" s="64"/>
      <c r="R1150" s="64"/>
      <c r="S1150" s="66"/>
      <c r="T1150" s="66"/>
      <c r="U1150" s="66"/>
      <c r="V1150" s="66"/>
      <c r="W1150" s="66"/>
      <c r="X1150" s="66"/>
      <c r="Y1150" s="66"/>
      <c r="Z1150" s="66"/>
      <c r="AA1150" s="66"/>
      <c r="AB1150" s="66"/>
      <c r="AC1150" s="66"/>
      <c r="AD1150" s="66"/>
      <c r="AE1150" s="66"/>
      <c r="AF1150" s="66"/>
      <c r="AG1150" s="66"/>
      <c r="AH1150" s="66"/>
      <c r="AI1150" s="66"/>
      <c r="AJ1150" s="66"/>
      <c r="AK1150" s="66"/>
      <c r="AL1150" s="66"/>
      <c r="AM1150" s="66"/>
      <c r="AN1150" s="66"/>
      <c r="AO1150" s="66"/>
      <c r="AP1150" s="66"/>
      <c r="AQ1150" s="66">
        <v>17.5</v>
      </c>
      <c r="AR1150" s="66">
        <v>0.378</v>
      </c>
      <c r="AS1150" s="66">
        <v>24.2</v>
      </c>
      <c r="AT1150" s="66">
        <v>0.44400000000000001</v>
      </c>
      <c r="AU1150" s="66">
        <v>9.1</v>
      </c>
      <c r="AV1150" s="66">
        <v>0.27300000000000002</v>
      </c>
      <c r="AW1150" s="66">
        <v>10.9</v>
      </c>
      <c r="AX1150" s="66">
        <v>0.29399999999999998</v>
      </c>
      <c r="AY1150" s="41" t="str">
        <f t="shared" si="360"/>
        <v>Incomplete</v>
      </c>
      <c r="AZ1150" s="66"/>
      <c r="BA1150" s="20" t="str">
        <f t="shared" si="361"/>
        <v>Incomplete</v>
      </c>
      <c r="BB1150" s="66"/>
      <c r="BC1150" s="20" t="str">
        <f t="shared" si="362"/>
        <v>Incomplete</v>
      </c>
      <c r="BD1150" s="66"/>
      <c r="BE1150" s="20" t="str">
        <f t="shared" si="363"/>
        <v>Incomplete</v>
      </c>
      <c r="BF1150" s="66"/>
      <c r="BG1150" s="66" t="s">
        <v>1808</v>
      </c>
      <c r="BH1150" s="66">
        <v>37</v>
      </c>
      <c r="BI1150" s="20" t="e">
        <f t="shared" si="359"/>
        <v>#VALUE!</v>
      </c>
      <c r="BJ1150" s="66"/>
      <c r="BK1150" s="66"/>
      <c r="BL1150" s="66"/>
      <c r="BM1150" s="66"/>
      <c r="BN1150" s="66"/>
      <c r="BO1150" s="66"/>
      <c r="BP1150" s="66"/>
      <c r="BQ1150" s="66"/>
      <c r="BR1150" s="66"/>
      <c r="BS1150" s="66"/>
      <c r="BT1150" s="66"/>
      <c r="BU1150" s="66"/>
      <c r="BV1150" s="66"/>
      <c r="BW1150" s="91" t="str">
        <f t="shared" si="364"/>
        <v>Incomplete</v>
      </c>
      <c r="BX1150" s="91" t="str">
        <f>_xlfn.XLOOKUP(BW1150,'Normative data'!$V$3:$V$6,'Normative data'!$W$3:$W$6,"Not Found",-1)</f>
        <v>Very low risk</v>
      </c>
      <c r="BY1150" s="91" t="str">
        <f t="shared" si="365"/>
        <v>Incomplete</v>
      </c>
      <c r="BZ1150" s="91" t="str">
        <f>_xlfn.XLOOKUP(BY1150,'Normative data'!$V$3:$V$6,'Normative data'!$W$3:$W$6,"Not Found",-1)</f>
        <v>Very low risk</v>
      </c>
      <c r="CA1150" s="66"/>
      <c r="CB1150" s="66"/>
      <c r="CC1150" s="66">
        <v>57</v>
      </c>
      <c r="CD1150" s="66"/>
      <c r="CE1150" s="66">
        <v>10</v>
      </c>
      <c r="CF1150" s="66"/>
      <c r="CG1150" s="66"/>
      <c r="CH1150" s="20" t="str">
        <f>_xlfn.XLOOKUP(CG1150, 'Normative data'!$S$9:$S$15,'Normative data'!$T$9:$T$15, "Not Found", -1)</f>
        <v>not completed</v>
      </c>
      <c r="CI1150" s="66"/>
      <c r="CJ1150" s="20" t="str">
        <f>_xlfn.XLOOKUP(CI1150, 'Normative data'!$S$9:$S$15, 'Normative data'!$T$9:$T$15, "Not Found", -1)</f>
        <v>not completed</v>
      </c>
      <c r="CK1150" s="20" t="s">
        <v>1395</v>
      </c>
      <c r="CL1150" s="20" t="s">
        <v>1396</v>
      </c>
      <c r="CN1150" s="20" t="s">
        <v>1806</v>
      </c>
      <c r="CO1150" s="20" t="s">
        <v>1807</v>
      </c>
      <c r="CP1150" s="68"/>
      <c r="CQ1150" s="68"/>
      <c r="CR1150" s="20" t="str" cm="1">
        <f t="array" ref="CR1150">IF(OR(ISBLANK(E1150),ISBLANK(CQ1150)),"Incomplete",_xlfn.XLOOKUP(CQ1150,_xlfn.XLOOKUP(E1150,'Normative data'!$Y$3:$Y$6,'Normative data'!$Z$3:$AG$6,,-1),'Normative data'!$Z$2:$AG$2,"Not Found",-1))</f>
        <v>Incomplete</v>
      </c>
      <c r="CS1150" s="68"/>
      <c r="CT1150" s="66"/>
      <c r="CU1150" s="20" t="str" cm="1">
        <f t="array" ref="CU1150">_xlfn.XLOOKUP(CS1150&amp;CT1150,(VLOOKUP!$A$3:$A$250)&amp;(VLOOKUP!$B$3:$B$250),VLOOKUP!$C$3:$C$250,"Incomplete",-1)</f>
        <v>Incomplete</v>
      </c>
      <c r="CV1150" s="20" t="str" cm="1">
        <f t="array" ref="CV1150">_xlfn.XLOOKUP(CU1150, _xlfn.XLOOKUP(E1150, 'Normative data'!$Y$11:$Y$14, 'Normative data'!$Z$11:$AG$14, ,-1), 'Normative data'!$Z$10:$AG$10, "Not Found", -1)</f>
        <v>Excellent</v>
      </c>
      <c r="CW1150" s="20" t="str" cm="1">
        <f t="array" ref="CW1150">IF(OR(ISBLANK(CS1150),ISBLANK(CT1150)),"Incomplete",_xlfn.XLOOKUP(CS1150&amp;CT1150,VLOOKUP!$A$4:$A$250&amp;VLOOKUP!$B$4:$B$250,VLOOKUP!$D$4:$D$250,"0"))</f>
        <v>Incomplete</v>
      </c>
    </row>
    <row r="1151" spans="1:101">
      <c r="A1151" s="94" t="s">
        <v>804</v>
      </c>
      <c r="B1151" s="94" t="s">
        <v>803</v>
      </c>
      <c r="C1151" s="64" t="s">
        <v>86</v>
      </c>
      <c r="D1151" s="97">
        <v>40509</v>
      </c>
      <c r="E1151" s="64"/>
      <c r="F1151" s="64">
        <v>9</v>
      </c>
      <c r="G1151" s="64">
        <v>2025</v>
      </c>
      <c r="H1151" s="66"/>
      <c r="I1151" s="64"/>
      <c r="J1151" s="64"/>
      <c r="K1151" s="64"/>
      <c r="L1151" s="64"/>
      <c r="M1151" s="64"/>
      <c r="N1151" s="64"/>
      <c r="O1151" s="64"/>
      <c r="P1151" s="64"/>
      <c r="Q1151" s="64"/>
      <c r="R1151" s="64"/>
      <c r="S1151" s="66"/>
      <c r="T1151" s="66"/>
      <c r="U1151" s="66"/>
      <c r="V1151" s="66"/>
      <c r="W1151" s="66"/>
      <c r="X1151" s="66"/>
      <c r="Y1151" s="66"/>
      <c r="Z1151" s="66"/>
      <c r="AA1151" s="66"/>
      <c r="AB1151" s="66"/>
      <c r="AC1151" s="66"/>
      <c r="AD1151" s="66"/>
      <c r="AE1151" s="66"/>
      <c r="AF1151" s="66"/>
      <c r="AG1151" s="66"/>
      <c r="AH1151" s="66"/>
      <c r="AI1151" s="66"/>
      <c r="AJ1151" s="66"/>
      <c r="AK1151" s="66"/>
      <c r="AL1151" s="66"/>
      <c r="AM1151" s="66"/>
      <c r="AN1151" s="66"/>
      <c r="AO1151" s="66"/>
      <c r="AP1151" s="66"/>
      <c r="AQ1151" s="66"/>
      <c r="AR1151" s="66"/>
      <c r="AS1151" s="66"/>
      <c r="AT1151" s="66"/>
      <c r="AU1151" s="66"/>
      <c r="AV1151" s="66"/>
      <c r="AW1151" s="66"/>
      <c r="AX1151" s="66"/>
      <c r="AY1151" s="41" t="str">
        <f t="shared" si="360"/>
        <v>Incomplete</v>
      </c>
      <c r="AZ1151" s="66"/>
      <c r="BA1151" s="20" t="str">
        <f t="shared" si="361"/>
        <v>Incomplete</v>
      </c>
      <c r="BB1151" s="66"/>
      <c r="BC1151" s="20" t="str">
        <f t="shared" si="362"/>
        <v>Incomplete</v>
      </c>
      <c r="BD1151" s="66"/>
      <c r="BE1151" s="20" t="str">
        <f t="shared" si="363"/>
        <v>Incomplete</v>
      </c>
      <c r="BF1151" s="66"/>
      <c r="BG1151" s="66">
        <v>12</v>
      </c>
      <c r="BH1151" s="20">
        <v>27.2</v>
      </c>
      <c r="BI1151" s="20">
        <f t="shared" si="359"/>
        <v>15.2</v>
      </c>
      <c r="BJ1151" s="66"/>
      <c r="BK1151" s="66">
        <v>8</v>
      </c>
      <c r="BL1151" s="66"/>
      <c r="BM1151" s="66">
        <v>5</v>
      </c>
      <c r="BN1151" s="66"/>
      <c r="BO1151" s="66"/>
      <c r="BP1151" s="66"/>
      <c r="BQ1151" s="66"/>
      <c r="BR1151" s="66"/>
      <c r="BS1151" s="66"/>
      <c r="BT1151" s="66"/>
      <c r="BU1151" s="66"/>
      <c r="BV1151" s="66"/>
      <c r="BW1151" s="91" t="str">
        <f t="shared" si="364"/>
        <v>Incomplete</v>
      </c>
      <c r="BX1151" s="91" t="str">
        <f>_xlfn.XLOOKUP(BW1151,'Normative data'!$V$3:$V$6,'Normative data'!$W$3:$W$6,"Not Found",-1)</f>
        <v>Very low risk</v>
      </c>
      <c r="BY1151" s="91" t="str">
        <f t="shared" si="365"/>
        <v>Incomplete</v>
      </c>
      <c r="BZ1151" s="91" t="str">
        <f>_xlfn.XLOOKUP(BY1151,'Normative data'!$V$3:$V$6,'Normative data'!$W$3:$W$6,"Not Found",-1)</f>
        <v>Very low risk</v>
      </c>
      <c r="CA1151" s="66"/>
      <c r="CB1151" s="66"/>
      <c r="CC1151" s="20"/>
      <c r="CD1151" s="66"/>
      <c r="CE1151" s="66">
        <v>1</v>
      </c>
      <c r="CF1151" s="66"/>
      <c r="CG1151" s="20"/>
      <c r="CH1151" s="20" t="str">
        <f>_xlfn.XLOOKUP(CG1151, 'Normative data'!$S$9:$S$15,'Normative data'!$T$9:$T$15, "Not Found", -1)</f>
        <v>not completed</v>
      </c>
      <c r="CI1151" s="20"/>
      <c r="CJ1151" s="20" t="str">
        <f>_xlfn.XLOOKUP(CI1151, 'Normative data'!$S$9:$S$15, 'Normative data'!$T$9:$T$15, "Not Found", -1)</f>
        <v>not completed</v>
      </c>
      <c r="CK1151" s="106">
        <v>2.3199999999999998</v>
      </c>
      <c r="CL1151" s="106">
        <v>4.3099999999999996</v>
      </c>
      <c r="CM1151" s="105"/>
      <c r="CN1151" s="106">
        <v>7.04</v>
      </c>
      <c r="CO1151" s="106">
        <v>7.1</v>
      </c>
      <c r="CP1151" s="110"/>
      <c r="CQ1151" s="68"/>
      <c r="CR1151" s="20" t="str" cm="1">
        <f t="array" ref="CR1151">IF(OR(ISBLANK(E1151),ISBLANK(CQ1151)),"Incomplete",_xlfn.XLOOKUP(CQ1151,_xlfn.XLOOKUP(E1151,'Normative data'!$Y$3:$Y$6,'Normative data'!$Z$3:$AG$6,,-1),'Normative data'!$Z$2:$AG$2,"Not Found",-1))</f>
        <v>Incomplete</v>
      </c>
      <c r="CS1151" s="68"/>
      <c r="CT1151" s="66"/>
      <c r="CU1151" s="20" t="str" cm="1">
        <f t="array" ref="CU1151">_xlfn.XLOOKUP(CS1151&amp;CT1151,(VLOOKUP!$A$3:$A$250)&amp;(VLOOKUP!$B$3:$B$250),VLOOKUP!$C$3:$C$250,"Incomplete",-1)</f>
        <v>Incomplete</v>
      </c>
      <c r="CV1151" s="20" t="str" cm="1">
        <f t="array" ref="CV1151">_xlfn.XLOOKUP(CU1151, _xlfn.XLOOKUP(E1151, 'Normative data'!$Y$11:$Y$14, 'Normative data'!$Z$11:$AG$14, ,-1), 'Normative data'!$Z$10:$AG$10, "Not Found", -1)</f>
        <v>Excellent</v>
      </c>
      <c r="CW1151" s="20" t="str" cm="1">
        <f t="array" ref="CW1151">IF(OR(ISBLANK(CS1151),ISBLANK(CT1151)),"Incomplete",_xlfn.XLOOKUP(CS1151&amp;CT1151,VLOOKUP!$A$4:$A$250&amp;VLOOKUP!$B$4:$B$250,VLOOKUP!$D$4:$D$250,"0"))</f>
        <v>Incomplete</v>
      </c>
    </row>
    <row r="1152" spans="1:101">
      <c r="A1152" s="94" t="s">
        <v>804</v>
      </c>
      <c r="B1152" s="94" t="s">
        <v>803</v>
      </c>
      <c r="C1152" s="64" t="s">
        <v>86</v>
      </c>
      <c r="D1152" s="97">
        <v>40509</v>
      </c>
      <c r="E1152" s="64"/>
      <c r="F1152" s="64">
        <v>9</v>
      </c>
      <c r="G1152" s="64">
        <v>2025</v>
      </c>
      <c r="H1152" s="66"/>
      <c r="I1152" s="64"/>
      <c r="J1152" s="64"/>
      <c r="K1152" s="64"/>
      <c r="L1152" s="64"/>
      <c r="M1152" s="64"/>
      <c r="N1152" s="64"/>
      <c r="O1152" s="64"/>
      <c r="P1152" s="64"/>
      <c r="Q1152" s="64"/>
      <c r="R1152" s="64"/>
      <c r="S1152" s="66"/>
      <c r="T1152" s="66"/>
      <c r="U1152" s="66"/>
      <c r="V1152" s="66"/>
      <c r="W1152" s="66"/>
      <c r="X1152" s="66"/>
      <c r="Y1152" s="66"/>
      <c r="Z1152" s="66"/>
      <c r="AA1152" s="66"/>
      <c r="AB1152" s="66"/>
      <c r="AC1152" s="66"/>
      <c r="AD1152" s="66"/>
      <c r="AE1152" s="66"/>
      <c r="AF1152" s="66"/>
      <c r="AG1152" s="66"/>
      <c r="AH1152" s="66"/>
      <c r="AI1152" s="66"/>
      <c r="AJ1152" s="66"/>
      <c r="AK1152" s="66"/>
      <c r="AL1152" s="66"/>
      <c r="AM1152" s="66"/>
      <c r="AN1152" s="66"/>
      <c r="AO1152" s="66"/>
      <c r="AP1152" s="66"/>
      <c r="AQ1152" s="66"/>
      <c r="AR1152" s="66"/>
      <c r="AS1152" s="66"/>
      <c r="AT1152" s="66"/>
      <c r="AU1152" s="66"/>
      <c r="AV1152" s="66"/>
      <c r="AW1152" s="66"/>
      <c r="AX1152" s="66"/>
      <c r="AY1152" s="41" t="str">
        <f t="shared" si="360"/>
        <v>Incomplete</v>
      </c>
      <c r="AZ1152" s="66"/>
      <c r="BA1152" s="20" t="str">
        <f t="shared" si="361"/>
        <v>Incomplete</v>
      </c>
      <c r="BB1152" s="66"/>
      <c r="BC1152" s="20" t="str">
        <f t="shared" si="362"/>
        <v>Incomplete</v>
      </c>
      <c r="BD1152" s="66"/>
      <c r="BE1152" s="20" t="str">
        <f t="shared" si="363"/>
        <v>Incomplete</v>
      </c>
      <c r="BF1152" s="66"/>
      <c r="BG1152" s="66"/>
      <c r="BH1152" s="66"/>
      <c r="BI1152" s="20" t="str">
        <f t="shared" si="359"/>
        <v>Incomplete</v>
      </c>
      <c r="BJ1152" s="66"/>
      <c r="BK1152" s="66"/>
      <c r="BL1152" s="66"/>
      <c r="BM1152" s="66"/>
      <c r="BN1152" s="66"/>
      <c r="BO1152" s="66"/>
      <c r="BP1152" s="66"/>
      <c r="BQ1152" s="66"/>
      <c r="BR1152" s="66"/>
      <c r="BS1152" s="66"/>
      <c r="BT1152" s="66"/>
      <c r="BU1152" s="66"/>
      <c r="BV1152" s="66"/>
      <c r="BW1152" s="91" t="str">
        <f t="shared" si="364"/>
        <v>Incomplete</v>
      </c>
      <c r="BX1152" s="91" t="str">
        <f>_xlfn.XLOOKUP(BW1152,'Normative data'!$V$3:$V$6,'Normative data'!$W$3:$W$6,"Not Found",-1)</f>
        <v>Very low risk</v>
      </c>
      <c r="BY1152" s="91" t="str">
        <f t="shared" si="365"/>
        <v>Incomplete</v>
      </c>
      <c r="BZ1152" s="91" t="str">
        <f>_xlfn.XLOOKUP(BY1152,'Normative data'!$V$3:$V$6,'Normative data'!$W$3:$W$6,"Not Found",-1)</f>
        <v>Very low risk</v>
      </c>
      <c r="CA1152" s="20"/>
      <c r="CB1152" s="66"/>
      <c r="CC1152" s="20"/>
      <c r="CD1152" s="66"/>
      <c r="CE1152" s="66"/>
      <c r="CF1152" s="66"/>
      <c r="CG1152" s="66"/>
      <c r="CH1152" s="20" t="str">
        <f>_xlfn.XLOOKUP(CG1152, 'Normative data'!$S$9:$S$15,'Normative data'!$T$9:$T$15, "Not Found", -1)</f>
        <v>not completed</v>
      </c>
      <c r="CI1152" s="66"/>
      <c r="CJ1152" s="20" t="str">
        <f>_xlfn.XLOOKUP(CI1152, 'Normative data'!$S$9:$S$15, 'Normative data'!$T$9:$T$15, "Not Found", -1)</f>
        <v>not completed</v>
      </c>
      <c r="CK1152" s="66" t="s">
        <v>1174</v>
      </c>
      <c r="CL1152" s="66" t="s">
        <v>1175</v>
      </c>
      <c r="CM1152" s="105"/>
      <c r="CN1152" s="66" t="s">
        <v>425</v>
      </c>
      <c r="CO1152" s="66" t="s">
        <v>424</v>
      </c>
      <c r="CP1152" s="110"/>
      <c r="CQ1152" s="68"/>
      <c r="CR1152" s="20" t="str" cm="1">
        <f t="array" ref="CR1152">IF(OR(ISBLANK(E1152),ISBLANK(CQ1152)),"Incomplete",_xlfn.XLOOKUP(CQ1152,_xlfn.XLOOKUP(E1152,'Normative data'!$Y$3:$Y$6,'Normative data'!$Z$3:$AG$6,,-1),'Normative data'!$Z$2:$AG$2,"Not Found",-1))</f>
        <v>Incomplete</v>
      </c>
      <c r="CS1152" s="68"/>
      <c r="CT1152" s="66"/>
      <c r="CU1152" s="20" t="str" cm="1">
        <f t="array" ref="CU1152">_xlfn.XLOOKUP(CS1152&amp;CT1152,(VLOOKUP!$A$3:$A$250)&amp;(VLOOKUP!$B$3:$B$250),VLOOKUP!$C$3:$C$250,"Incomplete",-1)</f>
        <v>Incomplete</v>
      </c>
      <c r="CV1152" s="20" t="str" cm="1">
        <f t="array" ref="CV1152">_xlfn.XLOOKUP(CU1152, _xlfn.XLOOKUP(E1152, 'Normative data'!$Y$11:$Y$14, 'Normative data'!$Z$11:$AG$14, ,-1), 'Normative data'!$Z$10:$AG$10, "Not Found", -1)</f>
        <v>Excellent</v>
      </c>
      <c r="CW1152" s="20" t="str" cm="1">
        <f t="array" ref="CW1152">IF(OR(ISBLANK(CS1152),ISBLANK(CT1152)),"Incomplete",_xlfn.XLOOKUP(CS1152&amp;CT1152,VLOOKUP!$A$4:$A$250&amp;VLOOKUP!$B$4:$B$250,VLOOKUP!$D$4:$D$250,"0"))</f>
        <v>Incomplete</v>
      </c>
    </row>
    <row r="1153" spans="1:101">
      <c r="A1153" s="93" t="s">
        <v>1262</v>
      </c>
      <c r="B1153" s="93" t="s">
        <v>1809</v>
      </c>
      <c r="C1153" s="64" t="s">
        <v>86</v>
      </c>
      <c r="D1153" s="96">
        <v>40386</v>
      </c>
      <c r="E1153" s="64"/>
      <c r="F1153" s="64">
        <v>9</v>
      </c>
      <c r="G1153" s="64">
        <v>2025</v>
      </c>
      <c r="H1153" s="66"/>
      <c r="I1153" s="64"/>
      <c r="J1153" s="64"/>
      <c r="K1153" s="64"/>
      <c r="L1153" s="64"/>
      <c r="M1153" s="64"/>
      <c r="N1153" s="64"/>
      <c r="O1153" s="64"/>
      <c r="P1153" s="64"/>
      <c r="Q1153" s="64"/>
      <c r="R1153" s="64"/>
      <c r="S1153" s="66"/>
      <c r="T1153" s="66"/>
      <c r="U1153" s="66"/>
      <c r="V1153" s="66"/>
      <c r="W1153" s="66"/>
      <c r="X1153" s="66"/>
      <c r="Y1153" s="66"/>
      <c r="Z1153" s="66"/>
      <c r="AA1153" s="66"/>
      <c r="AB1153" s="66"/>
      <c r="AC1153" s="66"/>
      <c r="AD1153" s="66"/>
      <c r="AE1153" s="66"/>
      <c r="AF1153" s="66"/>
      <c r="AG1153" s="66"/>
      <c r="AH1153" s="66"/>
      <c r="AI1153" s="66"/>
      <c r="AJ1153" s="66"/>
      <c r="AK1153" s="66"/>
      <c r="AL1153" s="66"/>
      <c r="AM1153" s="66"/>
      <c r="AN1153" s="66"/>
      <c r="AO1153" s="66"/>
      <c r="AP1153" s="66"/>
      <c r="AQ1153" s="66"/>
      <c r="AR1153" s="66"/>
      <c r="AS1153" s="66"/>
      <c r="AT1153" s="66"/>
      <c r="AU1153" s="66"/>
      <c r="AV1153" s="66"/>
      <c r="AW1153" s="66"/>
      <c r="AX1153" s="66"/>
      <c r="AY1153" s="41" t="str">
        <f t="shared" si="360"/>
        <v>Incomplete</v>
      </c>
      <c r="AZ1153" s="66"/>
      <c r="BA1153" s="20" t="str">
        <f t="shared" si="361"/>
        <v>Incomplete</v>
      </c>
      <c r="BB1153" s="66"/>
      <c r="BC1153" s="20" t="str">
        <f t="shared" si="362"/>
        <v>Incomplete</v>
      </c>
      <c r="BD1153" s="66"/>
      <c r="BE1153" s="20" t="str">
        <f t="shared" si="363"/>
        <v>Incomplete</v>
      </c>
      <c r="BF1153" s="66"/>
      <c r="BG1153" s="66">
        <v>17</v>
      </c>
      <c r="BH1153" s="66">
        <v>30</v>
      </c>
      <c r="BI1153" s="20">
        <f t="shared" si="359"/>
        <v>13</v>
      </c>
      <c r="BJ1153" s="66"/>
      <c r="BK1153" s="66"/>
      <c r="BL1153" s="66"/>
      <c r="BM1153" s="66"/>
      <c r="BN1153" s="66"/>
      <c r="BO1153" s="66"/>
      <c r="BP1153" s="66"/>
      <c r="BQ1153" s="66"/>
      <c r="BR1153" s="66"/>
      <c r="BS1153" s="66"/>
      <c r="BT1153" s="66"/>
      <c r="BU1153" s="66"/>
      <c r="BV1153" s="66"/>
      <c r="BW1153" s="91" t="str">
        <f t="shared" si="364"/>
        <v>Incomplete</v>
      </c>
      <c r="BX1153" s="91" t="str">
        <f>_xlfn.XLOOKUP(BW1153,'Normative data'!$V$3:$V$6,'Normative data'!$W$3:$W$6,"Not Found",-1)</f>
        <v>Very low risk</v>
      </c>
      <c r="BY1153" s="91" t="str">
        <f t="shared" si="365"/>
        <v>Incomplete</v>
      </c>
      <c r="BZ1153" s="91" t="str">
        <f>_xlfn.XLOOKUP(BY1153,'Normative data'!$V$3:$V$6,'Normative data'!$W$3:$W$6,"Not Found",-1)</f>
        <v>Very low risk</v>
      </c>
      <c r="CA1153" s="66"/>
      <c r="CB1153" s="66"/>
      <c r="CC1153" s="20"/>
      <c r="CD1153" s="66"/>
      <c r="CE1153" s="66"/>
      <c r="CF1153" s="66"/>
      <c r="CG1153" s="20"/>
      <c r="CH1153" s="20" t="str">
        <f>_xlfn.XLOOKUP(CG1153, 'Normative data'!$S$9:$S$15,'Normative data'!$T$9:$T$15, "Not Found", -1)</f>
        <v>not completed</v>
      </c>
      <c r="CI1153" s="20"/>
      <c r="CJ1153" s="20" t="str">
        <f>_xlfn.XLOOKUP(CI1153, 'Normative data'!$S$9:$S$15, 'Normative data'!$T$9:$T$15, "Not Found", -1)</f>
        <v>not completed</v>
      </c>
      <c r="CK1153" s="72">
        <v>2.2999999999999998</v>
      </c>
      <c r="CL1153" s="72">
        <v>4.3499999999999996</v>
      </c>
      <c r="CM1153" s="105"/>
      <c r="CN1153" s="72">
        <v>7.12</v>
      </c>
      <c r="CO1153" s="72">
        <v>7.02</v>
      </c>
      <c r="CP1153" s="109"/>
      <c r="CQ1153" s="68"/>
      <c r="CR1153" s="20" t="str" cm="1">
        <f t="array" ref="CR1153">IF(OR(ISBLANK(E1153),ISBLANK(CQ1153)),"Incomplete",_xlfn.XLOOKUP(CQ1153,_xlfn.XLOOKUP(E1153,'Normative data'!$Y$3:$Y$6,'Normative data'!$Z$3:$AG$6,,-1),'Normative data'!$Z$2:$AG$2,"Not Found",-1))</f>
        <v>Incomplete</v>
      </c>
      <c r="CS1153" s="68"/>
      <c r="CT1153" s="66"/>
      <c r="CU1153" s="20" t="str" cm="1">
        <f t="array" ref="CU1153">_xlfn.XLOOKUP(CS1153&amp;CT1153,(VLOOKUP!$A$3:$A$250)&amp;(VLOOKUP!$B$3:$B$250),VLOOKUP!$C$3:$C$250,"Incomplete",-1)</f>
        <v>Incomplete</v>
      </c>
      <c r="CV1153" s="20" t="str" cm="1">
        <f t="array" ref="CV1153">_xlfn.XLOOKUP(CU1153, _xlfn.XLOOKUP(E1153, 'Normative data'!$Y$11:$Y$14, 'Normative data'!$Z$11:$AG$14, ,-1), 'Normative data'!$Z$10:$AG$10, "Not Found", -1)</f>
        <v>Excellent</v>
      </c>
      <c r="CW1153" s="20" t="str" cm="1">
        <f t="array" ref="CW1153">IF(OR(ISBLANK(CS1153),ISBLANK(CT1153)),"Incomplete",_xlfn.XLOOKUP(CS1153&amp;CT1153,VLOOKUP!$A$4:$A$250&amp;VLOOKUP!$B$4:$B$250,VLOOKUP!$D$4:$D$250,"0"))</f>
        <v>Incomplete</v>
      </c>
    </row>
    <row r="1154" spans="1:101">
      <c r="A1154" s="94" t="s">
        <v>645</v>
      </c>
      <c r="B1154" s="94" t="s">
        <v>1261</v>
      </c>
      <c r="C1154" s="64" t="s">
        <v>86</v>
      </c>
      <c r="D1154" s="97">
        <v>40715</v>
      </c>
      <c r="E1154" s="64"/>
      <c r="F1154" s="64">
        <v>8</v>
      </c>
      <c r="G1154" s="64">
        <v>2025</v>
      </c>
      <c r="H1154" s="66"/>
      <c r="I1154" s="64"/>
      <c r="J1154" s="64"/>
      <c r="K1154" s="64"/>
      <c r="L1154" s="64"/>
      <c r="M1154" s="64"/>
      <c r="N1154" s="64"/>
      <c r="O1154" s="64"/>
      <c r="P1154" s="64"/>
      <c r="Q1154" s="64"/>
      <c r="R1154" s="64"/>
      <c r="S1154" s="66"/>
      <c r="T1154" s="66"/>
      <c r="U1154" s="66"/>
      <c r="V1154" s="66"/>
      <c r="W1154" s="66"/>
      <c r="X1154" s="66"/>
      <c r="Y1154" s="66"/>
      <c r="Z1154" s="66"/>
      <c r="AA1154" s="66"/>
      <c r="AB1154" s="66"/>
      <c r="AC1154" s="66"/>
      <c r="AD1154" s="66"/>
      <c r="AE1154" s="66"/>
      <c r="AF1154" s="66"/>
      <c r="AG1154" s="66"/>
      <c r="AH1154" s="66"/>
      <c r="AI1154" s="66"/>
      <c r="AJ1154" s="66"/>
      <c r="AK1154" s="66"/>
      <c r="AL1154" s="66"/>
      <c r="AM1154" s="66"/>
      <c r="AN1154" s="66"/>
      <c r="AO1154" s="66"/>
      <c r="AP1154" s="66"/>
      <c r="AQ1154" s="66"/>
      <c r="AR1154" s="66"/>
      <c r="AS1154" s="66"/>
      <c r="AT1154" s="66"/>
      <c r="AU1154" s="66"/>
      <c r="AV1154" s="66"/>
      <c r="AW1154" s="66"/>
      <c r="AX1154" s="66"/>
      <c r="AY1154" s="41" t="str">
        <f t="shared" si="360"/>
        <v>Incomplete</v>
      </c>
      <c r="AZ1154" s="66"/>
      <c r="BA1154" s="20" t="str">
        <f t="shared" si="361"/>
        <v>Incomplete</v>
      </c>
      <c r="BB1154" s="66"/>
      <c r="BC1154" s="20" t="str">
        <f t="shared" si="362"/>
        <v>Incomplete</v>
      </c>
      <c r="BD1154" s="66"/>
      <c r="BE1154" s="20" t="str">
        <f t="shared" si="363"/>
        <v>Incomplete</v>
      </c>
      <c r="BF1154" s="66"/>
      <c r="BG1154" s="66">
        <v>8</v>
      </c>
      <c r="BH1154" s="66">
        <v>28.5</v>
      </c>
      <c r="BI1154" s="20" t="e">
        <f>IF(OR(ISBLANK(#REF!), ISBLANK(#REF!)),"Incomplete",(SUM(#REF!-#REF!)))</f>
        <v>#REF!</v>
      </c>
      <c r="BJ1154" s="66"/>
      <c r="BK1154" s="66"/>
      <c r="BL1154" s="66"/>
      <c r="BM1154" s="66"/>
      <c r="BN1154" s="66"/>
      <c r="BO1154" s="66"/>
      <c r="BP1154" s="66"/>
      <c r="BQ1154" s="66"/>
      <c r="BR1154" s="66"/>
      <c r="BS1154" s="66"/>
      <c r="BT1154" s="66"/>
      <c r="BU1154" s="66"/>
      <c r="BV1154" s="66"/>
      <c r="BW1154" s="91" t="str">
        <f t="shared" si="364"/>
        <v>Incomplete</v>
      </c>
      <c r="BX1154" s="91" t="str">
        <f>_xlfn.XLOOKUP(BW1154,'Normative data'!$V$3:$V$6,'Normative data'!$W$3:$W$6,"Not Found",-1)</f>
        <v>Very low risk</v>
      </c>
      <c r="BY1154" s="91" t="str">
        <f t="shared" si="365"/>
        <v>Incomplete</v>
      </c>
      <c r="BZ1154" s="91" t="str">
        <f>_xlfn.XLOOKUP(BY1154,'Normative data'!$V$3:$V$6,'Normative data'!$W$3:$W$6,"Not Found",-1)</f>
        <v>Very low risk</v>
      </c>
      <c r="CA1154" s="66"/>
      <c r="CB1154" s="66"/>
      <c r="CC1154" s="20"/>
      <c r="CD1154" s="66"/>
      <c r="CE1154" s="66">
        <v>11</v>
      </c>
      <c r="CF1154" s="66"/>
      <c r="CG1154" s="66"/>
      <c r="CH1154" s="20" t="str">
        <f>_xlfn.XLOOKUP(CG1154, 'Normative data'!$S$9:$S$15,'Normative data'!$T$9:$T$15, "Not Found", -1)</f>
        <v>not completed</v>
      </c>
      <c r="CI1154" s="66"/>
      <c r="CJ1154" s="20" t="str">
        <f>_xlfn.XLOOKUP(CI1154, 'Normative data'!$S$9:$S$15, 'Normative data'!$T$9:$T$15, "Not Found", -1)</f>
        <v>not completed</v>
      </c>
      <c r="CK1154" s="24">
        <v>2.2799999999999998</v>
      </c>
      <c r="CL1154" s="24">
        <v>4.3899999999999997</v>
      </c>
      <c r="CM1154" s="24"/>
      <c r="CN1154" s="24">
        <v>7.05</v>
      </c>
      <c r="CO1154" s="24">
        <v>7.09</v>
      </c>
      <c r="CP1154" s="110"/>
      <c r="CQ1154" s="68"/>
      <c r="CR1154" s="20" t="str" cm="1">
        <f t="array" ref="CR1154">IF(OR(ISBLANK(E1154),ISBLANK(CQ1154)),"Incomplete",_xlfn.XLOOKUP(CQ1154,_xlfn.XLOOKUP(E1154,'Normative data'!$Y$3:$Y$6,'Normative data'!$Z$3:$AG$6,,-1),'Normative data'!$Z$2:$AG$2,"Not Found",-1))</f>
        <v>Incomplete</v>
      </c>
      <c r="CS1154" s="68"/>
      <c r="CT1154" s="66"/>
      <c r="CU1154" s="20" t="str" cm="1">
        <f t="array" ref="CU1154">_xlfn.XLOOKUP(CS1154&amp;CT1154,(VLOOKUP!$A$3:$A$250)&amp;(VLOOKUP!$B$3:$B$250),VLOOKUP!$C$3:$C$250,"Incomplete",-1)</f>
        <v>Incomplete</v>
      </c>
      <c r="CV1154" s="20" t="str" cm="1">
        <f t="array" ref="CV1154">_xlfn.XLOOKUP(CU1154, _xlfn.XLOOKUP(E1154, 'Normative data'!$Y$11:$Y$14, 'Normative data'!$Z$11:$AG$14, ,-1), 'Normative data'!$Z$10:$AG$10, "Not Found", -1)</f>
        <v>Excellent</v>
      </c>
      <c r="CW1154" s="20" t="str" cm="1">
        <f t="array" ref="CW1154">IF(OR(ISBLANK(CS1154),ISBLANK(CT1154)),"Incomplete",_xlfn.XLOOKUP(CS1154&amp;CT1154,VLOOKUP!$A$4:$A$250&amp;VLOOKUP!$B$4:$B$250,VLOOKUP!$D$4:$D$250,"0"))</f>
        <v>Incomplete</v>
      </c>
    </row>
    <row r="1155" spans="1:101">
      <c r="A1155" s="94" t="s">
        <v>767</v>
      </c>
      <c r="B1155" s="94" t="s">
        <v>766</v>
      </c>
      <c r="C1155" s="64" t="s">
        <v>86</v>
      </c>
      <c r="D1155" s="97">
        <v>40287</v>
      </c>
      <c r="E1155" s="64"/>
      <c r="F1155" s="64">
        <v>9</v>
      </c>
      <c r="G1155" s="64">
        <v>2025</v>
      </c>
      <c r="H1155" s="66"/>
      <c r="I1155" s="64"/>
      <c r="J1155" s="64"/>
      <c r="K1155" s="64"/>
      <c r="L1155" s="64"/>
      <c r="M1155" s="64"/>
      <c r="N1155" s="64"/>
      <c r="O1155" s="64"/>
      <c r="P1155" s="64"/>
      <c r="Q1155" s="64"/>
      <c r="R1155" s="64"/>
      <c r="S1155" s="66"/>
      <c r="T1155" s="66"/>
      <c r="U1155" s="66"/>
      <c r="V1155" s="66"/>
      <c r="W1155" s="66"/>
      <c r="X1155" s="66"/>
      <c r="Y1155" s="66"/>
      <c r="Z1155" s="66"/>
      <c r="AA1155" s="66"/>
      <c r="AB1155" s="66"/>
      <c r="AC1155" s="66"/>
      <c r="AD1155" s="66"/>
      <c r="AE1155" s="66"/>
      <c r="AF1155" s="66"/>
      <c r="AG1155" s="66"/>
      <c r="AH1155" s="66"/>
      <c r="AI1155" s="66"/>
      <c r="AJ1155" s="66"/>
      <c r="AK1155" s="66"/>
      <c r="AL1155" s="66"/>
      <c r="AM1155" s="66"/>
      <c r="AN1155" s="66"/>
      <c r="AO1155" s="66"/>
      <c r="AP1155" s="66"/>
      <c r="AQ1155" s="66"/>
      <c r="AR1155" s="66"/>
      <c r="AS1155" s="66"/>
      <c r="AT1155" s="66"/>
      <c r="AU1155" s="66"/>
      <c r="AV1155" s="66"/>
      <c r="AW1155" s="66"/>
      <c r="AX1155" s="66"/>
      <c r="AY1155" s="41" t="str">
        <f t="shared" si="360"/>
        <v>Incomplete</v>
      </c>
      <c r="AZ1155" s="66"/>
      <c r="BA1155" s="20" t="str">
        <f t="shared" si="361"/>
        <v>Incomplete</v>
      </c>
      <c r="BB1155" s="66"/>
      <c r="BC1155" s="20" t="str">
        <f t="shared" si="362"/>
        <v>Incomplete</v>
      </c>
      <c r="BD1155" s="66"/>
      <c r="BE1155" s="20" t="str">
        <f t="shared" si="363"/>
        <v>Incomplete</v>
      </c>
      <c r="BF1155" s="66"/>
      <c r="BG1155" s="66">
        <v>14</v>
      </c>
      <c r="BH1155" s="66">
        <v>30.5</v>
      </c>
      <c r="BI1155" s="20" t="e">
        <f>IF(OR(ISBLANK(#REF!), ISBLANK(#REF!)),"Incomplete",(SUM(#REF!-#REF!)))</f>
        <v>#REF!</v>
      </c>
      <c r="BJ1155" s="66"/>
      <c r="BK1155" s="66"/>
      <c r="BL1155" s="66"/>
      <c r="BM1155" s="66"/>
      <c r="BN1155" s="66"/>
      <c r="BO1155" s="66"/>
      <c r="BP1155" s="66"/>
      <c r="BQ1155" s="66"/>
      <c r="BR1155" s="66"/>
      <c r="BS1155" s="66"/>
      <c r="BT1155" s="66"/>
      <c r="BU1155" s="66"/>
      <c r="BV1155" s="66"/>
      <c r="BW1155" s="91" t="str">
        <f t="shared" si="364"/>
        <v>Incomplete</v>
      </c>
      <c r="BX1155" s="91" t="str">
        <f>_xlfn.XLOOKUP(BW1155,'Normative data'!$V$3:$V$6,'Normative data'!$W$3:$W$6,"Not Found",-1)</f>
        <v>Very low risk</v>
      </c>
      <c r="BY1155" s="91" t="str">
        <f t="shared" si="365"/>
        <v>Incomplete</v>
      </c>
      <c r="BZ1155" s="91" t="str">
        <f>_xlfn.XLOOKUP(BY1155,'Normative data'!$V$3:$V$6,'Normative data'!$W$3:$W$6,"Not Found",-1)</f>
        <v>Very low risk</v>
      </c>
      <c r="CA1155" s="66"/>
      <c r="CB1155" s="66"/>
      <c r="CC1155" s="20"/>
      <c r="CD1155" s="66"/>
      <c r="CE1155" s="66"/>
      <c r="CF1155" s="66"/>
      <c r="CG1155" s="66"/>
      <c r="CH1155" s="20" t="str">
        <f>_xlfn.XLOOKUP(CG1155, 'Normative data'!$S$9:$S$15,'Normative data'!$T$9:$T$15, "Not Found", -1)</f>
        <v>not completed</v>
      </c>
      <c r="CI1155" s="66"/>
      <c r="CJ1155" s="20" t="str">
        <f>_xlfn.XLOOKUP(CI1155, 'Normative data'!$S$9:$S$15, 'Normative data'!$T$9:$T$15, "Not Found", -1)</f>
        <v>not completed</v>
      </c>
      <c r="CK1155" s="21">
        <v>2.31</v>
      </c>
      <c r="CL1155" s="21">
        <v>4.33</v>
      </c>
      <c r="CM1155" s="21"/>
      <c r="CN1155" s="21">
        <v>7.27</v>
      </c>
      <c r="CO1155" s="21">
        <v>6.88</v>
      </c>
      <c r="CP1155" s="109"/>
      <c r="CQ1155" s="68"/>
      <c r="CR1155" s="20" t="str" cm="1">
        <f t="array" ref="CR1155">IF(OR(ISBLANK(E1155),ISBLANK(CQ1155)),"Incomplete",_xlfn.XLOOKUP(CQ1155,_xlfn.XLOOKUP(E1155,'Normative data'!$Y$3:$Y$6,'Normative data'!$Z$3:$AG$6,,-1),'Normative data'!$Z$2:$AG$2,"Not Found",-1))</f>
        <v>Incomplete</v>
      </c>
      <c r="CS1155" s="68"/>
      <c r="CT1155" s="66"/>
      <c r="CU1155" s="20" t="str" cm="1">
        <f t="array" ref="CU1155">_xlfn.XLOOKUP(CS1155&amp;CT1155,(VLOOKUP!$A$3:$A$250)&amp;(VLOOKUP!$B$3:$B$250),VLOOKUP!$C$3:$C$250,"Incomplete",-1)</f>
        <v>Incomplete</v>
      </c>
      <c r="CV1155" s="20" t="str" cm="1">
        <f t="array" ref="CV1155">_xlfn.XLOOKUP(CU1155, _xlfn.XLOOKUP(E1155, 'Normative data'!$Y$11:$Y$14, 'Normative data'!$Z$11:$AG$14, ,-1), 'Normative data'!$Z$10:$AG$10, "Not Found", -1)</f>
        <v>Excellent</v>
      </c>
      <c r="CW1155" s="20" t="str" cm="1">
        <f t="array" ref="CW1155">IF(OR(ISBLANK(CS1155),ISBLANK(CT1155)),"Incomplete",_xlfn.XLOOKUP(CS1155&amp;CT1155,VLOOKUP!$A$4:$A$250&amp;VLOOKUP!$B$4:$B$250,VLOOKUP!$D$4:$D$250,"0"))</f>
        <v>Incomplete</v>
      </c>
    </row>
    <row r="1156" spans="1:101">
      <c r="A1156" s="64" t="s">
        <v>163</v>
      </c>
      <c r="B1156" s="64" t="s">
        <v>1810</v>
      </c>
      <c r="C1156" s="64" t="s">
        <v>86</v>
      </c>
      <c r="D1156" s="65">
        <v>41223</v>
      </c>
      <c r="E1156" s="64">
        <v>13.5</v>
      </c>
      <c r="F1156" s="66" t="s">
        <v>251</v>
      </c>
      <c r="G1156" s="64">
        <v>2026</v>
      </c>
      <c r="H1156" s="66"/>
      <c r="I1156" s="66">
        <v>2</v>
      </c>
      <c r="J1156" s="66" t="s">
        <v>100</v>
      </c>
      <c r="K1156" s="66" t="s">
        <v>236</v>
      </c>
      <c r="L1156" s="66"/>
      <c r="M1156" s="64"/>
      <c r="N1156" s="64"/>
      <c r="O1156" s="64"/>
      <c r="P1156" s="64"/>
      <c r="Q1156" s="64"/>
      <c r="R1156" s="64"/>
      <c r="S1156" s="66"/>
      <c r="T1156" s="66">
        <v>160.80000000000001</v>
      </c>
      <c r="U1156" s="64">
        <v>39.5</v>
      </c>
      <c r="V1156" s="64">
        <v>25</v>
      </c>
      <c r="W1156" s="64">
        <v>5.4</v>
      </c>
      <c r="X1156" s="64">
        <v>34.1</v>
      </c>
      <c r="Y1156" s="64">
        <v>18.100000000000001</v>
      </c>
      <c r="Z1156" s="64">
        <v>15.3</v>
      </c>
      <c r="AA1156" s="64">
        <v>13.6</v>
      </c>
      <c r="AB1156" s="64">
        <v>5.04</v>
      </c>
      <c r="AC1156" s="64">
        <v>110.3</v>
      </c>
      <c r="AD1156" s="64">
        <v>5.16</v>
      </c>
      <c r="AE1156" s="64">
        <v>112.9</v>
      </c>
      <c r="AF1156" s="64">
        <v>1.1000000000000001</v>
      </c>
      <c r="AG1156" s="64">
        <v>48.2</v>
      </c>
      <c r="AH1156" s="64">
        <v>1.1000000000000001</v>
      </c>
      <c r="AI1156" s="64">
        <v>48.7</v>
      </c>
      <c r="AJ1156" s="64">
        <v>383.2</v>
      </c>
      <c r="AK1156" s="64">
        <v>362.8</v>
      </c>
      <c r="AL1156" s="64">
        <v>348.2</v>
      </c>
      <c r="AM1156" s="64">
        <v>332.9</v>
      </c>
      <c r="AN1156" s="64">
        <v>87</v>
      </c>
      <c r="AO1156" s="64">
        <v>0.8</v>
      </c>
      <c r="AP1156" s="64">
        <v>5</v>
      </c>
      <c r="AQ1156" s="66"/>
      <c r="AR1156" s="66"/>
      <c r="AS1156" s="66"/>
      <c r="AT1156" s="66"/>
      <c r="AU1156" s="66"/>
      <c r="AV1156" s="66"/>
      <c r="AW1156" s="66"/>
      <c r="AX1156" s="66"/>
      <c r="AY1156" s="41" t="str">
        <f t="shared" si="360"/>
        <v>Incomplete</v>
      </c>
      <c r="AZ1156" s="64"/>
      <c r="BA1156" s="20" t="str">
        <f t="shared" si="361"/>
        <v>Incomplete</v>
      </c>
      <c r="BB1156" s="64"/>
      <c r="BC1156" s="20" t="str">
        <f t="shared" si="362"/>
        <v>Incomplete</v>
      </c>
      <c r="BD1156" s="64"/>
      <c r="BE1156" s="20" t="str">
        <f t="shared" si="363"/>
        <v>Incomplete</v>
      </c>
      <c r="BF1156" s="64"/>
      <c r="BG1156" s="64"/>
      <c r="BH1156" s="66"/>
      <c r="BI1156" s="20" t="str">
        <f>IF(OR(ISBLANK(BG1156), ISBLANK(BH1156)),"Incomplete",(SUM(BH1156-BG1156)))</f>
        <v>Incomplete</v>
      </c>
      <c r="BJ1156" s="66"/>
      <c r="BK1156" s="64">
        <v>10.5</v>
      </c>
      <c r="BL1156" s="66"/>
      <c r="BM1156" s="64">
        <v>8</v>
      </c>
      <c r="BN1156" s="66"/>
      <c r="BO1156" s="64"/>
      <c r="BP1156" s="64"/>
      <c r="BQ1156" s="64"/>
      <c r="BR1156" s="64"/>
      <c r="BS1156" s="64"/>
      <c r="BT1156" s="64"/>
      <c r="BU1156" s="64"/>
      <c r="BV1156" s="64"/>
      <c r="BW1156" s="91">
        <f t="shared" si="364"/>
        <v>0</v>
      </c>
      <c r="BX1156" s="91" t="str">
        <f>_xlfn.XLOOKUP(BW1156,'Normative data'!$V$3:$V$6,'Normative data'!$W$3:$W$6,"Not Found",-1)</f>
        <v>Not completed</v>
      </c>
      <c r="BY1156" s="91">
        <f t="shared" si="365"/>
        <v>0</v>
      </c>
      <c r="BZ1156" s="91" t="str">
        <f>_xlfn.XLOOKUP(BY1156,'Normative data'!$V$3:$V$6,'Normative data'!$W$3:$W$6,"Not Found",-1)</f>
        <v>Not completed</v>
      </c>
      <c r="CA1156" s="64"/>
      <c r="CB1156" s="66"/>
      <c r="CD1156" s="66"/>
      <c r="CE1156" s="64"/>
      <c r="CF1156" s="66"/>
      <c r="CG1156" s="20"/>
      <c r="CH1156" s="20" t="str">
        <f>_xlfn.XLOOKUP(CG1156, 'Normative data'!$S$9:$S$15,'Normative data'!$T$9:$T$15, "Not Found", -1)</f>
        <v>not completed</v>
      </c>
      <c r="CI1156" s="20"/>
      <c r="CJ1156" s="20" t="str">
        <f>_xlfn.XLOOKUP(CI1156, 'Normative data'!$S$9:$S$15, 'Normative data'!$T$9:$T$15, "Not Found", -1)</f>
        <v>not completed</v>
      </c>
      <c r="CK1156" s="64">
        <v>2.27</v>
      </c>
      <c r="CL1156" s="64">
        <v>4.41</v>
      </c>
      <c r="CM1156" s="66"/>
      <c r="CN1156" s="64">
        <v>7.13</v>
      </c>
      <c r="CO1156" s="64">
        <v>7.01</v>
      </c>
      <c r="CP1156" s="68"/>
      <c r="CQ1156" s="67"/>
      <c r="CR1156" s="20" t="str" cm="1">
        <f t="array" ref="CR1156">IF(OR(ISBLANK(E1156),ISBLANK(CQ1156)),"Incomplete",_xlfn.XLOOKUP(CQ1156,_xlfn.XLOOKUP(E1156,'Normative data'!$Y$3:$Y$6,'Normative data'!$Z$3:$AG$6,,-1),'Normative data'!$Z$2:$AG$2,"Not Found",-1))</f>
        <v>Incomplete</v>
      </c>
      <c r="CS1156" s="68"/>
      <c r="CT1156" s="66"/>
      <c r="CU1156" s="20" t="str" cm="1">
        <f t="array" ref="CU1156">_xlfn.XLOOKUP(CS1156&amp;CT1156,(VLOOKUP!$A$3:$A$250)&amp;(VLOOKUP!$B$3:$B$250),VLOOKUP!$C$3:$C$250,"Incomplete",-1)</f>
        <v>Incomplete</v>
      </c>
      <c r="CV1156" s="20" t="str" cm="1">
        <f t="array" ref="CV1156">_xlfn.XLOOKUP(CU1156, _xlfn.XLOOKUP(E1156, 'Normative data'!$Y$11:$Y$14, 'Normative data'!$Z$11:$AG$14, ,-1), 'Normative data'!$Z$10:$AG$10, "Not Found", -1)</f>
        <v>Excellent</v>
      </c>
      <c r="CW1156" s="20" t="str" cm="1">
        <f t="array" ref="CW1156">IF(OR(ISBLANK(CS1156),ISBLANK(CT1156)),"Incomplete",_xlfn.XLOOKUP(CS1156&amp;CT1156,VLOOKUP!$A$4:$A$250&amp;VLOOKUP!$B$4:$B$250,VLOOKUP!$D$4:$D$250,"0"))</f>
        <v>Incomplete</v>
      </c>
    </row>
    <row r="1157" spans="1:101">
      <c r="A1157" s="94" t="s">
        <v>503</v>
      </c>
      <c r="B1157" s="94" t="s">
        <v>782</v>
      </c>
      <c r="C1157" s="64" t="s">
        <v>86</v>
      </c>
      <c r="D1157" s="97">
        <v>40471</v>
      </c>
      <c r="E1157" s="64"/>
      <c r="F1157" s="64">
        <v>9</v>
      </c>
      <c r="G1157" s="64">
        <v>2025</v>
      </c>
      <c r="H1157" s="66"/>
      <c r="I1157" s="64"/>
      <c r="J1157" s="64"/>
      <c r="K1157" s="64"/>
      <c r="L1157" s="64"/>
      <c r="M1157" s="64"/>
      <c r="N1157" s="64"/>
      <c r="O1157" s="64"/>
      <c r="P1157" s="64"/>
      <c r="Q1157" s="64"/>
      <c r="R1157" s="64"/>
      <c r="S1157" s="66"/>
      <c r="T1157" s="66"/>
      <c r="U1157" s="66"/>
      <c r="V1157" s="66"/>
      <c r="W1157" s="66"/>
      <c r="X1157" s="66"/>
      <c r="Y1157" s="66"/>
      <c r="Z1157" s="66"/>
      <c r="AA1157" s="66"/>
      <c r="AB1157" s="66"/>
      <c r="AC1157" s="66"/>
      <c r="AD1157" s="66"/>
      <c r="AE1157" s="66"/>
      <c r="AF1157" s="66"/>
      <c r="AG1157" s="66"/>
      <c r="AH1157" s="66"/>
      <c r="AI1157" s="66"/>
      <c r="AJ1157" s="66"/>
      <c r="AK1157" s="66"/>
      <c r="AL1157" s="66"/>
      <c r="AM1157" s="66"/>
      <c r="AN1157" s="66"/>
      <c r="AO1157" s="66"/>
      <c r="AP1157" s="66"/>
      <c r="AQ1157" s="66"/>
      <c r="AR1157" s="66"/>
      <c r="AS1157" s="66"/>
      <c r="AT1157" s="66"/>
      <c r="AU1157" s="66"/>
      <c r="AV1157" s="66"/>
      <c r="AW1157" s="66"/>
      <c r="AX1157" s="66"/>
      <c r="AY1157" s="41" t="str">
        <f t="shared" si="360"/>
        <v>Incomplete</v>
      </c>
      <c r="AZ1157" s="66"/>
      <c r="BA1157" s="20" t="str">
        <f t="shared" si="361"/>
        <v>Incomplete</v>
      </c>
      <c r="BB1157" s="66"/>
      <c r="BC1157" s="20" t="str">
        <f t="shared" si="362"/>
        <v>Incomplete</v>
      </c>
      <c r="BD1157" s="66"/>
      <c r="BE1157" s="20" t="str">
        <f t="shared" si="363"/>
        <v>Incomplete</v>
      </c>
      <c r="BF1157" s="66"/>
      <c r="BG1157" s="66">
        <v>8.5</v>
      </c>
      <c r="BH1157" s="20">
        <v>48.2</v>
      </c>
      <c r="BI1157" s="20" t="e">
        <f>IF(OR(ISBLANK(#REF!), ISBLANK(#REF!)),"Incomplete",(SUM(#REF!-#REF!)))</f>
        <v>#REF!</v>
      </c>
      <c r="BJ1157" s="66"/>
      <c r="BK1157" s="66"/>
      <c r="BL1157" s="66"/>
      <c r="BM1157" s="66"/>
      <c r="BN1157" s="66"/>
      <c r="BO1157" s="66"/>
      <c r="BP1157" s="66"/>
      <c r="BQ1157" s="66"/>
      <c r="BR1157" s="66"/>
      <c r="BS1157" s="66"/>
      <c r="BT1157" s="66"/>
      <c r="BU1157" s="66"/>
      <c r="BV1157" s="66"/>
      <c r="BW1157" s="91" t="str">
        <f t="shared" si="364"/>
        <v>Incomplete</v>
      </c>
      <c r="BX1157" s="91" t="str">
        <f>_xlfn.XLOOKUP(BW1157,'Normative data'!$V$3:$V$6,'Normative data'!$W$3:$W$6,"Not Found",-1)</f>
        <v>Very low risk</v>
      </c>
      <c r="BY1157" s="91" t="str">
        <f t="shared" si="365"/>
        <v>Incomplete</v>
      </c>
      <c r="BZ1157" s="91" t="str">
        <f>_xlfn.XLOOKUP(BY1157,'Normative data'!$V$3:$V$6,'Normative data'!$W$3:$W$6,"Not Found",-1)</f>
        <v>Very low risk</v>
      </c>
      <c r="CA1157" s="66"/>
      <c r="CB1157" s="66"/>
      <c r="CC1157" s="20"/>
      <c r="CD1157" s="66"/>
      <c r="CE1157" s="66">
        <v>13</v>
      </c>
      <c r="CF1157" s="66"/>
      <c r="CG1157" s="66"/>
      <c r="CH1157" s="20" t="str">
        <f>_xlfn.XLOOKUP(CG1157, 'Normative data'!$S$9:$S$15,'Normative data'!$T$9:$T$15, "Not Found", -1)</f>
        <v>not completed</v>
      </c>
      <c r="CI1157" s="66"/>
      <c r="CJ1157" s="20" t="str">
        <f>_xlfn.XLOOKUP(CI1157, 'Normative data'!$S$9:$S$15, 'Normative data'!$T$9:$T$15, "Not Found", -1)</f>
        <v>not completed</v>
      </c>
      <c r="CK1157" s="106">
        <v>2.42</v>
      </c>
      <c r="CL1157" s="106">
        <v>4.13</v>
      </c>
      <c r="CM1157" s="106"/>
      <c r="CN1157" s="106">
        <v>7.51</v>
      </c>
      <c r="CO1157" s="106">
        <v>6.66</v>
      </c>
      <c r="CP1157" s="110"/>
      <c r="CQ1157" s="68"/>
      <c r="CR1157" s="20" t="str" cm="1">
        <f t="array" ref="CR1157">IF(OR(ISBLANK(E1157),ISBLANK(CQ1157)),"Incomplete",_xlfn.XLOOKUP(CQ1157,_xlfn.XLOOKUP(E1157,'Normative data'!$Y$3:$Y$6,'Normative data'!$Z$3:$AG$6,,-1),'Normative data'!$Z$2:$AG$2,"Not Found",-1))</f>
        <v>Incomplete</v>
      </c>
      <c r="CS1157" s="68"/>
      <c r="CT1157" s="66"/>
      <c r="CU1157" s="20" t="str" cm="1">
        <f t="array" ref="CU1157">_xlfn.XLOOKUP(CS1157&amp;CT1157,(VLOOKUP!$A$3:$A$250)&amp;(VLOOKUP!$B$3:$B$250),VLOOKUP!$C$3:$C$250,"Incomplete",-1)</f>
        <v>Incomplete</v>
      </c>
      <c r="CV1157" s="20" t="str" cm="1">
        <f t="array" ref="CV1157">_xlfn.XLOOKUP(CU1157, _xlfn.XLOOKUP(E1157, 'Normative data'!$Y$11:$Y$14, 'Normative data'!$Z$11:$AG$14, ,-1), 'Normative data'!$Z$10:$AG$10, "Not Found", -1)</f>
        <v>Excellent</v>
      </c>
      <c r="CW1157" s="20" t="str" cm="1">
        <f t="array" ref="CW1157">IF(OR(ISBLANK(CS1157),ISBLANK(CT1157)),"Incomplete",_xlfn.XLOOKUP(CS1157&amp;CT1157,VLOOKUP!$A$4:$A$250&amp;VLOOKUP!$B$4:$B$250,VLOOKUP!$D$4:$D$250,"0"))</f>
        <v>Incomplete</v>
      </c>
    </row>
    <row r="1158" spans="1:101">
      <c r="A1158" s="64" t="s">
        <v>505</v>
      </c>
      <c r="B1158" s="64" t="s">
        <v>782</v>
      </c>
      <c r="C1158" s="64" t="s">
        <v>86</v>
      </c>
      <c r="D1158" s="97">
        <v>40471</v>
      </c>
      <c r="E1158" s="64"/>
      <c r="F1158" s="64">
        <v>9</v>
      </c>
      <c r="G1158" s="64">
        <v>2025</v>
      </c>
      <c r="H1158" s="66"/>
      <c r="I1158" s="64"/>
      <c r="J1158" s="64"/>
      <c r="K1158" s="64"/>
      <c r="L1158" s="64"/>
      <c r="M1158" s="64"/>
      <c r="N1158" s="64"/>
      <c r="O1158" s="64"/>
      <c r="P1158" s="64"/>
      <c r="Q1158" s="64"/>
      <c r="R1158" s="64"/>
      <c r="S1158" s="66"/>
      <c r="T1158" s="66"/>
      <c r="U1158" s="66"/>
      <c r="V1158" s="66"/>
      <c r="W1158" s="66"/>
      <c r="X1158" s="66"/>
      <c r="Y1158" s="66"/>
      <c r="Z1158" s="66"/>
      <c r="AA1158" s="66"/>
      <c r="AB1158" s="66"/>
      <c r="AC1158" s="66"/>
      <c r="AD1158" s="66"/>
      <c r="AE1158" s="66"/>
      <c r="AF1158" s="66"/>
      <c r="AG1158" s="66"/>
      <c r="AH1158" s="66"/>
      <c r="AI1158" s="66"/>
      <c r="AJ1158" s="66"/>
      <c r="AK1158" s="66"/>
      <c r="AL1158" s="66"/>
      <c r="AM1158" s="66"/>
      <c r="AN1158" s="66"/>
      <c r="AO1158" s="66"/>
      <c r="AP1158" s="66"/>
      <c r="AQ1158" s="66"/>
      <c r="AR1158" s="66"/>
      <c r="AS1158" s="66"/>
      <c r="AT1158" s="66"/>
      <c r="AU1158" s="66"/>
      <c r="AV1158" s="66"/>
      <c r="AW1158" s="66"/>
      <c r="AX1158" s="66"/>
      <c r="AY1158" s="41" t="str">
        <f t="shared" si="360"/>
        <v>Incomplete</v>
      </c>
      <c r="AZ1158" s="66"/>
      <c r="BA1158" s="20" t="str">
        <f t="shared" si="361"/>
        <v>Incomplete</v>
      </c>
      <c r="BB1158" s="66"/>
      <c r="BC1158" s="20" t="str">
        <f t="shared" si="362"/>
        <v>Incomplete</v>
      </c>
      <c r="BD1158" s="66"/>
      <c r="BE1158" s="20" t="str">
        <f t="shared" si="363"/>
        <v>Incomplete</v>
      </c>
      <c r="BF1158" s="66"/>
      <c r="BG1158" s="66"/>
      <c r="BH1158" s="66"/>
      <c r="BI1158" s="20" t="str">
        <f>IF(OR(ISBLANK(BG1158), ISBLANK(BH1158)),"Incomplete",(SUM(BH1158-BG1158)))</f>
        <v>Incomplete</v>
      </c>
      <c r="BJ1158" s="66"/>
      <c r="BK1158" s="66"/>
      <c r="BL1158" s="66"/>
      <c r="BM1158" s="66"/>
      <c r="BN1158" s="66"/>
      <c r="BO1158" s="66"/>
      <c r="BP1158" s="66"/>
      <c r="BQ1158" s="66"/>
      <c r="BR1158" s="66"/>
      <c r="BS1158" s="66"/>
      <c r="BT1158" s="66"/>
      <c r="BU1158" s="66"/>
      <c r="BV1158" s="66"/>
      <c r="BW1158" s="91" t="str">
        <f t="shared" si="364"/>
        <v>Incomplete</v>
      </c>
      <c r="BX1158" s="91" t="str">
        <f>_xlfn.XLOOKUP(BW1158,'Normative data'!$V$3:$V$6,'Normative data'!$W$3:$W$6,"Not Found",-1)</f>
        <v>Very low risk</v>
      </c>
      <c r="BY1158" s="91" t="str">
        <f t="shared" si="365"/>
        <v>Incomplete</v>
      </c>
      <c r="BZ1158" s="91" t="str">
        <f>_xlfn.XLOOKUP(BY1158,'Normative data'!$V$3:$V$6,'Normative data'!$W$3:$W$6,"Not Found",-1)</f>
        <v>Very low risk</v>
      </c>
      <c r="CA1158" s="66"/>
      <c r="CB1158" s="66"/>
      <c r="CC1158" s="20"/>
      <c r="CD1158" s="66"/>
      <c r="CE1158" s="66"/>
      <c r="CF1158" s="66"/>
      <c r="CG1158" s="66"/>
      <c r="CH1158" s="20" t="str">
        <f>_xlfn.XLOOKUP(CG1158, 'Normative data'!$S$9:$S$15,'Normative data'!$T$9:$T$15, "Not Found", -1)</f>
        <v>not completed</v>
      </c>
      <c r="CI1158" s="66"/>
      <c r="CJ1158" s="20" t="str">
        <f>_xlfn.XLOOKUP(CI1158, 'Normative data'!$S$9:$S$15, 'Normative data'!$T$9:$T$15, "Not Found", -1)</f>
        <v>not completed</v>
      </c>
      <c r="CK1158" s="66" t="s">
        <v>490</v>
      </c>
      <c r="CL1158" s="66" t="s">
        <v>491</v>
      </c>
      <c r="CM1158" s="66"/>
      <c r="CN1158" s="66" t="s">
        <v>1604</v>
      </c>
      <c r="CO1158" s="66" t="s">
        <v>1811</v>
      </c>
      <c r="CP1158" s="68"/>
      <c r="CQ1158" s="68"/>
      <c r="CR1158" s="20" t="str" cm="1">
        <f t="array" ref="CR1158">IF(OR(ISBLANK(E1158),ISBLANK(CQ1158)),"Incomplete",_xlfn.XLOOKUP(CQ1158,_xlfn.XLOOKUP(E1158,'Normative data'!$Y$3:$Y$6,'Normative data'!$Z$3:$AG$6,,-1),'Normative data'!$Z$2:$AG$2,"Not Found",-1))</f>
        <v>Incomplete</v>
      </c>
      <c r="CS1158" s="68"/>
      <c r="CT1158" s="66"/>
      <c r="CU1158" s="20" t="str" cm="1">
        <f t="array" ref="CU1158">_xlfn.XLOOKUP(CS1158&amp;CT1158,(VLOOKUP!$A$3:$A$250)&amp;(VLOOKUP!$B$3:$B$250),VLOOKUP!$C$3:$C$250,"Incomplete",-1)</f>
        <v>Incomplete</v>
      </c>
      <c r="CV1158" s="20" t="str" cm="1">
        <f t="array" ref="CV1158">_xlfn.XLOOKUP(CU1158, _xlfn.XLOOKUP(E1158, 'Normative data'!$Y$11:$Y$14, 'Normative data'!$Z$11:$AG$14, ,-1), 'Normative data'!$Z$10:$AG$10, "Not Found", -1)</f>
        <v>Excellent</v>
      </c>
      <c r="CW1158" s="20" t="str" cm="1">
        <f t="array" ref="CW1158">IF(OR(ISBLANK(CS1158),ISBLANK(CT1158)),"Incomplete",_xlfn.XLOOKUP(CS1158&amp;CT1158,VLOOKUP!$A$4:$A$250&amp;VLOOKUP!$B$4:$B$250,VLOOKUP!$D$4:$D$250,"0"))</f>
        <v>Incomplete</v>
      </c>
    </row>
    <row r="1159" spans="1:101">
      <c r="A1159" s="93" t="s">
        <v>725</v>
      </c>
      <c r="B1159" s="93" t="s">
        <v>1812</v>
      </c>
      <c r="C1159" s="64" t="s">
        <v>86</v>
      </c>
      <c r="D1159" s="96">
        <v>39856</v>
      </c>
      <c r="E1159" s="64"/>
      <c r="F1159" s="64">
        <v>10</v>
      </c>
      <c r="G1159" s="64">
        <v>2025</v>
      </c>
      <c r="H1159" s="66"/>
      <c r="I1159" s="64"/>
      <c r="J1159" s="64"/>
      <c r="K1159" s="64"/>
      <c r="L1159" s="64"/>
      <c r="M1159" s="64"/>
      <c r="N1159" s="64"/>
      <c r="O1159" s="64"/>
      <c r="P1159" s="64"/>
      <c r="Q1159" s="64"/>
      <c r="R1159" s="64"/>
      <c r="S1159" s="66"/>
      <c r="T1159" s="66"/>
      <c r="U1159" s="66"/>
      <c r="V1159" s="66"/>
      <c r="W1159" s="66"/>
      <c r="X1159" s="66"/>
      <c r="Y1159" s="66"/>
      <c r="Z1159" s="66"/>
      <c r="AA1159" s="66"/>
      <c r="AB1159" s="66"/>
      <c r="AC1159" s="66"/>
      <c r="AD1159" s="66"/>
      <c r="AE1159" s="66"/>
      <c r="AF1159" s="66"/>
      <c r="AG1159" s="66"/>
      <c r="AH1159" s="66"/>
      <c r="AI1159" s="66"/>
      <c r="AJ1159" s="66"/>
      <c r="AK1159" s="66"/>
      <c r="AL1159" s="66"/>
      <c r="AM1159" s="66"/>
      <c r="AN1159" s="66"/>
      <c r="AO1159" s="66"/>
      <c r="AP1159" s="66"/>
      <c r="AQ1159" s="66"/>
      <c r="AR1159" s="66"/>
      <c r="AS1159" s="66"/>
      <c r="AT1159" s="66"/>
      <c r="AU1159" s="66"/>
      <c r="AV1159" s="66"/>
      <c r="AW1159" s="66"/>
      <c r="AX1159" s="66"/>
      <c r="AY1159" s="41" t="str">
        <f t="shared" si="360"/>
        <v>Incomplete</v>
      </c>
      <c r="AZ1159" s="66"/>
      <c r="BA1159" s="20" t="str">
        <f t="shared" si="361"/>
        <v>Incomplete</v>
      </c>
      <c r="BB1159" s="66"/>
      <c r="BC1159" s="20" t="str">
        <f t="shared" si="362"/>
        <v>Incomplete</v>
      </c>
      <c r="BD1159" s="66"/>
      <c r="BE1159" s="20" t="str">
        <f t="shared" si="363"/>
        <v>Incomplete</v>
      </c>
      <c r="BF1159" s="66"/>
      <c r="BG1159" s="66"/>
      <c r="BH1159" s="20"/>
      <c r="BI1159" s="20" t="str">
        <f>IF(OR(ISBLANK(BG1159), ISBLANK(BH1159)),"Incomplete",(SUM(BH1159-BG1159)))</f>
        <v>Incomplete</v>
      </c>
      <c r="BJ1159" s="66"/>
      <c r="BK1159" s="66"/>
      <c r="BL1159" s="66"/>
      <c r="BM1159" s="66"/>
      <c r="BN1159" s="66"/>
      <c r="BO1159" s="66"/>
      <c r="BP1159" s="66"/>
      <c r="BQ1159" s="66"/>
      <c r="BR1159" s="66"/>
      <c r="BS1159" s="66"/>
      <c r="BT1159" s="66"/>
      <c r="BU1159" s="66"/>
      <c r="BV1159" s="66"/>
      <c r="BW1159" s="91" t="str">
        <f t="shared" si="364"/>
        <v>Incomplete</v>
      </c>
      <c r="BX1159" s="91" t="str">
        <f>_xlfn.XLOOKUP(BW1159,'Normative data'!$V$3:$V$6,'Normative data'!$W$3:$W$6,"Not Found",-1)</f>
        <v>Very low risk</v>
      </c>
      <c r="BY1159" s="91" t="str">
        <f t="shared" si="365"/>
        <v>Incomplete</v>
      </c>
      <c r="BZ1159" s="91" t="str">
        <f>_xlfn.XLOOKUP(BY1159,'Normative data'!$V$3:$V$6,'Normative data'!$W$3:$W$6,"Not Found",-1)</f>
        <v>Very low risk</v>
      </c>
      <c r="CA1159" s="66"/>
      <c r="CB1159" s="66"/>
      <c r="CC1159" s="20"/>
      <c r="CD1159" s="66"/>
      <c r="CE1159" s="66">
        <v>13</v>
      </c>
      <c r="CF1159" s="66"/>
      <c r="CG1159" s="66"/>
      <c r="CH1159" s="20" t="str">
        <f>_xlfn.XLOOKUP(CG1159, 'Normative data'!$S$9:$S$15,'Normative data'!$T$9:$T$15, "Not Found", -1)</f>
        <v>not completed</v>
      </c>
      <c r="CI1159" s="66"/>
      <c r="CJ1159" s="20" t="str">
        <f>_xlfn.XLOOKUP(CI1159, 'Normative data'!$S$9:$S$15, 'Normative data'!$T$9:$T$15, "Not Found", -1)</f>
        <v>not completed</v>
      </c>
      <c r="CK1159" s="105">
        <v>2.13</v>
      </c>
      <c r="CL1159" s="105">
        <v>4.6900000000000004</v>
      </c>
      <c r="CM1159" s="105"/>
      <c r="CN1159" s="105">
        <v>6.43</v>
      </c>
      <c r="CO1159" s="105">
        <v>7.78</v>
      </c>
      <c r="CP1159" s="109"/>
      <c r="CQ1159" s="68"/>
      <c r="CR1159" s="20" t="str" cm="1">
        <f t="array" ref="CR1159">IF(OR(ISBLANK(E1159),ISBLANK(CQ1159)),"Incomplete",_xlfn.XLOOKUP(CQ1159,_xlfn.XLOOKUP(E1159,'Normative data'!$Y$3:$Y$6,'Normative data'!$Z$3:$AG$6,,-1),'Normative data'!$Z$2:$AG$2,"Not Found",-1))</f>
        <v>Incomplete</v>
      </c>
      <c r="CS1159" s="68"/>
      <c r="CT1159" s="66"/>
      <c r="CU1159" s="20" t="str" cm="1">
        <f t="array" ref="CU1159">_xlfn.XLOOKUP(CS1159&amp;CT1159,(VLOOKUP!$A$3:$A$250)&amp;(VLOOKUP!$B$3:$B$250),VLOOKUP!$C$3:$C$250,"Incomplete",-1)</f>
        <v>Incomplete</v>
      </c>
      <c r="CV1159" s="20" t="str" cm="1">
        <f t="array" ref="CV1159">_xlfn.XLOOKUP(CU1159, _xlfn.XLOOKUP(E1159, 'Normative data'!$Y$11:$Y$14, 'Normative data'!$Z$11:$AG$14, ,-1), 'Normative data'!$Z$10:$AG$10, "Not Found", -1)</f>
        <v>Excellent</v>
      </c>
      <c r="CW1159" s="20" t="str" cm="1">
        <f t="array" ref="CW1159">IF(OR(ISBLANK(CS1159),ISBLANK(CT1159)),"Incomplete",_xlfn.XLOOKUP(CS1159&amp;CT1159,VLOOKUP!$A$4:$A$250&amp;VLOOKUP!$B$4:$B$250,VLOOKUP!$D$4:$D$250,"0"))</f>
        <v>Incomplete</v>
      </c>
    </row>
    <row r="1160" spans="1:101">
      <c r="A1160" s="64" t="s">
        <v>1420</v>
      </c>
      <c r="B1160" s="64" t="s">
        <v>1419</v>
      </c>
      <c r="C1160" s="64" t="s">
        <v>86</v>
      </c>
      <c r="D1160" s="65"/>
      <c r="E1160" s="64"/>
      <c r="F1160" s="66" t="s">
        <v>162</v>
      </c>
      <c r="G1160" s="64">
        <v>2026</v>
      </c>
      <c r="H1160" s="66"/>
      <c r="I1160" s="66">
        <v>2</v>
      </c>
      <c r="J1160" s="66"/>
      <c r="K1160" s="66"/>
      <c r="L1160" s="66"/>
      <c r="M1160" s="64"/>
      <c r="N1160" s="64"/>
      <c r="O1160" s="64"/>
      <c r="P1160" s="64"/>
      <c r="Q1160" s="64"/>
      <c r="R1160" s="64"/>
      <c r="S1160" s="66">
        <v>84.9</v>
      </c>
      <c r="T1160" s="66">
        <v>168.5</v>
      </c>
      <c r="U1160" s="64"/>
      <c r="V1160" s="64"/>
      <c r="W1160" s="64"/>
      <c r="X1160" s="64"/>
      <c r="Y1160" s="64"/>
      <c r="Z1160" s="64"/>
      <c r="AA1160" s="64"/>
      <c r="AB1160" s="64"/>
      <c r="AC1160" s="64"/>
      <c r="AD1160" s="64"/>
      <c r="AE1160" s="64"/>
      <c r="AF1160" s="64"/>
      <c r="AG1160" s="64"/>
      <c r="AH1160" s="64"/>
      <c r="AI1160" s="64"/>
      <c r="AJ1160" s="64"/>
      <c r="AK1160" s="64"/>
      <c r="AL1160" s="64"/>
      <c r="AM1160" s="64"/>
      <c r="AN1160" s="64"/>
      <c r="AO1160" s="64"/>
      <c r="AP1160" s="64"/>
      <c r="AQ1160" s="66"/>
      <c r="AR1160" s="66"/>
      <c r="AS1160" s="66"/>
      <c r="AT1160" s="66"/>
      <c r="AU1160" s="66"/>
      <c r="AV1160" s="66"/>
      <c r="AW1160" s="66"/>
      <c r="AX1160" s="66"/>
      <c r="AY1160" s="41" t="str">
        <f t="shared" si="360"/>
        <v>Incomplete</v>
      </c>
      <c r="AZ1160" s="64"/>
      <c r="BA1160" s="20" t="str">
        <f t="shared" si="361"/>
        <v>Incomplete</v>
      </c>
      <c r="BB1160" s="64"/>
      <c r="BC1160" s="20" t="str">
        <f t="shared" si="362"/>
        <v>Incomplete</v>
      </c>
      <c r="BD1160" s="64"/>
      <c r="BE1160" s="20" t="str">
        <f t="shared" si="363"/>
        <v>Incomplete</v>
      </c>
      <c r="BF1160" s="64"/>
      <c r="BG1160" s="64">
        <v>13.7</v>
      </c>
      <c r="BH1160" s="17">
        <v>43.4</v>
      </c>
      <c r="BI1160" s="20">
        <f>IF(OR(ISBLANK(BG1160), ISBLANK(BH1160)),"Incomplete",(SUM(BH1160-BG1160)))</f>
        <v>29.7</v>
      </c>
      <c r="BJ1160" s="66"/>
      <c r="BK1160" s="64"/>
      <c r="BL1160" s="66"/>
      <c r="BM1160" s="66"/>
      <c r="BN1160" s="66"/>
      <c r="BO1160" s="64"/>
      <c r="BP1160" s="64"/>
      <c r="BQ1160" s="64"/>
      <c r="BR1160" s="64"/>
      <c r="BS1160" s="64"/>
      <c r="BT1160" s="64"/>
      <c r="BU1160" s="64"/>
      <c r="BV1160" s="64"/>
      <c r="BW1160" s="91">
        <f t="shared" si="364"/>
        <v>0</v>
      </c>
      <c r="BX1160" s="91" t="str">
        <f>_xlfn.XLOOKUP(BW1160,'Normative data'!$V$3:$V$6,'Normative data'!$W$3:$W$6,"Not Found",-1)</f>
        <v>Not completed</v>
      </c>
      <c r="BY1160" s="91">
        <f t="shared" si="365"/>
        <v>0</v>
      </c>
      <c r="BZ1160" s="91" t="str">
        <f>_xlfn.XLOOKUP(BY1160,'Normative data'!$V$3:$V$6,'Normative data'!$W$3:$W$6,"Not Found",-1)</f>
        <v>Not completed</v>
      </c>
      <c r="CA1160" s="66"/>
      <c r="CB1160" s="66"/>
      <c r="CC1160" s="20"/>
      <c r="CD1160" s="66"/>
      <c r="CE1160" s="64">
        <v>1</v>
      </c>
      <c r="CF1160" s="66"/>
      <c r="CG1160" s="64">
        <v>21.34</v>
      </c>
      <c r="CH1160" s="20" t="str">
        <f>_xlfn.XLOOKUP(CG1160, 'Normative data'!$S$9:$S$15,'Normative data'!$T$9:$T$15, "Not Found", -1)</f>
        <v>Average</v>
      </c>
      <c r="CI1160" s="64">
        <v>21.43</v>
      </c>
      <c r="CJ1160" s="20" t="str">
        <f>_xlfn.XLOOKUP(CI1160, 'Normative data'!$S$9:$S$15, 'Normative data'!$T$9:$T$15, "Not Found", -1)</f>
        <v>Average</v>
      </c>
      <c r="CK1160" s="64">
        <v>2.52</v>
      </c>
      <c r="CL1160" s="64">
        <v>3.97</v>
      </c>
      <c r="CM1160" s="66"/>
      <c r="CN1160" s="64">
        <v>8.31</v>
      </c>
      <c r="CO1160" s="64">
        <v>6.01</v>
      </c>
      <c r="CP1160" s="68"/>
      <c r="CQ1160" s="67">
        <v>2.5</v>
      </c>
      <c r="CR1160" s="20" t="str" cm="1">
        <f t="array" ref="CR1160">IF(OR(ISBLANK(E1160),ISBLANK(CQ1160)),"Incomplete",_xlfn.XLOOKUP(CQ1160,_xlfn.XLOOKUP(E1160,'Normative data'!$Y$3:$Y$6,'Normative data'!$Z$3:$AG$6,,-1),'Normative data'!$Z$2:$AG$2,"Not Found",-1))</f>
        <v>Incomplete</v>
      </c>
      <c r="CS1160" s="68">
        <v>2</v>
      </c>
      <c r="CT1160" s="66">
        <v>5</v>
      </c>
      <c r="CU1160" s="20" cm="1">
        <f t="array" ref="CU1160">_xlfn.XLOOKUP(CS1160&amp;CT1160,(VLOOKUP!$A$3:$A$250)&amp;(VLOOKUP!$B$3:$B$250),VLOOKUP!$C$3:$C$250,"Incomplete",-1)</f>
        <v>240</v>
      </c>
      <c r="CV1160" s="20" t="str" cm="1">
        <f t="array" ref="CV1160">_xlfn.XLOOKUP(CU1160, _xlfn.XLOOKUP(E1160, 'Normative data'!$Y$11:$Y$14, 'Normative data'!$Z$11:$AG$14, ,-1), 'Normative data'!$Z$10:$AG$10, "Not Found", -1)</f>
        <v xml:space="preserve">Very poor </v>
      </c>
      <c r="CW1160" s="20" cm="1">
        <f t="array" ref="CW1160">IF(OR(ISBLANK(CS1160),ISBLANK(CT1160)),"Incomplete",_xlfn.XLOOKUP(CS1160&amp;CT1160,VLOOKUP!$A$4:$A$250&amp;VLOOKUP!$B$4:$B$250,VLOOKUP!$D$4:$D$250,"0"))</f>
        <v>21</v>
      </c>
    </row>
    <row r="1161" spans="1:101">
      <c r="A1161" s="94" t="s">
        <v>85</v>
      </c>
      <c r="B1161" s="94" t="s">
        <v>84</v>
      </c>
      <c r="C1161" s="64" t="s">
        <v>86</v>
      </c>
      <c r="D1161" s="97">
        <v>40889</v>
      </c>
      <c r="E1161" s="64"/>
      <c r="F1161" s="64">
        <v>8</v>
      </c>
      <c r="G1161" s="64">
        <v>2025</v>
      </c>
      <c r="H1161" s="66"/>
      <c r="I1161" s="64"/>
      <c r="J1161" s="64"/>
      <c r="K1161" s="64"/>
      <c r="L1161" s="64"/>
      <c r="M1161" s="64"/>
      <c r="N1161" s="64"/>
      <c r="O1161" s="64"/>
      <c r="P1161" s="64"/>
      <c r="Q1161" s="64"/>
      <c r="R1161" s="64"/>
      <c r="S1161" s="66"/>
      <c r="T1161" s="66"/>
      <c r="U1161" s="66"/>
      <c r="V1161" s="66"/>
      <c r="W1161" s="66"/>
      <c r="X1161" s="66"/>
      <c r="Y1161" s="66"/>
      <c r="Z1161" s="66"/>
      <c r="AA1161" s="66"/>
      <c r="AB1161" s="66"/>
      <c r="AC1161" s="66"/>
      <c r="AD1161" s="66"/>
      <c r="AE1161" s="66"/>
      <c r="AF1161" s="66"/>
      <c r="AG1161" s="66"/>
      <c r="AH1161" s="66"/>
      <c r="AI1161" s="66"/>
      <c r="AJ1161" s="66"/>
      <c r="AK1161" s="66"/>
      <c r="AL1161" s="66"/>
      <c r="AM1161" s="66"/>
      <c r="AN1161" s="66"/>
      <c r="AO1161" s="66"/>
      <c r="AP1161" s="66"/>
      <c r="AQ1161" s="66"/>
      <c r="AR1161" s="66"/>
      <c r="AS1161" s="66"/>
      <c r="AT1161" s="66"/>
      <c r="AU1161" s="66"/>
      <c r="AV1161" s="66"/>
      <c r="AW1161" s="66"/>
      <c r="AX1161" s="66"/>
      <c r="AY1161" s="41" t="str">
        <f t="shared" si="360"/>
        <v>Incomplete</v>
      </c>
      <c r="AZ1161" s="66"/>
      <c r="BA1161" s="20" t="str">
        <f t="shared" si="361"/>
        <v>Incomplete</v>
      </c>
      <c r="BB1161" s="66"/>
      <c r="BC1161" s="20" t="str">
        <f t="shared" si="362"/>
        <v>Incomplete</v>
      </c>
      <c r="BD1161" s="66"/>
      <c r="BE1161" s="20" t="str">
        <f t="shared" si="363"/>
        <v>Incomplete</v>
      </c>
      <c r="BF1161" s="66"/>
      <c r="BG1161" s="66">
        <v>10</v>
      </c>
      <c r="BH1161" s="66">
        <v>28.5</v>
      </c>
      <c r="BI1161" s="20" t="e">
        <f>IF(OR(ISBLANK(#REF!), ISBLANK(#REF!)),"Incomplete",(SUM(#REF!-#REF!)))</f>
        <v>#REF!</v>
      </c>
      <c r="BJ1161" s="66"/>
      <c r="BK1161" s="66"/>
      <c r="BL1161" s="66"/>
      <c r="BM1161" s="66"/>
      <c r="BN1161" s="66"/>
      <c r="BO1161" s="66"/>
      <c r="BP1161" s="66"/>
      <c r="BQ1161" s="66"/>
      <c r="BR1161" s="66"/>
      <c r="BS1161" s="66"/>
      <c r="BT1161" s="66"/>
      <c r="BU1161" s="66"/>
      <c r="BV1161" s="66"/>
      <c r="BW1161" s="91" t="str">
        <f t="shared" si="364"/>
        <v>Incomplete</v>
      </c>
      <c r="BX1161" s="91" t="str">
        <f>_xlfn.XLOOKUP(BW1161,'Normative data'!$V$3:$V$6,'Normative data'!$W$3:$W$6,"Not Found",-1)</f>
        <v>Very low risk</v>
      </c>
      <c r="BY1161" s="91" t="str">
        <f t="shared" si="365"/>
        <v>Incomplete</v>
      </c>
      <c r="BZ1161" s="91" t="str">
        <f>_xlfn.XLOOKUP(BY1161,'Normative data'!$V$3:$V$6,'Normative data'!$W$3:$W$6,"Not Found",-1)</f>
        <v>Very low risk</v>
      </c>
      <c r="CA1161" s="66"/>
      <c r="CB1161" s="66"/>
      <c r="CC1161" s="66"/>
      <c r="CD1161" s="66"/>
      <c r="CE1161" s="66"/>
      <c r="CF1161" s="66"/>
      <c r="CG1161" s="66"/>
      <c r="CH1161" s="20" t="str">
        <f>_xlfn.XLOOKUP(CG1161, 'Normative data'!$S$9:$S$15,'Normative data'!$T$9:$T$15, "Not Found", -1)</f>
        <v>not completed</v>
      </c>
      <c r="CI1161" s="66"/>
      <c r="CJ1161" s="20" t="str">
        <f>_xlfn.XLOOKUP(CI1161, 'Normative data'!$S$9:$S$15, 'Normative data'!$T$9:$T$15, "Not Found", -1)</f>
        <v>not completed</v>
      </c>
      <c r="CK1161" s="24">
        <v>2.54</v>
      </c>
      <c r="CL1161" s="24">
        <v>3.94</v>
      </c>
      <c r="CM1161" s="24"/>
      <c r="CN1161" s="24">
        <v>8.18</v>
      </c>
      <c r="CO1161" s="24">
        <v>6.11</v>
      </c>
      <c r="CP1161" s="110"/>
      <c r="CQ1161" s="68"/>
      <c r="CR1161" s="20" t="str" cm="1">
        <f t="array" ref="CR1161">IF(OR(ISBLANK(E1161),ISBLANK(CQ1161)),"Incomplete",_xlfn.XLOOKUP(CQ1161,_xlfn.XLOOKUP(E1161,'Normative data'!$Y$3:$Y$6,'Normative data'!$Z$3:$AG$6,,-1),'Normative data'!$Z$2:$AG$2,"Not Found",-1))</f>
        <v>Incomplete</v>
      </c>
      <c r="CS1161" s="68"/>
      <c r="CT1161" s="66"/>
      <c r="CU1161" s="20" t="str" cm="1">
        <f t="array" ref="CU1161">_xlfn.XLOOKUP(CS1161&amp;CT1161,(VLOOKUP!$A$3:$A$250)&amp;(VLOOKUP!$B$3:$B$250),VLOOKUP!$C$3:$C$250,"Incomplete",-1)</f>
        <v>Incomplete</v>
      </c>
      <c r="CV1161" s="20" t="str" cm="1">
        <f t="array" ref="CV1161">_xlfn.XLOOKUP(CU1161, _xlfn.XLOOKUP(E1161, 'Normative data'!$Y$11:$Y$14, 'Normative data'!$Z$11:$AG$14, ,-1), 'Normative data'!$Z$10:$AG$10, "Not Found", -1)</f>
        <v>Excellent</v>
      </c>
      <c r="CW1161" s="20" t="str" cm="1">
        <f t="array" ref="CW1161">IF(OR(ISBLANK(CS1161),ISBLANK(CT1161)),"Incomplete",_xlfn.XLOOKUP(CS1161&amp;CT1161,VLOOKUP!$A$4:$A$250&amp;VLOOKUP!$B$4:$B$250,VLOOKUP!$D$4:$D$250,"0"))</f>
        <v>Incomplete</v>
      </c>
    </row>
    <row r="1162" spans="1:101">
      <c r="A1162" s="64" t="s">
        <v>1320</v>
      </c>
      <c r="B1162" s="64" t="s">
        <v>1319</v>
      </c>
      <c r="C1162" s="64" t="s">
        <v>86</v>
      </c>
      <c r="D1162" s="65"/>
      <c r="E1162" s="64"/>
      <c r="F1162" s="64"/>
      <c r="G1162" s="64">
        <v>2025</v>
      </c>
      <c r="H1162" s="66"/>
      <c r="I1162" s="64"/>
      <c r="J1162" s="64" t="s">
        <v>122</v>
      </c>
      <c r="K1162" s="64"/>
      <c r="L1162" s="64"/>
      <c r="M1162" s="64"/>
      <c r="N1162" s="64"/>
      <c r="O1162" s="64"/>
      <c r="P1162" s="64"/>
      <c r="Q1162" s="64"/>
      <c r="R1162" s="64"/>
      <c r="S1162" s="66"/>
      <c r="T1162" s="66" t="s">
        <v>1813</v>
      </c>
      <c r="U1162" s="66" t="s">
        <v>1814</v>
      </c>
      <c r="V1162" s="66"/>
      <c r="W1162" s="66"/>
      <c r="X1162" s="66"/>
      <c r="Y1162" s="66"/>
      <c r="Z1162" s="66"/>
      <c r="AA1162" s="66"/>
      <c r="AB1162" s="66"/>
      <c r="AC1162" s="66"/>
      <c r="AD1162" s="66"/>
      <c r="AE1162" s="66"/>
      <c r="AF1162" s="66"/>
      <c r="AG1162" s="66"/>
      <c r="AH1162" s="66"/>
      <c r="AI1162" s="66"/>
      <c r="AJ1162" s="66"/>
      <c r="AK1162" s="66"/>
      <c r="AL1162" s="66"/>
      <c r="AM1162" s="66"/>
      <c r="AN1162" s="66"/>
      <c r="AO1162" s="66"/>
      <c r="AP1162" s="66"/>
      <c r="AQ1162" s="66"/>
      <c r="AR1162" s="66"/>
      <c r="AS1162" s="66"/>
      <c r="AT1162" s="66"/>
      <c r="AU1162" s="66"/>
      <c r="AV1162" s="66"/>
      <c r="AW1162" s="66"/>
      <c r="AX1162" s="66"/>
      <c r="AY1162" s="41" t="str">
        <f t="shared" si="360"/>
        <v>Incomplete</v>
      </c>
      <c r="AZ1162" s="66"/>
      <c r="BA1162" s="20" t="str">
        <f t="shared" si="361"/>
        <v>Incomplete</v>
      </c>
      <c r="BB1162" s="66"/>
      <c r="BC1162" s="20" t="str">
        <f t="shared" si="362"/>
        <v>Incomplete</v>
      </c>
      <c r="BD1162" s="66"/>
      <c r="BE1162" s="20" t="str">
        <f t="shared" si="363"/>
        <v>Incomplete</v>
      </c>
      <c r="BF1162" s="66"/>
      <c r="BG1162" s="66"/>
      <c r="BH1162" s="66"/>
      <c r="BI1162" s="20" t="str">
        <f>IF(OR(ISBLANK(BG1162), ISBLANK(BH1162)),"Incomplete",(SUM(BH1162-BG1162)))</f>
        <v>Incomplete</v>
      </c>
      <c r="BJ1162" s="66"/>
      <c r="BK1162" s="66"/>
      <c r="BL1162" s="66"/>
      <c r="BM1162" s="66"/>
      <c r="BN1162" s="66"/>
      <c r="BO1162" s="66"/>
      <c r="BP1162" s="66"/>
      <c r="BQ1162" s="66"/>
      <c r="BR1162" s="66"/>
      <c r="BS1162" s="66"/>
      <c r="BT1162" s="66"/>
      <c r="BU1162" s="66"/>
      <c r="BV1162" s="66"/>
      <c r="BW1162" s="91" t="str">
        <f t="shared" si="364"/>
        <v>Incomplete</v>
      </c>
      <c r="BX1162" s="91" t="str">
        <f>_xlfn.XLOOKUP(BW1162,'Normative data'!$V$3:$V$6,'Normative data'!$W$3:$W$6,"Not Found",-1)</f>
        <v>Very low risk</v>
      </c>
      <c r="BY1162" s="91" t="str">
        <f t="shared" si="365"/>
        <v>Incomplete</v>
      </c>
      <c r="BZ1162" s="91" t="str">
        <f>_xlfn.XLOOKUP(BY1162,'Normative data'!$V$3:$V$6,'Normative data'!$W$3:$W$6,"Not Found",-1)</f>
        <v>Very low risk</v>
      </c>
      <c r="CA1162" s="66"/>
      <c r="CB1162" s="66"/>
      <c r="CC1162" s="20"/>
      <c r="CD1162" s="66"/>
      <c r="CE1162" s="66"/>
      <c r="CF1162" s="66"/>
      <c r="CG1162" s="66"/>
      <c r="CH1162" s="20" t="str">
        <f>_xlfn.XLOOKUP(CG1162, 'Normative data'!$S$9:$S$15,'Normative data'!$T$9:$T$15, "Not Found", -1)</f>
        <v>not completed</v>
      </c>
      <c r="CI1162" s="66"/>
      <c r="CJ1162" s="20" t="str">
        <f>_xlfn.XLOOKUP(CI1162, 'Normative data'!$S$9:$S$15, 'Normative data'!$T$9:$T$15, "Not Found", -1)</f>
        <v>not completed</v>
      </c>
      <c r="CK1162" s="105"/>
      <c r="CL1162" s="105"/>
      <c r="CM1162" s="105"/>
      <c r="CN1162" s="105"/>
      <c r="CO1162" s="105"/>
      <c r="CP1162" s="68"/>
      <c r="CQ1162" s="68"/>
      <c r="CR1162" s="20" t="str" cm="1">
        <f t="array" ref="CR1162">IF(OR(ISBLANK(E1162),ISBLANK(CQ1162)),"Incomplete",_xlfn.XLOOKUP(CQ1162,_xlfn.XLOOKUP(E1162,'Normative data'!$Y$3:$Y$6,'Normative data'!$Z$3:$AG$6,,-1),'Normative data'!$Z$2:$AG$2,"Not Found",-1))</f>
        <v>Incomplete</v>
      </c>
      <c r="CS1162" s="68"/>
      <c r="CT1162" s="66"/>
      <c r="CU1162" s="20" t="str" cm="1">
        <f t="array" ref="CU1162">_xlfn.XLOOKUP(CS1162&amp;CT1162,(VLOOKUP!$A$3:$A$250)&amp;(VLOOKUP!$B$3:$B$250),VLOOKUP!$C$3:$C$250,"Incomplete",-1)</f>
        <v>Incomplete</v>
      </c>
      <c r="CV1162" s="20" t="str" cm="1">
        <f t="array" ref="CV1162">_xlfn.XLOOKUP(CU1162, _xlfn.XLOOKUP(E1162, 'Normative data'!$Y$11:$Y$14, 'Normative data'!$Z$11:$AG$14, ,-1), 'Normative data'!$Z$10:$AG$10, "Not Found", -1)</f>
        <v>Excellent</v>
      </c>
      <c r="CW1162" s="20" t="str" cm="1">
        <f t="array" ref="CW1162">IF(OR(ISBLANK(CS1162),ISBLANK(CT1162)),"Incomplete",_xlfn.XLOOKUP(CS1162&amp;CT1162,VLOOKUP!$A$4:$A$250&amp;VLOOKUP!$B$4:$B$250,VLOOKUP!$D$4:$D$250,"0"))</f>
        <v>Incomplete</v>
      </c>
    </row>
    <row r="1163" spans="1:101">
      <c r="A1163" s="93" t="s">
        <v>953</v>
      </c>
      <c r="B1163" s="93" t="s">
        <v>1319</v>
      </c>
      <c r="C1163" s="64" t="s">
        <v>86</v>
      </c>
      <c r="D1163" s="96">
        <v>40569</v>
      </c>
      <c r="E1163" s="64"/>
      <c r="F1163" s="64">
        <v>8</v>
      </c>
      <c r="G1163" s="64">
        <v>2025</v>
      </c>
      <c r="H1163" s="66"/>
      <c r="I1163" s="64"/>
      <c r="J1163" s="64" t="s">
        <v>122</v>
      </c>
      <c r="K1163" s="64"/>
      <c r="L1163" s="64"/>
      <c r="M1163" s="64"/>
      <c r="N1163" s="64"/>
      <c r="O1163" s="64"/>
      <c r="P1163" s="64"/>
      <c r="Q1163" s="64"/>
      <c r="R1163" s="64"/>
      <c r="S1163" s="66"/>
      <c r="T1163" s="66">
        <v>161</v>
      </c>
      <c r="U1163" s="66">
        <v>59.1</v>
      </c>
      <c r="V1163" s="66"/>
      <c r="W1163" s="66">
        <v>16</v>
      </c>
      <c r="X1163" s="66">
        <v>43.1</v>
      </c>
      <c r="Y1163" s="66">
        <v>23.8</v>
      </c>
      <c r="Z1163" s="66">
        <v>22.8</v>
      </c>
      <c r="AA1163" s="66">
        <v>27.1</v>
      </c>
      <c r="AB1163" s="66"/>
      <c r="AC1163" s="66"/>
      <c r="AD1163" s="66"/>
      <c r="AE1163" s="66"/>
      <c r="AF1163" s="66"/>
      <c r="AG1163" s="66"/>
      <c r="AH1163" s="66"/>
      <c r="AI1163" s="66"/>
      <c r="AJ1163" s="66"/>
      <c r="AK1163" s="66"/>
      <c r="AL1163" s="66"/>
      <c r="AM1163" s="66"/>
      <c r="AN1163" s="66"/>
      <c r="AO1163" s="66"/>
      <c r="AP1163" s="66"/>
      <c r="AQ1163" s="66"/>
      <c r="AR1163" s="66"/>
      <c r="AS1163" s="66"/>
      <c r="AT1163" s="66"/>
      <c r="AU1163" s="66"/>
      <c r="AV1163" s="66"/>
      <c r="AW1163" s="66"/>
      <c r="AX1163" s="66"/>
      <c r="AY1163" s="41" t="str">
        <f t="shared" si="360"/>
        <v>Incomplete</v>
      </c>
      <c r="AZ1163" s="66"/>
      <c r="BA1163" s="20" t="str">
        <f t="shared" si="361"/>
        <v>Incomplete</v>
      </c>
      <c r="BB1163" s="66"/>
      <c r="BC1163" s="20" t="str">
        <f t="shared" si="362"/>
        <v>Incomplete</v>
      </c>
      <c r="BD1163" s="66"/>
      <c r="BE1163" s="20" t="str">
        <f t="shared" si="363"/>
        <v>Incomplete</v>
      </c>
      <c r="BF1163" s="66"/>
      <c r="BG1163" s="66"/>
      <c r="BH1163" s="66"/>
      <c r="BI1163" s="20" t="str">
        <f>IF(OR(ISBLANK(BG1163), ISBLANK(BH1163)),"Incomplete",(SUM(BH1163-BG1163)))</f>
        <v>Incomplete</v>
      </c>
      <c r="BJ1163" s="66"/>
      <c r="BK1163" s="66">
        <v>7</v>
      </c>
      <c r="BL1163" s="66"/>
      <c r="BM1163" s="66">
        <v>7</v>
      </c>
      <c r="BN1163" s="66"/>
      <c r="BO1163" s="66"/>
      <c r="BP1163" s="66"/>
      <c r="BQ1163" s="66"/>
      <c r="BR1163" s="66"/>
      <c r="BS1163" s="66"/>
      <c r="BT1163" s="66"/>
      <c r="BU1163" s="66"/>
      <c r="BV1163" s="66"/>
      <c r="BW1163" s="91">
        <f t="shared" si="364"/>
        <v>0</v>
      </c>
      <c r="BX1163" s="91" t="str">
        <f>_xlfn.XLOOKUP(BW1163,'Normative data'!$V$3:$V$6,'Normative data'!$W$3:$W$6,"Not Found",-1)</f>
        <v>Not completed</v>
      </c>
      <c r="BY1163" s="91">
        <f t="shared" si="365"/>
        <v>0</v>
      </c>
      <c r="BZ1163" s="91" t="str">
        <f>_xlfn.XLOOKUP(BY1163,'Normative data'!$V$3:$V$6,'Normative data'!$W$3:$W$6,"Not Found",-1)</f>
        <v>Not completed</v>
      </c>
      <c r="CA1163" s="66"/>
      <c r="CB1163" s="66"/>
      <c r="CC1163" s="66"/>
      <c r="CD1163" s="66"/>
      <c r="CE1163" s="66"/>
      <c r="CF1163" s="66"/>
      <c r="CG1163" s="66">
        <v>18.72</v>
      </c>
      <c r="CH1163" s="20" t="e">
        <f>_xlfn.XLOOKUP(#REF!, 'Normative data'!$S$9:$S$15,'Normative data'!$T$9:$T$15, "Not Found", -1)</f>
        <v>#REF!</v>
      </c>
      <c r="CI1163" s="66">
        <v>18.350000000000001</v>
      </c>
      <c r="CJ1163" s="20" t="e">
        <f>_xlfn.XLOOKUP(#REF!, 'Normative data'!$S$9:$S$15, 'Normative data'!$T$9:$T$15, "Not Found", -1)</f>
        <v>#REF!</v>
      </c>
      <c r="CK1163" s="21">
        <v>2.19</v>
      </c>
      <c r="CL1163" s="21">
        <v>4.57</v>
      </c>
      <c r="CM1163" s="21"/>
      <c r="CN1163" s="21">
        <v>6.98</v>
      </c>
      <c r="CO1163" s="21">
        <v>7.16</v>
      </c>
      <c r="CP1163" s="109"/>
      <c r="CQ1163" s="68"/>
      <c r="CR1163" s="20" t="str" cm="1">
        <f t="array" ref="CR1163">IF(OR(ISBLANK(E1163),ISBLANK(CQ1163)),"Incomplete",_xlfn.XLOOKUP(CQ1163,_xlfn.XLOOKUP(E1163,'Normative data'!$Y$3:$Y$6,'Normative data'!$Z$3:$AG$6,,-1),'Normative data'!$Z$2:$AG$2,"Not Found",-1))</f>
        <v>Incomplete</v>
      </c>
      <c r="CS1163" s="68"/>
      <c r="CT1163" s="66"/>
      <c r="CU1163" s="20" t="str" cm="1">
        <f t="array" ref="CU1163">_xlfn.XLOOKUP(CS1163&amp;CT1163,(VLOOKUP!$A$3:$A$250)&amp;(VLOOKUP!$B$3:$B$250),VLOOKUP!$C$3:$C$250,"Incomplete",-1)</f>
        <v>Incomplete</v>
      </c>
      <c r="CV1163" s="20" t="str" cm="1">
        <f t="array" ref="CV1163">_xlfn.XLOOKUP(CU1163, _xlfn.XLOOKUP(E1163, 'Normative data'!$Y$11:$Y$14, 'Normative data'!$Z$11:$AG$14, ,-1), 'Normative data'!$Z$10:$AG$10, "Not Found", -1)</f>
        <v>Excellent</v>
      </c>
      <c r="CW1163" s="20" t="str" cm="1">
        <f t="array" ref="CW1163">IF(OR(ISBLANK(CS1163),ISBLANK(CT1163)),"Incomplete",_xlfn.XLOOKUP(CS1163&amp;CT1163,VLOOKUP!$A$4:$A$250&amp;VLOOKUP!$B$4:$B$250,VLOOKUP!$D$4:$D$250,"0"))</f>
        <v>Incomplete</v>
      </c>
    </row>
    <row r="1164" spans="1:101">
      <c r="A1164" s="93" t="s">
        <v>439</v>
      </c>
      <c r="B1164" s="93" t="s">
        <v>1090</v>
      </c>
      <c r="C1164" s="64" t="s">
        <v>86</v>
      </c>
      <c r="D1164" s="96">
        <v>40436</v>
      </c>
      <c r="E1164" s="64"/>
      <c r="F1164" s="64">
        <v>9</v>
      </c>
      <c r="G1164" s="64">
        <v>2025</v>
      </c>
      <c r="H1164" s="66"/>
      <c r="I1164" s="64"/>
      <c r="J1164" s="64"/>
      <c r="K1164" s="64"/>
      <c r="L1164" s="64"/>
      <c r="M1164" s="64"/>
      <c r="N1164" s="64"/>
      <c r="O1164" s="64"/>
      <c r="P1164" s="64"/>
      <c r="Q1164" s="64"/>
      <c r="R1164" s="64"/>
      <c r="S1164" s="66"/>
      <c r="T1164" s="66" t="s">
        <v>1815</v>
      </c>
      <c r="U1164" s="66" t="s">
        <v>1144</v>
      </c>
      <c r="V1164" s="66"/>
      <c r="W1164" s="66"/>
      <c r="X1164" s="66"/>
      <c r="Y1164" s="66"/>
      <c r="Z1164" s="66"/>
      <c r="AA1164" s="66"/>
      <c r="AB1164" s="66"/>
      <c r="AC1164" s="66"/>
      <c r="AD1164" s="66"/>
      <c r="AE1164" s="66"/>
      <c r="AF1164" s="66"/>
      <c r="AG1164" s="66"/>
      <c r="AH1164" s="66"/>
      <c r="AI1164" s="66"/>
      <c r="AJ1164" s="66"/>
      <c r="AK1164" s="66"/>
      <c r="AL1164" s="66"/>
      <c r="AM1164" s="66"/>
      <c r="AN1164" s="66"/>
      <c r="AO1164" s="66"/>
      <c r="AP1164" s="66"/>
      <c r="AQ1164" s="66"/>
      <c r="AR1164" s="66"/>
      <c r="AS1164" s="66"/>
      <c r="AT1164" s="66"/>
      <c r="AU1164" s="66"/>
      <c r="AV1164" s="66"/>
      <c r="AW1164" s="66"/>
      <c r="AX1164" s="66"/>
      <c r="AY1164" s="41" t="str">
        <f>IF(OR(ISBLANK(#REF!), ISBLANK(AQ1164)), "Incomplete", (60.7*AQ1164)+(45.3*#REF!)-2055)</f>
        <v>Incomplete</v>
      </c>
      <c r="AZ1164" s="66"/>
      <c r="BA1164" s="20" t="str">
        <f>IF(OR(ISBLANK(#REF!), ISBLANK(AS1164)), "Incomplete", (60.7*AS1164)+(45.3*#REF!)-2055)</f>
        <v>Incomplete</v>
      </c>
      <c r="BB1164" s="66"/>
      <c r="BC1164" s="20" t="str">
        <f>IF(OR(ISBLANK(#REF!), ISBLANK(AU1164)), "Incomplete", (60.7*AU1164)+(45.3*#REF!)-2055)</f>
        <v>Incomplete</v>
      </c>
      <c r="BD1164" s="66"/>
      <c r="BE1164" s="20" t="str">
        <f>IF(OR(ISBLANK(#REF!), ISBLANK(AW1164)), "Incomplete", (60.7*AW1164)+(45.3*#REF!)-2055)</f>
        <v>Incomplete</v>
      </c>
      <c r="BF1164" s="66"/>
      <c r="BG1164" s="66">
        <v>16</v>
      </c>
      <c r="BH1164" s="66">
        <v>48</v>
      </c>
      <c r="BI1164" s="20" t="e">
        <f>IF(OR(ISBLANK(#REF!), ISBLANK(#REF!)),"Incomplete",(SUM(#REF!-#REF!)))</f>
        <v>#REF!</v>
      </c>
      <c r="BJ1164" s="66"/>
      <c r="BK1164" s="66"/>
      <c r="BL1164" s="66"/>
      <c r="BM1164" s="66"/>
      <c r="BN1164" s="66"/>
      <c r="BO1164" s="66"/>
      <c r="BP1164" s="66"/>
      <c r="BQ1164" s="66"/>
      <c r="BR1164" s="66"/>
      <c r="BS1164" s="66"/>
      <c r="BT1164" s="66"/>
      <c r="BU1164" s="66"/>
      <c r="BV1164" s="66"/>
      <c r="BW1164" s="91" t="str">
        <f>IFERROR(SUM(BQ1164+BR1164+BS1164)/(3*(#REF!-S1164))*100, "Incomplete")</f>
        <v>Incomplete</v>
      </c>
      <c r="BX1164" s="91" t="str">
        <f>_xlfn.XLOOKUP(BW1164,'Normative data'!$V$3:$V$6,'Normative data'!$W$3:$W$6,"Not Found",-1)</f>
        <v>Very low risk</v>
      </c>
      <c r="BY1164" s="91" t="str">
        <f>IFERROR(SUM(BT1164+BU1164+BV1164)/(3*(#REF!-S1164))*100, "Incomplete")</f>
        <v>Incomplete</v>
      </c>
      <c r="BZ1164" s="91" t="str">
        <f>_xlfn.XLOOKUP(BY1164,'Normative data'!$V$3:$V$6,'Normative data'!$W$3:$W$6,"Not Found",-1)</f>
        <v>Very low risk</v>
      </c>
      <c r="CA1164" s="66"/>
      <c r="CB1164" s="66"/>
      <c r="CC1164" s="20"/>
      <c r="CD1164" s="66"/>
      <c r="CE1164" s="66"/>
      <c r="CF1164" s="66"/>
      <c r="CG1164" s="66"/>
      <c r="CH1164" s="20" t="str">
        <f>_xlfn.XLOOKUP(CG1164, 'Normative data'!$S$9:$S$15,'Normative data'!$T$9:$T$15, "Not Found", -1)</f>
        <v>not completed</v>
      </c>
      <c r="CI1164" s="66"/>
      <c r="CJ1164" s="20" t="str">
        <f>_xlfn.XLOOKUP(CI1164, 'Normative data'!$S$9:$S$15, 'Normative data'!$T$9:$T$15, "Not Found", -1)</f>
        <v>not completed</v>
      </c>
      <c r="CK1164" s="21">
        <v>2.25</v>
      </c>
      <c r="CL1164" s="21">
        <v>4.4400000000000004</v>
      </c>
      <c r="CM1164" s="21"/>
      <c r="CN1164" s="21">
        <v>6.91</v>
      </c>
      <c r="CO1164" s="21">
        <v>7.24</v>
      </c>
      <c r="CP1164" s="109"/>
      <c r="CQ1164" s="68"/>
      <c r="CR1164" s="20" t="str" cm="1">
        <f t="array" ref="CR1164">IF(OR(ISBLANK(E1164),ISBLANK(CQ1164)),"Incomplete",_xlfn.XLOOKUP(CQ1164,_xlfn.XLOOKUP(E1164,'Normative data'!$Y$3:$Y$6,'Normative data'!$Z$3:$AG$6,,-1),'Normative data'!$Z$2:$AG$2,"Not Found",-1))</f>
        <v>Incomplete</v>
      </c>
      <c r="CS1164" s="68"/>
      <c r="CT1164" s="66"/>
      <c r="CU1164" s="20" t="str" cm="1">
        <f t="array" ref="CU1164">_xlfn.XLOOKUP(CS1164&amp;CT1164,(VLOOKUP!$A$3:$A$250)&amp;(VLOOKUP!$B$3:$B$250),VLOOKUP!$C$3:$C$250,"Incomplete",-1)</f>
        <v>Incomplete</v>
      </c>
      <c r="CV1164" s="20" t="str" cm="1">
        <f t="array" ref="CV1164">_xlfn.XLOOKUP(CU1164, _xlfn.XLOOKUP(E1164, 'Normative data'!$Y$11:$Y$14, 'Normative data'!$Z$11:$AG$14, ,-1), 'Normative data'!$Z$10:$AG$10, "Not Found", -1)</f>
        <v>Excellent</v>
      </c>
      <c r="CW1164" s="20" t="str" cm="1">
        <f t="array" ref="CW1164">IF(OR(ISBLANK(CS1164),ISBLANK(CT1164)),"Incomplete",_xlfn.XLOOKUP(CS1164&amp;CT1164,VLOOKUP!$A$4:$A$250&amp;VLOOKUP!$B$4:$B$250,VLOOKUP!$D$4:$D$250,"0"))</f>
        <v>Incomplete</v>
      </c>
    </row>
    <row r="1165" spans="1:101">
      <c r="A1165" s="93" t="s">
        <v>439</v>
      </c>
      <c r="B1165" s="93" t="s">
        <v>1090</v>
      </c>
      <c r="C1165" s="64" t="s">
        <v>86</v>
      </c>
      <c r="D1165" s="96">
        <v>40436</v>
      </c>
      <c r="E1165" s="64"/>
      <c r="F1165" s="64">
        <v>9</v>
      </c>
      <c r="G1165" s="64">
        <v>2025</v>
      </c>
      <c r="H1165" s="66"/>
      <c r="I1165" s="64"/>
      <c r="J1165" s="64"/>
      <c r="K1165" s="64"/>
      <c r="L1165" s="64"/>
      <c r="M1165" s="64"/>
      <c r="N1165" s="64"/>
      <c r="O1165" s="64"/>
      <c r="P1165" s="64"/>
      <c r="Q1165" s="64"/>
      <c r="R1165" s="64"/>
      <c r="S1165" s="66"/>
      <c r="T1165" s="66"/>
      <c r="U1165" s="66"/>
      <c r="V1165" s="66"/>
      <c r="W1165" s="66"/>
      <c r="X1165" s="66"/>
      <c r="Y1165" s="66"/>
      <c r="Z1165" s="66"/>
      <c r="AA1165" s="66"/>
      <c r="AB1165" s="66"/>
      <c r="AC1165" s="66"/>
      <c r="AD1165" s="66"/>
      <c r="AE1165" s="66"/>
      <c r="AF1165" s="66"/>
      <c r="AG1165" s="66"/>
      <c r="AH1165" s="66"/>
      <c r="AI1165" s="66"/>
      <c r="AJ1165" s="66"/>
      <c r="AK1165" s="66"/>
      <c r="AL1165" s="66"/>
      <c r="AM1165" s="66"/>
      <c r="AN1165" s="66"/>
      <c r="AO1165" s="66"/>
      <c r="AP1165" s="66"/>
      <c r="AQ1165" s="66"/>
      <c r="AR1165" s="66"/>
      <c r="AS1165" s="66"/>
      <c r="AT1165" s="66"/>
      <c r="AU1165" s="66"/>
      <c r="AV1165" s="66"/>
      <c r="AW1165" s="66"/>
      <c r="AX1165" s="66"/>
      <c r="AY1165" s="41" t="str">
        <f t="shared" ref="AY1165:AY1171" si="366">IF(OR(ISBLANK(U1165), ISBLANK(AQ1165)), "Incomplete", (60.7*AQ1165)+(45.3*U1165)-2055)</f>
        <v>Incomplete</v>
      </c>
      <c r="AZ1165" s="66"/>
      <c r="BA1165" s="20" t="str">
        <f t="shared" ref="BA1165:BA1171" si="367">IF(OR(ISBLANK(U1165), ISBLANK(AS1165)), "Incomplete", (60.7*AS1165)+(45.3*U1165)-2055)</f>
        <v>Incomplete</v>
      </c>
      <c r="BB1165" s="66"/>
      <c r="BC1165" s="20" t="str">
        <f t="shared" ref="BC1165:BC1171" si="368">IF(OR(ISBLANK(U1165), ISBLANK(AU1165)), "Incomplete", (60.7*AU1165)+(45.3*U1165)-2055)</f>
        <v>Incomplete</v>
      </c>
      <c r="BD1165" s="66"/>
      <c r="BE1165" s="20" t="str">
        <f t="shared" ref="BE1165:BE1171" si="369">IF(OR(ISBLANK(U1165), ISBLANK(AW1165)), "Incomplete", (60.7*AW1165)+(45.3*U1165)-2055)</f>
        <v>Incomplete</v>
      </c>
      <c r="BF1165" s="66"/>
      <c r="BG1165" s="66"/>
      <c r="BH1165" s="66"/>
      <c r="BI1165" s="20" t="str">
        <f t="shared" ref="BI1165:BI1170" si="370">IF(OR(ISBLANK(BG1165), ISBLANK(BH1165)),"Incomplete",(SUM(BH1165-BG1165)))</f>
        <v>Incomplete</v>
      </c>
      <c r="BJ1165" s="66"/>
      <c r="BK1165" s="66"/>
      <c r="BL1165" s="66"/>
      <c r="BM1165" s="66"/>
      <c r="BN1165" s="66"/>
      <c r="BO1165" s="66"/>
      <c r="BP1165" s="66"/>
      <c r="BQ1165" s="66"/>
      <c r="BR1165" s="66"/>
      <c r="BS1165" s="66"/>
      <c r="BT1165" s="66"/>
      <c r="BU1165" s="66"/>
      <c r="BV1165" s="66"/>
      <c r="BW1165" s="91" t="str">
        <f t="shared" ref="BW1165:BW1171" si="371">IFERROR(SUM(BQ1165+BR1165+BS1165)/(3*(T1165-S1165))*100, "Incomplete")</f>
        <v>Incomplete</v>
      </c>
      <c r="BX1165" s="91" t="str">
        <f>_xlfn.XLOOKUP(BW1165,'Normative data'!$V$3:$V$6,'Normative data'!$W$3:$W$6,"Not Found",-1)</f>
        <v>Very low risk</v>
      </c>
      <c r="BY1165" s="91" t="str">
        <f t="shared" ref="BY1165:BY1171" si="372">IFERROR(SUM(BT1165+BU1165+BV1165)/(3*(T1165-S1165))*100, "Incomplete")</f>
        <v>Incomplete</v>
      </c>
      <c r="BZ1165" s="91" t="str">
        <f>_xlfn.XLOOKUP(BY1165,'Normative data'!$V$3:$V$6,'Normative data'!$W$3:$W$6,"Not Found",-1)</f>
        <v>Very low risk</v>
      </c>
      <c r="CA1165" s="66"/>
      <c r="CB1165" s="66"/>
      <c r="CC1165" s="20"/>
      <c r="CD1165" s="66"/>
      <c r="CE1165" s="66"/>
      <c r="CF1165" s="66"/>
      <c r="CG1165" s="66"/>
      <c r="CH1165" s="20" t="str">
        <f>_xlfn.XLOOKUP(CG1165, 'Normative data'!$S$9:$S$15,'Normative data'!$T$9:$T$15, "Not Found", -1)</f>
        <v>not completed</v>
      </c>
      <c r="CI1165" s="66"/>
      <c r="CJ1165" s="20" t="str">
        <f>_xlfn.XLOOKUP(CI1165, 'Normative data'!$S$9:$S$15, 'Normative data'!$T$9:$T$15, "Not Found", -1)</f>
        <v>not completed</v>
      </c>
      <c r="CK1165" s="66" t="s">
        <v>344</v>
      </c>
      <c r="CL1165" s="66" t="s">
        <v>345</v>
      </c>
      <c r="CM1165" s="105"/>
      <c r="CN1165" s="66" t="s">
        <v>1255</v>
      </c>
      <c r="CO1165" s="66" t="s">
        <v>1256</v>
      </c>
      <c r="CP1165" s="109"/>
      <c r="CQ1165" s="68"/>
      <c r="CR1165" s="20" t="str" cm="1">
        <f t="array" ref="CR1165">IF(OR(ISBLANK(E1165),ISBLANK(CQ1165)),"Incomplete",_xlfn.XLOOKUP(CQ1165,_xlfn.XLOOKUP(E1165,'Normative data'!$Y$3:$Y$6,'Normative data'!$Z$3:$AG$6,,-1),'Normative data'!$Z$2:$AG$2,"Not Found",-1))</f>
        <v>Incomplete</v>
      </c>
      <c r="CS1165" s="68"/>
      <c r="CT1165" s="66"/>
      <c r="CU1165" s="20" t="str" cm="1">
        <f t="array" ref="CU1165">_xlfn.XLOOKUP(CS1165&amp;CT1165,(VLOOKUP!$A$3:$A$250)&amp;(VLOOKUP!$B$3:$B$250),VLOOKUP!$C$3:$C$250,"Incomplete",-1)</f>
        <v>Incomplete</v>
      </c>
      <c r="CV1165" s="20" t="str" cm="1">
        <f t="array" ref="CV1165">_xlfn.XLOOKUP(CU1165, _xlfn.XLOOKUP(E1165, 'Normative data'!$Y$11:$Y$14, 'Normative data'!$Z$11:$AG$14, ,-1), 'Normative data'!$Z$10:$AG$10, "Not Found", -1)</f>
        <v>Excellent</v>
      </c>
      <c r="CW1165" s="20" t="str" cm="1">
        <f t="array" ref="CW1165">IF(OR(ISBLANK(CS1165),ISBLANK(CT1165)),"Incomplete",_xlfn.XLOOKUP(CS1165&amp;CT1165,VLOOKUP!$A$4:$A$250&amp;VLOOKUP!$B$4:$B$250,VLOOKUP!$D$4:$D$250,"0"))</f>
        <v>Incomplete</v>
      </c>
    </row>
    <row r="1166" spans="1:101">
      <c r="A1166" s="94" t="s">
        <v>357</v>
      </c>
      <c r="B1166" s="94" t="s">
        <v>1130</v>
      </c>
      <c r="C1166" s="64" t="s">
        <v>86</v>
      </c>
      <c r="D1166" s="97">
        <v>40416</v>
      </c>
      <c r="E1166" s="64"/>
      <c r="F1166" s="64">
        <v>9</v>
      </c>
      <c r="G1166" s="64">
        <v>2025</v>
      </c>
      <c r="H1166" s="66"/>
      <c r="I1166" s="64"/>
      <c r="J1166" s="64"/>
      <c r="K1166" s="64"/>
      <c r="L1166" s="64"/>
      <c r="M1166" s="64"/>
      <c r="N1166" s="64"/>
      <c r="O1166" s="64"/>
      <c r="P1166" s="64"/>
      <c r="Q1166" s="64"/>
      <c r="R1166" s="64"/>
      <c r="S1166" s="66"/>
      <c r="T1166" s="66"/>
      <c r="U1166" s="66"/>
      <c r="V1166" s="66"/>
      <c r="W1166" s="66"/>
      <c r="X1166" s="66"/>
      <c r="Y1166" s="66"/>
      <c r="Z1166" s="66"/>
      <c r="AA1166" s="66"/>
      <c r="AB1166" s="66"/>
      <c r="AC1166" s="66"/>
      <c r="AD1166" s="66"/>
      <c r="AE1166" s="66"/>
      <c r="AF1166" s="66"/>
      <c r="AG1166" s="66"/>
      <c r="AH1166" s="66"/>
      <c r="AI1166" s="66"/>
      <c r="AJ1166" s="66"/>
      <c r="AK1166" s="66"/>
      <c r="AL1166" s="66"/>
      <c r="AM1166" s="66"/>
      <c r="AN1166" s="66"/>
      <c r="AO1166" s="66"/>
      <c r="AP1166" s="66"/>
      <c r="AQ1166" s="66"/>
      <c r="AR1166" s="66"/>
      <c r="AS1166" s="66"/>
      <c r="AT1166" s="66"/>
      <c r="AU1166" s="66"/>
      <c r="AV1166" s="66"/>
      <c r="AW1166" s="66"/>
      <c r="AX1166" s="66"/>
      <c r="AY1166" s="41" t="str">
        <f t="shared" si="366"/>
        <v>Incomplete</v>
      </c>
      <c r="AZ1166" s="66"/>
      <c r="BA1166" s="20" t="str">
        <f t="shared" si="367"/>
        <v>Incomplete</v>
      </c>
      <c r="BB1166" s="66"/>
      <c r="BC1166" s="20" t="str">
        <f t="shared" si="368"/>
        <v>Incomplete</v>
      </c>
      <c r="BD1166" s="66"/>
      <c r="BE1166" s="20" t="str">
        <f t="shared" si="369"/>
        <v>Incomplete</v>
      </c>
      <c r="BF1166" s="66"/>
      <c r="BG1166" s="66">
        <v>11</v>
      </c>
      <c r="BH1166" s="66">
        <v>31.2</v>
      </c>
      <c r="BI1166" s="20">
        <f t="shared" si="370"/>
        <v>20.2</v>
      </c>
      <c r="BJ1166" s="66"/>
      <c r="BK1166" s="66">
        <v>8</v>
      </c>
      <c r="BL1166" s="66"/>
      <c r="BM1166" s="66">
        <v>9</v>
      </c>
      <c r="BN1166" s="66"/>
      <c r="BO1166" s="66"/>
      <c r="BP1166" s="66"/>
      <c r="BQ1166" s="66"/>
      <c r="BR1166" s="66"/>
      <c r="BS1166" s="66"/>
      <c r="BT1166" s="66"/>
      <c r="BU1166" s="66"/>
      <c r="BV1166" s="66"/>
      <c r="BW1166" s="91" t="str">
        <f t="shared" si="371"/>
        <v>Incomplete</v>
      </c>
      <c r="BX1166" s="91" t="str">
        <f>_xlfn.XLOOKUP(BW1166,'Normative data'!$V$3:$V$6,'Normative data'!$W$3:$W$6,"Not Found",-1)</f>
        <v>Very low risk</v>
      </c>
      <c r="BY1166" s="91" t="str">
        <f t="shared" si="372"/>
        <v>Incomplete</v>
      </c>
      <c r="BZ1166" s="91" t="str">
        <f>_xlfn.XLOOKUP(BY1166,'Normative data'!$V$3:$V$6,'Normative data'!$W$3:$W$6,"Not Found",-1)</f>
        <v>Very low risk</v>
      </c>
      <c r="CA1166" s="66"/>
      <c r="CB1166" s="66"/>
      <c r="CC1166" s="20"/>
      <c r="CD1166" s="66"/>
      <c r="CE1166" s="66">
        <v>3</v>
      </c>
      <c r="CF1166" s="66"/>
      <c r="CG1166" s="20"/>
      <c r="CH1166" s="20" t="str">
        <f>_xlfn.XLOOKUP(CG1166, 'Normative data'!$S$9:$S$15,'Normative data'!$T$9:$T$15, "Not Found", -1)</f>
        <v>not completed</v>
      </c>
      <c r="CI1166" s="20"/>
      <c r="CJ1166" s="20" t="str">
        <f>_xlfn.XLOOKUP(CI1166, 'Normative data'!$S$9:$S$15, 'Normative data'!$T$9:$T$15, "Not Found", -1)</f>
        <v>not completed</v>
      </c>
      <c r="CK1166" s="106">
        <v>2.23</v>
      </c>
      <c r="CL1166" s="106">
        <v>4.4800000000000004</v>
      </c>
      <c r="CM1166" s="105"/>
      <c r="CN1166" s="106">
        <v>7.15</v>
      </c>
      <c r="CO1166" s="106">
        <v>6.99</v>
      </c>
      <c r="CP1166" s="110"/>
      <c r="CQ1166" s="68"/>
      <c r="CR1166" s="20" t="str" cm="1">
        <f t="array" ref="CR1166">IF(OR(ISBLANK(E1166),ISBLANK(CQ1166)),"Incomplete",_xlfn.XLOOKUP(CQ1166,_xlfn.XLOOKUP(E1166,'Normative data'!$Y$3:$Y$6,'Normative data'!$Z$3:$AG$6,,-1),'Normative data'!$Z$2:$AG$2,"Not Found",-1))</f>
        <v>Incomplete</v>
      </c>
      <c r="CS1166" s="68"/>
      <c r="CT1166" s="66"/>
      <c r="CU1166" s="20" t="str" cm="1">
        <f t="array" ref="CU1166">_xlfn.XLOOKUP(CS1166&amp;CT1166,(VLOOKUP!$A$3:$A$250)&amp;(VLOOKUP!$B$3:$B$250),VLOOKUP!$C$3:$C$250,"Incomplete",-1)</f>
        <v>Incomplete</v>
      </c>
      <c r="CV1166" s="20" t="str" cm="1">
        <f t="array" ref="CV1166">_xlfn.XLOOKUP(CU1166, _xlfn.XLOOKUP(E1166, 'Normative data'!$Y$11:$Y$14, 'Normative data'!$Z$11:$AG$14, ,-1), 'Normative data'!$Z$10:$AG$10, "Not Found", -1)</f>
        <v>Excellent</v>
      </c>
      <c r="CW1166" s="20" t="str" cm="1">
        <f t="array" ref="CW1166">IF(OR(ISBLANK(CS1166),ISBLANK(CT1166)),"Incomplete",_xlfn.XLOOKUP(CS1166&amp;CT1166,VLOOKUP!$A$4:$A$250&amp;VLOOKUP!$B$4:$B$250,VLOOKUP!$D$4:$D$250,"0"))</f>
        <v>Incomplete</v>
      </c>
    </row>
    <row r="1167" spans="1:101">
      <c r="A1167" s="94" t="s">
        <v>357</v>
      </c>
      <c r="B1167" s="94" t="s">
        <v>1130</v>
      </c>
      <c r="C1167" s="64" t="s">
        <v>86</v>
      </c>
      <c r="D1167" s="97">
        <v>40416</v>
      </c>
      <c r="E1167" s="64"/>
      <c r="F1167" s="64">
        <v>9</v>
      </c>
      <c r="G1167" s="64">
        <v>2025</v>
      </c>
      <c r="H1167" s="66"/>
      <c r="I1167" s="64"/>
      <c r="J1167" s="64"/>
      <c r="K1167" s="64"/>
      <c r="L1167" s="64"/>
      <c r="M1167" s="64"/>
      <c r="N1167" s="64"/>
      <c r="O1167" s="64"/>
      <c r="P1167" s="64"/>
      <c r="Q1167" s="64"/>
      <c r="R1167" s="64"/>
      <c r="S1167" s="66"/>
      <c r="T1167" s="66"/>
      <c r="U1167" s="66"/>
      <c r="V1167" s="66"/>
      <c r="W1167" s="66"/>
      <c r="X1167" s="66"/>
      <c r="Y1167" s="66"/>
      <c r="Z1167" s="66"/>
      <c r="AA1167" s="66"/>
      <c r="AB1167" s="66"/>
      <c r="AC1167" s="66"/>
      <c r="AD1167" s="66"/>
      <c r="AE1167" s="66"/>
      <c r="AF1167" s="66"/>
      <c r="AG1167" s="66"/>
      <c r="AH1167" s="66"/>
      <c r="AI1167" s="66"/>
      <c r="AJ1167" s="66"/>
      <c r="AK1167" s="66"/>
      <c r="AL1167" s="66"/>
      <c r="AM1167" s="66"/>
      <c r="AN1167" s="66"/>
      <c r="AO1167" s="66"/>
      <c r="AP1167" s="66"/>
      <c r="AQ1167" s="66"/>
      <c r="AR1167" s="66"/>
      <c r="AS1167" s="66"/>
      <c r="AT1167" s="66"/>
      <c r="AU1167" s="66"/>
      <c r="AV1167" s="66"/>
      <c r="AW1167" s="66"/>
      <c r="AX1167" s="66"/>
      <c r="AY1167" s="41" t="str">
        <f t="shared" si="366"/>
        <v>Incomplete</v>
      </c>
      <c r="AZ1167" s="66"/>
      <c r="BA1167" s="20" t="str">
        <f t="shared" si="367"/>
        <v>Incomplete</v>
      </c>
      <c r="BB1167" s="66"/>
      <c r="BC1167" s="20" t="str">
        <f t="shared" si="368"/>
        <v>Incomplete</v>
      </c>
      <c r="BD1167" s="66"/>
      <c r="BE1167" s="20" t="str">
        <f t="shared" si="369"/>
        <v>Incomplete</v>
      </c>
      <c r="BF1167" s="66"/>
      <c r="BG1167" s="66"/>
      <c r="BH1167" s="20"/>
      <c r="BI1167" s="20" t="str">
        <f t="shared" si="370"/>
        <v>Incomplete</v>
      </c>
      <c r="BJ1167" s="66"/>
      <c r="BK1167" s="66"/>
      <c r="BL1167" s="66"/>
      <c r="BM1167" s="66"/>
      <c r="BN1167" s="66"/>
      <c r="BO1167" s="66"/>
      <c r="BP1167" s="66"/>
      <c r="BQ1167" s="66"/>
      <c r="BR1167" s="66"/>
      <c r="BS1167" s="66"/>
      <c r="BT1167" s="66"/>
      <c r="BU1167" s="66"/>
      <c r="BV1167" s="66"/>
      <c r="BW1167" s="91" t="str">
        <f t="shared" si="371"/>
        <v>Incomplete</v>
      </c>
      <c r="BX1167" s="91" t="str">
        <f>_xlfn.XLOOKUP(BW1167,'Normative data'!$V$3:$V$6,'Normative data'!$W$3:$W$6,"Not Found",-1)</f>
        <v>Very low risk</v>
      </c>
      <c r="BY1167" s="91" t="str">
        <f t="shared" si="372"/>
        <v>Incomplete</v>
      </c>
      <c r="BZ1167" s="91" t="str">
        <f>_xlfn.XLOOKUP(BY1167,'Normative data'!$V$3:$V$6,'Normative data'!$W$3:$W$6,"Not Found",-1)</f>
        <v>Very low risk</v>
      </c>
      <c r="CA1167" s="66"/>
      <c r="CB1167" s="66"/>
      <c r="CC1167" s="66"/>
      <c r="CD1167" s="66"/>
      <c r="CE1167" s="66"/>
      <c r="CF1167" s="66"/>
      <c r="CG1167" s="20"/>
      <c r="CH1167" s="20" t="str">
        <f>_xlfn.XLOOKUP(CG1167, 'Normative data'!$S$9:$S$15,'Normative data'!$T$9:$T$15, "Not Found", -1)</f>
        <v>not completed</v>
      </c>
      <c r="CI1167" s="20"/>
      <c r="CJ1167" s="20" t="str">
        <f>_xlfn.XLOOKUP(CI1167, 'Normative data'!$S$9:$S$15, 'Normative data'!$T$9:$T$15, "Not Found", -1)</f>
        <v>not completed</v>
      </c>
      <c r="CK1167" s="20" t="s">
        <v>1174</v>
      </c>
      <c r="CL1167" s="20" t="s">
        <v>1175</v>
      </c>
      <c r="CM1167" s="21"/>
      <c r="CN1167" s="20" t="s">
        <v>483</v>
      </c>
      <c r="CO1167" s="20" t="s">
        <v>704</v>
      </c>
      <c r="CP1167" s="110"/>
      <c r="CQ1167" s="68"/>
      <c r="CR1167" s="20" t="str" cm="1">
        <f t="array" ref="CR1167">IF(OR(ISBLANK(E1167),ISBLANK(CQ1167)),"Incomplete",_xlfn.XLOOKUP(CQ1167,_xlfn.XLOOKUP(E1167,'Normative data'!$Y$3:$Y$6,'Normative data'!$Z$3:$AG$6,,-1),'Normative data'!$Z$2:$AG$2,"Not Found",-1))</f>
        <v>Incomplete</v>
      </c>
      <c r="CS1167" s="68"/>
      <c r="CT1167" s="66"/>
      <c r="CU1167" s="20" t="str" cm="1">
        <f t="array" ref="CU1167">_xlfn.XLOOKUP(CS1167&amp;CT1167,(VLOOKUP!$A$3:$A$250)&amp;(VLOOKUP!$B$3:$B$250),VLOOKUP!$C$3:$C$250,"Incomplete",-1)</f>
        <v>Incomplete</v>
      </c>
      <c r="CV1167" s="20" t="str" cm="1">
        <f t="array" ref="CV1167">_xlfn.XLOOKUP(CU1167, _xlfn.XLOOKUP(E1167, 'Normative data'!$Y$11:$Y$14, 'Normative data'!$Z$11:$AG$14, ,-1), 'Normative data'!$Z$10:$AG$10, "Not Found", -1)</f>
        <v>Excellent</v>
      </c>
      <c r="CW1167" s="20" t="str" cm="1">
        <f t="array" ref="CW1167">IF(OR(ISBLANK(CS1167),ISBLANK(CT1167)),"Incomplete",_xlfn.XLOOKUP(CS1167&amp;CT1167,VLOOKUP!$A$4:$A$250&amp;VLOOKUP!$B$4:$B$250,VLOOKUP!$D$4:$D$250,"0"))</f>
        <v>Incomplete</v>
      </c>
    </row>
    <row r="1168" spans="1:101">
      <c r="A1168" s="64" t="s">
        <v>153</v>
      </c>
      <c r="B1168" s="64" t="s">
        <v>152</v>
      </c>
      <c r="C1168" s="64" t="s">
        <v>86</v>
      </c>
      <c r="D1168" s="65">
        <v>40536</v>
      </c>
      <c r="E1168" s="64"/>
      <c r="F1168" s="64">
        <v>8</v>
      </c>
      <c r="G1168" s="64">
        <v>2025</v>
      </c>
      <c r="H1168" s="66"/>
      <c r="I1168" s="64"/>
      <c r="J1168" s="64" t="s">
        <v>122</v>
      </c>
      <c r="K1168" s="64"/>
      <c r="L1168" s="64"/>
      <c r="M1168" s="64"/>
      <c r="N1168" s="64"/>
      <c r="O1168" s="64"/>
      <c r="P1168" s="64"/>
      <c r="Q1168" s="64"/>
      <c r="R1168" s="64"/>
      <c r="S1168" s="66"/>
      <c r="T1168" s="66">
        <v>163</v>
      </c>
      <c r="U1168" s="66">
        <v>48.9</v>
      </c>
      <c r="V1168" s="66"/>
      <c r="W1168" s="66">
        <v>9.5</v>
      </c>
      <c r="X1168" s="66">
        <f>SUM(T1168-W1168)</f>
        <v>153.5</v>
      </c>
      <c r="Y1168" s="66">
        <v>21.5</v>
      </c>
      <c r="Z1168" s="66">
        <v>18.399999999999999</v>
      </c>
      <c r="AA1168" s="66">
        <v>19.5</v>
      </c>
      <c r="AB1168" s="66"/>
      <c r="AC1168" s="66"/>
      <c r="AD1168" s="66"/>
      <c r="AE1168" s="66"/>
      <c r="AF1168" s="66"/>
      <c r="AG1168" s="66"/>
      <c r="AH1168" s="66"/>
      <c r="AI1168" s="66"/>
      <c r="AJ1168" s="66"/>
      <c r="AK1168" s="66"/>
      <c r="AL1168" s="66"/>
      <c r="AM1168" s="66"/>
      <c r="AN1168" s="66"/>
      <c r="AO1168" s="66"/>
      <c r="AP1168" s="66"/>
      <c r="AQ1168" s="66"/>
      <c r="AR1168" s="66"/>
      <c r="AS1168" s="66"/>
      <c r="AT1168" s="66"/>
      <c r="AU1168" s="66"/>
      <c r="AV1168" s="66"/>
      <c r="AW1168" s="66"/>
      <c r="AX1168" s="66"/>
      <c r="AY1168" s="41" t="str">
        <f t="shared" si="366"/>
        <v>Incomplete</v>
      </c>
      <c r="AZ1168" s="66"/>
      <c r="BA1168" s="20" t="str">
        <f t="shared" si="367"/>
        <v>Incomplete</v>
      </c>
      <c r="BB1168" s="66"/>
      <c r="BC1168" s="20" t="str">
        <f t="shared" si="368"/>
        <v>Incomplete</v>
      </c>
      <c r="BD1168" s="66"/>
      <c r="BE1168" s="20" t="str">
        <f t="shared" si="369"/>
        <v>Incomplete</v>
      </c>
      <c r="BF1168" s="66"/>
      <c r="BG1168" s="66"/>
      <c r="BH1168" s="66"/>
      <c r="BI1168" s="20" t="str">
        <f t="shared" si="370"/>
        <v>Incomplete</v>
      </c>
      <c r="BJ1168" s="66"/>
      <c r="BK1168" s="66">
        <v>8</v>
      </c>
      <c r="BL1168" s="66"/>
      <c r="BM1168" s="66">
        <v>7</v>
      </c>
      <c r="BN1168" s="66"/>
      <c r="BO1168" s="66"/>
      <c r="BP1168" s="66"/>
      <c r="BQ1168" s="66"/>
      <c r="BR1168" s="66"/>
      <c r="BS1168" s="66"/>
      <c r="BT1168" s="66"/>
      <c r="BU1168" s="66"/>
      <c r="BV1168" s="66"/>
      <c r="BW1168" s="91">
        <f t="shared" si="371"/>
        <v>0</v>
      </c>
      <c r="BX1168" s="91" t="str">
        <f>_xlfn.XLOOKUP(BW1168,'Normative data'!$V$3:$V$6,'Normative data'!$W$3:$W$6,"Not Found",-1)</f>
        <v>Not completed</v>
      </c>
      <c r="BY1168" s="91">
        <f t="shared" si="372"/>
        <v>0</v>
      </c>
      <c r="BZ1168" s="91" t="str">
        <f>_xlfn.XLOOKUP(BY1168,'Normative data'!$V$3:$V$6,'Normative data'!$W$3:$W$6,"Not Found",-1)</f>
        <v>Not completed</v>
      </c>
      <c r="CA1168" s="66"/>
      <c r="CB1168" s="66"/>
      <c r="CC1168" s="66"/>
      <c r="CD1168" s="66"/>
      <c r="CE1168" s="66"/>
      <c r="CF1168" s="66"/>
      <c r="CG1168" s="20">
        <v>18.5</v>
      </c>
      <c r="CH1168" s="20" t="e">
        <f>_xlfn.XLOOKUP(#REF!, 'Normative data'!$S$9:$S$15,'Normative data'!$T$9:$T$15, "Not Found", -1)</f>
        <v>#REF!</v>
      </c>
      <c r="CI1168" s="20">
        <v>17.84</v>
      </c>
      <c r="CJ1168" s="20" t="e">
        <f>_xlfn.XLOOKUP(#REF!, 'Normative data'!$S$9:$S$15, 'Normative data'!$T$9:$T$15, "Not Found", -1)</f>
        <v>#REF!</v>
      </c>
      <c r="CK1168" s="25">
        <v>2.31</v>
      </c>
      <c r="CL1168" s="25">
        <v>4.33</v>
      </c>
      <c r="CM1168" s="21"/>
      <c r="CN1168" s="25">
        <v>7.01</v>
      </c>
      <c r="CO1168" s="25">
        <v>7.03</v>
      </c>
      <c r="CP1168" s="111"/>
      <c r="CQ1168" s="68"/>
      <c r="CR1168" s="20" t="str" cm="1">
        <f t="array" ref="CR1168">IF(OR(ISBLANK(E1168),ISBLANK(CQ1168)),"Incomplete",_xlfn.XLOOKUP(CQ1168,_xlfn.XLOOKUP(E1168,'Normative data'!$Y$3:$Y$6,'Normative data'!$Z$3:$AG$6,,-1),'Normative data'!$Z$2:$AG$2,"Not Found",-1))</f>
        <v>Incomplete</v>
      </c>
      <c r="CS1168" s="68"/>
      <c r="CT1168" s="66"/>
      <c r="CU1168" s="20" t="str" cm="1">
        <f t="array" ref="CU1168">_xlfn.XLOOKUP(CS1168&amp;CT1168,(VLOOKUP!$A$3:$A$250)&amp;(VLOOKUP!$B$3:$B$250),VLOOKUP!$C$3:$C$250,"Incomplete",-1)</f>
        <v>Incomplete</v>
      </c>
      <c r="CV1168" s="20" t="str" cm="1">
        <f t="array" ref="CV1168">_xlfn.XLOOKUP(CU1168, _xlfn.XLOOKUP(E1168, 'Normative data'!$Y$11:$Y$14, 'Normative data'!$Z$11:$AG$14, ,-1), 'Normative data'!$Z$10:$AG$10, "Not Found", -1)</f>
        <v>Excellent</v>
      </c>
      <c r="CW1168" s="20" t="str" cm="1">
        <f t="array" ref="CW1168">IF(OR(ISBLANK(CS1168),ISBLANK(CT1168)),"Incomplete",_xlfn.XLOOKUP(CS1168&amp;CT1168,VLOOKUP!$A$4:$A$250&amp;VLOOKUP!$B$4:$B$250,VLOOKUP!$D$4:$D$250,"0"))</f>
        <v>Incomplete</v>
      </c>
    </row>
    <row r="1169" spans="1:101">
      <c r="A1169" s="64" t="s">
        <v>153</v>
      </c>
      <c r="B1169" s="64" t="s">
        <v>152</v>
      </c>
      <c r="C1169" s="64" t="s">
        <v>86</v>
      </c>
      <c r="D1169" s="65">
        <v>40536</v>
      </c>
      <c r="E1169" s="64"/>
      <c r="F1169" s="64">
        <v>8</v>
      </c>
      <c r="G1169" s="64">
        <v>2025</v>
      </c>
      <c r="H1169" s="66"/>
      <c r="I1169" s="64"/>
      <c r="J1169" s="64"/>
      <c r="K1169" s="64"/>
      <c r="L1169" s="64"/>
      <c r="M1169" s="64"/>
      <c r="N1169" s="64"/>
      <c r="O1169" s="64"/>
      <c r="P1169" s="64"/>
      <c r="Q1169" s="64"/>
      <c r="R1169" s="64"/>
      <c r="S1169" s="66"/>
      <c r="T1169" s="66"/>
      <c r="U1169" s="66"/>
      <c r="V1169" s="66"/>
      <c r="W1169" s="66"/>
      <c r="X1169" s="66"/>
      <c r="Y1169" s="66"/>
      <c r="Z1169" s="66"/>
      <c r="AA1169" s="66"/>
      <c r="AB1169" s="66"/>
      <c r="AC1169" s="66"/>
      <c r="AD1169" s="66"/>
      <c r="AE1169" s="66"/>
      <c r="AF1169" s="66"/>
      <c r="AG1169" s="66"/>
      <c r="AH1169" s="66"/>
      <c r="AI1169" s="66"/>
      <c r="AJ1169" s="66"/>
      <c r="AK1169" s="66"/>
      <c r="AL1169" s="66"/>
      <c r="AM1169" s="66"/>
      <c r="AN1169" s="66"/>
      <c r="AO1169" s="66"/>
      <c r="AP1169" s="66"/>
      <c r="AQ1169" s="66"/>
      <c r="AR1169" s="66"/>
      <c r="AS1169" s="66"/>
      <c r="AT1169" s="66"/>
      <c r="AU1169" s="66"/>
      <c r="AV1169" s="66"/>
      <c r="AW1169" s="66"/>
      <c r="AX1169" s="66"/>
      <c r="AY1169" s="41" t="str">
        <f t="shared" si="366"/>
        <v>Incomplete</v>
      </c>
      <c r="AZ1169" s="66"/>
      <c r="BA1169" s="20" t="str">
        <f t="shared" si="367"/>
        <v>Incomplete</v>
      </c>
      <c r="BB1169" s="66"/>
      <c r="BC1169" s="20" t="str">
        <f t="shared" si="368"/>
        <v>Incomplete</v>
      </c>
      <c r="BD1169" s="66"/>
      <c r="BE1169" s="20" t="str">
        <f t="shared" si="369"/>
        <v>Incomplete</v>
      </c>
      <c r="BF1169" s="66"/>
      <c r="BG1169" s="66"/>
      <c r="BH1169" s="66"/>
      <c r="BI1169" s="20" t="str">
        <f t="shared" si="370"/>
        <v>Incomplete</v>
      </c>
      <c r="BJ1169" s="66"/>
      <c r="BK1169" s="66"/>
      <c r="BL1169" s="66"/>
      <c r="BM1169" s="66"/>
      <c r="BN1169" s="66"/>
      <c r="BO1169" s="66"/>
      <c r="BP1169" s="66"/>
      <c r="BQ1169" s="66"/>
      <c r="BR1169" s="66"/>
      <c r="BS1169" s="66"/>
      <c r="BT1169" s="66"/>
      <c r="BU1169" s="66"/>
      <c r="BV1169" s="66"/>
      <c r="BW1169" s="91" t="str">
        <f t="shared" si="371"/>
        <v>Incomplete</v>
      </c>
      <c r="BX1169" s="91" t="str">
        <f>_xlfn.XLOOKUP(BW1169,'Normative data'!$V$3:$V$6,'Normative data'!$W$3:$W$6,"Not Found",-1)</f>
        <v>Very low risk</v>
      </c>
      <c r="BY1169" s="91" t="str">
        <f t="shared" si="372"/>
        <v>Incomplete</v>
      </c>
      <c r="BZ1169" s="91" t="str">
        <f>_xlfn.XLOOKUP(BY1169,'Normative data'!$V$3:$V$6,'Normative data'!$W$3:$W$6,"Not Found",-1)</f>
        <v>Very low risk</v>
      </c>
      <c r="CA1169" s="66"/>
      <c r="CB1169" s="66"/>
      <c r="CC1169" s="20"/>
      <c r="CD1169" s="66"/>
      <c r="CE1169" s="66">
        <v>12</v>
      </c>
      <c r="CF1169" s="66"/>
      <c r="CG1169" s="66"/>
      <c r="CH1169" s="20" t="str">
        <f>_xlfn.XLOOKUP(CG1169, 'Normative data'!$S$9:$S$15,'Normative data'!$T$9:$T$15, "Not Found", -1)</f>
        <v>not completed</v>
      </c>
      <c r="CI1169" s="66"/>
      <c r="CJ1169" s="20" t="str">
        <f>_xlfn.XLOOKUP(CI1169, 'Normative data'!$S$9:$S$15, 'Normative data'!$T$9:$T$15, "Not Found", -1)</f>
        <v>not completed</v>
      </c>
      <c r="CK1169" s="66" t="s">
        <v>831</v>
      </c>
      <c r="CL1169" s="66" t="s">
        <v>832</v>
      </c>
      <c r="CM1169" s="66"/>
      <c r="CN1169" s="66" t="s">
        <v>1197</v>
      </c>
      <c r="CO1169" s="66" t="s">
        <v>1198</v>
      </c>
      <c r="CP1169" s="68"/>
      <c r="CQ1169" s="68"/>
      <c r="CR1169" s="20" t="str" cm="1">
        <f t="array" ref="CR1169">IF(OR(ISBLANK(E1169),ISBLANK(CQ1169)),"Incomplete",_xlfn.XLOOKUP(CQ1169,_xlfn.XLOOKUP(E1169,'Normative data'!$Y$3:$Y$6,'Normative data'!$Z$3:$AG$6,,-1),'Normative data'!$Z$2:$AG$2,"Not Found",-1))</f>
        <v>Incomplete</v>
      </c>
      <c r="CS1169" s="68"/>
      <c r="CT1169" s="66"/>
      <c r="CU1169" s="20" t="str" cm="1">
        <f t="array" ref="CU1169">_xlfn.XLOOKUP(CS1169&amp;CT1169,(VLOOKUP!$A$3:$A$250)&amp;(VLOOKUP!$B$3:$B$250),VLOOKUP!$C$3:$C$250,"Incomplete",-1)</f>
        <v>Incomplete</v>
      </c>
      <c r="CV1169" s="20" t="str" cm="1">
        <f t="array" ref="CV1169">_xlfn.XLOOKUP(CU1169, _xlfn.XLOOKUP(E1169, 'Normative data'!$Y$11:$Y$14, 'Normative data'!$Z$11:$AG$14, ,-1), 'Normative data'!$Z$10:$AG$10, "Not Found", -1)</f>
        <v>Excellent</v>
      </c>
      <c r="CW1169" s="20" t="str" cm="1">
        <f t="array" ref="CW1169">IF(OR(ISBLANK(CS1169),ISBLANK(CT1169)),"Incomplete",_xlfn.XLOOKUP(CS1169&amp;CT1169,VLOOKUP!$A$4:$A$250&amp;VLOOKUP!$B$4:$B$250,VLOOKUP!$D$4:$D$250,"0"))</f>
        <v>Incomplete</v>
      </c>
    </row>
    <row r="1170" spans="1:101">
      <c r="A1170" s="94" t="s">
        <v>165</v>
      </c>
      <c r="B1170" s="94" t="s">
        <v>152</v>
      </c>
      <c r="C1170" s="64" t="s">
        <v>86</v>
      </c>
      <c r="D1170" s="97">
        <v>39908</v>
      </c>
      <c r="E1170" s="64"/>
      <c r="F1170" s="64">
        <v>10</v>
      </c>
      <c r="G1170" s="64">
        <v>2025</v>
      </c>
      <c r="H1170" s="66"/>
      <c r="I1170" s="64"/>
      <c r="J1170" s="64"/>
      <c r="K1170" s="64"/>
      <c r="L1170" s="64"/>
      <c r="M1170" s="64"/>
      <c r="N1170" s="64"/>
      <c r="O1170" s="64"/>
      <c r="P1170" s="64"/>
      <c r="Q1170" s="64"/>
      <c r="R1170" s="64"/>
      <c r="S1170" s="66"/>
      <c r="T1170" s="66"/>
      <c r="U1170" s="66"/>
      <c r="V1170" s="66"/>
      <c r="W1170" s="66"/>
      <c r="X1170" s="66"/>
      <c r="Y1170" s="66"/>
      <c r="Z1170" s="66"/>
      <c r="AA1170" s="66"/>
      <c r="AB1170" s="66"/>
      <c r="AC1170" s="66"/>
      <c r="AD1170" s="66"/>
      <c r="AE1170" s="66"/>
      <c r="AF1170" s="66"/>
      <c r="AG1170" s="66"/>
      <c r="AH1170" s="66"/>
      <c r="AI1170" s="66"/>
      <c r="AJ1170" s="66"/>
      <c r="AK1170" s="66"/>
      <c r="AL1170" s="66"/>
      <c r="AM1170" s="66"/>
      <c r="AN1170" s="66"/>
      <c r="AO1170" s="66"/>
      <c r="AP1170" s="66"/>
      <c r="AQ1170" s="66"/>
      <c r="AR1170" s="66"/>
      <c r="AS1170" s="66"/>
      <c r="AT1170" s="66"/>
      <c r="AU1170" s="66"/>
      <c r="AV1170" s="66"/>
      <c r="AW1170" s="66"/>
      <c r="AX1170" s="66"/>
      <c r="AY1170" s="41" t="str">
        <f t="shared" si="366"/>
        <v>Incomplete</v>
      </c>
      <c r="AZ1170" s="66"/>
      <c r="BA1170" s="20" t="str">
        <f t="shared" si="367"/>
        <v>Incomplete</v>
      </c>
      <c r="BB1170" s="66"/>
      <c r="BC1170" s="20" t="str">
        <f t="shared" si="368"/>
        <v>Incomplete</v>
      </c>
      <c r="BD1170" s="66"/>
      <c r="BE1170" s="20" t="str">
        <f t="shared" si="369"/>
        <v>Incomplete</v>
      </c>
      <c r="BF1170" s="66"/>
      <c r="BG1170" s="66"/>
      <c r="BH1170" s="66"/>
      <c r="BI1170" s="20" t="str">
        <f t="shared" si="370"/>
        <v>Incomplete</v>
      </c>
      <c r="BJ1170" s="66"/>
      <c r="BK1170" s="66"/>
      <c r="BL1170" s="66"/>
      <c r="BM1170" s="66"/>
      <c r="BN1170" s="66"/>
      <c r="BO1170" s="66"/>
      <c r="BP1170" s="66"/>
      <c r="BQ1170" s="66"/>
      <c r="BR1170" s="66"/>
      <c r="BS1170" s="66"/>
      <c r="BT1170" s="66"/>
      <c r="BU1170" s="66"/>
      <c r="BV1170" s="66"/>
      <c r="BW1170" s="91" t="str">
        <f t="shared" si="371"/>
        <v>Incomplete</v>
      </c>
      <c r="BX1170" s="91" t="str">
        <f>_xlfn.XLOOKUP(BW1170,'Normative data'!$V$3:$V$6,'Normative data'!$W$3:$W$6,"Not Found",-1)</f>
        <v>Very low risk</v>
      </c>
      <c r="BY1170" s="91" t="str">
        <f t="shared" si="372"/>
        <v>Incomplete</v>
      </c>
      <c r="BZ1170" s="91" t="str">
        <f>_xlfn.XLOOKUP(BY1170,'Normative data'!$V$3:$V$6,'Normative data'!$W$3:$W$6,"Not Found",-1)</f>
        <v>Very low risk</v>
      </c>
      <c r="CA1170" s="66"/>
      <c r="CB1170" s="66"/>
      <c r="CC1170" s="20"/>
      <c r="CD1170" s="66"/>
      <c r="CE1170" s="66">
        <v>13</v>
      </c>
      <c r="CF1170" s="66"/>
      <c r="CG1170" s="66"/>
      <c r="CH1170" s="20" t="str">
        <f>_xlfn.XLOOKUP(CG1170, 'Normative data'!$S$9:$S$15,'Normative data'!$T$9:$T$15, "Not Found", -1)</f>
        <v>not completed</v>
      </c>
      <c r="CI1170" s="66"/>
      <c r="CJ1170" s="20" t="str">
        <f>_xlfn.XLOOKUP(CI1170, 'Normative data'!$S$9:$S$15, 'Normative data'!$T$9:$T$15, "Not Found", -1)</f>
        <v>not completed</v>
      </c>
      <c r="CK1170" s="21"/>
      <c r="CL1170" s="21"/>
      <c r="CM1170" s="21"/>
      <c r="CN1170" s="21"/>
      <c r="CO1170" s="21"/>
      <c r="CP1170" s="110"/>
      <c r="CQ1170" s="68"/>
      <c r="CR1170" s="20" t="str" cm="1">
        <f t="array" ref="CR1170">IF(OR(ISBLANK(E1170),ISBLANK(CQ1170)),"Incomplete",_xlfn.XLOOKUP(CQ1170,_xlfn.XLOOKUP(E1170,'Normative data'!$Y$3:$Y$6,'Normative data'!$Z$3:$AG$6,,-1),'Normative data'!$Z$2:$AG$2,"Not Found",-1))</f>
        <v>Incomplete</v>
      </c>
      <c r="CS1170" s="68"/>
      <c r="CT1170" s="66"/>
      <c r="CU1170" s="20" t="str" cm="1">
        <f t="array" ref="CU1170">_xlfn.XLOOKUP(CS1170&amp;CT1170,(VLOOKUP!$A$3:$A$250)&amp;(VLOOKUP!$B$3:$B$250),VLOOKUP!$C$3:$C$250,"Incomplete",-1)</f>
        <v>Incomplete</v>
      </c>
      <c r="CV1170" s="20" t="str" cm="1">
        <f t="array" ref="CV1170">_xlfn.XLOOKUP(CU1170, _xlfn.XLOOKUP(E1170, 'Normative data'!$Y$11:$Y$14, 'Normative data'!$Z$11:$AG$14, ,-1), 'Normative data'!$Z$10:$AG$10, "Not Found", -1)</f>
        <v>Excellent</v>
      </c>
      <c r="CW1170" s="20" t="str" cm="1">
        <f t="array" ref="CW1170">IF(OR(ISBLANK(CS1170),ISBLANK(CT1170)),"Incomplete",_xlfn.XLOOKUP(CS1170&amp;CT1170,VLOOKUP!$A$4:$A$250&amp;VLOOKUP!$B$4:$B$250,VLOOKUP!$D$4:$D$250,"0"))</f>
        <v>Incomplete</v>
      </c>
    </row>
    <row r="1171" spans="1:101">
      <c r="A1171" s="93" t="s">
        <v>503</v>
      </c>
      <c r="B1171" s="93" t="s">
        <v>783</v>
      </c>
      <c r="C1171" s="64" t="s">
        <v>86</v>
      </c>
      <c r="D1171" s="96">
        <v>40812</v>
      </c>
      <c r="E1171" s="64"/>
      <c r="F1171" s="64">
        <v>8</v>
      </c>
      <c r="G1171" s="64">
        <v>2025</v>
      </c>
      <c r="H1171" s="66"/>
      <c r="I1171" s="64"/>
      <c r="J1171" s="64" t="s">
        <v>122</v>
      </c>
      <c r="K1171" s="64"/>
      <c r="L1171" s="64"/>
      <c r="M1171" s="64"/>
      <c r="N1171" s="64"/>
      <c r="O1171" s="64"/>
      <c r="P1171" s="64"/>
      <c r="Q1171" s="64"/>
      <c r="R1171" s="64"/>
      <c r="S1171" s="66"/>
      <c r="T1171" s="66">
        <v>164</v>
      </c>
      <c r="U1171" s="66">
        <v>48.7</v>
      </c>
      <c r="V1171" s="66"/>
      <c r="W1171" s="66">
        <v>7.5</v>
      </c>
      <c r="X1171" s="66">
        <f>SUM(T1171-W1171)</f>
        <v>156.5</v>
      </c>
      <c r="Y1171" s="66">
        <v>22.4</v>
      </c>
      <c r="Z1171" s="66">
        <v>18.100000000000001</v>
      </c>
      <c r="AA1171" s="66">
        <v>15.4</v>
      </c>
      <c r="AB1171" s="66"/>
      <c r="AC1171" s="66"/>
      <c r="AD1171" s="66"/>
      <c r="AE1171" s="66"/>
      <c r="AF1171" s="66"/>
      <c r="AG1171" s="66"/>
      <c r="AH1171" s="66"/>
      <c r="AI1171" s="66"/>
      <c r="AJ1171" s="66"/>
      <c r="AK1171" s="66"/>
      <c r="AL1171" s="66"/>
      <c r="AM1171" s="66"/>
      <c r="AN1171" s="66"/>
      <c r="AO1171" s="66"/>
      <c r="AP1171" s="66"/>
      <c r="AQ1171" s="66"/>
      <c r="AR1171" s="66"/>
      <c r="AS1171" s="66"/>
      <c r="AT1171" s="66"/>
      <c r="AU1171" s="66"/>
      <c r="AV1171" s="66"/>
      <c r="AW1171" s="66"/>
      <c r="AX1171" s="66"/>
      <c r="AY1171" s="41" t="str">
        <f t="shared" si="366"/>
        <v>Incomplete</v>
      </c>
      <c r="AZ1171" s="66"/>
      <c r="BA1171" s="20" t="str">
        <f t="shared" si="367"/>
        <v>Incomplete</v>
      </c>
      <c r="BB1171" s="66"/>
      <c r="BC1171" s="20" t="str">
        <f t="shared" si="368"/>
        <v>Incomplete</v>
      </c>
      <c r="BD1171" s="66"/>
      <c r="BE1171" s="20" t="str">
        <f t="shared" si="369"/>
        <v>Incomplete</v>
      </c>
      <c r="BF1171" s="66"/>
      <c r="BG1171" s="66">
        <v>12</v>
      </c>
      <c r="BH1171" s="66">
        <v>38</v>
      </c>
      <c r="BI1171" s="20" t="e">
        <f>IF(OR(ISBLANK(#REF!), ISBLANK(#REF!)),"Incomplete",(SUM(#REF!-#REF!)))</f>
        <v>#REF!</v>
      </c>
      <c r="BJ1171" s="66"/>
      <c r="BK1171" s="66">
        <v>6</v>
      </c>
      <c r="BL1171" s="66"/>
      <c r="BM1171" s="66">
        <v>6</v>
      </c>
      <c r="BN1171" s="66"/>
      <c r="BO1171" s="66"/>
      <c r="BP1171" s="66"/>
      <c r="BQ1171" s="66"/>
      <c r="BR1171" s="66"/>
      <c r="BS1171" s="66"/>
      <c r="BT1171" s="66"/>
      <c r="BU1171" s="66"/>
      <c r="BV1171" s="66"/>
      <c r="BW1171" s="91">
        <f t="shared" si="371"/>
        <v>0</v>
      </c>
      <c r="BX1171" s="91" t="str">
        <f>_xlfn.XLOOKUP(BW1171,'Normative data'!$V$3:$V$6,'Normative data'!$W$3:$W$6,"Not Found",-1)</f>
        <v>Not completed</v>
      </c>
      <c r="BY1171" s="91">
        <f t="shared" si="372"/>
        <v>0</v>
      </c>
      <c r="BZ1171" s="91" t="str">
        <f>_xlfn.XLOOKUP(BY1171,'Normative data'!$V$3:$V$6,'Normative data'!$W$3:$W$6,"Not Found",-1)</f>
        <v>Not completed</v>
      </c>
      <c r="CA1171" s="66"/>
      <c r="CB1171" s="66"/>
      <c r="CC1171" s="66"/>
      <c r="CD1171" s="66"/>
      <c r="CE1171" s="66">
        <v>24</v>
      </c>
      <c r="CF1171" s="66"/>
      <c r="CG1171" s="20">
        <v>17.34</v>
      </c>
      <c r="CH1171" s="20" t="e">
        <f>_xlfn.XLOOKUP(#REF!, 'Normative data'!$S$9:$S$15,'Normative data'!$T$9:$T$15, "Not Found", -1)</f>
        <v>#REF!</v>
      </c>
      <c r="CI1171" s="20">
        <v>17.05</v>
      </c>
      <c r="CJ1171" s="20" t="e">
        <f>_xlfn.XLOOKUP(#REF!, 'Normative data'!$S$9:$S$15, 'Normative data'!$T$9:$T$15, "Not Found", -1)</f>
        <v>#REF!</v>
      </c>
      <c r="CK1171" s="21">
        <v>2.15</v>
      </c>
      <c r="CL1171" s="21">
        <v>4.6500000000000004</v>
      </c>
      <c r="CM1171" s="21"/>
      <c r="CN1171" s="21">
        <v>6.34</v>
      </c>
      <c r="CO1171" s="21">
        <v>7.89</v>
      </c>
      <c r="CP1171" s="109"/>
      <c r="CQ1171" s="68"/>
      <c r="CR1171" s="20" t="str" cm="1">
        <f t="array" ref="CR1171">IF(OR(ISBLANK(E1171),ISBLANK(CQ1171)),"Incomplete",_xlfn.XLOOKUP(CQ1171,_xlfn.XLOOKUP(E1171,'Normative data'!$Y$3:$Y$6,'Normative data'!$Z$3:$AG$6,,-1),'Normative data'!$Z$2:$AG$2,"Not Found",-1))</f>
        <v>Incomplete</v>
      </c>
      <c r="CS1171" s="68"/>
      <c r="CT1171" s="66"/>
      <c r="CU1171" s="20" t="str" cm="1">
        <f t="array" ref="CU1171">_xlfn.XLOOKUP(CS1171&amp;CT1171,(VLOOKUP!$A$3:$A$250)&amp;(VLOOKUP!$B$3:$B$250),VLOOKUP!$C$3:$C$250,"Incomplete",-1)</f>
        <v>Incomplete</v>
      </c>
      <c r="CV1171" s="20" t="str" cm="1">
        <f t="array" ref="CV1171">_xlfn.XLOOKUP(CU1171, _xlfn.XLOOKUP(E1171, 'Normative data'!$Y$11:$Y$14, 'Normative data'!$Z$11:$AG$14, ,-1), 'Normative data'!$Z$10:$AG$10, "Not Found", -1)</f>
        <v>Excellent</v>
      </c>
      <c r="CW1171" s="20" t="str" cm="1">
        <f t="array" ref="CW1171">IF(OR(ISBLANK(CS1171),ISBLANK(CT1171)),"Incomplete",_xlfn.XLOOKUP(CS1171&amp;CT1171,VLOOKUP!$A$4:$A$250&amp;VLOOKUP!$B$4:$B$250,VLOOKUP!$D$4:$D$250,"0"))</f>
        <v>Incomplete</v>
      </c>
    </row>
    <row r="1172" spans="1:101">
      <c r="A1172" s="93" t="s">
        <v>503</v>
      </c>
      <c r="B1172" s="93" t="s">
        <v>783</v>
      </c>
      <c r="C1172" s="64" t="s">
        <v>86</v>
      </c>
      <c r="D1172" s="96">
        <v>40812</v>
      </c>
      <c r="E1172" s="64"/>
      <c r="F1172" s="64">
        <v>8</v>
      </c>
      <c r="G1172" s="64">
        <v>2025</v>
      </c>
      <c r="H1172" s="66"/>
      <c r="I1172" s="64"/>
      <c r="J1172" s="64"/>
      <c r="K1172" s="64"/>
      <c r="L1172" s="64"/>
      <c r="M1172" s="64"/>
      <c r="N1172" s="64"/>
      <c r="O1172" s="64"/>
      <c r="P1172" s="64"/>
      <c r="Q1172" s="64"/>
      <c r="R1172" s="64"/>
      <c r="S1172" s="66"/>
      <c r="T1172" s="66" t="s">
        <v>1351</v>
      </c>
      <c r="U1172" s="66" t="s">
        <v>1816</v>
      </c>
      <c r="V1172" s="66"/>
      <c r="W1172" s="66"/>
      <c r="X1172" s="66"/>
      <c r="Y1172" s="66"/>
      <c r="Z1172" s="66"/>
      <c r="AA1172" s="66"/>
      <c r="AB1172" s="66"/>
      <c r="AC1172" s="66"/>
      <c r="AD1172" s="66"/>
      <c r="AE1172" s="66"/>
      <c r="AF1172" s="66"/>
      <c r="AG1172" s="66"/>
      <c r="AH1172" s="66"/>
      <c r="AI1172" s="66"/>
      <c r="AJ1172" s="66"/>
      <c r="AK1172" s="66"/>
      <c r="AL1172" s="66"/>
      <c r="AM1172" s="66"/>
      <c r="AN1172" s="66"/>
      <c r="AO1172" s="66"/>
      <c r="AP1172" s="66"/>
      <c r="AQ1172" s="66"/>
      <c r="AR1172" s="66"/>
      <c r="AS1172" s="66"/>
      <c r="AT1172" s="66"/>
      <c r="AU1172" s="66"/>
      <c r="AV1172" s="66"/>
      <c r="AW1172" s="66"/>
      <c r="AX1172" s="66"/>
      <c r="AY1172" s="41" t="str">
        <f>IF(OR(ISBLANK(#REF!), ISBLANK(AQ1172)), "Incomplete", (60.7*AQ1172)+(45.3*#REF!)-2055)</f>
        <v>Incomplete</v>
      </c>
      <c r="AZ1172" s="66"/>
      <c r="BA1172" s="20" t="str">
        <f>IF(OR(ISBLANK(#REF!), ISBLANK(AS1172)), "Incomplete", (60.7*AS1172)+(45.3*#REF!)-2055)</f>
        <v>Incomplete</v>
      </c>
      <c r="BB1172" s="66"/>
      <c r="BC1172" s="20" t="str">
        <f>IF(OR(ISBLANK(#REF!), ISBLANK(AU1172)), "Incomplete", (60.7*AU1172)+(45.3*#REF!)-2055)</f>
        <v>Incomplete</v>
      </c>
      <c r="BD1172" s="66"/>
      <c r="BE1172" s="20" t="str">
        <f>IF(OR(ISBLANK(#REF!), ISBLANK(AW1172)), "Incomplete", (60.7*AW1172)+(45.3*#REF!)-2055)</f>
        <v>Incomplete</v>
      </c>
      <c r="BF1172" s="66"/>
      <c r="BG1172" s="66"/>
      <c r="BH1172" s="66"/>
      <c r="BI1172" s="20" t="str">
        <f>IF(OR(ISBLANK(BG1172), ISBLANK(BH1172)),"Incomplete",(SUM(BH1172-BG1172)))</f>
        <v>Incomplete</v>
      </c>
      <c r="BJ1172" s="66"/>
      <c r="BK1172" s="66"/>
      <c r="BL1172" s="66"/>
      <c r="BM1172" s="66"/>
      <c r="BN1172" s="66"/>
      <c r="BO1172" s="66"/>
      <c r="BP1172" s="66"/>
      <c r="BQ1172" s="66"/>
      <c r="BR1172" s="66"/>
      <c r="BS1172" s="66"/>
      <c r="BT1172" s="66"/>
      <c r="BU1172" s="66"/>
      <c r="BV1172" s="66"/>
      <c r="BW1172" s="91" t="str">
        <f>IFERROR(SUM(BQ1172+BR1172+BS1172)/(3*(#REF!-S1172))*100, "Incomplete")</f>
        <v>Incomplete</v>
      </c>
      <c r="BX1172" s="91" t="str">
        <f>_xlfn.XLOOKUP(BW1172,'Normative data'!$V$3:$V$6,'Normative data'!$W$3:$W$6,"Not Found",-1)</f>
        <v>Very low risk</v>
      </c>
      <c r="BY1172" s="91" t="str">
        <f>IFERROR(SUM(BT1172+BU1172+BV1172)/(3*(#REF!-S1172))*100, "Incomplete")</f>
        <v>Incomplete</v>
      </c>
      <c r="BZ1172" s="91" t="str">
        <f>_xlfn.XLOOKUP(BY1172,'Normative data'!$V$3:$V$6,'Normative data'!$W$3:$W$6,"Not Found",-1)</f>
        <v>Very low risk</v>
      </c>
      <c r="CA1172" s="20"/>
      <c r="CB1172" s="66"/>
      <c r="CC1172" s="20"/>
      <c r="CD1172" s="66"/>
      <c r="CE1172" s="66"/>
      <c r="CF1172" s="66"/>
      <c r="CG1172" s="66">
        <v>17.09</v>
      </c>
      <c r="CH1172" s="20" t="e">
        <f>_xlfn.XLOOKUP(#REF!, 'Normative data'!$S$9:$S$15,'Normative data'!$T$9:$T$15, "Not Found", -1)</f>
        <v>#REF!</v>
      </c>
      <c r="CI1172" s="66">
        <v>16.55</v>
      </c>
      <c r="CJ1172" s="20" t="e">
        <f>_xlfn.XLOOKUP(#REF!, 'Normative data'!$S$9:$S$15, 'Normative data'!$T$9:$T$15, "Not Found", -1)</f>
        <v>#REF!</v>
      </c>
      <c r="CK1172" s="105"/>
      <c r="CL1172" s="105"/>
      <c r="CM1172" s="105"/>
      <c r="CN1172" s="105"/>
      <c r="CO1172" s="105"/>
      <c r="CP1172" s="109"/>
      <c r="CQ1172" s="68"/>
      <c r="CR1172" s="20" t="str" cm="1">
        <f t="array" ref="CR1172">IF(OR(ISBLANK(E1172),ISBLANK(CQ1172)),"Incomplete",_xlfn.XLOOKUP(CQ1172,_xlfn.XLOOKUP(E1172,'Normative data'!$Y$3:$Y$6,'Normative data'!$Z$3:$AG$6,,-1),'Normative data'!$Z$2:$AG$2,"Not Found",-1))</f>
        <v>Incomplete</v>
      </c>
      <c r="CS1172" s="68"/>
      <c r="CT1172" s="66"/>
      <c r="CU1172" s="20" t="str" cm="1">
        <f t="array" ref="CU1172">_xlfn.XLOOKUP(CS1172&amp;CT1172,(VLOOKUP!$A$3:$A$250)&amp;(VLOOKUP!$B$3:$B$250),VLOOKUP!$C$3:$C$250,"Incomplete",-1)</f>
        <v>Incomplete</v>
      </c>
      <c r="CV1172" s="20" t="str" cm="1">
        <f t="array" ref="CV1172">_xlfn.XLOOKUP(CU1172, _xlfn.XLOOKUP(E1172, 'Normative data'!$Y$11:$Y$14, 'Normative data'!$Z$11:$AG$14, ,-1), 'Normative data'!$Z$10:$AG$10, "Not Found", -1)</f>
        <v>Excellent</v>
      </c>
      <c r="CW1172" s="20" t="str" cm="1">
        <f t="array" ref="CW1172">IF(OR(ISBLANK(CS1172),ISBLANK(CT1172)),"Incomplete",_xlfn.XLOOKUP(CS1172&amp;CT1172,VLOOKUP!$A$4:$A$250&amp;VLOOKUP!$B$4:$B$250,VLOOKUP!$D$4:$D$250,"0"))</f>
        <v>Incomplete</v>
      </c>
    </row>
    <row r="1173" spans="1:101">
      <c r="A1173" s="64" t="s">
        <v>505</v>
      </c>
      <c r="B1173" s="64" t="s">
        <v>1817</v>
      </c>
      <c r="C1173" s="64" t="s">
        <v>86</v>
      </c>
      <c r="D1173" s="96">
        <v>40812</v>
      </c>
      <c r="E1173" s="64"/>
      <c r="F1173" s="64"/>
      <c r="G1173" s="64">
        <v>2026</v>
      </c>
      <c r="H1173" s="66" t="s">
        <v>114</v>
      </c>
      <c r="I1173" s="64">
        <v>1</v>
      </c>
      <c r="J1173" s="64"/>
      <c r="K1173" s="64"/>
      <c r="L1173" s="64"/>
      <c r="M1173" s="64"/>
      <c r="N1173" s="64"/>
      <c r="O1173" s="64"/>
      <c r="P1173" s="64"/>
      <c r="Q1173" s="64"/>
      <c r="R1173" s="64"/>
      <c r="S1173" s="66"/>
      <c r="T1173" s="66"/>
      <c r="U1173" s="66"/>
      <c r="V1173" s="66"/>
      <c r="W1173" s="66"/>
      <c r="X1173" s="66"/>
      <c r="Y1173" s="66"/>
      <c r="Z1173" s="66"/>
      <c r="AA1173" s="66"/>
      <c r="AB1173" s="66"/>
      <c r="AC1173" s="66"/>
      <c r="AD1173" s="66"/>
      <c r="AE1173" s="66"/>
      <c r="AF1173" s="66"/>
      <c r="AG1173" s="66"/>
      <c r="AH1173" s="66"/>
      <c r="AI1173" s="66"/>
      <c r="AJ1173" s="66"/>
      <c r="AK1173" s="66"/>
      <c r="AL1173" s="66"/>
      <c r="AM1173" s="66"/>
      <c r="AN1173" s="66"/>
      <c r="AO1173" s="66"/>
      <c r="AP1173" s="66"/>
      <c r="AQ1173" s="66" t="s">
        <v>1481</v>
      </c>
      <c r="AR1173" s="66" t="s">
        <v>1482</v>
      </c>
      <c r="AS1173" s="66" t="s">
        <v>1818</v>
      </c>
      <c r="AT1173" s="66" t="s">
        <v>1819</v>
      </c>
      <c r="AU1173" s="66" t="s">
        <v>1103</v>
      </c>
      <c r="AV1173" s="66" t="s">
        <v>1104</v>
      </c>
      <c r="AW1173" s="66" t="s">
        <v>1710</v>
      </c>
      <c r="AX1173" s="66" t="s">
        <v>1820</v>
      </c>
      <c r="AY1173" s="41" t="str">
        <f>IF(OR(ISBLANK(U1173), ISBLANK(AQ1173)), "Incomplete", (60.7*AQ1173)+(45.3*U1173)-2055)</f>
        <v>Incomplete</v>
      </c>
      <c r="AZ1173" s="66"/>
      <c r="BA1173" s="20" t="str">
        <f>IF(OR(ISBLANK(U1173), ISBLANK(AS1173)), "Incomplete", (60.7*AS1173)+(45.3*U1173)-2055)</f>
        <v>Incomplete</v>
      </c>
      <c r="BB1173" s="66"/>
      <c r="BC1173" s="20" t="str">
        <f>IF(OR(ISBLANK(U1173), ISBLANK(AU1173)), "Incomplete", (60.7*AU1173)+(45.3*U1173)-2055)</f>
        <v>Incomplete</v>
      </c>
      <c r="BD1173" s="66"/>
      <c r="BE1173" s="20" t="str">
        <f>IF(OR(ISBLANK(U1173), ISBLANK(AW1173)), "Incomplete", (60.7*AW1173)+(45.3*U1173)-2055)</f>
        <v>Incomplete</v>
      </c>
      <c r="BF1173" s="66"/>
      <c r="BG1173" s="66">
        <v>13</v>
      </c>
      <c r="BH1173" s="66" t="s">
        <v>1821</v>
      </c>
      <c r="BI1173" s="20" t="e">
        <f>IF(OR(ISBLANK(BG1173), ISBLANK(BH1173)),"Incomplete",(SUM(BH1173-BG1173)))</f>
        <v>#VALUE!</v>
      </c>
      <c r="BJ1173" s="66"/>
      <c r="BK1173" s="66"/>
      <c r="BL1173" s="66"/>
      <c r="BM1173" s="66"/>
      <c r="BN1173" s="66"/>
      <c r="BO1173" s="66"/>
      <c r="BP1173" s="66"/>
      <c r="BQ1173" s="66"/>
      <c r="BR1173" s="66"/>
      <c r="BS1173" s="66"/>
      <c r="BT1173" s="66"/>
      <c r="BU1173" s="66"/>
      <c r="BV1173" s="66"/>
      <c r="BW1173" s="91" t="str">
        <f>IFERROR(SUM(BQ1173+BR1173+BS1173)/(3*(T1173-S1173))*100, "Incomplete")</f>
        <v>Incomplete</v>
      </c>
      <c r="BX1173" s="91" t="str">
        <f>_xlfn.XLOOKUP(BW1173,'Normative data'!$V$3:$V$6,'Normative data'!$W$3:$W$6,"Not Found",-1)</f>
        <v>Very low risk</v>
      </c>
      <c r="BY1173" s="91" t="str">
        <f>IFERROR(SUM(BT1173+BU1173+BV1173)/(3*(T1173-S1173))*100, "Incomplete")</f>
        <v>Incomplete</v>
      </c>
      <c r="BZ1173" s="91" t="str">
        <f>_xlfn.XLOOKUP(BY1173,'Normative data'!$V$3:$V$6,'Normative data'!$W$3:$W$6,"Not Found",-1)</f>
        <v>Very low risk</v>
      </c>
      <c r="CA1173" s="66"/>
      <c r="CB1173" s="66"/>
      <c r="CC1173" s="66">
        <v>46</v>
      </c>
      <c r="CD1173" s="66"/>
      <c r="CE1173" s="66">
        <v>7</v>
      </c>
      <c r="CF1173" s="66"/>
      <c r="CG1173" s="66" t="s">
        <v>1822</v>
      </c>
      <c r="CH1173" s="20" t="str">
        <f>_xlfn.XLOOKUP(CG1173, 'Normative data'!$S$9:$S$15,'Normative data'!$T$9:$T$15, "Not Found", -1)</f>
        <v>Poor</v>
      </c>
      <c r="CI1173" s="66" t="s">
        <v>1823</v>
      </c>
      <c r="CJ1173" s="20" t="str">
        <f>_xlfn.XLOOKUP(CI1173, 'Normative data'!$S$9:$S$15, 'Normative data'!$T$9:$T$15, "Not Found", -1)</f>
        <v>Poor</v>
      </c>
      <c r="CK1173" s="20" t="s">
        <v>401</v>
      </c>
      <c r="CL1173" s="20" t="s">
        <v>867</v>
      </c>
      <c r="CN1173" s="20" t="s">
        <v>388</v>
      </c>
      <c r="CO1173" s="20" t="s">
        <v>389</v>
      </c>
      <c r="CP1173" s="68"/>
      <c r="CQ1173" s="68" t="s">
        <v>1776</v>
      </c>
      <c r="CR1173" s="20" t="str" cm="1">
        <f t="array" ref="CR1173">IF(OR(ISBLANK(E1173),ISBLANK(CQ1173)),"Incomplete",_xlfn.XLOOKUP(CQ1173,_xlfn.XLOOKUP(E1173,'Normative data'!$Y$3:$Y$6,'Normative data'!$Z$3:$AG$6,,-1),'Normative data'!$Z$2:$AG$2,"Not Found",-1))</f>
        <v>Incomplete</v>
      </c>
      <c r="CS1173" s="68">
        <v>14</v>
      </c>
      <c r="CT1173" s="66">
        <v>3</v>
      </c>
      <c r="CU1173" s="20" cm="1">
        <f t="array" ref="CU1173">_xlfn.XLOOKUP(CS1173&amp;CT1173,(VLOOKUP!$A$3:$A$250)&amp;(VLOOKUP!$B$3:$B$250),VLOOKUP!$C$3:$C$250,"Incomplete",-1)</f>
        <v>2680</v>
      </c>
      <c r="CV1173" s="20" t="str" cm="1">
        <f t="array" ref="CV1173">_xlfn.XLOOKUP(CU1173, _xlfn.XLOOKUP(E1173, 'Normative data'!$Y$11:$Y$14, 'Normative data'!$Z$11:$AG$14, ,-1), 'Normative data'!$Z$10:$AG$10, "Not Found", -1)</f>
        <v>Excellent</v>
      </c>
      <c r="CW1173" s="20" cm="1">
        <f t="array" ref="CW1173">IF(OR(ISBLANK(CS1173),ISBLANK(CT1173)),"Incomplete",_xlfn.XLOOKUP(CS1173&amp;CT1173,VLOOKUP!$A$4:$A$250&amp;VLOOKUP!$B$4:$B$250,VLOOKUP!$D$4:$D$250,"0"))</f>
        <v>61</v>
      </c>
    </row>
    <row r="1174" spans="1:101">
      <c r="A1174" s="64" t="s">
        <v>431</v>
      </c>
      <c r="B1174" s="64" t="s">
        <v>1268</v>
      </c>
      <c r="C1174" s="64" t="s">
        <v>86</v>
      </c>
      <c r="D1174" s="65">
        <v>39966</v>
      </c>
      <c r="E1174" s="64"/>
      <c r="F1174" s="64">
        <v>10</v>
      </c>
      <c r="G1174" s="64">
        <v>2025</v>
      </c>
      <c r="H1174" s="66"/>
      <c r="I1174" s="64"/>
      <c r="J1174" s="64"/>
      <c r="K1174" s="64"/>
      <c r="L1174" s="64"/>
      <c r="M1174" s="64"/>
      <c r="N1174" s="64"/>
      <c r="O1174" s="64"/>
      <c r="P1174" s="64"/>
      <c r="Q1174" s="64"/>
      <c r="R1174" s="64"/>
      <c r="S1174" s="66"/>
      <c r="T1174" s="66"/>
      <c r="U1174" s="66"/>
      <c r="V1174" s="66"/>
      <c r="W1174" s="66"/>
      <c r="X1174" s="66"/>
      <c r="Y1174" s="66"/>
      <c r="Z1174" s="66"/>
      <c r="AA1174" s="66"/>
      <c r="AB1174" s="66"/>
      <c r="AC1174" s="66"/>
      <c r="AD1174" s="66"/>
      <c r="AE1174" s="66"/>
      <c r="AF1174" s="66"/>
      <c r="AG1174" s="66"/>
      <c r="AH1174" s="66"/>
      <c r="AI1174" s="66"/>
      <c r="AJ1174" s="66"/>
      <c r="AK1174" s="66"/>
      <c r="AL1174" s="66"/>
      <c r="AM1174" s="66"/>
      <c r="AN1174" s="66"/>
      <c r="AO1174" s="66"/>
      <c r="AP1174" s="66"/>
      <c r="AQ1174" s="66"/>
      <c r="AR1174" s="66"/>
      <c r="AS1174" s="66"/>
      <c r="AT1174" s="66"/>
      <c r="AU1174" s="66"/>
      <c r="AV1174" s="66"/>
      <c r="AW1174" s="66"/>
      <c r="AX1174" s="66"/>
      <c r="AY1174" s="41" t="str">
        <f>IF(OR(ISBLANK(U1174), ISBLANK(AQ1174)), "Incomplete", (60.7*AQ1174)+(45.3*U1174)-2055)</f>
        <v>Incomplete</v>
      </c>
      <c r="AZ1174" s="66"/>
      <c r="BA1174" s="20" t="str">
        <f>IF(OR(ISBLANK(U1174), ISBLANK(AS1174)), "Incomplete", (60.7*AS1174)+(45.3*U1174)-2055)</f>
        <v>Incomplete</v>
      </c>
      <c r="BB1174" s="66"/>
      <c r="BC1174" s="20" t="str">
        <f>IF(OR(ISBLANK(U1174), ISBLANK(AU1174)), "Incomplete", (60.7*AU1174)+(45.3*U1174)-2055)</f>
        <v>Incomplete</v>
      </c>
      <c r="BD1174" s="66"/>
      <c r="BE1174" s="20" t="str">
        <f>IF(OR(ISBLANK(U1174), ISBLANK(AW1174)), "Incomplete", (60.7*AW1174)+(45.3*U1174)-2055)</f>
        <v>Incomplete</v>
      </c>
      <c r="BF1174" s="66"/>
      <c r="BG1174" s="66">
        <v>16.5</v>
      </c>
      <c r="BH1174" s="66">
        <v>43</v>
      </c>
      <c r="BI1174" s="20" t="e">
        <f>IF(OR(ISBLANK(#REF!), ISBLANK(#REF!)),"Incomplete",(SUM(#REF!-#REF!)))</f>
        <v>#REF!</v>
      </c>
      <c r="BJ1174" s="66"/>
      <c r="BK1174" s="66">
        <v>9</v>
      </c>
      <c r="BL1174" s="66"/>
      <c r="BM1174" s="66"/>
      <c r="BN1174" s="66"/>
      <c r="BO1174" s="66"/>
      <c r="BP1174" s="66"/>
      <c r="BQ1174" s="66"/>
      <c r="BR1174" s="66"/>
      <c r="BS1174" s="66"/>
      <c r="BT1174" s="66"/>
      <c r="BU1174" s="66"/>
      <c r="BV1174" s="66"/>
      <c r="BW1174" s="91" t="str">
        <f>IFERROR(SUM(BQ1174+BR1174+BS1174)/(3*(T1174-S1174))*100, "Incomplete")</f>
        <v>Incomplete</v>
      </c>
      <c r="BX1174" s="91" t="str">
        <f>_xlfn.XLOOKUP(BW1174,'Normative data'!$V$3:$V$6,'Normative data'!$W$3:$W$6,"Not Found",-1)</f>
        <v>Very low risk</v>
      </c>
      <c r="BY1174" s="91" t="str">
        <f>IFERROR(SUM(BT1174+BU1174+BV1174)/(3*(T1174-S1174))*100, "Incomplete")</f>
        <v>Incomplete</v>
      </c>
      <c r="BZ1174" s="91" t="str">
        <f>_xlfn.XLOOKUP(BY1174,'Normative data'!$V$3:$V$6,'Normative data'!$W$3:$W$6,"Not Found",-1)</f>
        <v>Very low risk</v>
      </c>
      <c r="CA1174" s="66"/>
      <c r="CB1174" s="66"/>
      <c r="CC1174" s="66"/>
      <c r="CD1174" s="66"/>
      <c r="CE1174" s="66">
        <v>8</v>
      </c>
      <c r="CF1174" s="66"/>
      <c r="CG1174" s="20"/>
      <c r="CH1174" s="20" t="str">
        <f>_xlfn.XLOOKUP(CG1174, 'Normative data'!$S$9:$S$15,'Normative data'!$T$9:$T$15, "Not Found", -1)</f>
        <v>not completed</v>
      </c>
      <c r="CI1174" s="20"/>
      <c r="CJ1174" s="20" t="str">
        <f>_xlfn.XLOOKUP(CI1174, 'Normative data'!$S$9:$S$15, 'Normative data'!$T$9:$T$15, "Not Found", -1)</f>
        <v>not completed</v>
      </c>
      <c r="CK1174" s="105">
        <v>2.35</v>
      </c>
      <c r="CL1174" s="105">
        <v>4.62</v>
      </c>
      <c r="CM1174" s="105"/>
      <c r="CN1174" s="105">
        <v>7.18</v>
      </c>
      <c r="CO1174" s="105">
        <v>6.96</v>
      </c>
      <c r="CP1174" s="109"/>
      <c r="CQ1174" s="68"/>
      <c r="CR1174" s="20" t="str" cm="1">
        <f t="array" ref="CR1174">IF(OR(ISBLANK(E1174),ISBLANK(CQ1174)),"Incomplete",_xlfn.XLOOKUP(CQ1174,_xlfn.XLOOKUP(E1174,'Normative data'!$Y$3:$Y$6,'Normative data'!$Z$3:$AG$6,,-1),'Normative data'!$Z$2:$AG$2,"Not Found",-1))</f>
        <v>Incomplete</v>
      </c>
      <c r="CS1174" s="68"/>
      <c r="CT1174" s="66"/>
      <c r="CU1174" s="20" t="str" cm="1">
        <f t="array" ref="CU1174">_xlfn.XLOOKUP(CS1174&amp;CT1174,(VLOOKUP!$A$3:$A$250)&amp;(VLOOKUP!$B$3:$B$250),VLOOKUP!$C$3:$C$250,"Incomplete",-1)</f>
        <v>Incomplete</v>
      </c>
      <c r="CV1174" s="20" t="str" cm="1">
        <f t="array" ref="CV1174">_xlfn.XLOOKUP(CU1174, _xlfn.XLOOKUP(E1174, 'Normative data'!$Y$11:$Y$14, 'Normative data'!$Z$11:$AG$14, ,-1), 'Normative data'!$Z$10:$AG$10, "Not Found", -1)</f>
        <v>Excellent</v>
      </c>
      <c r="CW1174" s="20" t="str" cm="1">
        <f t="array" ref="CW1174">IF(OR(ISBLANK(CS1174),ISBLANK(CT1174)),"Incomplete",_xlfn.XLOOKUP(CS1174&amp;CT1174,VLOOKUP!$A$4:$A$250&amp;VLOOKUP!$B$4:$B$250,VLOOKUP!$D$4:$D$250,"0"))</f>
        <v>Incomplete</v>
      </c>
    </row>
    <row r="1175" spans="1:101">
      <c r="A1175" s="93" t="s">
        <v>484</v>
      </c>
      <c r="B1175" s="93" t="s">
        <v>1268</v>
      </c>
      <c r="C1175" s="64" t="s">
        <v>86</v>
      </c>
      <c r="D1175" s="96">
        <v>40188</v>
      </c>
      <c r="E1175" s="64"/>
      <c r="F1175" s="64">
        <v>9</v>
      </c>
      <c r="G1175" s="64">
        <v>2025</v>
      </c>
      <c r="H1175" s="66"/>
      <c r="I1175" s="64"/>
      <c r="J1175" s="64"/>
      <c r="K1175" s="64"/>
      <c r="L1175" s="64"/>
      <c r="M1175" s="64"/>
      <c r="N1175" s="64"/>
      <c r="O1175" s="64"/>
      <c r="P1175" s="64"/>
      <c r="Q1175" s="64"/>
      <c r="R1175" s="64"/>
      <c r="S1175" s="66"/>
      <c r="T1175" s="66"/>
      <c r="U1175" s="66"/>
      <c r="V1175" s="66"/>
      <c r="W1175" s="66"/>
      <c r="X1175" s="66"/>
      <c r="Y1175" s="66"/>
      <c r="Z1175" s="66"/>
      <c r="AA1175" s="66"/>
      <c r="AB1175" s="66"/>
      <c r="AC1175" s="66"/>
      <c r="AD1175" s="66"/>
      <c r="AE1175" s="66"/>
      <c r="AF1175" s="66"/>
      <c r="AG1175" s="66"/>
      <c r="AH1175" s="66"/>
      <c r="AI1175" s="66"/>
      <c r="AJ1175" s="66"/>
      <c r="AK1175" s="66"/>
      <c r="AL1175" s="66"/>
      <c r="AM1175" s="66"/>
      <c r="AN1175" s="66"/>
      <c r="AO1175" s="66"/>
      <c r="AP1175" s="66"/>
      <c r="AQ1175" s="66"/>
      <c r="AR1175" s="66"/>
      <c r="AS1175" s="66"/>
      <c r="AT1175" s="66"/>
      <c r="AU1175" s="66"/>
      <c r="AV1175" s="66"/>
      <c r="AW1175" s="66"/>
      <c r="AX1175" s="66"/>
      <c r="AY1175" s="41" t="str">
        <f>IF(OR(ISBLANK(U1175), ISBLANK(AQ1175)), "Incomplete", (60.7*AQ1175)+(45.3*U1175)-2055)</f>
        <v>Incomplete</v>
      </c>
      <c r="AZ1175" s="66"/>
      <c r="BA1175" s="20" t="str">
        <f>IF(OR(ISBLANK(U1175), ISBLANK(AS1175)), "Incomplete", (60.7*AS1175)+(45.3*U1175)-2055)</f>
        <v>Incomplete</v>
      </c>
      <c r="BB1175" s="66"/>
      <c r="BC1175" s="20" t="str">
        <f>IF(OR(ISBLANK(U1175), ISBLANK(AU1175)), "Incomplete", (60.7*AU1175)+(45.3*U1175)-2055)</f>
        <v>Incomplete</v>
      </c>
      <c r="BD1175" s="66"/>
      <c r="BE1175" s="20" t="str">
        <f>IF(OR(ISBLANK(U1175), ISBLANK(AW1175)), "Incomplete", (60.7*AW1175)+(45.3*U1175)-2055)</f>
        <v>Incomplete</v>
      </c>
      <c r="BF1175" s="66"/>
      <c r="BG1175" s="66">
        <v>17.5</v>
      </c>
      <c r="BH1175" s="20">
        <v>37.6</v>
      </c>
      <c r="BI1175" s="20" t="e">
        <f>IF(OR(ISBLANK(#REF!), ISBLANK(#REF!)),"Incomplete",(SUM(#REF!-#REF!)))</f>
        <v>#REF!</v>
      </c>
      <c r="BJ1175" s="66"/>
      <c r="BK1175" s="66"/>
      <c r="BL1175" s="66"/>
      <c r="BM1175" s="66"/>
      <c r="BN1175" s="66"/>
      <c r="BO1175" s="66"/>
      <c r="BP1175" s="66"/>
      <c r="BQ1175" s="66"/>
      <c r="BR1175" s="66"/>
      <c r="BS1175" s="66"/>
      <c r="BT1175" s="66"/>
      <c r="BU1175" s="66"/>
      <c r="BV1175" s="66"/>
      <c r="BW1175" s="91" t="str">
        <f>IFERROR(SUM(BQ1175+BR1175+BS1175)/(3*(T1175-S1175))*100, "Incomplete")</f>
        <v>Incomplete</v>
      </c>
      <c r="BX1175" s="91" t="str">
        <f>_xlfn.XLOOKUP(BW1175,'Normative data'!$V$2:$V$6,'Normative data'!$W$2:$W$6,"Not Found",-1)</f>
        <v>Very low risk</v>
      </c>
      <c r="BY1175" s="91" t="str">
        <f>IFERROR(SUM(BT1175+BU1175+BV1175)/(3*(T1175-S1175))*100, "Incomplete")</f>
        <v>Incomplete</v>
      </c>
      <c r="BZ1175" s="91" t="str">
        <f>_xlfn.XLOOKUP(BY1175,'Normative data'!$V$3:$V$6,'Normative data'!$W$3:$W$6,"Not Found",-1)</f>
        <v>Very low risk</v>
      </c>
      <c r="CA1175" s="66"/>
      <c r="CB1175" s="66"/>
      <c r="CC1175" s="20"/>
      <c r="CD1175" s="66"/>
      <c r="CE1175" s="66">
        <v>7</v>
      </c>
      <c r="CF1175" s="66"/>
      <c r="CG1175" s="20"/>
      <c r="CH1175" s="20" t="str">
        <f>_xlfn.XLOOKUP(CG1175, 'Normative data'!$S$9:$S$15,'Normative data'!$T$9:$T$15, "Not Found", -1)</f>
        <v>not completed</v>
      </c>
      <c r="CI1175" s="20"/>
      <c r="CJ1175" s="20" t="str">
        <f>_xlfn.XLOOKUP(CI1175, 'Normative data'!$S$9:$S$15, 'Normative data'!$T$9:$T$15, "Not Found", -1)</f>
        <v>not completed</v>
      </c>
      <c r="CK1175" s="105">
        <v>2.38</v>
      </c>
      <c r="CL1175" s="105">
        <v>4.2</v>
      </c>
      <c r="CM1175" s="105"/>
      <c r="CN1175" s="105">
        <v>7.37</v>
      </c>
      <c r="CO1175" s="105">
        <v>6.78</v>
      </c>
      <c r="CP1175" s="109"/>
      <c r="CQ1175" s="68"/>
      <c r="CR1175" s="20" t="str" cm="1">
        <f t="array" ref="CR1175">IF(OR(ISBLANK(E1175),ISBLANK(CQ1175)),"Incomplete",_xlfn.XLOOKUP(CQ1175,_xlfn.XLOOKUP(E1175,'Normative data'!$Y$3:$Y$6,'Normative data'!$Z$3:$AG$6,,-1),'Normative data'!$Z$2:$AG$2,"Not Found",-1))</f>
        <v>Incomplete</v>
      </c>
      <c r="CS1175" s="68"/>
      <c r="CT1175" s="66"/>
      <c r="CU1175" s="20" t="str" cm="1">
        <f t="array" ref="CU1175">_xlfn.XLOOKUP(CS1175&amp;CT1175,(VLOOKUP!$A$3:$A$250)&amp;(VLOOKUP!$B$3:$B$250),VLOOKUP!$C$3:$C$250,"Incomplete",-1)</f>
        <v>Incomplete</v>
      </c>
      <c r="CV1175" s="20" t="str" cm="1">
        <f t="array" ref="CV1175">_xlfn.XLOOKUP(CU1175, _xlfn.XLOOKUP(E1175, 'Normative data'!$Y$11:$Y$14, 'Normative data'!$Z$11:$AG$14, ,-1), 'Normative data'!$Z$10:$AG$10, "Not Found", -1)</f>
        <v>Excellent</v>
      </c>
      <c r="CW1175" s="20" t="str" cm="1">
        <f t="array" ref="CW1175">IF(OR(ISBLANK(CS1175),ISBLANK(CT1175)),"Incomplete",_xlfn.XLOOKUP(CS1175&amp;CT1175,VLOOKUP!$A$4:$A$250&amp;VLOOKUP!$B$4:$B$250,VLOOKUP!$D$4:$D$250,"0"))</f>
        <v>Incomplete</v>
      </c>
    </row>
    <row r="1176" spans="1:101">
      <c r="A1176" s="64" t="s">
        <v>1294</v>
      </c>
      <c r="B1176" s="64" t="s">
        <v>1268</v>
      </c>
      <c r="C1176" s="64" t="s">
        <v>86</v>
      </c>
      <c r="D1176" s="96">
        <v>40188</v>
      </c>
      <c r="E1176" s="64"/>
      <c r="F1176" s="64">
        <v>9</v>
      </c>
      <c r="G1176" s="64">
        <v>2025</v>
      </c>
      <c r="H1176" s="66"/>
      <c r="I1176" s="64"/>
      <c r="J1176" s="64"/>
      <c r="K1176" s="64"/>
      <c r="L1176" s="64"/>
      <c r="M1176" s="64"/>
      <c r="N1176" s="64"/>
      <c r="O1176" s="64"/>
      <c r="P1176" s="64"/>
      <c r="Q1176" s="64"/>
      <c r="R1176" s="64"/>
      <c r="S1176" s="66"/>
      <c r="T1176" s="66"/>
      <c r="U1176" s="66"/>
      <c r="V1176" s="66"/>
      <c r="W1176" s="66"/>
      <c r="X1176" s="66"/>
      <c r="Y1176" s="66"/>
      <c r="Z1176" s="66"/>
      <c r="AA1176" s="66"/>
      <c r="AB1176" s="66"/>
      <c r="AC1176" s="66"/>
      <c r="AD1176" s="66"/>
      <c r="AE1176" s="66"/>
      <c r="AF1176" s="66"/>
      <c r="AG1176" s="66"/>
      <c r="AH1176" s="66"/>
      <c r="AI1176" s="66"/>
      <c r="AJ1176" s="66"/>
      <c r="AK1176" s="66"/>
      <c r="AL1176" s="66"/>
      <c r="AM1176" s="66"/>
      <c r="AN1176" s="66"/>
      <c r="AO1176" s="66"/>
      <c r="AP1176" s="66"/>
      <c r="AQ1176" s="66"/>
      <c r="AR1176" s="66"/>
      <c r="AS1176" s="66"/>
      <c r="AT1176" s="66"/>
      <c r="AU1176" s="66"/>
      <c r="AV1176" s="66"/>
      <c r="AW1176" s="66"/>
      <c r="AX1176" s="66"/>
      <c r="AY1176" s="41" t="str">
        <f>IF(OR(ISBLANK(U1176), ISBLANK(AQ1176)), "Incomplete", (60.7*AQ1176)+(45.3*U1176)-2055)</f>
        <v>Incomplete</v>
      </c>
      <c r="AZ1176" s="66"/>
      <c r="BA1176" s="20" t="str">
        <f>IF(OR(ISBLANK(U1176), ISBLANK(AS1176)), "Incomplete", (60.7*AS1176)+(45.3*U1176)-2055)</f>
        <v>Incomplete</v>
      </c>
      <c r="BB1176" s="66"/>
      <c r="BC1176" s="20" t="str">
        <f>IF(OR(ISBLANK(U1176), ISBLANK(AU1176)), "Incomplete", (60.7*AU1176)+(45.3*U1176)-2055)</f>
        <v>Incomplete</v>
      </c>
      <c r="BD1176" s="66"/>
      <c r="BE1176" s="20" t="str">
        <f>IF(OR(ISBLANK(U1176), ISBLANK(AW1176)), "Incomplete", (60.7*AW1176)+(45.3*U1176)-2055)</f>
        <v>Incomplete</v>
      </c>
      <c r="BF1176" s="66"/>
      <c r="BG1176" s="66"/>
      <c r="BH1176" s="20"/>
      <c r="BI1176" s="20" t="str">
        <f>IF(OR(ISBLANK(BG1176), ISBLANK(BH1176)),"Incomplete",(SUM(BH1176-BG1176)))</f>
        <v>Incomplete</v>
      </c>
      <c r="BJ1176" s="66"/>
      <c r="BK1176" s="66"/>
      <c r="BL1176" s="66"/>
      <c r="BM1176" s="66"/>
      <c r="BN1176" s="66"/>
      <c r="BO1176" s="66"/>
      <c r="BP1176" s="66"/>
      <c r="BQ1176" s="66"/>
      <c r="BR1176" s="66"/>
      <c r="BS1176" s="66"/>
      <c r="BT1176" s="66"/>
      <c r="BU1176" s="66"/>
      <c r="BV1176" s="66"/>
      <c r="BW1176" s="91" t="str">
        <f>IFERROR(SUM(BQ1176+BR1176+BS1176)/(3*(T1176-S1176))*100, "Incomplete")</f>
        <v>Incomplete</v>
      </c>
      <c r="BX1176" s="91" t="str">
        <f>_xlfn.XLOOKUP(BW1176,'Normative data'!$V$2:$V$6,'Normative data'!$W$2:$W$6,"Not Found",-1)</f>
        <v>Very low risk</v>
      </c>
      <c r="BY1176" s="91" t="str">
        <f>IFERROR(SUM(BT1176+BU1176+BV1176)/(3*(T1176-S1176))*100, "Incomplete")</f>
        <v>Incomplete</v>
      </c>
      <c r="BZ1176" s="91" t="str">
        <f>_xlfn.XLOOKUP(BY1176,'Normative data'!$V$3:$V$6,'Normative data'!$W$3:$W$6,"Not Found",-1)</f>
        <v>Very low risk</v>
      </c>
      <c r="CA1176" s="66"/>
      <c r="CB1176" s="66"/>
      <c r="CC1176" s="66"/>
      <c r="CD1176" s="66"/>
      <c r="CE1176" s="66"/>
      <c r="CF1176" s="66"/>
      <c r="CG1176" s="20"/>
      <c r="CH1176" s="20" t="str">
        <f>_xlfn.XLOOKUP(CG1176, 'Normative data'!$S$9:$S$15,'Normative data'!$T$9:$T$15, "Not Found", -1)</f>
        <v>not completed</v>
      </c>
      <c r="CI1176" s="20"/>
      <c r="CJ1176" s="20" t="str">
        <f>_xlfn.XLOOKUP(CI1176, 'Normative data'!$S$9:$S$15, 'Normative data'!$T$9:$T$15, "Not Found", -1)</f>
        <v>not completed</v>
      </c>
      <c r="CK1176" s="20" t="s">
        <v>245</v>
      </c>
      <c r="CL1176" s="20" t="s">
        <v>246</v>
      </c>
      <c r="CN1176" s="20" t="s">
        <v>785</v>
      </c>
      <c r="CO1176" s="20" t="s">
        <v>305</v>
      </c>
      <c r="CP1176" s="68"/>
      <c r="CQ1176" s="68"/>
      <c r="CR1176" s="20" t="str" cm="1">
        <f t="array" ref="CR1176">IF(OR(ISBLANK(E1176),ISBLANK(CQ1176)),"Incomplete",_xlfn.XLOOKUP(CQ1176,_xlfn.XLOOKUP(E1176,'Normative data'!$Y$3:$Y$6,'Normative data'!$Z$3:$AG$6,,-1),'Normative data'!$Z$2:$AG$2,"Not Found",-1))</f>
        <v>Incomplete</v>
      </c>
      <c r="CS1176" s="68"/>
      <c r="CT1176" s="66"/>
      <c r="CU1176" s="20" t="str" cm="1">
        <f t="array" ref="CU1176">_xlfn.XLOOKUP(CS1176&amp;CT1176,(VLOOKUP!$A$3:$A$250)&amp;(VLOOKUP!$B$3:$B$250),VLOOKUP!$C$3:$C$250,"Incomplete",-1)</f>
        <v>Incomplete</v>
      </c>
      <c r="CV1176" s="20" t="str" cm="1">
        <f t="array" ref="CV1176">_xlfn.XLOOKUP(CU1176, _xlfn.XLOOKUP(E1176, 'Normative data'!$Y$11:$Y$14, 'Normative data'!$Z$11:$AG$14, ,-1), 'Normative data'!$Z$10:$AG$10, "Not Found", -1)</f>
        <v>Excellent</v>
      </c>
      <c r="CW1176" s="20" t="str" cm="1">
        <f t="array" ref="CW1176">IF(OR(ISBLANK(CS1176),ISBLANK(CT1176)),"Incomplete",_xlfn.XLOOKUP(CS1176&amp;CT1176,VLOOKUP!$A$4:$A$250&amp;VLOOKUP!$B$4:$B$250,VLOOKUP!$D$4:$D$250,"0"))</f>
        <v>Incomplete</v>
      </c>
    </row>
    <row r="1177" spans="1:101">
      <c r="A1177" s="94" t="s">
        <v>600</v>
      </c>
      <c r="B1177" s="94" t="s">
        <v>1555</v>
      </c>
      <c r="C1177" s="64" t="s">
        <v>86</v>
      </c>
      <c r="D1177" s="97">
        <v>40826</v>
      </c>
      <c r="E1177" s="64"/>
      <c r="F1177" s="64">
        <v>8</v>
      </c>
      <c r="G1177" s="64">
        <v>2025</v>
      </c>
      <c r="H1177" s="66"/>
      <c r="I1177" s="64"/>
      <c r="J1177" s="64" t="s">
        <v>122</v>
      </c>
      <c r="K1177" s="64"/>
      <c r="L1177" s="64"/>
      <c r="M1177" s="64"/>
      <c r="N1177" s="64"/>
      <c r="O1177" s="64"/>
      <c r="P1177" s="64"/>
      <c r="Q1177" s="64"/>
      <c r="R1177" s="64"/>
      <c r="S1177" s="66"/>
      <c r="T1177" s="66">
        <v>155</v>
      </c>
      <c r="U1177" s="66">
        <v>48.1</v>
      </c>
      <c r="V1177" s="66"/>
      <c r="W1177" s="66">
        <v>8.6</v>
      </c>
      <c r="X1177" s="66">
        <f>SUM(T1177-W1177)</f>
        <v>146.4</v>
      </c>
      <c r="Y1177" s="66">
        <v>21.7</v>
      </c>
      <c r="Z1177" s="66">
        <v>20</v>
      </c>
      <c r="AA1177" s="66">
        <v>17.899999999999999</v>
      </c>
      <c r="AB1177" s="66"/>
      <c r="AC1177" s="66"/>
      <c r="AD1177" s="66"/>
      <c r="AE1177" s="66"/>
      <c r="AF1177" s="66"/>
      <c r="AG1177" s="66"/>
      <c r="AH1177" s="66"/>
      <c r="AI1177" s="66"/>
      <c r="AJ1177" s="66"/>
      <c r="AK1177" s="66"/>
      <c r="AL1177" s="66"/>
      <c r="AM1177" s="66"/>
      <c r="AN1177" s="66"/>
      <c r="AO1177" s="66"/>
      <c r="AP1177" s="66"/>
      <c r="AQ1177" s="66"/>
      <c r="AR1177" s="66"/>
      <c r="AS1177" s="66"/>
      <c r="AT1177" s="66"/>
      <c r="AU1177" s="66"/>
      <c r="AV1177" s="66"/>
      <c r="AW1177" s="66"/>
      <c r="AX1177" s="66"/>
      <c r="AY1177" s="41" t="str">
        <f>IF(OR(ISBLANK(U1177), ISBLANK(AQ1177)), "Incomplete", (60.7*AQ1177)+(45.3*U1177)-2055)</f>
        <v>Incomplete</v>
      </c>
      <c r="AZ1177" s="66"/>
      <c r="BA1177" s="20" t="str">
        <f>IF(OR(ISBLANK(U1177), ISBLANK(AS1177)), "Incomplete", (60.7*AS1177)+(45.3*U1177)-2055)</f>
        <v>Incomplete</v>
      </c>
      <c r="BB1177" s="66"/>
      <c r="BC1177" s="20" t="str">
        <f>IF(OR(ISBLANK(U1177), ISBLANK(AU1177)), "Incomplete", (60.7*AU1177)+(45.3*U1177)-2055)</f>
        <v>Incomplete</v>
      </c>
      <c r="BD1177" s="66"/>
      <c r="BE1177" s="20" t="str">
        <f>IF(OR(ISBLANK(U1177), ISBLANK(AW1177)), "Incomplete", (60.7*AW1177)+(45.3*U1177)-2055)</f>
        <v>Incomplete</v>
      </c>
      <c r="BF1177" s="66"/>
      <c r="BG1177" s="66">
        <v>17</v>
      </c>
      <c r="BH1177" s="20">
        <v>48</v>
      </c>
      <c r="BI1177" s="20" t="e">
        <f>IF(OR(ISBLANK(#REF!), ISBLANK(#REF!)),"Incomplete",(SUM(#REF!-#REF!)))</f>
        <v>#REF!</v>
      </c>
      <c r="BJ1177" s="66"/>
      <c r="BK1177" s="66">
        <v>8</v>
      </c>
      <c r="BL1177" s="66"/>
      <c r="BM1177" s="66">
        <v>7</v>
      </c>
      <c r="BN1177" s="66"/>
      <c r="BO1177" s="66"/>
      <c r="BP1177" s="66"/>
      <c r="BQ1177" s="66"/>
      <c r="BR1177" s="66"/>
      <c r="BS1177" s="66"/>
      <c r="BT1177" s="66"/>
      <c r="BU1177" s="66"/>
      <c r="BV1177" s="66"/>
      <c r="BW1177" s="91">
        <f>IFERROR(SUM(BQ1177+BR1177+BS1177)/(3*(T1177-S1177))*100, "Incomplete")</f>
        <v>0</v>
      </c>
      <c r="BX1177" s="91" t="str">
        <f>_xlfn.XLOOKUP(BW1177,'Normative data'!$V$2:$V$6,'Normative data'!$W$2:$W$6,"Not Found",-1)</f>
        <v>Not completed</v>
      </c>
      <c r="BY1177" s="91">
        <f>IFERROR(SUM(BT1177+BU1177+BV1177)/(3*(T1177-S1177))*100, "Incomplete")</f>
        <v>0</v>
      </c>
      <c r="BZ1177" s="91" t="str">
        <f>_xlfn.XLOOKUP(BY1177,'Normative data'!$V$3:$V$6,'Normative data'!$W$3:$W$6,"Not Found",-1)</f>
        <v>Not completed</v>
      </c>
      <c r="CA1177" s="66"/>
      <c r="CB1177" s="66"/>
      <c r="CC1177" s="66"/>
      <c r="CD1177" s="66"/>
      <c r="CE1177" s="66"/>
      <c r="CF1177" s="66"/>
      <c r="CG1177" s="66">
        <v>18.440000000000001</v>
      </c>
      <c r="CH1177" s="20" t="e">
        <f>_xlfn.XLOOKUP(#REF!, 'Normative data'!$S$9:$S$15,'Normative data'!$T$9:$T$15, "Not Found", -1)</f>
        <v>#REF!</v>
      </c>
      <c r="CI1177" s="66">
        <v>17.93</v>
      </c>
      <c r="CJ1177" s="20" t="e">
        <f>_xlfn.XLOOKUP(#REF!, 'Normative data'!$S$9:$S$15, 'Normative data'!$T$9:$T$15, "Not Found", -1)</f>
        <v>#REF!</v>
      </c>
      <c r="CK1177" s="21"/>
      <c r="CL1177" s="21"/>
      <c r="CM1177" s="21"/>
      <c r="CN1177" s="21"/>
      <c r="CO1177" s="21"/>
      <c r="CP1177" s="110"/>
      <c r="CQ1177" s="68"/>
      <c r="CR1177" s="20" t="str" cm="1">
        <f t="array" ref="CR1177">IF(OR(ISBLANK(E1177),ISBLANK(CQ1177)),"Incomplete",_xlfn.XLOOKUP(CQ1177,_xlfn.XLOOKUP(E1177,'Normative data'!$Y$3:$Y$6,'Normative data'!$Z$3:$AG$6,,-1),'Normative data'!$Z$2:$AG$2,"Not Found",-1))</f>
        <v>Incomplete</v>
      </c>
      <c r="CS1177" s="68"/>
      <c r="CT1177" s="66"/>
      <c r="CU1177" s="20" t="str" cm="1">
        <f t="array" ref="CU1177">_xlfn.XLOOKUP(CS1177&amp;CT1177,(VLOOKUP!$A$3:$A$250)&amp;(VLOOKUP!$B$3:$B$250),VLOOKUP!$C$3:$C$250,"Incomplete",-1)</f>
        <v>Incomplete</v>
      </c>
      <c r="CV1177" s="20" t="str" cm="1">
        <f t="array" ref="CV1177">_xlfn.XLOOKUP(CU1177, _xlfn.XLOOKUP(E1177, 'Normative data'!$Y$11:$Y$14, 'Normative data'!$Z$11:$AG$14, ,-1), 'Normative data'!$Z$10:$AG$10, "Not Found", -1)</f>
        <v>Excellent</v>
      </c>
      <c r="CW1177" s="20" t="str" cm="1">
        <f t="array" ref="CW1177">IF(OR(ISBLANK(CS1177),ISBLANK(CT1177)),"Incomplete",_xlfn.XLOOKUP(CS1177&amp;CT1177,VLOOKUP!$A$4:$A$250&amp;VLOOKUP!$B$4:$B$250,VLOOKUP!$D$4:$D$250,"0"))</f>
        <v>Incomplete</v>
      </c>
    </row>
    <row r="1178" spans="1:101">
      <c r="A1178" s="64" t="s">
        <v>600</v>
      </c>
      <c r="B1178" s="64" t="s">
        <v>1555</v>
      </c>
      <c r="C1178" s="64" t="s">
        <v>86</v>
      </c>
      <c r="D1178" s="97">
        <v>40826</v>
      </c>
      <c r="E1178" s="64"/>
      <c r="F1178" s="64"/>
      <c r="G1178" s="64">
        <v>2025</v>
      </c>
      <c r="H1178" s="66"/>
      <c r="I1178" s="64"/>
      <c r="J1178" s="64" t="s">
        <v>122</v>
      </c>
      <c r="K1178" s="64"/>
      <c r="L1178" s="64"/>
      <c r="M1178" s="64"/>
      <c r="N1178" s="64"/>
      <c r="O1178" s="64"/>
      <c r="P1178" s="64"/>
      <c r="Q1178" s="64"/>
      <c r="R1178" s="64"/>
      <c r="S1178" s="66"/>
      <c r="T1178" s="66" t="s">
        <v>1824</v>
      </c>
      <c r="U1178" s="66" t="s">
        <v>1825</v>
      </c>
      <c r="V1178" s="66"/>
      <c r="W1178" s="66"/>
      <c r="X1178" s="66"/>
      <c r="Y1178" s="66"/>
      <c r="Z1178" s="66"/>
      <c r="AA1178" s="66"/>
      <c r="AB1178" s="66"/>
      <c r="AC1178" s="66"/>
      <c r="AD1178" s="66"/>
      <c r="AE1178" s="66"/>
      <c r="AF1178" s="66"/>
      <c r="AG1178" s="66"/>
      <c r="AH1178" s="66"/>
      <c r="AI1178" s="66"/>
      <c r="AJ1178" s="66"/>
      <c r="AK1178" s="66"/>
      <c r="AL1178" s="66"/>
      <c r="AM1178" s="66"/>
      <c r="AN1178" s="66"/>
      <c r="AO1178" s="66"/>
      <c r="AP1178" s="66"/>
      <c r="AQ1178" s="66">
        <v>27.9</v>
      </c>
      <c r="AR1178" s="66">
        <v>0.47099999999999997</v>
      </c>
      <c r="AS1178" s="66">
        <v>32.6</v>
      </c>
      <c r="AT1178" s="66">
        <v>0.51600000000000001</v>
      </c>
      <c r="AU1178" s="66">
        <v>14.8</v>
      </c>
      <c r="AV1178" s="66" t="s">
        <v>1826</v>
      </c>
      <c r="AW1178" s="66">
        <v>18.2</v>
      </c>
      <c r="AX1178" s="66">
        <v>0.38500000000000001</v>
      </c>
      <c r="AY1178" s="41" t="e">
        <f>IF(OR(ISBLANK(#REF!), ISBLANK(AQ1178)), "Incomplete", (60.7*AQ1178)+(45.3*#REF!)-2055)</f>
        <v>#REF!</v>
      </c>
      <c r="AZ1178" s="66"/>
      <c r="BA1178" s="20" t="e">
        <f>IF(OR(ISBLANK(#REF!), ISBLANK(AS1178)), "Incomplete", (60.7*AS1178)+(45.3*#REF!)-2055)</f>
        <v>#REF!</v>
      </c>
      <c r="BB1178" s="66"/>
      <c r="BC1178" s="20" t="e">
        <f>IF(OR(ISBLANK(#REF!), ISBLANK(AU1178)), "Incomplete", (60.7*AU1178)+(45.3*#REF!)-2055)</f>
        <v>#REF!</v>
      </c>
      <c r="BD1178" s="66"/>
      <c r="BE1178" s="20" t="e">
        <f>IF(OR(ISBLANK(#REF!), ISBLANK(AW1178)), "Incomplete", (60.7*AW1178)+(45.3*#REF!)-2055)</f>
        <v>#REF!</v>
      </c>
      <c r="BF1178" s="66"/>
      <c r="BG1178" s="66"/>
      <c r="BH1178" s="20"/>
      <c r="BI1178" s="20" t="str">
        <f>IF(OR(ISBLANK(BG1178), ISBLANK(BH1178)),"Incomplete",(SUM(BH1178-BG1178)))</f>
        <v>Incomplete</v>
      </c>
      <c r="BJ1178" s="66"/>
      <c r="BK1178" s="66"/>
      <c r="BL1178" s="66"/>
      <c r="BM1178" s="66"/>
      <c r="BN1178" s="66"/>
      <c r="BO1178" s="66"/>
      <c r="BP1178" s="66"/>
      <c r="BQ1178" s="66"/>
      <c r="BR1178" s="66"/>
      <c r="BS1178" s="66"/>
      <c r="BT1178" s="66"/>
      <c r="BU1178" s="66"/>
      <c r="BV1178" s="66"/>
      <c r="BW1178" s="91" t="str">
        <f>IFERROR(SUM(BQ1178+BR1178+BS1178)/(3*(#REF!-S1178))*100, "Incomplete")</f>
        <v>Incomplete</v>
      </c>
      <c r="BX1178" s="91" t="str">
        <f>_xlfn.XLOOKUP(BW1178,'Normative data'!$V$2:$V$6,'Normative data'!$W$2:$W$6,"Not Found",-1)</f>
        <v>Very low risk</v>
      </c>
      <c r="BY1178" s="91" t="str">
        <f>IFERROR(SUM(BT1178+BU1178+BV1178)/(3*(#REF!-S1178))*100, "Incomplete")</f>
        <v>Incomplete</v>
      </c>
      <c r="BZ1178" s="91" t="str">
        <f>_xlfn.XLOOKUP(BY1178,'Normative data'!$V$3:$V$6,'Normative data'!$W$3:$W$6,"Not Found",-1)</f>
        <v>Very low risk</v>
      </c>
      <c r="CA1178" s="66"/>
      <c r="CB1178" s="66"/>
      <c r="CC1178" s="20"/>
      <c r="CD1178" s="66"/>
      <c r="CE1178" s="66">
        <v>21</v>
      </c>
      <c r="CF1178" s="66"/>
      <c r="CG1178" s="66">
        <v>17.170000000000002</v>
      </c>
      <c r="CH1178" s="20" t="e">
        <f>_xlfn.XLOOKUP(#REF!, 'Normative data'!$S$9:$S$15,'Normative data'!$T$9:$T$15, "Not Found", -1)</f>
        <v>#REF!</v>
      </c>
      <c r="CI1178" s="66">
        <v>17.13</v>
      </c>
      <c r="CJ1178" s="20" t="e">
        <f>_xlfn.XLOOKUP(#REF!, 'Normative data'!$S$9:$S$15, 'Normative data'!$T$9:$T$15, "Not Found", -1)</f>
        <v>#REF!</v>
      </c>
      <c r="CK1178" s="106">
        <v>2.04</v>
      </c>
      <c r="CL1178" s="106">
        <v>4.9000000000000004</v>
      </c>
      <c r="CM1178" s="105"/>
      <c r="CN1178" s="106">
        <v>6.79</v>
      </c>
      <c r="CO1178" s="106">
        <v>7.36</v>
      </c>
      <c r="CP1178" s="68"/>
      <c r="CQ1178" s="68"/>
      <c r="CR1178" s="20" t="str" cm="1">
        <f t="array" ref="CR1178">IF(OR(ISBLANK(E1178),ISBLANK(CQ1178)),"Incomplete",_xlfn.XLOOKUP(CQ1178,_xlfn.XLOOKUP(E1178,'Normative data'!$Y$3:$Y$6,'Normative data'!$Z$3:$AG$6,,-1),'Normative data'!$Z$2:$AG$2,"Not Found",-1))</f>
        <v>Incomplete</v>
      </c>
      <c r="CS1178" s="68"/>
      <c r="CT1178" s="66"/>
      <c r="CU1178" s="20" t="str" cm="1">
        <f t="array" ref="CU1178">_xlfn.XLOOKUP(CS1178&amp;CT1178,(VLOOKUP!$A$3:$A$250)&amp;(VLOOKUP!$B$3:$B$250),VLOOKUP!$C$3:$C$250,"Incomplete",-1)</f>
        <v>Incomplete</v>
      </c>
      <c r="CV1178" s="20" t="str" cm="1">
        <f t="array" ref="CV1178">_xlfn.XLOOKUP(CU1178, _xlfn.XLOOKUP(E1178, 'Normative data'!$Y$11:$Y$14, 'Normative data'!$Z$11:$AG$14, ,-1), 'Normative data'!$Z$10:$AG$10, "Not Found", -1)</f>
        <v>Excellent</v>
      </c>
      <c r="CW1178" s="20" t="str" cm="1">
        <f t="array" ref="CW1178">IF(OR(ISBLANK(CS1178),ISBLANK(CT1178)),"Incomplete",_xlfn.XLOOKUP(CS1178&amp;CT1178,VLOOKUP!$A$4:$A$250&amp;VLOOKUP!$B$4:$B$250,VLOOKUP!$D$4:$D$250,"0"))</f>
        <v>Incomplete</v>
      </c>
    </row>
    <row r="1179" spans="1:101">
      <c r="A1179" s="94" t="s">
        <v>183</v>
      </c>
      <c r="B1179" s="94" t="s">
        <v>185</v>
      </c>
      <c r="C1179" s="64" t="s">
        <v>86</v>
      </c>
      <c r="D1179" s="97">
        <v>40287</v>
      </c>
      <c r="E1179" s="64"/>
      <c r="F1179" s="64">
        <v>9</v>
      </c>
      <c r="G1179" s="64">
        <v>2025</v>
      </c>
      <c r="H1179" s="66"/>
      <c r="I1179" s="64"/>
      <c r="J1179" s="64"/>
      <c r="K1179" s="64"/>
      <c r="L1179" s="64"/>
      <c r="M1179" s="64"/>
      <c r="N1179" s="64"/>
      <c r="O1179" s="64"/>
      <c r="P1179" s="64"/>
      <c r="Q1179" s="64"/>
      <c r="R1179" s="64"/>
      <c r="S1179" s="66"/>
      <c r="T1179" s="66"/>
      <c r="U1179" s="66"/>
      <c r="V1179" s="66"/>
      <c r="W1179" s="66"/>
      <c r="X1179" s="66"/>
      <c r="Y1179" s="66"/>
      <c r="Z1179" s="66"/>
      <c r="AA1179" s="66"/>
      <c r="AB1179" s="66"/>
      <c r="AC1179" s="66"/>
      <c r="AD1179" s="66"/>
      <c r="AE1179" s="66"/>
      <c r="AF1179" s="66"/>
      <c r="AG1179" s="66"/>
      <c r="AH1179" s="66"/>
      <c r="AI1179" s="66"/>
      <c r="AJ1179" s="66"/>
      <c r="AK1179" s="66"/>
      <c r="AL1179" s="66"/>
      <c r="AM1179" s="66"/>
      <c r="AN1179" s="66"/>
      <c r="AO1179" s="66"/>
      <c r="AP1179" s="66"/>
      <c r="AQ1179" s="66"/>
      <c r="AR1179" s="66"/>
      <c r="AS1179" s="66"/>
      <c r="AT1179" s="66"/>
      <c r="AU1179" s="66"/>
      <c r="AV1179" s="66"/>
      <c r="AW1179" s="66"/>
      <c r="AX1179" s="66"/>
      <c r="AY1179" s="41" t="str">
        <f>IF(OR(ISBLANK(U1179), ISBLANK(AQ1179)), "Incomplete", (60.7*AQ1179)+(45.3*U1179)-2055)</f>
        <v>Incomplete</v>
      </c>
      <c r="AZ1179" s="66"/>
      <c r="BA1179" s="20" t="str">
        <f>IF(OR(ISBLANK(U1179), ISBLANK(AS1179)), "Incomplete", (60.7*AS1179)+(45.3*U1179)-2055)</f>
        <v>Incomplete</v>
      </c>
      <c r="BB1179" s="66"/>
      <c r="BC1179" s="20" t="str">
        <f>IF(OR(ISBLANK(U1179), ISBLANK(AU1179)), "Incomplete", (60.7*AU1179)+(45.3*U1179)-2055)</f>
        <v>Incomplete</v>
      </c>
      <c r="BD1179" s="66"/>
      <c r="BE1179" s="20" t="str">
        <f>IF(OR(ISBLANK(U1179), ISBLANK(AW1179)), "Incomplete", (60.7*AW1179)+(45.3*U1179)-2055)</f>
        <v>Incomplete</v>
      </c>
      <c r="BF1179" s="66"/>
      <c r="BG1179" s="66">
        <v>16</v>
      </c>
      <c r="BH1179" s="66">
        <v>47</v>
      </c>
      <c r="BI1179" s="20">
        <f>IF(OR(ISBLANK(BG1179), ISBLANK(BH1179)),"Incomplete",(SUM(BH1179-BG1179)))</f>
        <v>31</v>
      </c>
      <c r="BJ1179" s="66"/>
      <c r="BK1179" s="66">
        <v>9</v>
      </c>
      <c r="BL1179" s="66"/>
      <c r="BM1179" s="66">
        <v>10</v>
      </c>
      <c r="BN1179" s="66"/>
      <c r="BO1179" s="66"/>
      <c r="BP1179" s="66"/>
      <c r="BQ1179" s="66"/>
      <c r="BR1179" s="66"/>
      <c r="BS1179" s="66"/>
      <c r="BT1179" s="66"/>
      <c r="BU1179" s="66"/>
      <c r="BV1179" s="66"/>
      <c r="BW1179" s="91" t="str">
        <f>IFERROR(SUM(BQ1179+BR1179+BS1179)/(3*(T1179-S1179))*100, "Incomplete")</f>
        <v>Incomplete</v>
      </c>
      <c r="BX1179" s="91" t="str">
        <f>_xlfn.XLOOKUP(BW1179,'Normative data'!$V$2:$V$6,'Normative data'!$W$2:$W$6,"Not Found",-1)</f>
        <v>Very low risk</v>
      </c>
      <c r="BY1179" s="91" t="str">
        <f>IFERROR(SUM(BT1179+BU1179+BV1179)/(3*(T1179-S1179))*100, "Incomplete")</f>
        <v>Incomplete</v>
      </c>
      <c r="BZ1179" s="91" t="str">
        <f>_xlfn.XLOOKUP(BY1179,'Normative data'!$V$3:$V$6,'Normative data'!$W$3:$W$6,"Not Found",-1)</f>
        <v>Very low risk</v>
      </c>
      <c r="CA1179" s="66"/>
      <c r="CB1179" s="66"/>
      <c r="CC1179" s="66"/>
      <c r="CD1179" s="66"/>
      <c r="CE1179" s="66"/>
      <c r="CF1179" s="66"/>
      <c r="CG1179" s="20"/>
      <c r="CH1179" s="20" t="str">
        <f>_xlfn.XLOOKUP(CG1179, 'Normative data'!$S$9:$S$15,'Normative data'!$T$9:$T$15, "Not Found", -1)</f>
        <v>not completed</v>
      </c>
      <c r="CI1179" s="20"/>
      <c r="CJ1179" s="20" t="str">
        <f>_xlfn.XLOOKUP(CI1179, 'Normative data'!$S$9:$S$15, 'Normative data'!$T$9:$T$15, "Not Found", -1)</f>
        <v>not completed</v>
      </c>
      <c r="CK1179" s="24">
        <v>2.36</v>
      </c>
      <c r="CL1179" s="24">
        <v>4.24</v>
      </c>
      <c r="CM1179" s="21"/>
      <c r="CN1179" s="24">
        <v>7.28</v>
      </c>
      <c r="CO1179" s="24">
        <v>6.87</v>
      </c>
      <c r="CP1179" s="110"/>
      <c r="CQ1179" s="68"/>
      <c r="CR1179" s="20" t="str" cm="1">
        <f t="array" ref="CR1179">IF(OR(ISBLANK(E1179),ISBLANK(CQ1179)),"Incomplete",_xlfn.XLOOKUP(CQ1179,_xlfn.XLOOKUP(E1179,'Normative data'!$Y$3:$Y$6,'Normative data'!$Z$3:$AG$6,,-1),'Normative data'!$Z$2:$AG$2,"Not Found",-1))</f>
        <v>Incomplete</v>
      </c>
      <c r="CS1179" s="68"/>
      <c r="CT1179" s="66"/>
      <c r="CU1179" s="20" t="str" cm="1">
        <f t="array" ref="CU1179">_xlfn.XLOOKUP(CS1179&amp;CT1179,(VLOOKUP!$A$3:$A$250)&amp;(VLOOKUP!$B$3:$B$250),VLOOKUP!$C$3:$C$250,"Incomplete",-1)</f>
        <v>Incomplete</v>
      </c>
      <c r="CV1179" s="20" t="str" cm="1">
        <f t="array" ref="CV1179">_xlfn.XLOOKUP(CU1179, _xlfn.XLOOKUP(E1179, 'Normative data'!$Y$11:$Y$14, 'Normative data'!$Z$11:$AG$14, ,-1), 'Normative data'!$Z$10:$AG$10, "Not Found", -1)</f>
        <v>Excellent</v>
      </c>
      <c r="CW1179" s="20" t="str" cm="1">
        <f t="array" ref="CW1179">IF(OR(ISBLANK(CS1179),ISBLANK(CT1179)),"Incomplete",_xlfn.XLOOKUP(CS1179&amp;CT1179,VLOOKUP!$A$4:$A$250&amp;VLOOKUP!$B$4:$B$250,VLOOKUP!$D$4:$D$250,"0"))</f>
        <v>Incomplete</v>
      </c>
    </row>
    <row r="1180" spans="1:101">
      <c r="A1180" s="64" t="s">
        <v>1743</v>
      </c>
      <c r="B1180" s="64" t="s">
        <v>1742</v>
      </c>
      <c r="C1180" s="64" t="s">
        <v>86</v>
      </c>
      <c r="D1180" s="65">
        <v>39917</v>
      </c>
      <c r="E1180" s="64"/>
      <c r="F1180" s="64">
        <v>10</v>
      </c>
      <c r="G1180" s="64">
        <v>2025</v>
      </c>
      <c r="H1180" s="66"/>
      <c r="I1180" s="64"/>
      <c r="J1180" s="64"/>
      <c r="K1180" s="64"/>
      <c r="L1180" s="64"/>
      <c r="M1180" s="64"/>
      <c r="N1180" s="64"/>
      <c r="O1180" s="64"/>
      <c r="P1180" s="64"/>
      <c r="Q1180" s="64"/>
      <c r="R1180" s="64"/>
      <c r="S1180" s="66"/>
      <c r="T1180" s="66">
        <v>168</v>
      </c>
      <c r="U1180" s="66">
        <v>57</v>
      </c>
      <c r="V1180" s="66"/>
      <c r="W1180" s="66">
        <v>11.7</v>
      </c>
      <c r="X1180" s="66">
        <f>SUM(T1180-W1180)</f>
        <v>156.30000000000001</v>
      </c>
      <c r="Y1180" s="66">
        <v>25.2</v>
      </c>
      <c r="Z1180" s="66">
        <v>20.2</v>
      </c>
      <c r="AA1180" s="66">
        <v>20.5</v>
      </c>
      <c r="AB1180" s="66"/>
      <c r="AC1180" s="66"/>
      <c r="AD1180" s="66"/>
      <c r="AE1180" s="66"/>
      <c r="AF1180" s="66"/>
      <c r="AG1180" s="66"/>
      <c r="AH1180" s="66"/>
      <c r="AI1180" s="66"/>
      <c r="AJ1180" s="66"/>
      <c r="AK1180" s="66"/>
      <c r="AL1180" s="66"/>
      <c r="AM1180" s="66"/>
      <c r="AN1180" s="66"/>
      <c r="AO1180" s="66"/>
      <c r="AP1180" s="66"/>
      <c r="AQ1180" s="66"/>
      <c r="AR1180" s="66"/>
      <c r="AS1180" s="66"/>
      <c r="AT1180" s="66"/>
      <c r="AU1180" s="66"/>
      <c r="AV1180" s="66"/>
      <c r="AW1180" s="66"/>
      <c r="AX1180" s="66"/>
      <c r="AY1180" s="41" t="str">
        <f>IF(OR(ISBLANK(U1180), ISBLANK(AQ1180)), "Incomplete", (60.7*AQ1180)+(45.3*U1180)-2055)</f>
        <v>Incomplete</v>
      </c>
      <c r="AZ1180" s="66"/>
      <c r="BA1180" s="20" t="str">
        <f>IF(OR(ISBLANK(U1180), ISBLANK(AS1180)), "Incomplete", (60.7*AS1180)+(45.3*U1180)-2055)</f>
        <v>Incomplete</v>
      </c>
      <c r="BB1180" s="66"/>
      <c r="BC1180" s="20" t="str">
        <f>IF(OR(ISBLANK(U1180), ISBLANK(AU1180)), "Incomplete", (60.7*AU1180)+(45.3*U1180)-2055)</f>
        <v>Incomplete</v>
      </c>
      <c r="BD1180" s="66"/>
      <c r="BE1180" s="20" t="str">
        <f>IF(OR(ISBLANK(U1180), ISBLANK(AW1180)), "Incomplete", (60.7*AW1180)+(45.3*U1180)-2055)</f>
        <v>Incomplete</v>
      </c>
      <c r="BF1180" s="66"/>
      <c r="BG1180" s="66">
        <v>17</v>
      </c>
      <c r="BH1180" s="66">
        <v>52.8</v>
      </c>
      <c r="BI1180" s="20" t="e">
        <f>IF(OR(ISBLANK(#REF!), ISBLANK(#REF!)),"Incomplete",(SUM(#REF!-#REF!)))</f>
        <v>#REF!</v>
      </c>
      <c r="BJ1180" s="66"/>
      <c r="BK1180" s="66">
        <v>7</v>
      </c>
      <c r="BL1180" s="66"/>
      <c r="BM1180" s="66">
        <v>6</v>
      </c>
      <c r="BN1180" s="66"/>
      <c r="BO1180" s="66"/>
      <c r="BP1180" s="66"/>
      <c r="BQ1180" s="66"/>
      <c r="BR1180" s="66"/>
      <c r="BS1180" s="66"/>
      <c r="BT1180" s="66"/>
      <c r="BU1180" s="66"/>
      <c r="BV1180" s="66"/>
      <c r="BW1180" s="91">
        <f>IFERROR(SUM(BQ1180+BR1180+BS1180)/(3*(T1180-S1180))*100, "Incomplete")</f>
        <v>0</v>
      </c>
      <c r="BX1180" s="91" t="str">
        <f>_xlfn.XLOOKUP(BW1180,'Normative data'!$V$2:$V$6,'Normative data'!$W$2:$W$6,"Not Found",-1)</f>
        <v>Not completed</v>
      </c>
      <c r="BY1180" s="91">
        <f>IFERROR(SUM(BT1180+BU1180+BV1180)/(3*(T1180-S1180))*100, "Incomplete")</f>
        <v>0</v>
      </c>
      <c r="BZ1180" s="91" t="str">
        <f>_xlfn.XLOOKUP(BY1180,'Normative data'!$V$3:$V$6,'Normative data'!$W$3:$W$6,"Not Found",-1)</f>
        <v>Not completed</v>
      </c>
      <c r="CA1180" s="66"/>
      <c r="CB1180" s="66"/>
      <c r="CC1180" s="66"/>
      <c r="CD1180" s="66"/>
      <c r="CE1180" s="66">
        <v>5</v>
      </c>
      <c r="CF1180" s="66"/>
      <c r="CG1180" s="20"/>
      <c r="CH1180" s="20" t="str">
        <f>_xlfn.XLOOKUP(CG1180, 'Normative data'!$S$9:$S$15,'Normative data'!$T$9:$T$15, "Not Found", -1)</f>
        <v>not completed</v>
      </c>
      <c r="CI1180" s="20"/>
      <c r="CJ1180" s="20" t="str">
        <f>_xlfn.XLOOKUP(CI1180, 'Normative data'!$S$9:$S$15, 'Normative data'!$T$9:$T$15, "Not Found", -1)</f>
        <v>not completed</v>
      </c>
      <c r="CK1180" s="20">
        <v>2.1800000000000002</v>
      </c>
      <c r="CL1180" s="20">
        <v>4.59</v>
      </c>
      <c r="CM1180" s="21"/>
      <c r="CN1180" s="20">
        <v>6.59</v>
      </c>
      <c r="CO1180" s="20">
        <v>7.59</v>
      </c>
      <c r="CP1180" s="68"/>
      <c r="CQ1180" s="68"/>
      <c r="CR1180" s="20" t="str" cm="1">
        <f t="array" ref="CR1180">IF(OR(ISBLANK(E1180),ISBLANK(CQ1180)),"Incomplete",_xlfn.XLOOKUP(CQ1180,_xlfn.XLOOKUP(E1180,'Normative data'!$Y$3:$Y$6,'Normative data'!$Z$3:$AG$6,,-1),'Normative data'!$Z$2:$AG$2,"Not Found",-1))</f>
        <v>Incomplete</v>
      </c>
      <c r="CS1180" s="68"/>
      <c r="CT1180" s="66"/>
      <c r="CU1180" s="20" t="str" cm="1">
        <f t="array" ref="CU1180">_xlfn.XLOOKUP(CS1180&amp;CT1180,(VLOOKUP!$A$3:$A$250)&amp;(VLOOKUP!$B$3:$B$250),VLOOKUP!$C$3:$C$250,"Incomplete",-1)</f>
        <v>Incomplete</v>
      </c>
      <c r="CV1180" s="20" t="str" cm="1">
        <f t="array" ref="CV1180">_xlfn.XLOOKUP(CU1180, _xlfn.XLOOKUP(E1180, 'Normative data'!$Y$11:$Y$14, 'Normative data'!$Z$11:$AG$14, ,-1), 'Normative data'!$Z$10:$AG$10, "Not Found", -1)</f>
        <v>Excellent</v>
      </c>
      <c r="CW1180" s="20" t="str" cm="1">
        <f t="array" ref="CW1180">IF(OR(ISBLANK(CS1180),ISBLANK(CT1180)),"Incomplete",_xlfn.XLOOKUP(CS1180&amp;CT1180,VLOOKUP!$A$4:$A$250&amp;VLOOKUP!$B$4:$B$250,VLOOKUP!$D$4:$D$250,"0"))</f>
        <v>Incomplete</v>
      </c>
    </row>
    <row r="1181" spans="1:101">
      <c r="A1181" s="64" t="s">
        <v>1743</v>
      </c>
      <c r="B1181" s="64" t="s">
        <v>1742</v>
      </c>
      <c r="C1181" s="64" t="s">
        <v>86</v>
      </c>
      <c r="D1181" s="65">
        <v>39917</v>
      </c>
      <c r="E1181" s="64"/>
      <c r="F1181" s="64">
        <v>10</v>
      </c>
      <c r="G1181" s="64">
        <v>2025</v>
      </c>
      <c r="H1181" s="66"/>
      <c r="I1181" s="64"/>
      <c r="J1181" s="64"/>
      <c r="K1181" s="64"/>
      <c r="L1181" s="64"/>
      <c r="M1181" s="64"/>
      <c r="N1181" s="64"/>
      <c r="O1181" s="64"/>
      <c r="P1181" s="64"/>
      <c r="Q1181" s="64"/>
      <c r="R1181" s="64"/>
      <c r="S1181" s="66"/>
      <c r="T1181" s="66" t="s">
        <v>1827</v>
      </c>
      <c r="U1181" s="66">
        <v>59</v>
      </c>
      <c r="V1181" s="66"/>
      <c r="W1181" s="66"/>
      <c r="X1181" s="66"/>
      <c r="Y1181" s="66"/>
      <c r="Z1181" s="66"/>
      <c r="AA1181" s="66"/>
      <c r="AB1181" s="66"/>
      <c r="AC1181" s="66"/>
      <c r="AD1181" s="66"/>
      <c r="AE1181" s="66"/>
      <c r="AF1181" s="66"/>
      <c r="AG1181" s="66"/>
      <c r="AH1181" s="66"/>
      <c r="AI1181" s="66"/>
      <c r="AJ1181" s="66"/>
      <c r="AK1181" s="66"/>
      <c r="AL1181" s="66"/>
      <c r="AM1181" s="66"/>
      <c r="AN1181" s="66"/>
      <c r="AO1181" s="66"/>
      <c r="AP1181" s="66"/>
      <c r="AQ1181" s="66">
        <v>28.6</v>
      </c>
      <c r="AR1181" s="66">
        <v>0.48299999999999998</v>
      </c>
      <c r="AS1181" s="66">
        <v>37.4</v>
      </c>
      <c r="AT1181" s="66">
        <v>0.55200000000000005</v>
      </c>
      <c r="AU1181" s="66">
        <v>13.3</v>
      </c>
      <c r="AV1181" s="66">
        <v>0.33</v>
      </c>
      <c r="AW1181" s="66">
        <v>17.100000000000001</v>
      </c>
      <c r="AX1181" s="66">
        <v>0.374</v>
      </c>
      <c r="AY1181" s="41" t="e">
        <f>IF(OR(ISBLANK(#REF!), ISBLANK(#REF!)), "Incomplete", (60.7*#REF!)+(45.3*#REF!)-2055)</f>
        <v>#REF!</v>
      </c>
      <c r="AZ1181" s="66"/>
      <c r="BA1181" s="20" t="e">
        <f>IF(OR(ISBLANK(#REF!), ISBLANK(#REF!)), "Incomplete", (60.7*#REF!)+(45.3*#REF!)-2055)</f>
        <v>#REF!</v>
      </c>
      <c r="BB1181" s="66"/>
      <c r="BC1181" s="20" t="e">
        <f>IF(OR(ISBLANK(#REF!), ISBLANK(#REF!)), "Incomplete", (60.7*#REF!)+(45.3*#REF!)-2055)</f>
        <v>#REF!</v>
      </c>
      <c r="BD1181" s="66"/>
      <c r="BE1181" s="20" t="e">
        <f>IF(OR(ISBLANK(#REF!), ISBLANK(#REF!)), "Incomplete", (60.7*#REF!)+(45.3*#REF!)-2055)</f>
        <v>#REF!</v>
      </c>
      <c r="BF1181" s="66"/>
      <c r="BG1181" s="66"/>
      <c r="BH1181" s="20"/>
      <c r="BI1181" s="20" t="str">
        <f>IF(OR(ISBLANK(BG1181), ISBLANK(BH1181)),"Incomplete",(SUM(BH1181-BG1181)))</f>
        <v>Incomplete</v>
      </c>
      <c r="BJ1181" s="66"/>
      <c r="BK1181" s="66"/>
      <c r="BL1181" s="66"/>
      <c r="BM1181" s="66"/>
      <c r="BN1181" s="66"/>
      <c r="BO1181" s="66"/>
      <c r="BP1181" s="66"/>
      <c r="BQ1181" s="66"/>
      <c r="BR1181" s="66"/>
      <c r="BS1181" s="66"/>
      <c r="BT1181" s="66"/>
      <c r="BU1181" s="66"/>
      <c r="BV1181" s="66"/>
      <c r="BW1181" s="91" t="str">
        <f>IFERROR(SUM(BQ1181+BR1181+BS1181)/(3*(#REF!-S1181))*100, "Incomplete")</f>
        <v>Incomplete</v>
      </c>
      <c r="BX1181" s="91" t="str">
        <f>_xlfn.XLOOKUP(BW1181,'Normative data'!$V$2:$V$6,'Normative data'!$W$2:$W$6,"Not Found",-1)</f>
        <v>Very low risk</v>
      </c>
      <c r="BY1181" s="91" t="str">
        <f>IFERROR(SUM(BT1181+BU1181+BV1181)/(3*(#REF!-S1181))*100, "Incomplete")</f>
        <v>Incomplete</v>
      </c>
      <c r="BZ1181" s="91" t="str">
        <f>_xlfn.XLOOKUP(BY1181,'Normative data'!$V$3:$V$6,'Normative data'!$W$3:$W$6,"Not Found",-1)</f>
        <v>Very low risk</v>
      </c>
      <c r="CA1181" s="66"/>
      <c r="CB1181" s="66"/>
      <c r="CC1181" s="66"/>
      <c r="CD1181" s="66"/>
      <c r="CE1181" s="66"/>
      <c r="CF1181" s="66"/>
      <c r="CG1181" s="66"/>
      <c r="CH1181" s="20" t="str">
        <f>_xlfn.XLOOKUP(CG1181, 'Normative data'!$S$9:$S$15,'Normative data'!$T$9:$T$15, "Not Found", -1)</f>
        <v>not completed</v>
      </c>
      <c r="CI1181" s="66"/>
      <c r="CJ1181" s="20" t="str">
        <f>_xlfn.XLOOKUP(CI1181, 'Normative data'!$S$9:$S$15, 'Normative data'!$T$9:$T$15, "Not Found", -1)</f>
        <v>not completed</v>
      </c>
      <c r="CK1181" s="20"/>
      <c r="CL1181" s="20"/>
      <c r="CN1181" s="20"/>
      <c r="CO1181" s="20"/>
      <c r="CP1181" s="68"/>
      <c r="CQ1181" s="68"/>
      <c r="CR1181" s="20" t="str" cm="1">
        <f t="array" ref="CR1181">IF(OR(ISBLANK(E1181),ISBLANK(CQ1181)),"Incomplete",_xlfn.XLOOKUP(CQ1181,_xlfn.XLOOKUP(E1181,'Normative data'!$Y$3:$Y$6,'Normative data'!$Z$3:$AG$6,,-1),'Normative data'!$Z$2:$AG$2,"Not Found",-1))</f>
        <v>Incomplete</v>
      </c>
      <c r="CS1181" s="68"/>
      <c r="CT1181" s="66"/>
      <c r="CU1181" s="20" t="str" cm="1">
        <f t="array" ref="CU1181">_xlfn.XLOOKUP(CS1181&amp;CT1181,(VLOOKUP!$A$3:$A$250)&amp;(VLOOKUP!$B$3:$B$250),VLOOKUP!$C$3:$C$250,"Incomplete",-1)</f>
        <v>Incomplete</v>
      </c>
      <c r="CV1181" s="20" t="str" cm="1">
        <f t="array" ref="CV1181">_xlfn.XLOOKUP(CU1181, _xlfn.XLOOKUP(E1181, 'Normative data'!$Y$11:$Y$14, 'Normative data'!$Z$11:$AG$14, ,-1), 'Normative data'!$Z$10:$AG$10, "Not Found", -1)</f>
        <v>Excellent</v>
      </c>
      <c r="CW1181" s="20" t="str" cm="1">
        <f t="array" ref="CW1181">IF(OR(ISBLANK(CS1181),ISBLANK(CT1181)),"Incomplete",_xlfn.XLOOKUP(CS1181&amp;CT1181,VLOOKUP!$A$4:$A$250&amp;VLOOKUP!$B$4:$B$250,VLOOKUP!$D$4:$D$250,"0"))</f>
        <v>Incomplete</v>
      </c>
    </row>
    <row r="1182" spans="1:101">
      <c r="A1182" s="64" t="s">
        <v>1743</v>
      </c>
      <c r="B1182" s="64" t="s">
        <v>1742</v>
      </c>
      <c r="C1182" s="64" t="s">
        <v>86</v>
      </c>
      <c r="D1182" s="65">
        <v>39917</v>
      </c>
      <c r="E1182" s="64"/>
      <c r="F1182" s="64">
        <v>10</v>
      </c>
      <c r="G1182" s="64">
        <v>2025</v>
      </c>
      <c r="H1182" s="66"/>
      <c r="I1182" s="64"/>
      <c r="J1182" s="64"/>
      <c r="K1182" s="64"/>
      <c r="L1182" s="64"/>
      <c r="M1182" s="64"/>
      <c r="N1182" s="64"/>
      <c r="O1182" s="64"/>
      <c r="P1182" s="64"/>
      <c r="Q1182" s="64"/>
      <c r="R1182" s="64"/>
      <c r="S1182" s="66"/>
      <c r="T1182" s="66" t="s">
        <v>1827</v>
      </c>
      <c r="U1182" s="66" t="s">
        <v>1828</v>
      </c>
      <c r="V1182" s="66"/>
      <c r="W1182" s="66"/>
      <c r="X1182" s="66"/>
      <c r="Y1182" s="66"/>
      <c r="Z1182" s="66"/>
      <c r="AA1182" s="66"/>
      <c r="AB1182" s="66"/>
      <c r="AC1182" s="66"/>
      <c r="AD1182" s="66"/>
      <c r="AE1182" s="66"/>
      <c r="AF1182" s="66"/>
      <c r="AG1182" s="66"/>
      <c r="AH1182" s="66"/>
      <c r="AI1182" s="66"/>
      <c r="AJ1182" s="66"/>
      <c r="AK1182" s="66"/>
      <c r="AL1182" s="66"/>
      <c r="AM1182" s="66"/>
      <c r="AN1182" s="66"/>
      <c r="AO1182" s="66"/>
      <c r="AP1182" s="66"/>
      <c r="AQ1182" s="66"/>
      <c r="AR1182" s="66"/>
      <c r="AS1182" s="66" t="s">
        <v>1829</v>
      </c>
      <c r="AT1182" s="66" t="s">
        <v>1830</v>
      </c>
      <c r="AU1182" s="66" t="s">
        <v>1831</v>
      </c>
      <c r="AV1182" s="66" t="s">
        <v>843</v>
      </c>
      <c r="AW1182" s="66" t="s">
        <v>1832</v>
      </c>
      <c r="AX1182" s="66" t="s">
        <v>1833</v>
      </c>
      <c r="AY1182" s="41" t="e">
        <f>IF(OR(ISBLANK(#REF!), ISBLANK(#REF!)), "Incomplete", (60.7*#REF!)+(45.3*#REF!)-2055)</f>
        <v>#REF!</v>
      </c>
      <c r="AZ1182" s="66"/>
      <c r="BA1182" s="20" t="e">
        <f>IF(OR(ISBLANK(#REF!), ISBLANK(#REF!)), "Incomplete", (60.7*#REF!)+(45.3*#REF!)-2055)</f>
        <v>#REF!</v>
      </c>
      <c r="BB1182" s="66"/>
      <c r="BC1182" s="20" t="e">
        <f>IF(OR(ISBLANK(#REF!), ISBLANK(#REF!)), "Incomplete", (60.7*#REF!)+(45.3*#REF!)-2055)</f>
        <v>#REF!</v>
      </c>
      <c r="BD1182" s="66"/>
      <c r="BE1182" s="20" t="e">
        <f>IF(OR(ISBLANK(#REF!), ISBLANK(#REF!)), "Incomplete", (60.7*#REF!)+(45.3*#REF!)-2055)</f>
        <v>#REF!</v>
      </c>
      <c r="BF1182" s="66"/>
      <c r="BG1182" s="66"/>
      <c r="BH1182" s="66"/>
      <c r="BI1182" s="20" t="str">
        <f>IF(OR(ISBLANK(BG1182), ISBLANK(BH1182)),"Incomplete",(SUM(BH1182-BG1182)))</f>
        <v>Incomplete</v>
      </c>
      <c r="BJ1182" s="66"/>
      <c r="BK1182" s="66"/>
      <c r="BL1182" s="66"/>
      <c r="BM1182" s="66"/>
      <c r="BN1182" s="66"/>
      <c r="BO1182" s="66"/>
      <c r="BP1182" s="66"/>
      <c r="BQ1182" s="66"/>
      <c r="BR1182" s="66"/>
      <c r="BS1182" s="66"/>
      <c r="BT1182" s="66"/>
      <c r="BU1182" s="66"/>
      <c r="BV1182" s="66"/>
      <c r="BW1182" s="91" t="str">
        <f>IFERROR(SUM(BQ1182+BR1182+BS1182)/(3*(#REF!-S1182))*100, "Incomplete")</f>
        <v>Incomplete</v>
      </c>
      <c r="BX1182" s="91" t="str">
        <f>_xlfn.XLOOKUP(BW1182,'Normative data'!$V$2:$V$6,'Normative data'!$W$2:$W$6,"Not Found",-1)</f>
        <v>Very low risk</v>
      </c>
      <c r="BY1182" s="91" t="str">
        <f>IFERROR(SUM(BT1182+BU1182+BV1182)/(3*(#REF!-S1182))*100, "Incomplete")</f>
        <v>Incomplete</v>
      </c>
      <c r="BZ1182" s="91" t="str">
        <f>_xlfn.XLOOKUP(BY1182,'Normative data'!$V$3:$V$6,'Normative data'!$W$3:$W$6,"Not Found",-1)</f>
        <v>Very low risk</v>
      </c>
      <c r="CA1182" s="66"/>
      <c r="CB1182" s="66"/>
      <c r="CC1182" s="66"/>
      <c r="CD1182" s="66"/>
      <c r="CE1182" s="66"/>
      <c r="CF1182" s="66"/>
      <c r="CG1182" s="66"/>
      <c r="CH1182" s="20" t="str">
        <f>_xlfn.XLOOKUP(CG1182, 'Normative data'!$S$9:$S$15,'Normative data'!$T$9:$T$15, "Not Found", -1)</f>
        <v>not completed</v>
      </c>
      <c r="CI1182" s="66"/>
      <c r="CJ1182" s="20" t="str">
        <f>_xlfn.XLOOKUP(CI1182, 'Normative data'!$S$9:$S$15, 'Normative data'!$T$9:$T$15, "Not Found", -1)</f>
        <v>not completed</v>
      </c>
      <c r="CK1182" s="66" t="s">
        <v>1834</v>
      </c>
      <c r="CL1182" s="66" t="s">
        <v>1835</v>
      </c>
      <c r="CM1182" s="105"/>
      <c r="CN1182" s="66" t="s">
        <v>1177</v>
      </c>
      <c r="CO1182" s="66" t="s">
        <v>1176</v>
      </c>
      <c r="CP1182" s="68"/>
      <c r="CQ1182" s="68"/>
      <c r="CR1182" s="20" t="str" cm="1">
        <f t="array" ref="CR1182">IF(OR(ISBLANK(E1182),ISBLANK(CQ1182)),"Incomplete",_xlfn.XLOOKUP(CQ1182,_xlfn.XLOOKUP(E1182,'Normative data'!$Y$3:$Y$6,'Normative data'!$Z$3:$AG$6,,-1),'Normative data'!$Z$2:$AG$2,"Not Found",-1))</f>
        <v>Incomplete</v>
      </c>
      <c r="CS1182" s="68"/>
      <c r="CT1182" s="66"/>
      <c r="CU1182" s="20" t="str" cm="1">
        <f t="array" ref="CU1182">_xlfn.XLOOKUP(CS1182&amp;CT1182,(VLOOKUP!$A$3:$A$250)&amp;(VLOOKUP!$B$3:$B$250),VLOOKUP!$C$3:$C$250,"Incomplete",-1)</f>
        <v>Incomplete</v>
      </c>
      <c r="CV1182" s="20" t="str" cm="1">
        <f t="array" ref="CV1182">_xlfn.XLOOKUP(CU1182, _xlfn.XLOOKUP(E1182, 'Normative data'!$Y$11:$Y$14, 'Normative data'!$Z$11:$AG$14, ,-1), 'Normative data'!$Z$10:$AG$10, "Not Found", -1)</f>
        <v>Excellent</v>
      </c>
      <c r="CW1182" s="20" t="str" cm="1">
        <f t="array" ref="CW1182">IF(OR(ISBLANK(CS1182),ISBLANK(CT1182)),"Incomplete",_xlfn.XLOOKUP(CS1182&amp;CT1182,VLOOKUP!$A$4:$A$250&amp;VLOOKUP!$B$4:$B$250,VLOOKUP!$D$4:$D$250,"0"))</f>
        <v>Incomplete</v>
      </c>
    </row>
    <row r="1183" spans="1:101">
      <c r="A1183" s="64" t="s">
        <v>1836</v>
      </c>
      <c r="B1183" s="64" t="s">
        <v>1742</v>
      </c>
      <c r="C1183" s="64" t="s">
        <v>86</v>
      </c>
      <c r="D1183" s="65">
        <v>39917</v>
      </c>
      <c r="E1183" s="64"/>
      <c r="F1183" s="64"/>
      <c r="G1183" s="64">
        <v>2026</v>
      </c>
      <c r="H1183" s="66" t="s">
        <v>114</v>
      </c>
      <c r="I1183" s="64">
        <v>1</v>
      </c>
      <c r="J1183" s="64"/>
      <c r="K1183" s="64"/>
      <c r="L1183" s="64"/>
      <c r="M1183" s="64"/>
      <c r="N1183" s="64"/>
      <c r="O1183" s="64"/>
      <c r="P1183" s="64"/>
      <c r="Q1183" s="64"/>
      <c r="R1183" s="64"/>
      <c r="S1183" s="66"/>
      <c r="T1183" s="66"/>
      <c r="U1183" s="66"/>
      <c r="V1183" s="66"/>
      <c r="W1183" s="66"/>
      <c r="X1183" s="66"/>
      <c r="Y1183" s="66"/>
      <c r="Z1183" s="66"/>
      <c r="AA1183" s="66"/>
      <c r="AB1183" s="66"/>
      <c r="AC1183" s="66"/>
      <c r="AD1183" s="66"/>
      <c r="AE1183" s="66"/>
      <c r="AF1183" s="66"/>
      <c r="AG1183" s="66"/>
      <c r="AH1183" s="66"/>
      <c r="AI1183" s="66"/>
      <c r="AJ1183" s="66"/>
      <c r="AK1183" s="66"/>
      <c r="AL1183" s="66"/>
      <c r="AM1183" s="66"/>
      <c r="AN1183" s="66"/>
      <c r="AO1183" s="66"/>
      <c r="AP1183" s="66"/>
      <c r="AQ1183" s="66">
        <v>29.8</v>
      </c>
      <c r="AR1183" s="66">
        <v>0.49299999999999999</v>
      </c>
      <c r="AS1183" s="66">
        <v>31.8</v>
      </c>
      <c r="AT1183" s="66">
        <v>0.50900000000000001</v>
      </c>
      <c r="AU1183" s="66">
        <v>14.7</v>
      </c>
      <c r="AV1183" s="66">
        <v>0.34599999999999997</v>
      </c>
      <c r="AW1183" s="66">
        <v>16</v>
      </c>
      <c r="AX1183" s="66">
        <v>0.36099999999999999</v>
      </c>
      <c r="AY1183" s="41" t="str">
        <f t="shared" ref="AY1183:AY1189" si="373">IF(OR(ISBLANK(U1183), ISBLANK(AQ1183)), "Incomplete", (60.7*AQ1183)+(45.3*U1183)-2055)</f>
        <v>Incomplete</v>
      </c>
      <c r="AZ1183" s="66"/>
      <c r="BA1183" s="20" t="str">
        <f t="shared" ref="BA1183:BA1189" si="374">IF(OR(ISBLANK(U1183), ISBLANK(AS1183)), "Incomplete", (60.7*AS1183)+(45.3*U1183)-2055)</f>
        <v>Incomplete</v>
      </c>
      <c r="BB1183" s="66"/>
      <c r="BC1183" s="20" t="str">
        <f t="shared" ref="BC1183:BC1189" si="375">IF(OR(ISBLANK(U1183), ISBLANK(AU1183)), "Incomplete", (60.7*AU1183)+(45.3*U1183)-2055)</f>
        <v>Incomplete</v>
      </c>
      <c r="BD1183" s="66"/>
      <c r="BE1183" s="20" t="str">
        <f t="shared" ref="BE1183:BE1189" si="376">IF(OR(ISBLANK(U1183), ISBLANK(AW1183)), "Incomplete", (60.7*AW1183)+(45.3*U1183)-2055)</f>
        <v>Incomplete</v>
      </c>
      <c r="BF1183" s="66"/>
      <c r="BG1183" s="66">
        <v>15</v>
      </c>
      <c r="BH1183" s="66">
        <v>58.5</v>
      </c>
      <c r="BI1183" s="20">
        <f>IF(OR(ISBLANK(BG1183), ISBLANK(BH1183)),"Incomplete",(SUM(BH1183-BG1183)))</f>
        <v>43.5</v>
      </c>
      <c r="BJ1183" s="66"/>
      <c r="BK1183" s="66"/>
      <c r="BL1183" s="66"/>
      <c r="BM1183" s="66"/>
      <c r="BN1183" s="66"/>
      <c r="BO1183" s="66"/>
      <c r="BP1183" s="66"/>
      <c r="BQ1183" s="66"/>
      <c r="BR1183" s="66"/>
      <c r="BS1183" s="66"/>
      <c r="BT1183" s="66"/>
      <c r="BU1183" s="66"/>
      <c r="BV1183" s="66"/>
      <c r="BW1183" s="91" t="str">
        <f t="shared" ref="BW1183:BW1190" si="377">IFERROR(SUM(BQ1183+BR1183+BS1183)/(3*(T1183-S1183))*100, "Incomplete")</f>
        <v>Incomplete</v>
      </c>
      <c r="BX1183" s="91" t="str">
        <f>_xlfn.XLOOKUP(BW1183,'Normative data'!$V$2:$V$6,'Normative data'!$W$2:$W$6,"Not Found",-1)</f>
        <v>Very low risk</v>
      </c>
      <c r="BY1183" s="91" t="str">
        <f t="shared" ref="BY1183:BY1190" si="378">IFERROR(SUM(BT1183+BU1183+BV1183)/(3*(T1183-S1183))*100, "Incomplete")</f>
        <v>Incomplete</v>
      </c>
      <c r="BZ1183" s="91" t="str">
        <f>_xlfn.XLOOKUP(BY1183,'Normative data'!$V$3:$V$6,'Normative data'!$W$3:$W$6,"Not Found",-1)</f>
        <v>Very low risk</v>
      </c>
      <c r="CA1183" s="66"/>
      <c r="CB1183" s="66"/>
      <c r="CC1183" s="66">
        <v>47</v>
      </c>
      <c r="CD1183" s="66"/>
      <c r="CE1183" s="66">
        <v>20</v>
      </c>
      <c r="CF1183" s="66"/>
      <c r="CG1183" s="20"/>
      <c r="CH1183" s="20" t="str">
        <f>_xlfn.XLOOKUP(CG1183, 'Normative data'!$S$9:$S$15,'Normative data'!$T$9:$T$15, "Not Found", -1)</f>
        <v>not completed</v>
      </c>
      <c r="CI1183" s="20"/>
      <c r="CJ1183" s="20" t="str">
        <f>_xlfn.XLOOKUP(CI1183, 'Normative data'!$S$9:$S$15, 'Normative data'!$T$9:$T$15, "Not Found", -1)</f>
        <v>not completed</v>
      </c>
      <c r="CK1183" s="20">
        <v>2.0699999999999998</v>
      </c>
      <c r="CL1183" s="20">
        <v>4.83</v>
      </c>
      <c r="CN1183" s="20">
        <v>6.48</v>
      </c>
      <c r="CO1183" s="20">
        <v>7.72</v>
      </c>
      <c r="CP1183" s="68"/>
      <c r="CQ1183" s="68">
        <v>7.4</v>
      </c>
      <c r="CR1183" s="20" t="str" cm="1">
        <f t="array" ref="CR1183">IF(OR(ISBLANK(E1183),ISBLANK(CQ1183)),"Incomplete",_xlfn.XLOOKUP(CQ1183,_xlfn.XLOOKUP(E1183,'Normative data'!$Y$3:$Y$6,'Normative data'!$Z$3:$AG$6,,-1),'Normative data'!$Z$2:$AG$2,"Not Found",-1))</f>
        <v>Incomplete</v>
      </c>
      <c r="CS1183" s="68">
        <v>7</v>
      </c>
      <c r="CT1183" s="66">
        <v>4</v>
      </c>
      <c r="CU1183" s="20" cm="1">
        <f t="array" ref="CU1183">_xlfn.XLOOKUP(CS1183&amp;CT1183,(VLOOKUP!$A$3:$A$250)&amp;(VLOOKUP!$B$3:$B$250),VLOOKUP!$C$3:$C$250,"Incomplete",-1)</f>
        <v>1100</v>
      </c>
      <c r="CV1183" s="20" t="str" cm="1">
        <f t="array" ref="CV1183">_xlfn.XLOOKUP(CU1183, _xlfn.XLOOKUP(E1183, 'Normative data'!$Y$11:$Y$14, 'Normative data'!$Z$11:$AG$14, ,-1), 'Normative data'!$Z$10:$AG$10, "Not Found", -1)</f>
        <v>Average</v>
      </c>
      <c r="CW1183" s="20" cm="1">
        <f t="array" ref="CW1183">IF(OR(ISBLANK(CS1183),ISBLANK(CT1183)),"Incomplete",_xlfn.XLOOKUP(CS1183&amp;CT1183,VLOOKUP!$A$4:$A$250&amp;VLOOKUP!$B$4:$B$250,VLOOKUP!$D$4:$D$250,"0"))</f>
        <v>38</v>
      </c>
    </row>
    <row r="1184" spans="1:101">
      <c r="A1184" s="64" t="s">
        <v>1836</v>
      </c>
      <c r="B1184" s="64" t="s">
        <v>1742</v>
      </c>
      <c r="C1184" s="64" t="s">
        <v>86</v>
      </c>
      <c r="D1184" s="65">
        <v>39917</v>
      </c>
      <c r="E1184" s="64"/>
      <c r="F1184" s="64"/>
      <c r="G1184" s="64">
        <v>2026</v>
      </c>
      <c r="H1184" s="66" t="s">
        <v>114</v>
      </c>
      <c r="I1184" s="64">
        <v>1</v>
      </c>
      <c r="J1184" s="64"/>
      <c r="K1184" s="64"/>
      <c r="L1184" s="64"/>
      <c r="M1184" s="64"/>
      <c r="N1184" s="64"/>
      <c r="O1184" s="64"/>
      <c r="P1184" s="64"/>
      <c r="Q1184" s="64"/>
      <c r="R1184" s="64"/>
      <c r="S1184" s="66"/>
      <c r="T1184" s="66"/>
      <c r="U1184" s="66"/>
      <c r="V1184" s="66"/>
      <c r="W1184" s="66"/>
      <c r="X1184" s="66"/>
      <c r="Y1184" s="66"/>
      <c r="Z1184" s="66"/>
      <c r="AA1184" s="66"/>
      <c r="AB1184" s="66"/>
      <c r="AC1184" s="66"/>
      <c r="AD1184" s="66"/>
      <c r="AE1184" s="66"/>
      <c r="AF1184" s="66"/>
      <c r="AG1184" s="66"/>
      <c r="AH1184" s="66"/>
      <c r="AI1184" s="66"/>
      <c r="AJ1184" s="66"/>
      <c r="AK1184" s="66"/>
      <c r="AL1184" s="66"/>
      <c r="AM1184" s="66"/>
      <c r="AN1184" s="66"/>
      <c r="AO1184" s="66"/>
      <c r="AP1184" s="66"/>
      <c r="AQ1184" s="66" t="s">
        <v>1837</v>
      </c>
      <c r="AR1184" s="66" t="s">
        <v>1838</v>
      </c>
      <c r="AS1184" s="66" t="s">
        <v>1829</v>
      </c>
      <c r="AT1184" s="66" t="s">
        <v>1830</v>
      </c>
      <c r="AU1184" s="66" t="s">
        <v>842</v>
      </c>
      <c r="AV1184" s="66" t="s">
        <v>843</v>
      </c>
      <c r="AW1184" s="66" t="s">
        <v>1832</v>
      </c>
      <c r="AX1184" s="66" t="s">
        <v>1833</v>
      </c>
      <c r="AY1184" s="41" t="str">
        <f t="shared" si="373"/>
        <v>Incomplete</v>
      </c>
      <c r="AZ1184" s="66"/>
      <c r="BA1184" s="20" t="str">
        <f t="shared" si="374"/>
        <v>Incomplete</v>
      </c>
      <c r="BB1184" s="66"/>
      <c r="BC1184" s="20" t="str">
        <f t="shared" si="375"/>
        <v>Incomplete</v>
      </c>
      <c r="BD1184" s="66"/>
      <c r="BE1184" s="20" t="str">
        <f t="shared" si="376"/>
        <v>Incomplete</v>
      </c>
      <c r="BF1184" s="66"/>
      <c r="BG1184" s="66" t="s">
        <v>633</v>
      </c>
      <c r="BH1184" s="66">
        <v>51</v>
      </c>
      <c r="BI1184" s="20" t="e">
        <f>IF(OR(ISBLANK(BG1184), ISBLANK(BH1184)),"Incomplete",(SUM(BH1184-BG1184)))</f>
        <v>#VALUE!</v>
      </c>
      <c r="BJ1184" s="66"/>
      <c r="BK1184" s="66"/>
      <c r="BL1184" s="66"/>
      <c r="BM1184" s="66"/>
      <c r="BN1184" s="66"/>
      <c r="BO1184" s="66"/>
      <c r="BP1184" s="66"/>
      <c r="BQ1184" s="66"/>
      <c r="BR1184" s="66"/>
      <c r="BS1184" s="66"/>
      <c r="BT1184" s="66"/>
      <c r="BU1184" s="66"/>
      <c r="BV1184" s="66"/>
      <c r="BW1184" s="91" t="str">
        <f t="shared" si="377"/>
        <v>Incomplete</v>
      </c>
      <c r="BX1184" s="91" t="str">
        <f>_xlfn.XLOOKUP(BW1184,'Normative data'!$V$2:$V$6,'Normative data'!$W$2:$W$6,"Not Found",-1)</f>
        <v>Very low risk</v>
      </c>
      <c r="BY1184" s="91" t="str">
        <f t="shared" si="378"/>
        <v>Incomplete</v>
      </c>
      <c r="BZ1184" s="91" t="str">
        <f>_xlfn.XLOOKUP(BY1184,'Normative data'!$V$3:$V$6,'Normative data'!$W$3:$W$6,"Not Found",-1)</f>
        <v>Very low risk</v>
      </c>
      <c r="CA1184" s="66"/>
      <c r="CB1184" s="66"/>
      <c r="CC1184" s="20">
        <v>47</v>
      </c>
      <c r="CD1184" s="66"/>
      <c r="CE1184" s="66">
        <v>12</v>
      </c>
      <c r="CF1184" s="66"/>
      <c r="CG1184" s="66"/>
      <c r="CH1184" s="20" t="str">
        <f>_xlfn.XLOOKUP(CG1184, 'Normative data'!$S$9:$S$15,'Normative data'!$T$9:$T$15, "Not Found", -1)</f>
        <v>not completed</v>
      </c>
      <c r="CI1184" s="66"/>
      <c r="CJ1184" s="20" t="str">
        <f>_xlfn.XLOOKUP(CI1184, 'Normative data'!$S$9:$S$15, 'Normative data'!$T$9:$T$15, "Not Found", -1)</f>
        <v>not completed</v>
      </c>
      <c r="CK1184" s="66" t="s">
        <v>1834</v>
      </c>
      <c r="CL1184" s="66" t="s">
        <v>1835</v>
      </c>
      <c r="CM1184" s="66"/>
      <c r="CN1184" s="66" t="s">
        <v>1177</v>
      </c>
      <c r="CO1184" s="66" t="s">
        <v>1176</v>
      </c>
      <c r="CP1184" s="68"/>
      <c r="CQ1184" s="68"/>
      <c r="CR1184" s="20" t="str" cm="1">
        <f t="array" ref="CR1184">IF(OR(ISBLANK(E1184),ISBLANK(CQ1184)),"Incomplete",_xlfn.XLOOKUP(CQ1184,_xlfn.XLOOKUP(E1184,'Normative data'!$Y$3:$Y$6,'Normative data'!$Z$3:$AG$6,,-1),'Normative data'!$Z$2:$AG$2,"Not Found",-1))</f>
        <v>Incomplete</v>
      </c>
      <c r="CS1184" s="68"/>
      <c r="CT1184" s="66"/>
      <c r="CU1184" s="20" t="str" cm="1">
        <f t="array" ref="CU1184">_xlfn.XLOOKUP(CS1184&amp;CT1184,(VLOOKUP!$A$3:$A$250)&amp;(VLOOKUP!$B$3:$B$250),VLOOKUP!$C$3:$C$250,"Incomplete",-1)</f>
        <v>Incomplete</v>
      </c>
      <c r="CV1184" s="20" t="str" cm="1">
        <f t="array" ref="CV1184">_xlfn.XLOOKUP(CU1184, _xlfn.XLOOKUP(E1184, 'Normative data'!$Y$11:$Y$14, 'Normative data'!$Z$11:$AG$14, ,-1), 'Normative data'!$Z$10:$AG$10, "Not Found", -1)</f>
        <v>Excellent</v>
      </c>
      <c r="CW1184" s="20" t="str" cm="1">
        <f t="array" ref="CW1184">IF(OR(ISBLANK(CS1184),ISBLANK(CT1184)),"Incomplete",_xlfn.XLOOKUP(CS1184&amp;CT1184,VLOOKUP!$A$4:$A$250&amp;VLOOKUP!$B$4:$B$250,VLOOKUP!$D$4:$D$250,"0"))</f>
        <v>Incomplete</v>
      </c>
    </row>
    <row r="1185" spans="1:101">
      <c r="A1185" s="94" t="s">
        <v>470</v>
      </c>
      <c r="B1185" s="94" t="s">
        <v>760</v>
      </c>
      <c r="C1185" s="64" t="s">
        <v>86</v>
      </c>
      <c r="D1185" s="97">
        <v>40435</v>
      </c>
      <c r="E1185" s="64"/>
      <c r="F1185" s="64">
        <v>9</v>
      </c>
      <c r="G1185" s="64">
        <v>2025</v>
      </c>
      <c r="H1185" s="66"/>
      <c r="I1185" s="64"/>
      <c r="J1185" s="64"/>
      <c r="K1185" s="64"/>
      <c r="L1185" s="64"/>
      <c r="M1185" s="64"/>
      <c r="N1185" s="64"/>
      <c r="O1185" s="64"/>
      <c r="P1185" s="64"/>
      <c r="Q1185" s="64"/>
      <c r="R1185" s="64"/>
      <c r="S1185" s="66"/>
      <c r="T1185" s="66"/>
      <c r="U1185" s="66"/>
      <c r="V1185" s="66"/>
      <c r="W1185" s="66"/>
      <c r="X1185" s="66"/>
      <c r="Y1185" s="66"/>
      <c r="Z1185" s="66"/>
      <c r="AA1185" s="66"/>
      <c r="AB1185" s="66"/>
      <c r="AC1185" s="66"/>
      <c r="AD1185" s="66"/>
      <c r="AE1185" s="66"/>
      <c r="AF1185" s="66"/>
      <c r="AG1185" s="66"/>
      <c r="AH1185" s="66"/>
      <c r="AI1185" s="66"/>
      <c r="AJ1185" s="66"/>
      <c r="AK1185" s="66"/>
      <c r="AL1185" s="66"/>
      <c r="AM1185" s="66"/>
      <c r="AN1185" s="66"/>
      <c r="AO1185" s="66"/>
      <c r="AP1185" s="66"/>
      <c r="AQ1185" s="66"/>
      <c r="AR1185" s="66"/>
      <c r="AS1185" s="66"/>
      <c r="AT1185" s="66"/>
      <c r="AU1185" s="66"/>
      <c r="AV1185" s="66"/>
      <c r="AW1185" s="66"/>
      <c r="AX1185" s="66"/>
      <c r="AY1185" s="41" t="str">
        <f t="shared" si="373"/>
        <v>Incomplete</v>
      </c>
      <c r="AZ1185" s="66"/>
      <c r="BA1185" s="20" t="str">
        <f t="shared" si="374"/>
        <v>Incomplete</v>
      </c>
      <c r="BB1185" s="66"/>
      <c r="BC1185" s="20" t="str">
        <f t="shared" si="375"/>
        <v>Incomplete</v>
      </c>
      <c r="BD1185" s="66"/>
      <c r="BE1185" s="20" t="str">
        <f t="shared" si="376"/>
        <v>Incomplete</v>
      </c>
      <c r="BF1185" s="66"/>
      <c r="BG1185" s="66">
        <v>11</v>
      </c>
      <c r="BH1185" s="20">
        <v>25</v>
      </c>
      <c r="BI1185" s="20" t="e">
        <f>IF(OR(ISBLANK(#REF!), ISBLANK(#REF!)),"Incomplete",(SUM(#REF!-#REF!)))</f>
        <v>#REF!</v>
      </c>
      <c r="BJ1185" s="66"/>
      <c r="BK1185" s="66"/>
      <c r="BL1185" s="66"/>
      <c r="BM1185" s="66"/>
      <c r="BN1185" s="66"/>
      <c r="BO1185" s="66"/>
      <c r="BP1185" s="66"/>
      <c r="BQ1185" s="66"/>
      <c r="BR1185" s="66"/>
      <c r="BS1185" s="66"/>
      <c r="BT1185" s="66"/>
      <c r="BU1185" s="66"/>
      <c r="BV1185" s="66"/>
      <c r="BW1185" s="91" t="str">
        <f t="shared" si="377"/>
        <v>Incomplete</v>
      </c>
      <c r="BX1185" s="91" t="str">
        <f>_xlfn.XLOOKUP(BW1185,'Normative data'!$V$2:$V$6,'Normative data'!$W$2:$W$6,"Not Found",-1)</f>
        <v>Very low risk</v>
      </c>
      <c r="BY1185" s="91" t="str">
        <f t="shared" si="378"/>
        <v>Incomplete</v>
      </c>
      <c r="BZ1185" s="91" t="str">
        <f>_xlfn.XLOOKUP(BY1185,'Normative data'!$V$3:$V$6,'Normative data'!$W$3:$W$6,"Not Found",-1)</f>
        <v>Very low risk</v>
      </c>
      <c r="CA1185" s="66"/>
      <c r="CB1185" s="66"/>
      <c r="CC1185" s="66"/>
      <c r="CD1185" s="66"/>
      <c r="CE1185" s="66">
        <v>5</v>
      </c>
      <c r="CF1185" s="66"/>
      <c r="CG1185" s="66"/>
      <c r="CH1185" s="20" t="str">
        <f>_xlfn.XLOOKUP(CG1185, 'Normative data'!$S$9:$S$15,'Normative data'!$T$9:$T$15, "Not Found", -1)</f>
        <v>not completed</v>
      </c>
      <c r="CI1185" s="66"/>
      <c r="CJ1185" s="20" t="str">
        <f>_xlfn.XLOOKUP(CI1185, 'Normative data'!$S$9:$S$15, 'Normative data'!$T$9:$T$15, "Not Found", -1)</f>
        <v>not completed</v>
      </c>
      <c r="CK1185" s="24">
        <v>2.29</v>
      </c>
      <c r="CL1185" s="24">
        <v>4.37</v>
      </c>
      <c r="CM1185" s="24"/>
      <c r="CN1185" s="24">
        <v>7.45</v>
      </c>
      <c r="CO1185" s="24">
        <v>6.71</v>
      </c>
      <c r="CP1185" s="110"/>
      <c r="CQ1185" s="68"/>
      <c r="CR1185" s="20" t="str" cm="1">
        <f t="array" ref="CR1185">IF(OR(ISBLANK(E1185),ISBLANK(CQ1185)),"Incomplete",_xlfn.XLOOKUP(CQ1185,_xlfn.XLOOKUP(E1185,'Normative data'!$Y$3:$Y$6,'Normative data'!$Z$3:$AG$6,,-1),'Normative data'!$Z$2:$AG$2,"Not Found",-1))</f>
        <v>Incomplete</v>
      </c>
      <c r="CS1185" s="68"/>
      <c r="CT1185" s="66"/>
      <c r="CU1185" s="20" t="str" cm="1">
        <f t="array" ref="CU1185">_xlfn.XLOOKUP(CS1185&amp;CT1185,(VLOOKUP!$A$3:$A$250)&amp;(VLOOKUP!$B$3:$B$250),VLOOKUP!$C$3:$C$250,"Incomplete",-1)</f>
        <v>Incomplete</v>
      </c>
      <c r="CV1185" s="20" t="str" cm="1">
        <f t="array" ref="CV1185">_xlfn.XLOOKUP(CU1185, _xlfn.XLOOKUP(E1185, 'Normative data'!$Y$11:$Y$14, 'Normative data'!$Z$11:$AG$14, ,-1), 'Normative data'!$Z$10:$AG$10, "Not Found", -1)</f>
        <v>Excellent</v>
      </c>
      <c r="CW1185" s="20" t="str" cm="1">
        <f t="array" ref="CW1185">IF(OR(ISBLANK(CS1185),ISBLANK(CT1185)),"Incomplete",_xlfn.XLOOKUP(CS1185&amp;CT1185,VLOOKUP!$A$4:$A$250&amp;VLOOKUP!$B$4:$B$250,VLOOKUP!$D$4:$D$250,"0"))</f>
        <v>Incomplete</v>
      </c>
    </row>
    <row r="1186" spans="1:101">
      <c r="A1186" s="64" t="s">
        <v>470</v>
      </c>
      <c r="B1186" s="64" t="s">
        <v>1839</v>
      </c>
      <c r="C1186" s="64" t="s">
        <v>86</v>
      </c>
      <c r="D1186" s="97">
        <v>40435</v>
      </c>
      <c r="E1186" s="64"/>
      <c r="F1186" s="64">
        <v>9</v>
      </c>
      <c r="G1186" s="64">
        <v>2025</v>
      </c>
      <c r="H1186" s="66"/>
      <c r="I1186" s="64"/>
      <c r="J1186" s="64"/>
      <c r="K1186" s="64"/>
      <c r="L1186" s="64"/>
      <c r="M1186" s="64"/>
      <c r="N1186" s="64"/>
      <c r="O1186" s="64"/>
      <c r="P1186" s="64"/>
      <c r="Q1186" s="64"/>
      <c r="R1186" s="64"/>
      <c r="S1186" s="66"/>
      <c r="T1186" s="66"/>
      <c r="U1186" s="66"/>
      <c r="V1186" s="66"/>
      <c r="W1186" s="66"/>
      <c r="X1186" s="66"/>
      <c r="Y1186" s="66"/>
      <c r="Z1186" s="66"/>
      <c r="AA1186" s="66"/>
      <c r="AB1186" s="66"/>
      <c r="AC1186" s="66"/>
      <c r="AD1186" s="66"/>
      <c r="AE1186" s="66"/>
      <c r="AF1186" s="66"/>
      <c r="AG1186" s="66"/>
      <c r="AH1186" s="66"/>
      <c r="AI1186" s="66"/>
      <c r="AJ1186" s="66"/>
      <c r="AK1186" s="66"/>
      <c r="AL1186" s="66"/>
      <c r="AM1186" s="66"/>
      <c r="AN1186" s="66"/>
      <c r="AO1186" s="66"/>
      <c r="AP1186" s="66"/>
      <c r="AQ1186" s="66"/>
      <c r="AR1186" s="66"/>
      <c r="AS1186" s="66"/>
      <c r="AT1186" s="66"/>
      <c r="AU1186" s="66"/>
      <c r="AV1186" s="66"/>
      <c r="AW1186" s="66"/>
      <c r="AX1186" s="66"/>
      <c r="AY1186" s="41" t="str">
        <f t="shared" si="373"/>
        <v>Incomplete</v>
      </c>
      <c r="AZ1186" s="66"/>
      <c r="BA1186" s="20" t="str">
        <f t="shared" si="374"/>
        <v>Incomplete</v>
      </c>
      <c r="BB1186" s="66"/>
      <c r="BC1186" s="20" t="str">
        <f t="shared" si="375"/>
        <v>Incomplete</v>
      </c>
      <c r="BD1186" s="66"/>
      <c r="BE1186" s="20" t="str">
        <f t="shared" si="376"/>
        <v>Incomplete</v>
      </c>
      <c r="BF1186" s="66"/>
      <c r="BG1186" s="66"/>
      <c r="BH1186" s="66"/>
      <c r="BI1186" s="20" t="str">
        <f>IF(OR(ISBLANK(BG1186), ISBLANK(BH1186)),"Incomplete",(SUM(BH1186-BG1186)))</f>
        <v>Incomplete</v>
      </c>
      <c r="BJ1186" s="66"/>
      <c r="BK1186" s="66"/>
      <c r="BL1186" s="66"/>
      <c r="BM1186" s="66"/>
      <c r="BN1186" s="66"/>
      <c r="BO1186" s="66"/>
      <c r="BP1186" s="66"/>
      <c r="BQ1186" s="66"/>
      <c r="BR1186" s="66"/>
      <c r="BS1186" s="66"/>
      <c r="BT1186" s="66"/>
      <c r="BU1186" s="66"/>
      <c r="BV1186" s="66"/>
      <c r="BW1186" s="91" t="str">
        <f t="shared" si="377"/>
        <v>Incomplete</v>
      </c>
      <c r="BX1186" s="91" t="str">
        <f>_xlfn.XLOOKUP(BW1186,'Normative data'!$V$2:$V$6,'Normative data'!$W$2:$W$6,"Not Found",-1)</f>
        <v>Very low risk</v>
      </c>
      <c r="BY1186" s="91" t="str">
        <f t="shared" si="378"/>
        <v>Incomplete</v>
      </c>
      <c r="BZ1186" s="91" t="str">
        <f>_xlfn.XLOOKUP(BY1186,'Normative data'!$V$3:$V$6,'Normative data'!$W$3:$W$6,"Not Found",-1)</f>
        <v>Very low risk</v>
      </c>
      <c r="CA1186" s="66"/>
      <c r="CB1186" s="66"/>
      <c r="CC1186" s="20"/>
      <c r="CD1186" s="66"/>
      <c r="CE1186" s="66"/>
      <c r="CF1186" s="66"/>
      <c r="CG1186" s="66"/>
      <c r="CH1186" s="20" t="str">
        <f>_xlfn.XLOOKUP(CG1186, 'Normative data'!$S$9:$S$15,'Normative data'!$T$9:$T$15, "Not Found", -1)</f>
        <v>not completed</v>
      </c>
      <c r="CI1186" s="66"/>
      <c r="CJ1186" s="20" t="str">
        <f>_xlfn.XLOOKUP(CI1186, 'Normative data'!$S$9:$S$15, 'Normative data'!$T$9:$T$15, "Not Found", -1)</f>
        <v>not completed</v>
      </c>
      <c r="CK1186" s="20" t="s">
        <v>1467</v>
      </c>
      <c r="CL1186" s="20" t="s">
        <v>1468</v>
      </c>
      <c r="CN1186" s="20" t="s">
        <v>135</v>
      </c>
      <c r="CO1186" s="20" t="s">
        <v>136</v>
      </c>
      <c r="CP1186" s="68"/>
      <c r="CQ1186" s="68"/>
      <c r="CR1186" s="20" t="str" cm="1">
        <f t="array" ref="CR1186">IF(OR(ISBLANK(E1186),ISBLANK(CQ1186)),"Incomplete",_xlfn.XLOOKUP(CQ1186,_xlfn.XLOOKUP(E1186,'Normative data'!$Y$3:$Y$6,'Normative data'!$Z$3:$AG$6,,-1),'Normative data'!$Z$2:$AG$2,"Not Found",-1))</f>
        <v>Incomplete</v>
      </c>
      <c r="CS1186" s="68"/>
      <c r="CT1186" s="66"/>
      <c r="CU1186" s="20" t="str" cm="1">
        <f t="array" ref="CU1186">_xlfn.XLOOKUP(CS1186&amp;CT1186,(VLOOKUP!$A$3:$A$250)&amp;(VLOOKUP!$B$3:$B$250),VLOOKUP!$C$3:$C$250,"Incomplete",-1)</f>
        <v>Incomplete</v>
      </c>
      <c r="CV1186" s="20" t="str" cm="1">
        <f t="array" ref="CV1186">_xlfn.XLOOKUP(CU1186, _xlfn.XLOOKUP(E1186, 'Normative data'!$Y$11:$Y$14, 'Normative data'!$Z$11:$AG$14, ,-1), 'Normative data'!$Z$10:$AG$10, "Not Found", -1)</f>
        <v>Excellent</v>
      </c>
      <c r="CW1186" s="20" t="str" cm="1">
        <f t="array" ref="CW1186">IF(OR(ISBLANK(CS1186),ISBLANK(CT1186)),"Incomplete",_xlfn.XLOOKUP(CS1186&amp;CT1186,VLOOKUP!$A$4:$A$250&amp;VLOOKUP!$B$4:$B$250,VLOOKUP!$D$4:$D$250,"0"))</f>
        <v>Incomplete</v>
      </c>
    </row>
    <row r="1187" spans="1:101">
      <c r="A1187" s="93" t="s">
        <v>969</v>
      </c>
      <c r="B1187" s="93" t="s">
        <v>1840</v>
      </c>
      <c r="C1187" s="64" t="s">
        <v>86</v>
      </c>
      <c r="D1187" s="96">
        <v>39695</v>
      </c>
      <c r="E1187" s="64"/>
      <c r="F1187" s="64">
        <v>11</v>
      </c>
      <c r="G1187" s="64">
        <v>2025</v>
      </c>
      <c r="H1187" s="66"/>
      <c r="I1187" s="64"/>
      <c r="J1187" s="64"/>
      <c r="K1187" s="64"/>
      <c r="L1187" s="64"/>
      <c r="M1187" s="64"/>
      <c r="N1187" s="64"/>
      <c r="O1187" s="64"/>
      <c r="P1187" s="64"/>
      <c r="Q1187" s="64"/>
      <c r="R1187" s="64"/>
      <c r="S1187" s="66"/>
      <c r="T1187" s="66"/>
      <c r="U1187" s="66"/>
      <c r="V1187" s="66"/>
      <c r="W1187" s="66"/>
      <c r="X1187" s="66"/>
      <c r="Y1187" s="66"/>
      <c r="Z1187" s="66"/>
      <c r="AA1187" s="66"/>
      <c r="AB1187" s="66"/>
      <c r="AC1187" s="66"/>
      <c r="AD1187" s="66"/>
      <c r="AE1187" s="66"/>
      <c r="AF1187" s="66"/>
      <c r="AG1187" s="66"/>
      <c r="AH1187" s="66"/>
      <c r="AI1187" s="66"/>
      <c r="AJ1187" s="66"/>
      <c r="AK1187" s="66"/>
      <c r="AL1187" s="66"/>
      <c r="AM1187" s="66"/>
      <c r="AN1187" s="66"/>
      <c r="AO1187" s="66"/>
      <c r="AP1187" s="66"/>
      <c r="AQ1187" s="66"/>
      <c r="AR1187" s="66"/>
      <c r="AS1187" s="66"/>
      <c r="AT1187" s="66"/>
      <c r="AU1187" s="66"/>
      <c r="AV1187" s="66"/>
      <c r="AW1187" s="66"/>
      <c r="AX1187" s="66"/>
      <c r="AY1187" s="41" t="str">
        <f t="shared" si="373"/>
        <v>Incomplete</v>
      </c>
      <c r="AZ1187" s="66"/>
      <c r="BA1187" s="20" t="str">
        <f t="shared" si="374"/>
        <v>Incomplete</v>
      </c>
      <c r="BB1187" s="66"/>
      <c r="BC1187" s="20" t="str">
        <f t="shared" si="375"/>
        <v>Incomplete</v>
      </c>
      <c r="BD1187" s="66"/>
      <c r="BE1187" s="20" t="str">
        <f t="shared" si="376"/>
        <v>Incomplete</v>
      </c>
      <c r="BF1187" s="66"/>
      <c r="BG1187" s="66">
        <v>19</v>
      </c>
      <c r="BH1187" s="66">
        <v>64</v>
      </c>
      <c r="BI1187" s="20" t="e">
        <f>IF(OR(ISBLANK(#REF!), ISBLANK(#REF!)),"Incomplete",(SUM(#REF!-#REF!)))</f>
        <v>#REF!</v>
      </c>
      <c r="BJ1187" s="66"/>
      <c r="BK1187" s="66"/>
      <c r="BL1187" s="66"/>
      <c r="BM1187" s="66"/>
      <c r="BN1187" s="66"/>
      <c r="BO1187" s="66"/>
      <c r="BP1187" s="66"/>
      <c r="BQ1187" s="66"/>
      <c r="BR1187" s="66"/>
      <c r="BS1187" s="66"/>
      <c r="BT1187" s="66"/>
      <c r="BU1187" s="66"/>
      <c r="BV1187" s="66"/>
      <c r="BW1187" s="91" t="str">
        <f t="shared" si="377"/>
        <v>Incomplete</v>
      </c>
      <c r="BX1187" s="91" t="str">
        <f>_xlfn.XLOOKUP(BW1187,'Normative data'!$V$2:$V$6,'Normative data'!$W$2:$W$6,"Not Found",-1)</f>
        <v>Very low risk</v>
      </c>
      <c r="BY1187" s="91" t="str">
        <f t="shared" si="378"/>
        <v>Incomplete</v>
      </c>
      <c r="BZ1187" s="91" t="str">
        <f>_xlfn.XLOOKUP(BY1187,'Normative data'!$V$3:$V$6,'Normative data'!$W$3:$W$6,"Not Found",-1)</f>
        <v>Very low risk</v>
      </c>
      <c r="CA1187" s="20"/>
      <c r="CB1187" s="66"/>
      <c r="CC1187" s="20"/>
      <c r="CD1187" s="66"/>
      <c r="CE1187" s="66">
        <v>22</v>
      </c>
      <c r="CF1187" s="66"/>
      <c r="CG1187" s="66"/>
      <c r="CH1187" s="20" t="str">
        <f>_xlfn.XLOOKUP(CG1187, 'Normative data'!$S$9:$S$15,'Normative data'!$T$9:$T$15, "Not Found", -1)</f>
        <v>not completed</v>
      </c>
      <c r="CI1187" s="66"/>
      <c r="CJ1187" s="20" t="str">
        <f>_xlfn.XLOOKUP(CI1187, 'Normative data'!$S$9:$S$15, 'Normative data'!$T$9:$T$15, "Not Found", -1)</f>
        <v>not completed</v>
      </c>
      <c r="CK1187" s="105">
        <v>2.3199999999999998</v>
      </c>
      <c r="CL1187" s="105">
        <v>4.3099999999999996</v>
      </c>
      <c r="CM1187" s="105"/>
      <c r="CN1187" s="105">
        <v>7.08</v>
      </c>
      <c r="CO1187" s="105">
        <v>7.06</v>
      </c>
      <c r="CP1187" s="109"/>
      <c r="CQ1187" s="68"/>
      <c r="CR1187" s="20" t="str" cm="1">
        <f t="array" ref="CR1187">IF(OR(ISBLANK(E1187),ISBLANK(CQ1187)),"Incomplete",_xlfn.XLOOKUP(CQ1187,_xlfn.XLOOKUP(E1187,'Normative data'!$Y$3:$Y$6,'Normative data'!$Z$3:$AG$6,,-1),'Normative data'!$Z$2:$AG$2,"Not Found",-1))</f>
        <v>Incomplete</v>
      </c>
      <c r="CS1187" s="68"/>
      <c r="CT1187" s="66"/>
      <c r="CU1187" s="20" t="str" cm="1">
        <f t="array" ref="CU1187">_xlfn.XLOOKUP(CS1187&amp;CT1187,(VLOOKUP!$A$3:$A$250)&amp;(VLOOKUP!$B$3:$B$250),VLOOKUP!$C$3:$C$250,"Incomplete",-1)</f>
        <v>Incomplete</v>
      </c>
      <c r="CV1187" s="20" t="str" cm="1">
        <f t="array" ref="CV1187">_xlfn.XLOOKUP(CU1187, _xlfn.XLOOKUP(E1187, 'Normative data'!$Y$11:$Y$14, 'Normative data'!$Z$11:$AG$14, ,-1), 'Normative data'!$Z$10:$AG$10, "Not Found", -1)</f>
        <v>Excellent</v>
      </c>
      <c r="CW1187" s="20" t="str" cm="1">
        <f t="array" ref="CW1187">IF(OR(ISBLANK(CS1187),ISBLANK(CT1187)),"Incomplete",_xlfn.XLOOKUP(CS1187&amp;CT1187,VLOOKUP!$A$4:$A$250&amp;VLOOKUP!$B$4:$B$250,VLOOKUP!$D$4:$D$250,"0"))</f>
        <v>Incomplete</v>
      </c>
    </row>
    <row r="1188" spans="1:101">
      <c r="A1188" s="94" t="s">
        <v>1191</v>
      </c>
      <c r="B1188" s="94" t="s">
        <v>1610</v>
      </c>
      <c r="C1188" s="64" t="s">
        <v>86</v>
      </c>
      <c r="D1188" s="97">
        <v>39865</v>
      </c>
      <c r="E1188" s="64"/>
      <c r="F1188" s="64">
        <v>10</v>
      </c>
      <c r="G1188" s="64">
        <v>2025</v>
      </c>
      <c r="H1188" s="66"/>
      <c r="I1188" s="64"/>
      <c r="J1188" s="64"/>
      <c r="K1188" s="64"/>
      <c r="L1188" s="64"/>
      <c r="M1188" s="64"/>
      <c r="N1188" s="64"/>
      <c r="O1188" s="64"/>
      <c r="P1188" s="64"/>
      <c r="Q1188" s="64"/>
      <c r="R1188" s="64"/>
      <c r="S1188" s="66"/>
      <c r="T1188" s="66"/>
      <c r="U1188" s="66"/>
      <c r="V1188" s="66"/>
      <c r="W1188" s="66"/>
      <c r="X1188" s="66"/>
      <c r="Y1188" s="66"/>
      <c r="Z1188" s="66"/>
      <c r="AA1188" s="66"/>
      <c r="AB1188" s="66"/>
      <c r="AC1188" s="66"/>
      <c r="AD1188" s="66"/>
      <c r="AE1188" s="66"/>
      <c r="AF1188" s="66"/>
      <c r="AG1188" s="66"/>
      <c r="AH1188" s="66"/>
      <c r="AI1188" s="66"/>
      <c r="AJ1188" s="66"/>
      <c r="AK1188" s="66"/>
      <c r="AL1188" s="66"/>
      <c r="AM1188" s="66"/>
      <c r="AN1188" s="66"/>
      <c r="AO1188" s="66"/>
      <c r="AP1188" s="66"/>
      <c r="AQ1188" s="66"/>
      <c r="AR1188" s="66"/>
      <c r="AS1188" s="66"/>
      <c r="AT1188" s="66"/>
      <c r="AU1188" s="66"/>
      <c r="AV1188" s="66"/>
      <c r="AW1188" s="66"/>
      <c r="AX1188" s="66"/>
      <c r="AY1188" s="41" t="str">
        <f t="shared" si="373"/>
        <v>Incomplete</v>
      </c>
      <c r="AZ1188" s="66"/>
      <c r="BA1188" s="20" t="str">
        <f t="shared" si="374"/>
        <v>Incomplete</v>
      </c>
      <c r="BB1188" s="66"/>
      <c r="BC1188" s="20" t="str">
        <f t="shared" si="375"/>
        <v>Incomplete</v>
      </c>
      <c r="BD1188" s="66"/>
      <c r="BE1188" s="20" t="str">
        <f t="shared" si="376"/>
        <v>Incomplete</v>
      </c>
      <c r="BF1188" s="66"/>
      <c r="BG1188" s="66"/>
      <c r="BH1188" s="20"/>
      <c r="BI1188" s="20" t="str">
        <f>IF(OR(ISBLANK(BG1188), ISBLANK(BH1188)),"Incomplete",(SUM(BH1188-BG1188)))</f>
        <v>Incomplete</v>
      </c>
      <c r="BJ1188" s="66"/>
      <c r="BK1188" s="66">
        <v>7</v>
      </c>
      <c r="BL1188" s="66"/>
      <c r="BM1188" s="66">
        <v>5</v>
      </c>
      <c r="BN1188" s="66"/>
      <c r="BO1188" s="66"/>
      <c r="BP1188" s="66"/>
      <c r="BQ1188" s="66"/>
      <c r="BR1188" s="66"/>
      <c r="BS1188" s="66"/>
      <c r="BT1188" s="66"/>
      <c r="BU1188" s="66"/>
      <c r="BV1188" s="66"/>
      <c r="BW1188" s="91" t="str">
        <f t="shared" si="377"/>
        <v>Incomplete</v>
      </c>
      <c r="BX1188" s="91" t="str">
        <f>_xlfn.XLOOKUP(BW1188,'Normative data'!$V$2:$V$6,'Normative data'!$W$2:$W$6,"Not Found",-1)</f>
        <v>Very low risk</v>
      </c>
      <c r="BY1188" s="91" t="str">
        <f t="shared" si="378"/>
        <v>Incomplete</v>
      </c>
      <c r="BZ1188" s="91" t="str">
        <f>_xlfn.XLOOKUP(BY1188,'Normative data'!$V$3:$V$6,'Normative data'!$W$3:$W$6,"Not Found",-1)</f>
        <v>Very low risk</v>
      </c>
      <c r="CA1188" s="66"/>
      <c r="CB1188" s="66"/>
      <c r="CC1188" s="66"/>
      <c r="CD1188" s="66"/>
      <c r="CE1188" s="66">
        <v>11</v>
      </c>
      <c r="CF1188" s="66"/>
      <c r="CG1188" s="66"/>
      <c r="CH1188" s="20" t="str">
        <f>_xlfn.XLOOKUP(CG1188, 'Normative data'!$S$9:$S$15,'Normative data'!$T$9:$T$15, "Not Found", -1)</f>
        <v>not completed</v>
      </c>
      <c r="CI1188" s="66"/>
      <c r="CJ1188" s="20" t="str">
        <f>_xlfn.XLOOKUP(CI1188, 'Normative data'!$S$9:$S$15, 'Normative data'!$T$9:$T$15, "Not Found", -1)</f>
        <v>not completed</v>
      </c>
      <c r="CK1188" s="106">
        <v>2.15</v>
      </c>
      <c r="CL1188" s="106">
        <v>4.6500000000000004</v>
      </c>
      <c r="CM1188" s="105"/>
      <c r="CN1188" s="106">
        <v>6.34</v>
      </c>
      <c r="CO1188" s="106">
        <v>7.89</v>
      </c>
      <c r="CP1188" s="110"/>
      <c r="CQ1188" s="68"/>
      <c r="CR1188" s="20" t="str" cm="1">
        <f t="array" ref="CR1188">IF(OR(ISBLANK(E1188),ISBLANK(CQ1188)),"Incomplete",_xlfn.XLOOKUP(CQ1188,_xlfn.XLOOKUP(E1188,'Normative data'!$Y$3:$Y$6,'Normative data'!$Z$3:$AG$6,,-1),'Normative data'!$Z$2:$AG$2,"Not Found",-1))</f>
        <v>Incomplete</v>
      </c>
      <c r="CS1188" s="68"/>
      <c r="CT1188" s="66"/>
      <c r="CU1188" s="20" t="str" cm="1">
        <f t="array" ref="CU1188">_xlfn.XLOOKUP(CS1188&amp;CT1188,(VLOOKUP!$A$3:$A$250)&amp;(VLOOKUP!$B$3:$B$250),VLOOKUP!$C$3:$C$250,"Incomplete",-1)</f>
        <v>Incomplete</v>
      </c>
      <c r="CV1188" s="20" t="str" cm="1">
        <f t="array" ref="CV1188">_xlfn.XLOOKUP(CU1188, _xlfn.XLOOKUP(E1188, 'Normative data'!$Y$11:$Y$14, 'Normative data'!$Z$11:$AG$14, ,-1), 'Normative data'!$Z$10:$AG$10, "Not Found", -1)</f>
        <v>Excellent</v>
      </c>
      <c r="CW1188" s="20" t="str" cm="1">
        <f t="array" ref="CW1188">IF(OR(ISBLANK(CS1188),ISBLANK(CT1188)),"Incomplete",_xlfn.XLOOKUP(CS1188&amp;CT1188,VLOOKUP!$A$4:$A$250&amp;VLOOKUP!$B$4:$B$250,VLOOKUP!$D$4:$D$250,"0"))</f>
        <v>Incomplete</v>
      </c>
    </row>
    <row r="1189" spans="1:101">
      <c r="A1189" s="64" t="s">
        <v>1191</v>
      </c>
      <c r="B1189" s="64" t="s">
        <v>1610</v>
      </c>
      <c r="C1189" s="64" t="s">
        <v>86</v>
      </c>
      <c r="D1189" s="97">
        <v>39865</v>
      </c>
      <c r="E1189" s="64"/>
      <c r="F1189" s="64">
        <v>10</v>
      </c>
      <c r="G1189" s="64">
        <v>2025</v>
      </c>
      <c r="H1189" s="66"/>
      <c r="I1189" s="64"/>
      <c r="J1189" s="64"/>
      <c r="K1189" s="64"/>
      <c r="L1189" s="64"/>
      <c r="M1189" s="64"/>
      <c r="N1189" s="64"/>
      <c r="O1189" s="64"/>
      <c r="P1189" s="64"/>
      <c r="Q1189" s="64"/>
      <c r="R1189" s="64"/>
      <c r="S1189" s="66"/>
      <c r="T1189" s="66"/>
      <c r="U1189" s="66"/>
      <c r="V1189" s="66"/>
      <c r="W1189" s="66"/>
      <c r="X1189" s="66"/>
      <c r="Y1189" s="66"/>
      <c r="Z1189" s="66"/>
      <c r="AA1189" s="66"/>
      <c r="AB1189" s="66"/>
      <c r="AC1189" s="66"/>
      <c r="AD1189" s="66"/>
      <c r="AE1189" s="66"/>
      <c r="AF1189" s="66"/>
      <c r="AG1189" s="66"/>
      <c r="AH1189" s="66"/>
      <c r="AI1189" s="66"/>
      <c r="AJ1189" s="66"/>
      <c r="AK1189" s="66"/>
      <c r="AL1189" s="66"/>
      <c r="AM1189" s="66"/>
      <c r="AN1189" s="66"/>
      <c r="AO1189" s="66"/>
      <c r="AP1189" s="66"/>
      <c r="AQ1189" s="66"/>
      <c r="AR1189" s="66"/>
      <c r="AS1189" s="66"/>
      <c r="AT1189" s="66"/>
      <c r="AU1189" s="66"/>
      <c r="AV1189" s="66"/>
      <c r="AW1189" s="66"/>
      <c r="AX1189" s="66"/>
      <c r="AY1189" s="41" t="str">
        <f t="shared" si="373"/>
        <v>Incomplete</v>
      </c>
      <c r="AZ1189" s="66"/>
      <c r="BA1189" s="20" t="str">
        <f t="shared" si="374"/>
        <v>Incomplete</v>
      </c>
      <c r="BB1189" s="66"/>
      <c r="BC1189" s="20" t="str">
        <f t="shared" si="375"/>
        <v>Incomplete</v>
      </c>
      <c r="BD1189" s="66"/>
      <c r="BE1189" s="20" t="str">
        <f t="shared" si="376"/>
        <v>Incomplete</v>
      </c>
      <c r="BF1189" s="66"/>
      <c r="BG1189" s="66"/>
      <c r="BH1189" s="66"/>
      <c r="BI1189" s="20" t="str">
        <f>IF(OR(ISBLANK(BG1189), ISBLANK(BH1189)),"Incomplete",(SUM(BH1189-BG1189)))</f>
        <v>Incomplete</v>
      </c>
      <c r="BJ1189" s="66"/>
      <c r="BK1189" s="66"/>
      <c r="BL1189" s="66"/>
      <c r="BM1189" s="66"/>
      <c r="BN1189" s="66"/>
      <c r="BO1189" s="66"/>
      <c r="BP1189" s="66"/>
      <c r="BQ1189" s="66"/>
      <c r="BR1189" s="66"/>
      <c r="BS1189" s="66"/>
      <c r="BT1189" s="66"/>
      <c r="BU1189" s="66"/>
      <c r="BV1189" s="66"/>
      <c r="BW1189" s="91" t="str">
        <f t="shared" si="377"/>
        <v>Incomplete</v>
      </c>
      <c r="BX1189" s="91" t="str">
        <f>_xlfn.XLOOKUP(BW1189,'Normative data'!$V$2:$V$6,'Normative data'!$W$2:$W$6,"Not Found",-1)</f>
        <v>Very low risk</v>
      </c>
      <c r="BY1189" s="91" t="str">
        <f t="shared" si="378"/>
        <v>Incomplete</v>
      </c>
      <c r="BZ1189" s="91" t="str">
        <f>_xlfn.XLOOKUP(BY1189,'Normative data'!$V$3:$V$6,'Normative data'!$W$3:$W$6,"Not Found",-1)</f>
        <v>Very low risk</v>
      </c>
      <c r="CA1189" s="66"/>
      <c r="CB1189" s="66"/>
      <c r="CC1189" s="20"/>
      <c r="CD1189" s="66"/>
      <c r="CE1189" s="66"/>
      <c r="CF1189" s="66"/>
      <c r="CG1189" s="66"/>
      <c r="CH1189" s="20" t="str">
        <f>_xlfn.XLOOKUP(CG1189, 'Normative data'!$S$9:$S$15,'Normative data'!$T$9:$T$15, "Not Found", -1)</f>
        <v>not completed</v>
      </c>
      <c r="CI1189" s="66"/>
      <c r="CJ1189" s="20" t="str">
        <f>_xlfn.XLOOKUP(CI1189, 'Normative data'!$S$9:$S$15, 'Normative data'!$T$9:$T$15, "Not Found", -1)</f>
        <v>not completed</v>
      </c>
      <c r="CK1189" s="66" t="s">
        <v>660</v>
      </c>
      <c r="CL1189" s="66" t="s">
        <v>661</v>
      </c>
      <c r="CM1189" s="66"/>
      <c r="CN1189" s="66" t="s">
        <v>826</v>
      </c>
      <c r="CO1189" s="66" t="s">
        <v>1221</v>
      </c>
      <c r="CP1189" s="68"/>
      <c r="CQ1189" s="68"/>
      <c r="CR1189" s="20" t="str" cm="1">
        <f t="array" ref="CR1189">IF(OR(ISBLANK(E1189),ISBLANK(CQ1189)),"Incomplete",_xlfn.XLOOKUP(CQ1189,_xlfn.XLOOKUP(E1189,'Normative data'!$Y$3:$Y$6,'Normative data'!$Z$3:$AG$6,,-1),'Normative data'!$Z$2:$AG$2,"Not Found",-1))</f>
        <v>Incomplete</v>
      </c>
      <c r="CS1189" s="68"/>
      <c r="CT1189" s="66"/>
      <c r="CU1189" s="20" t="str" cm="1">
        <f t="array" ref="CU1189">_xlfn.XLOOKUP(CS1189&amp;CT1189,(VLOOKUP!$A$3:$A$250)&amp;(VLOOKUP!$B$3:$B$250),VLOOKUP!$C$3:$C$250,"Incomplete",-1)</f>
        <v>Incomplete</v>
      </c>
      <c r="CV1189" s="20" t="str" cm="1">
        <f t="array" ref="CV1189">_xlfn.XLOOKUP(CU1189, _xlfn.XLOOKUP(E1189, 'Normative data'!$Y$11:$Y$14, 'Normative data'!$Z$11:$AG$14, ,-1), 'Normative data'!$Z$10:$AG$10, "Not Found", -1)</f>
        <v>Excellent</v>
      </c>
      <c r="CW1189" s="20" t="str" cm="1">
        <f t="array" ref="CW1189">IF(OR(ISBLANK(CS1189),ISBLANK(CT1189)),"Incomplete",_xlfn.XLOOKUP(CS1189&amp;CT1189,VLOOKUP!$A$4:$A$250&amp;VLOOKUP!$B$4:$B$250,VLOOKUP!$D$4:$D$250,"0"))</f>
        <v>Incomplete</v>
      </c>
    </row>
    <row r="1190" spans="1:101">
      <c r="A1190" s="94" t="s">
        <v>1253</v>
      </c>
      <c r="B1190" s="94" t="s">
        <v>1512</v>
      </c>
      <c r="C1190" s="64" t="s">
        <v>86</v>
      </c>
      <c r="D1190" s="97">
        <v>39675</v>
      </c>
      <c r="E1190" s="64"/>
      <c r="F1190" s="64">
        <v>11</v>
      </c>
      <c r="G1190" s="64">
        <v>2025</v>
      </c>
      <c r="H1190" s="66"/>
      <c r="I1190" s="64"/>
      <c r="J1190" s="64" t="s">
        <v>122</v>
      </c>
      <c r="K1190" s="64"/>
      <c r="L1190" s="64"/>
      <c r="M1190" s="64"/>
      <c r="N1190" s="64"/>
      <c r="O1190" s="64"/>
      <c r="P1190" s="64"/>
      <c r="Q1190" s="64"/>
      <c r="R1190" s="64"/>
      <c r="S1190" s="66"/>
      <c r="T1190" s="66"/>
      <c r="U1190" s="66"/>
      <c r="V1190" s="75"/>
      <c r="W1190" s="75"/>
      <c r="X1190" s="75"/>
      <c r="Y1190" s="75"/>
      <c r="Z1190" s="75"/>
      <c r="AA1190" s="75"/>
      <c r="AB1190" s="75"/>
      <c r="AC1190" s="75"/>
      <c r="AD1190" s="75"/>
      <c r="AE1190" s="75"/>
      <c r="AF1190" s="75"/>
      <c r="AG1190" s="75"/>
      <c r="AH1190" s="75"/>
      <c r="AI1190" s="75"/>
      <c r="AJ1190" s="75"/>
      <c r="AK1190" s="75"/>
      <c r="AL1190" s="75"/>
      <c r="AM1190" s="75"/>
      <c r="AN1190" s="75"/>
      <c r="AO1190" s="75"/>
      <c r="AP1190" s="75"/>
      <c r="AQ1190" s="66">
        <v>23.6</v>
      </c>
      <c r="AR1190" s="66">
        <v>0.439</v>
      </c>
      <c r="AS1190" s="66">
        <v>26.6</v>
      </c>
      <c r="AT1190" s="66">
        <v>0.46600000000000003</v>
      </c>
      <c r="AU1190" s="66">
        <v>12.9</v>
      </c>
      <c r="AV1190" s="66">
        <v>0.32500000000000001</v>
      </c>
      <c r="AW1190" s="66">
        <v>11.6</v>
      </c>
      <c r="AX1190" s="66">
        <v>0.308</v>
      </c>
      <c r="AY1190" s="41" t="str">
        <f>IF(OR(ISBLANK(U1190), ISBLANK(#REF!)), "Incomplete", (60.7*#REF!)+(45.3*U1190)-2055)</f>
        <v>Incomplete</v>
      </c>
      <c r="AZ1190" s="66"/>
      <c r="BA1190" s="20" t="str">
        <f>IF(OR(ISBLANK(U1190), ISBLANK(#REF!)), "Incomplete", (60.7*#REF!)+(45.3*U1190)-2055)</f>
        <v>Incomplete</v>
      </c>
      <c r="BB1190" s="66"/>
      <c r="BC1190" s="20" t="str">
        <f>IF(OR(ISBLANK(U1190), ISBLANK(#REF!)), "Incomplete", (60.7*#REF!)+(45.3*U1190)-2055)</f>
        <v>Incomplete</v>
      </c>
      <c r="BD1190" s="66"/>
      <c r="BE1190" s="20" t="str">
        <f>IF(OR(ISBLANK(U1190), ISBLANK(#REF!)), "Incomplete", (60.7*#REF!)+(45.3*U1190)-2055)</f>
        <v>Incomplete</v>
      </c>
      <c r="BF1190" s="66"/>
      <c r="BG1190" s="66">
        <v>13.8</v>
      </c>
      <c r="BH1190" s="66">
        <v>41</v>
      </c>
      <c r="BI1190" s="20">
        <f>IF(OR(ISBLANK(BG1190), ISBLANK(BH1190)),"Incomplete",(SUM(BH1190-BG1190)))</f>
        <v>27.2</v>
      </c>
      <c r="BJ1190" s="66"/>
      <c r="BK1190" s="66">
        <v>10</v>
      </c>
      <c r="BL1190" s="66"/>
      <c r="BM1190" s="66">
        <v>9</v>
      </c>
      <c r="BN1190" s="66"/>
      <c r="BO1190" s="66"/>
      <c r="BP1190" s="66"/>
      <c r="BQ1190" s="66"/>
      <c r="BR1190" s="66"/>
      <c r="BS1190" s="66"/>
      <c r="BT1190" s="66"/>
      <c r="BU1190" s="66"/>
      <c r="BV1190" s="66"/>
      <c r="BW1190" s="91" t="str">
        <f t="shared" si="377"/>
        <v>Incomplete</v>
      </c>
      <c r="BX1190" s="91" t="str">
        <f>_xlfn.XLOOKUP(BW1190,'Normative data'!$V$3:$V$6,'Normative data'!$W$3:$W$6,"Not Found",-1)</f>
        <v>Very low risk</v>
      </c>
      <c r="BY1190" s="91" t="str">
        <f t="shared" si="378"/>
        <v>Incomplete</v>
      </c>
      <c r="BZ1190" s="91" t="str">
        <f>_xlfn.XLOOKUP(BY1190,'Normative data'!$V$3:$V$6,'Normative data'!$W$3:$W$6,"Not Found",-1)</f>
        <v>Very low risk</v>
      </c>
      <c r="CA1190" s="66"/>
      <c r="CB1190" s="66"/>
      <c r="CC1190" s="20"/>
      <c r="CD1190" s="66"/>
      <c r="CE1190" s="66"/>
      <c r="CF1190" s="66"/>
      <c r="CG1190" s="66">
        <v>18.440000000000001</v>
      </c>
      <c r="CH1190" s="20" t="e">
        <f>_xlfn.XLOOKUP(#REF!, 'Normative data'!$S$9:$S$15,'Normative data'!$T$9:$T$15, "Not Found", -1)</f>
        <v>#REF!</v>
      </c>
      <c r="CI1190" s="66">
        <v>17.260000000000002</v>
      </c>
      <c r="CJ1190" s="20" t="e">
        <f>_xlfn.XLOOKUP(#REF!, 'Normative data'!$S$9:$S$15, 'Normative data'!$T$9:$T$15, "Not Found", -1)</f>
        <v>#REF!</v>
      </c>
      <c r="CK1190" s="106">
        <v>2.02</v>
      </c>
      <c r="CL1190" s="106">
        <v>4.95</v>
      </c>
      <c r="CM1190" s="105"/>
      <c r="CN1190" s="106">
        <v>6.62</v>
      </c>
      <c r="CO1190" s="106">
        <v>7.55</v>
      </c>
      <c r="CP1190" s="110"/>
      <c r="CQ1190" s="68"/>
      <c r="CR1190" s="20" t="str" cm="1">
        <f t="array" ref="CR1190">IF(OR(ISBLANK(E1190),ISBLANK(CQ1190)),"Incomplete",_xlfn.XLOOKUP(CQ1190,_xlfn.XLOOKUP(E1190,'Normative data'!$Y$3:$Y$6,'Normative data'!$Z$3:$AG$6,,-1),'Normative data'!$Z$2:$AG$2,"Not Found",-1))</f>
        <v>Incomplete</v>
      </c>
      <c r="CS1190" s="68"/>
      <c r="CT1190" s="66"/>
      <c r="CU1190" s="20" t="str" cm="1">
        <f t="array" ref="CU1190">_xlfn.XLOOKUP(CS1190&amp;CT1190,(VLOOKUP!$A$3:$A$250)&amp;(VLOOKUP!$B$3:$B$250),VLOOKUP!$C$3:$C$250,"Incomplete",-1)</f>
        <v>Incomplete</v>
      </c>
      <c r="CV1190" s="20" t="str" cm="1">
        <f t="array" ref="CV1190">_xlfn.XLOOKUP(CU1190, _xlfn.XLOOKUP(E1190, 'Normative data'!$Y$11:$Y$14, 'Normative data'!$Z$11:$AG$14, ,-1), 'Normative data'!$Z$10:$AG$10, "Not Found", -1)</f>
        <v>Excellent</v>
      </c>
      <c r="CW1190" s="20" t="str" cm="1">
        <f t="array" ref="CW1190">IF(OR(ISBLANK(CS1190),ISBLANK(CT1190)),"Incomplete",_xlfn.XLOOKUP(CS1190&amp;CT1190,VLOOKUP!$A$4:$A$250&amp;VLOOKUP!$B$4:$B$250,VLOOKUP!$D$4:$D$250,"0"))</f>
        <v>Incomplete</v>
      </c>
    </row>
    <row r="1191" spans="1:101">
      <c r="A1191" s="94" t="s">
        <v>1253</v>
      </c>
      <c r="B1191" s="94" t="s">
        <v>1512</v>
      </c>
      <c r="C1191" s="64" t="s">
        <v>86</v>
      </c>
      <c r="D1191" s="97">
        <v>39675</v>
      </c>
      <c r="E1191" s="64"/>
      <c r="F1191" s="64">
        <v>11</v>
      </c>
      <c r="G1191" s="64">
        <v>2025</v>
      </c>
      <c r="H1191" s="66"/>
      <c r="I1191" s="64"/>
      <c r="J1191" s="64" t="s">
        <v>122</v>
      </c>
      <c r="K1191" s="64"/>
      <c r="L1191" s="64"/>
      <c r="M1191" s="64"/>
      <c r="N1191" s="64"/>
      <c r="O1191" s="64"/>
      <c r="P1191" s="64"/>
      <c r="Q1191" s="64"/>
      <c r="R1191" s="64"/>
      <c r="S1191" s="66"/>
      <c r="T1191" s="66" t="s">
        <v>1841</v>
      </c>
      <c r="U1191" s="68" t="s">
        <v>1842</v>
      </c>
      <c r="V1191" s="68"/>
      <c r="W1191" s="66"/>
      <c r="X1191" s="66"/>
      <c r="Y1191" s="66"/>
      <c r="Z1191" s="66"/>
      <c r="AA1191" s="66"/>
      <c r="AB1191" s="66"/>
      <c r="AC1191" s="66"/>
      <c r="AD1191" s="66"/>
      <c r="AE1191" s="66"/>
      <c r="AF1191" s="66"/>
      <c r="AG1191" s="66"/>
      <c r="AH1191" s="66"/>
      <c r="AI1191" s="66"/>
      <c r="AJ1191" s="66"/>
      <c r="AK1191" s="66"/>
      <c r="AL1191" s="66"/>
      <c r="AM1191" s="66"/>
      <c r="AN1191" s="66"/>
      <c r="AO1191" s="66"/>
      <c r="AP1191" s="66"/>
      <c r="AQ1191" s="66">
        <v>23.9</v>
      </c>
      <c r="AR1191" s="66">
        <v>0.442</v>
      </c>
      <c r="AS1191" s="66">
        <v>27.2</v>
      </c>
      <c r="AT1191" s="66">
        <v>0.47099999999999997</v>
      </c>
      <c r="AU1191" s="66">
        <v>13.7</v>
      </c>
      <c r="AV1191" s="66">
        <v>0.33400000000000002</v>
      </c>
      <c r="AW1191" s="66">
        <v>13.8</v>
      </c>
      <c r="AX1191" s="66">
        <v>0.33600000000000002</v>
      </c>
      <c r="AY1191" s="41" t="e">
        <f>IF(OR(ISBLANK(#REF!), ISBLANK(#REF!)), "Incomplete", (60.7*#REF!)+(45.3*#REF!)-2055)</f>
        <v>#REF!</v>
      </c>
      <c r="AZ1191" s="66"/>
      <c r="BA1191" s="20" t="e">
        <f>IF(OR(ISBLANK(#REF!), ISBLANK(#REF!)), "Incomplete", (60.7*#REF!)+(45.3*#REF!)-2055)</f>
        <v>#REF!</v>
      </c>
      <c r="BB1191" s="66"/>
      <c r="BC1191" s="20" t="e">
        <f>IF(OR(ISBLANK(#REF!), ISBLANK(#REF!)), "Incomplete", (60.7*#REF!)+(45.3*#REF!)-2055)</f>
        <v>#REF!</v>
      </c>
      <c r="BD1191" s="66"/>
      <c r="BE1191" s="20" t="e">
        <f>IF(OR(ISBLANK(#REF!), ISBLANK(#REF!)), "Incomplete", (60.7*#REF!)+(45.3*#REF!)-2055)</f>
        <v>#REF!</v>
      </c>
      <c r="BF1191" s="66"/>
      <c r="BG1191" s="66"/>
      <c r="BH1191" s="66"/>
      <c r="BI1191" s="20" t="str">
        <f>IF(OR(ISBLANK(BG1191), ISBLANK(BH1191)),"Incomplete",(SUM(BH1191-BG1191)))</f>
        <v>Incomplete</v>
      </c>
      <c r="BJ1191" s="66"/>
      <c r="BK1191" s="66"/>
      <c r="BL1191" s="66"/>
      <c r="BM1191" s="66"/>
      <c r="BN1191" s="66"/>
      <c r="BO1191" s="66"/>
      <c r="BP1191" s="66"/>
      <c r="BQ1191" s="66"/>
      <c r="BR1191" s="66"/>
      <c r="BS1191" s="66"/>
      <c r="BT1191" s="66"/>
      <c r="BU1191" s="66"/>
      <c r="BV1191" s="66"/>
      <c r="BW1191" s="91" t="str">
        <f>IFERROR(SUM(BQ1191+BR1191+BS1191)/(3*(#REF!-S1191))*100, "Incomplete")</f>
        <v>Incomplete</v>
      </c>
      <c r="BX1191" s="91" t="str">
        <f>_xlfn.XLOOKUP(BW1191,'Normative data'!$V$3:$V$6,'Normative data'!$W$3:$W$6,"Not Found",-1)</f>
        <v>Very low risk</v>
      </c>
      <c r="BY1191" s="91" t="str">
        <f>IFERROR(SUM(BT1191+BU1191+BV1191)/(3*(#REF!-S1191))*100, "Incomplete")</f>
        <v>Incomplete</v>
      </c>
      <c r="BZ1191" s="91" t="str">
        <f>_xlfn.XLOOKUP(BY1191,'Normative data'!$V$3:$V$6,'Normative data'!$W$3:$W$6,"Not Found",-1)</f>
        <v>Very low risk</v>
      </c>
      <c r="CA1191" s="66"/>
      <c r="CB1191" s="66"/>
      <c r="CC1191" s="66"/>
      <c r="CD1191" s="66"/>
      <c r="CE1191" s="66"/>
      <c r="CF1191" s="66"/>
      <c r="CG1191" s="66">
        <v>17.440000000000001</v>
      </c>
      <c r="CH1191" s="20" t="e">
        <f>_xlfn.XLOOKUP(#REF!, 'Normative data'!$S$9:$S$15,'Normative data'!$T$9:$T$15, "Not Found", -1)</f>
        <v>#REF!</v>
      </c>
      <c r="CI1191" s="66">
        <v>17.559999999999999</v>
      </c>
      <c r="CJ1191" s="20" t="e">
        <f>_xlfn.XLOOKUP(#REF!, 'Normative data'!$S$9:$S$15, 'Normative data'!$T$9:$T$15, "Not Found", -1)</f>
        <v>#REF!</v>
      </c>
      <c r="CK1191" s="20" t="s">
        <v>344</v>
      </c>
      <c r="CL1191" s="20" t="s">
        <v>133</v>
      </c>
      <c r="CM1191" s="21"/>
      <c r="CN1191" s="20" t="s">
        <v>521</v>
      </c>
      <c r="CO1191" s="20" t="s">
        <v>1843</v>
      </c>
      <c r="CP1191" s="110"/>
      <c r="CQ1191" s="68"/>
      <c r="CR1191" s="20" t="str" cm="1">
        <f t="array" ref="CR1191">IF(OR(ISBLANK(E1191),ISBLANK(CQ1191)),"Incomplete",_xlfn.XLOOKUP(CQ1191,_xlfn.XLOOKUP(E1191,'Normative data'!$Y$3:$Y$6,'Normative data'!$Z$3:$AG$6,,-1),'Normative data'!$Z$2:$AG$2,"Not Found",-1))</f>
        <v>Incomplete</v>
      </c>
      <c r="CS1191" s="68"/>
      <c r="CT1191" s="66"/>
      <c r="CU1191" s="20" t="str" cm="1">
        <f t="array" ref="CU1191">_xlfn.XLOOKUP(CS1191&amp;CT1191,(VLOOKUP!$A$3:$A$250)&amp;(VLOOKUP!$B$3:$B$250),VLOOKUP!$C$3:$C$250,"Incomplete",-1)</f>
        <v>Incomplete</v>
      </c>
      <c r="CV1191" s="20" t="str" cm="1">
        <f t="array" ref="CV1191">_xlfn.XLOOKUP(CU1191, _xlfn.XLOOKUP(E1191, 'Normative data'!$Y$11:$Y$14, 'Normative data'!$Z$11:$AG$14, ,-1), 'Normative data'!$Z$10:$AG$10, "Not Found", -1)</f>
        <v>Excellent</v>
      </c>
      <c r="CW1191" s="20" t="str" cm="1">
        <f t="array" ref="CW1191">IF(OR(ISBLANK(CS1191),ISBLANK(CT1191)),"Incomplete",_xlfn.XLOOKUP(CS1191&amp;CT1191,VLOOKUP!$A$4:$A$250&amp;VLOOKUP!$B$4:$B$250,VLOOKUP!$D$4:$D$250,"0"))</f>
        <v>Incomplete</v>
      </c>
    </row>
    <row r="1192" spans="1:101">
      <c r="A1192" s="64" t="s">
        <v>1259</v>
      </c>
      <c r="B1192" s="64" t="s">
        <v>1844</v>
      </c>
      <c r="C1192" s="64" t="s">
        <v>86</v>
      </c>
      <c r="D1192" s="97">
        <v>39675</v>
      </c>
      <c r="E1192" s="64"/>
      <c r="F1192" s="64"/>
      <c r="G1192" s="64">
        <v>2026</v>
      </c>
      <c r="H1192" s="66" t="s">
        <v>114</v>
      </c>
      <c r="I1192" s="64">
        <v>1</v>
      </c>
      <c r="J1192" s="64"/>
      <c r="K1192" s="64"/>
      <c r="L1192" s="64"/>
      <c r="M1192" s="64"/>
      <c r="N1192" s="64"/>
      <c r="O1192" s="64"/>
      <c r="P1192" s="64"/>
      <c r="Q1192" s="64"/>
      <c r="R1192" s="64"/>
      <c r="S1192" s="66"/>
      <c r="T1192" s="66"/>
      <c r="U1192" s="66"/>
      <c r="V1192" s="61"/>
      <c r="W1192" s="61"/>
      <c r="X1192" s="61"/>
      <c r="Y1192" s="61"/>
      <c r="Z1192" s="61"/>
      <c r="AA1192" s="61"/>
      <c r="AB1192" s="61"/>
      <c r="AC1192" s="61"/>
      <c r="AD1192" s="61"/>
      <c r="AE1192" s="61"/>
      <c r="AF1192" s="61"/>
      <c r="AG1192" s="61"/>
      <c r="AH1192" s="61"/>
      <c r="AI1192" s="61"/>
      <c r="AJ1192" s="61"/>
      <c r="AK1192" s="61"/>
      <c r="AL1192" s="61"/>
      <c r="AM1192" s="61"/>
      <c r="AN1192" s="61"/>
      <c r="AO1192" s="61"/>
      <c r="AP1192" s="61"/>
      <c r="AQ1192" s="104" t="s">
        <v>1369</v>
      </c>
      <c r="AR1192" s="104" t="s">
        <v>1370</v>
      </c>
      <c r="AS1192" s="104" t="s">
        <v>1845</v>
      </c>
      <c r="AT1192" s="104" t="s">
        <v>1846</v>
      </c>
      <c r="AU1192" s="104" t="s">
        <v>1808</v>
      </c>
      <c r="AV1192" s="104" t="s">
        <v>1847</v>
      </c>
      <c r="AW1192" s="104" t="s">
        <v>1848</v>
      </c>
      <c r="AX1192" s="104" t="s">
        <v>1849</v>
      </c>
      <c r="AY1192" s="41" t="str">
        <f>IF(OR(ISBLANK(U1192), ISBLANK(AQ1192)), "Incomplete", (60.7*AQ1192)+(45.3*U1192)-2055)</f>
        <v>Incomplete</v>
      </c>
      <c r="AZ1192" s="66"/>
      <c r="BA1192" s="20" t="str">
        <f>IF(OR(ISBLANK(U1192), ISBLANK(AS1192)), "Incomplete", (60.7*AS1192)+(45.3*U1192)-2055)</f>
        <v>Incomplete</v>
      </c>
      <c r="BB1192" s="66"/>
      <c r="BC1192" s="20" t="str">
        <f>IF(OR(ISBLANK(U1192), ISBLANK(AU1192)), "Incomplete", (60.7*AU1192)+(45.3*U1192)-2055)</f>
        <v>Incomplete</v>
      </c>
      <c r="BD1192" s="66"/>
      <c r="BE1192" s="20" t="str">
        <f>IF(OR(ISBLANK(U1192), ISBLANK(AW1192)), "Incomplete", (60.7*AW1192)+(45.3*U1192)-2055)</f>
        <v>Incomplete</v>
      </c>
      <c r="BF1192" s="66"/>
      <c r="BG1192" s="104"/>
      <c r="BH1192" s="104" t="s">
        <v>1850</v>
      </c>
      <c r="BI1192" s="20" t="str">
        <f>IF(OR(ISBLANK(BG1192), ISBLANK(BH1192)),"Incomplete",(SUM(BH1192-BG1192)))</f>
        <v>Incomplete</v>
      </c>
      <c r="BJ1192" s="66"/>
      <c r="BK1192" s="66"/>
      <c r="BL1192" s="66"/>
      <c r="BM1192" s="66"/>
      <c r="BN1192" s="66"/>
      <c r="BO1192" s="66"/>
      <c r="BP1192" s="66"/>
      <c r="BQ1192" s="66"/>
      <c r="BR1192" s="66"/>
      <c r="BS1192" s="66"/>
      <c r="BT1192" s="66"/>
      <c r="BU1192" s="66"/>
      <c r="BV1192" s="66"/>
      <c r="BW1192" s="91" t="str">
        <f>IFERROR(SUM(BQ1192+BR1192+BS1192)/(3*(T1192-S1192))*100, "Incomplete")</f>
        <v>Incomplete</v>
      </c>
      <c r="BX1192" s="91" t="str">
        <f>_xlfn.XLOOKUP(BW1192,'Normative data'!$V$3:$V$6,'Normative data'!$W$3:$W$6,"Not Found",-1)</f>
        <v>Very low risk</v>
      </c>
      <c r="BY1192" s="91" t="str">
        <f>IFERROR(SUM(BT1192+BU1192+BV1192)/(3*(T1192-S1192))*100, "Incomplete")</f>
        <v>Incomplete</v>
      </c>
      <c r="BZ1192" s="91" t="str">
        <f>_xlfn.XLOOKUP(BY1192,'Normative data'!$V$3:$V$6,'Normative data'!$W$3:$W$6,"Not Found",-1)</f>
        <v>Very low risk</v>
      </c>
      <c r="CA1192" s="66"/>
      <c r="CB1192" s="66"/>
      <c r="CC1192" s="30">
        <v>55</v>
      </c>
      <c r="CD1192" s="104"/>
      <c r="CE1192" s="104">
        <v>21</v>
      </c>
      <c r="CF1192" s="104"/>
      <c r="CG1192" s="104" t="s">
        <v>1851</v>
      </c>
      <c r="CH1192" s="20" t="str">
        <f>_xlfn.XLOOKUP(CG1192, 'Normative data'!$S$9:$S$15,'Normative data'!$T$9:$T$15, "Not Found", -1)</f>
        <v>Poor</v>
      </c>
      <c r="CI1192" s="104" t="s">
        <v>1852</v>
      </c>
      <c r="CJ1192" s="20" t="str">
        <f>_xlfn.XLOOKUP(CI1192, 'Normative data'!$S$9:$S$15, 'Normative data'!$T$9:$T$15, "Not Found", -1)</f>
        <v>Poor</v>
      </c>
      <c r="CK1192" s="104" t="s">
        <v>133</v>
      </c>
      <c r="CL1192" s="104" t="s">
        <v>134</v>
      </c>
      <c r="CM1192" s="104"/>
      <c r="CN1192" s="104" t="s">
        <v>1362</v>
      </c>
      <c r="CO1192" s="104" t="s">
        <v>641</v>
      </c>
      <c r="CP1192" s="112"/>
      <c r="CQ1192" s="112" t="s">
        <v>1375</v>
      </c>
      <c r="CR1192" s="20" t="str" cm="1">
        <f t="array" ref="CR1192">IF(OR(ISBLANK(E1192),ISBLANK(CQ1192)),"Incomplete",_xlfn.XLOOKUP(CQ1192,_xlfn.XLOOKUP(E1192,'Normative data'!$Y$3:$Y$6,'Normative data'!$Z$3:$AG$6,,-1),'Normative data'!$Z$2:$AG$2,"Not Found",-1))</f>
        <v>Incomplete</v>
      </c>
      <c r="CS1192" s="68">
        <v>15</v>
      </c>
      <c r="CT1192" s="66">
        <v>1</v>
      </c>
      <c r="CU1192" s="20" cm="1">
        <f t="array" ref="CU1192">_xlfn.XLOOKUP(CS1192&amp;CT1192,(VLOOKUP!$A$3:$A$250)&amp;(VLOOKUP!$B$3:$B$250),VLOOKUP!$C$3:$C$250,"Incomplete",-1)</f>
        <v>2900</v>
      </c>
      <c r="CV1192" s="20" t="str" cm="1">
        <f t="array" ref="CV1192">_xlfn.XLOOKUP(CU1192, _xlfn.XLOOKUP(E1192, 'Normative data'!$Y$11:$Y$14, 'Normative data'!$Z$11:$AG$14, ,-1), 'Normative data'!$Z$10:$AG$10, "Not Found", -1)</f>
        <v>Excellent</v>
      </c>
      <c r="CW1192" s="20" cm="1">
        <f t="array" ref="CW1192">IF(OR(ISBLANK(CS1192),ISBLANK(CT1192)),"Incomplete",_xlfn.XLOOKUP(CS1192&amp;CT1192,VLOOKUP!$A$4:$A$250&amp;VLOOKUP!$B$4:$B$250,VLOOKUP!$D$4:$D$250,"0"))</f>
        <v>64</v>
      </c>
    </row>
    <row r="1193" spans="1:101">
      <c r="A1193" s="93" t="s">
        <v>1245</v>
      </c>
      <c r="B1193" s="93" t="s">
        <v>1244</v>
      </c>
      <c r="C1193" s="64" t="s">
        <v>86</v>
      </c>
      <c r="D1193" s="96">
        <v>40317</v>
      </c>
      <c r="E1193" s="64"/>
      <c r="F1193" s="64">
        <v>9</v>
      </c>
      <c r="G1193" s="64">
        <v>2025</v>
      </c>
      <c r="H1193" s="66"/>
      <c r="I1193" s="64"/>
      <c r="J1193" s="64"/>
      <c r="K1193" s="64"/>
      <c r="L1193" s="64"/>
      <c r="M1193" s="64"/>
      <c r="N1193" s="64"/>
      <c r="O1193" s="64"/>
      <c r="P1193" s="64"/>
      <c r="Q1193" s="64"/>
      <c r="R1193" s="64"/>
      <c r="S1193" s="66"/>
      <c r="T1193" s="66"/>
      <c r="U1193" s="66"/>
      <c r="V1193" s="66"/>
      <c r="W1193" s="66"/>
      <c r="X1193" s="66"/>
      <c r="Y1193" s="66"/>
      <c r="Z1193" s="66"/>
      <c r="AA1193" s="66"/>
      <c r="AB1193" s="66"/>
      <c r="AC1193" s="66"/>
      <c r="AD1193" s="66"/>
      <c r="AE1193" s="66"/>
      <c r="AF1193" s="66"/>
      <c r="AG1193" s="66"/>
      <c r="AH1193" s="66"/>
      <c r="AI1193" s="66"/>
      <c r="AJ1193" s="66"/>
      <c r="AK1193" s="66"/>
      <c r="AL1193" s="66"/>
      <c r="AM1193" s="66"/>
      <c r="AN1193" s="66"/>
      <c r="AO1193" s="66"/>
      <c r="AP1193" s="66"/>
      <c r="AQ1193" s="66"/>
      <c r="AR1193" s="66"/>
      <c r="AS1193" s="66"/>
      <c r="AT1193" s="66"/>
      <c r="AU1193" s="66"/>
      <c r="AV1193" s="66"/>
      <c r="AW1193" s="66"/>
      <c r="AX1193" s="66"/>
      <c r="AY1193" s="41" t="str">
        <f>IF(OR(ISBLANK(U1193), ISBLANK(AQ1193)), "Incomplete", (60.7*AQ1193)+(45.3*U1193)-2055)</f>
        <v>Incomplete</v>
      </c>
      <c r="AZ1193" s="66"/>
      <c r="BA1193" s="20" t="str">
        <f>IF(OR(ISBLANK(U1193), ISBLANK(AS1193)), "Incomplete", (60.7*AS1193)+(45.3*U1193)-2055)</f>
        <v>Incomplete</v>
      </c>
      <c r="BB1193" s="66"/>
      <c r="BC1193" s="20" t="str">
        <f>IF(OR(ISBLANK(U1193), ISBLANK(AU1193)), "Incomplete", (60.7*AU1193)+(45.3*U1193)-2055)</f>
        <v>Incomplete</v>
      </c>
      <c r="BD1193" s="66"/>
      <c r="BE1193" s="20" t="str">
        <f>IF(OR(ISBLANK(U1193), ISBLANK(AW1193)), "Incomplete", (60.7*AW1193)+(45.3*U1193)-2055)</f>
        <v>Incomplete</v>
      </c>
      <c r="BF1193" s="66"/>
      <c r="BG1193" s="66">
        <v>16.5</v>
      </c>
      <c r="BH1193" s="66">
        <v>48</v>
      </c>
      <c r="BI1193" s="20" t="e">
        <f>IF(OR(ISBLANK(#REF!), ISBLANK(#REF!)),"Incomplete",(SUM(#REF!-#REF!)))</f>
        <v>#REF!</v>
      </c>
      <c r="BJ1193" s="66"/>
      <c r="BK1193" s="66"/>
      <c r="BL1193" s="66"/>
      <c r="BM1193" s="66"/>
      <c r="BN1193" s="66"/>
      <c r="BO1193" s="66"/>
      <c r="BP1193" s="66"/>
      <c r="BQ1193" s="66"/>
      <c r="BR1193" s="66"/>
      <c r="BS1193" s="66"/>
      <c r="BT1193" s="66"/>
      <c r="BU1193" s="66"/>
      <c r="BV1193" s="66"/>
      <c r="BW1193" s="91" t="str">
        <f>IFERROR(SUM(BQ1193+BR1193+BS1193)/(3*(T1193-S1193))*100, "Incomplete")</f>
        <v>Incomplete</v>
      </c>
      <c r="BX1193" s="91" t="str">
        <f>_xlfn.XLOOKUP(BW1193,'Normative data'!$V$3:$V$6,'Normative data'!$W$3:$W$6,"Not Found",-1)</f>
        <v>Very low risk</v>
      </c>
      <c r="BY1193" s="91" t="str">
        <f>IFERROR(SUM(BT1193+BU1193+BV1193)/(3*(T1193-S1193))*100, "Incomplete")</f>
        <v>Incomplete</v>
      </c>
      <c r="BZ1193" s="91" t="str">
        <f>_xlfn.XLOOKUP(BY1193,'Normative data'!$V$3:$V$6,'Normative data'!$W$3:$W$6,"Not Found",-1)</f>
        <v>Very low risk</v>
      </c>
      <c r="CA1193" s="66"/>
      <c r="CB1193" s="66"/>
      <c r="CC1193" s="20"/>
      <c r="CD1193" s="66"/>
      <c r="CE1193" s="66">
        <v>35</v>
      </c>
      <c r="CF1193" s="66"/>
      <c r="CG1193" s="66"/>
      <c r="CH1193" s="20" t="str">
        <f>_xlfn.XLOOKUP(CG1193, 'Normative data'!$S$9:$S$15,'Normative data'!$T$9:$T$15, "Not Found", -1)</f>
        <v>not completed</v>
      </c>
      <c r="CI1193" s="66"/>
      <c r="CJ1193" s="20" t="str">
        <f>_xlfn.XLOOKUP(CI1193, 'Normative data'!$S$9:$S$15, 'Normative data'!$T$9:$T$15, "Not Found", -1)</f>
        <v>not completed</v>
      </c>
      <c r="CK1193" s="105">
        <v>2.12</v>
      </c>
      <c r="CL1193" s="105">
        <v>4.72</v>
      </c>
      <c r="CM1193" s="105"/>
      <c r="CN1193" s="105">
        <v>6.54</v>
      </c>
      <c r="CO1193" s="105">
        <v>7.65</v>
      </c>
      <c r="CP1193" s="109"/>
      <c r="CQ1193" s="68"/>
      <c r="CR1193" s="20" t="str" cm="1">
        <f t="array" ref="CR1193">IF(OR(ISBLANK(E1193),ISBLANK(CQ1193)),"Incomplete",_xlfn.XLOOKUP(CQ1193,_xlfn.XLOOKUP(E1193,'Normative data'!$Y$3:$Y$6,'Normative data'!$Z$3:$AG$6,,-1),'Normative data'!$Z$2:$AG$2,"Not Found",-1))</f>
        <v>Incomplete</v>
      </c>
      <c r="CS1193" s="68"/>
      <c r="CT1193" s="66"/>
      <c r="CU1193" s="20" t="str" cm="1">
        <f t="array" ref="CU1193">_xlfn.XLOOKUP(CS1193&amp;CT1193,(VLOOKUP!$A$3:$A$250)&amp;(VLOOKUP!$B$3:$B$250),VLOOKUP!$C$3:$C$250,"Incomplete",-1)</f>
        <v>Incomplete</v>
      </c>
      <c r="CV1193" s="20" t="str" cm="1">
        <f t="array" ref="CV1193">_xlfn.XLOOKUP(CU1193, _xlfn.XLOOKUP(E1193, 'Normative data'!$Y$11:$Y$14, 'Normative data'!$Z$11:$AG$14, ,-1), 'Normative data'!$Z$10:$AG$10, "Not Found", -1)</f>
        <v>Excellent</v>
      </c>
      <c r="CW1193" s="20" t="str" cm="1">
        <f t="array" ref="CW1193">IF(OR(ISBLANK(CS1193),ISBLANK(CT1193)),"Incomplete",_xlfn.XLOOKUP(CS1193&amp;CT1193,VLOOKUP!$A$4:$A$250&amp;VLOOKUP!$B$4:$B$250,VLOOKUP!$D$4:$D$250,"0"))</f>
        <v>Incomplete</v>
      </c>
    </row>
    <row r="1194" spans="1:101">
      <c r="A1194" s="64" t="s">
        <v>1245</v>
      </c>
      <c r="B1194" s="64" t="s">
        <v>1244</v>
      </c>
      <c r="C1194" s="64" t="s">
        <v>86</v>
      </c>
      <c r="D1194" s="96">
        <v>40317</v>
      </c>
      <c r="E1194" s="64"/>
      <c r="F1194" s="64">
        <v>9</v>
      </c>
      <c r="G1194" s="64">
        <v>2025</v>
      </c>
      <c r="H1194" s="66"/>
      <c r="I1194" s="64"/>
      <c r="J1194" s="64"/>
      <c r="K1194" s="64"/>
      <c r="L1194" s="64"/>
      <c r="M1194" s="64"/>
      <c r="N1194" s="64"/>
      <c r="O1194" s="64"/>
      <c r="P1194" s="64"/>
      <c r="Q1194" s="64"/>
      <c r="R1194" s="64"/>
      <c r="S1194" s="66"/>
      <c r="T1194" s="66"/>
      <c r="U1194" s="66"/>
      <c r="V1194" s="66"/>
      <c r="W1194" s="66"/>
      <c r="X1194" s="66"/>
      <c r="Y1194" s="66"/>
      <c r="Z1194" s="66"/>
      <c r="AA1194" s="66"/>
      <c r="AB1194" s="66"/>
      <c r="AC1194" s="66"/>
      <c r="AD1194" s="66"/>
      <c r="AE1194" s="66"/>
      <c r="AF1194" s="66"/>
      <c r="AG1194" s="66"/>
      <c r="AH1194" s="66"/>
      <c r="AI1194" s="66"/>
      <c r="AJ1194" s="66"/>
      <c r="AK1194" s="66"/>
      <c r="AL1194" s="66"/>
      <c r="AM1194" s="66"/>
      <c r="AN1194" s="66"/>
      <c r="AO1194" s="66"/>
      <c r="AP1194" s="66"/>
      <c r="AQ1194" s="66"/>
      <c r="AR1194" s="66"/>
      <c r="AS1194" s="66"/>
      <c r="AT1194" s="66"/>
      <c r="AU1194" s="66"/>
      <c r="AV1194" s="66"/>
      <c r="AW1194" s="66"/>
      <c r="AX1194" s="66"/>
      <c r="AY1194" s="41" t="str">
        <f>IF(OR(ISBLANK(U1194), ISBLANK(AQ1194)), "Incomplete", (60.7*AQ1194)+(45.3*U1194)-2055)</f>
        <v>Incomplete</v>
      </c>
      <c r="AZ1194" s="66"/>
      <c r="BA1194" s="20" t="str">
        <f>IF(OR(ISBLANK(U1194), ISBLANK(AS1194)), "Incomplete", (60.7*AS1194)+(45.3*U1194)-2055)</f>
        <v>Incomplete</v>
      </c>
      <c r="BB1194" s="66"/>
      <c r="BC1194" s="20" t="str">
        <f>IF(OR(ISBLANK(U1194), ISBLANK(AU1194)), "Incomplete", (60.7*AU1194)+(45.3*U1194)-2055)</f>
        <v>Incomplete</v>
      </c>
      <c r="BD1194" s="66"/>
      <c r="BE1194" s="20" t="str">
        <f>IF(OR(ISBLANK(U1194), ISBLANK(AW1194)), "Incomplete", (60.7*AW1194)+(45.3*U1194)-2055)</f>
        <v>Incomplete</v>
      </c>
      <c r="BF1194" s="66"/>
      <c r="BG1194" s="66"/>
      <c r="BH1194" s="20"/>
      <c r="BI1194" s="20" t="str">
        <f t="shared" ref="BI1194:BI1223" si="379">IF(OR(ISBLANK(BG1194), ISBLANK(BH1194)),"Incomplete",(SUM(BH1194-BG1194)))</f>
        <v>Incomplete</v>
      </c>
      <c r="BJ1194" s="66"/>
      <c r="BK1194" s="66"/>
      <c r="BL1194" s="66"/>
      <c r="BM1194" s="66"/>
      <c r="BN1194" s="66"/>
      <c r="BO1194" s="66"/>
      <c r="BP1194" s="66"/>
      <c r="BQ1194" s="66"/>
      <c r="BR1194" s="66"/>
      <c r="BS1194" s="66"/>
      <c r="BT1194" s="66"/>
      <c r="BU1194" s="66"/>
      <c r="BV1194" s="66"/>
      <c r="BW1194" s="91" t="str">
        <f>IFERROR(SUM(BQ1194+BR1194+BS1194)/(3*(T1194-S1194))*100, "Incomplete")</f>
        <v>Incomplete</v>
      </c>
      <c r="BX1194" s="91" t="str">
        <f>_xlfn.XLOOKUP(BW1194,'Normative data'!$V$3:$V$6,'Normative data'!$W$3:$W$6,"Not Found",-1)</f>
        <v>Very low risk</v>
      </c>
      <c r="BY1194" s="91" t="str">
        <f>IFERROR(SUM(BT1194+BU1194+BV1194)/(3*(T1194-S1194))*100, "Incomplete")</f>
        <v>Incomplete</v>
      </c>
      <c r="BZ1194" s="91" t="str">
        <f>_xlfn.XLOOKUP(BY1194,'Normative data'!$V$3:$V$6,'Normative data'!$W$3:$W$6,"Not Found",-1)</f>
        <v>Very low risk</v>
      </c>
      <c r="CA1194" s="66"/>
      <c r="CB1194" s="66"/>
      <c r="CC1194" s="66"/>
      <c r="CD1194" s="66"/>
      <c r="CE1194" s="66"/>
      <c r="CF1194" s="66"/>
      <c r="CG1194" s="66"/>
      <c r="CH1194" s="20" t="str">
        <f>_xlfn.XLOOKUP(CG1194, 'Normative data'!$S$9:$S$15,'Normative data'!$T$9:$T$15, "Not Found", -1)</f>
        <v>not completed</v>
      </c>
      <c r="CI1194" s="66"/>
      <c r="CJ1194" s="20" t="str">
        <f>_xlfn.XLOOKUP(CI1194, 'Normative data'!$S$9:$S$15, 'Normative data'!$T$9:$T$15, "Not Found", -1)</f>
        <v>not completed</v>
      </c>
      <c r="CK1194" s="20" t="s">
        <v>817</v>
      </c>
      <c r="CL1194" s="20" t="s">
        <v>818</v>
      </c>
      <c r="CN1194" s="20" t="s">
        <v>479</v>
      </c>
      <c r="CO1194" s="20" t="s">
        <v>478</v>
      </c>
      <c r="CP1194" s="68"/>
      <c r="CQ1194" s="68"/>
      <c r="CR1194" s="20" t="str" cm="1">
        <f t="array" ref="CR1194">IF(OR(ISBLANK(E1194),ISBLANK(CQ1194)),"Incomplete",_xlfn.XLOOKUP(CQ1194,_xlfn.XLOOKUP(E1194,'Normative data'!$Y$3:$Y$6,'Normative data'!$Z$3:$AG$6,,-1),'Normative data'!$Z$2:$AG$2,"Not Found",-1))</f>
        <v>Incomplete</v>
      </c>
      <c r="CS1194" s="68"/>
      <c r="CT1194" s="66"/>
      <c r="CU1194" s="20" t="str" cm="1">
        <f t="array" ref="CU1194">_xlfn.XLOOKUP(CS1194&amp;CT1194,(VLOOKUP!$A$3:$A$250)&amp;(VLOOKUP!$B$3:$B$250),VLOOKUP!$C$3:$C$250,"Incomplete",-1)</f>
        <v>Incomplete</v>
      </c>
      <c r="CV1194" s="20" t="str" cm="1">
        <f t="array" ref="CV1194">_xlfn.XLOOKUP(CU1194, _xlfn.XLOOKUP(E1194, 'Normative data'!$Y$11:$Y$14, 'Normative data'!$Z$11:$AG$14, ,-1), 'Normative data'!$Z$10:$AG$10, "Not Found", -1)</f>
        <v>Excellent</v>
      </c>
      <c r="CW1194" s="20" t="str" cm="1">
        <f t="array" ref="CW1194">IF(OR(ISBLANK(CS1194),ISBLANK(CT1194)),"Incomplete",_xlfn.XLOOKUP(CS1194&amp;CT1194,VLOOKUP!$A$4:$A$250&amp;VLOOKUP!$B$4:$B$250,VLOOKUP!$D$4:$D$250,"0"))</f>
        <v>Incomplete</v>
      </c>
    </row>
    <row r="1195" spans="1:101">
      <c r="A1195" s="64" t="s">
        <v>529</v>
      </c>
      <c r="B1195" s="64" t="s">
        <v>528</v>
      </c>
      <c r="C1195" s="64" t="s">
        <v>86</v>
      </c>
      <c r="D1195" s="65">
        <v>40149</v>
      </c>
      <c r="E1195" s="64">
        <v>16.5</v>
      </c>
      <c r="F1195" s="66" t="s">
        <v>192</v>
      </c>
      <c r="G1195" s="64">
        <v>2026</v>
      </c>
      <c r="H1195" s="66"/>
      <c r="I1195" s="66">
        <v>2</v>
      </c>
      <c r="J1195" s="66" t="s">
        <v>88</v>
      </c>
      <c r="K1195" s="66" t="s">
        <v>95</v>
      </c>
      <c r="L1195" s="66"/>
      <c r="M1195" s="64"/>
      <c r="N1195" s="64"/>
      <c r="O1195" s="64"/>
      <c r="P1195" s="64"/>
      <c r="Q1195" s="64"/>
      <c r="R1195" s="64"/>
      <c r="S1195" s="66">
        <v>83.8</v>
      </c>
      <c r="T1195" s="66">
        <v>167.6</v>
      </c>
      <c r="U1195" s="64">
        <v>56.8</v>
      </c>
      <c r="V1195" s="64">
        <v>33.200000000000003</v>
      </c>
      <c r="W1195" s="64">
        <v>11.3</v>
      </c>
      <c r="X1195" s="64">
        <v>45.5</v>
      </c>
      <c r="Y1195" s="64">
        <v>24.9</v>
      </c>
      <c r="Z1195" s="64">
        <v>20.9</v>
      </c>
      <c r="AA1195" s="64">
        <v>20</v>
      </c>
      <c r="AB1195" s="64">
        <v>7.19</v>
      </c>
      <c r="AC1195" s="64">
        <v>109.5</v>
      </c>
      <c r="AD1195" s="64">
        <v>7</v>
      </c>
      <c r="AE1195" s="64">
        <v>106.6</v>
      </c>
      <c r="AF1195" s="64">
        <v>1.9</v>
      </c>
      <c r="AG1195" s="64">
        <v>75</v>
      </c>
      <c r="AH1195" s="64">
        <v>1.9</v>
      </c>
      <c r="AI1195" s="64">
        <v>73.8</v>
      </c>
      <c r="AJ1195" s="64">
        <v>293.2</v>
      </c>
      <c r="AK1195" s="64">
        <v>309.89999999999998</v>
      </c>
      <c r="AL1195" s="64">
        <v>261</v>
      </c>
      <c r="AM1195" s="64">
        <v>277.8</v>
      </c>
      <c r="AN1195" s="64">
        <v>100</v>
      </c>
      <c r="AO1195" s="64"/>
      <c r="AP1195" s="64"/>
      <c r="AQ1195" s="64">
        <v>28.7</v>
      </c>
      <c r="AR1195" s="64">
        <v>0.48399999999999999</v>
      </c>
      <c r="AS1195" s="64">
        <v>28.8</v>
      </c>
      <c r="AT1195" s="64">
        <v>0.48499999999999999</v>
      </c>
      <c r="AU1195" s="64">
        <v>17.8</v>
      </c>
      <c r="AV1195" s="64">
        <v>0.38100000000000001</v>
      </c>
      <c r="AW1195" s="64">
        <v>16</v>
      </c>
      <c r="AX1195" s="64">
        <v>0.36099999999999999</v>
      </c>
      <c r="AY1195" s="41">
        <f>IF(OR(ISBLANK(U1195), ISBLANK(AQ1195)), "Incomplete", (60.7*AQ1195)+(45.3*U1195)-2055)</f>
        <v>2260.1299999999992</v>
      </c>
      <c r="AZ1195" s="64"/>
      <c r="BA1195" s="20">
        <f>IF(OR(ISBLANK(U1195), ISBLANK(AS1195)), "Incomplete", (60.7*AS1195)+(45.3*U1195)-2055)</f>
        <v>2266.1999999999998</v>
      </c>
      <c r="BB1195" s="64"/>
      <c r="BC1195" s="20">
        <f>IF(OR(ISBLANK(U1195), ISBLANK(AU1195)), "Incomplete", (60.7*AU1195)+(45.3*U1195)-2055)</f>
        <v>1598.4999999999995</v>
      </c>
      <c r="BD1195" s="64"/>
      <c r="BE1195" s="20">
        <f>IF(OR(ISBLANK(U1195), ISBLANK(AW1195)), "Incomplete", (60.7*AW1195)+(45.3*U1195)-2055)</f>
        <v>1489.2399999999998</v>
      </c>
      <c r="BF1195" s="64"/>
      <c r="BG1195" s="64"/>
      <c r="BH1195" s="66"/>
      <c r="BI1195" s="20" t="str">
        <f t="shared" si="379"/>
        <v>Incomplete</v>
      </c>
      <c r="BJ1195" s="66"/>
      <c r="BK1195" s="64">
        <v>6.5</v>
      </c>
      <c r="BL1195" s="66"/>
      <c r="BM1195" s="64">
        <v>8.5</v>
      </c>
      <c r="BN1195" s="66"/>
      <c r="BO1195" s="64">
        <v>46.1</v>
      </c>
      <c r="BP1195" s="64">
        <v>46.2</v>
      </c>
      <c r="BQ1195" s="64">
        <v>78.5</v>
      </c>
      <c r="BR1195" s="64">
        <v>86</v>
      </c>
      <c r="BS1195" s="64">
        <v>73</v>
      </c>
      <c r="BT1195" s="64">
        <v>70</v>
      </c>
      <c r="BU1195" s="64">
        <v>86</v>
      </c>
      <c r="BV1195" s="64">
        <v>84</v>
      </c>
      <c r="BW1195" s="91">
        <f>IFERROR(SUM(BQ1195+BR1195+BS1195)/(3*(T1195-S1195))*100, "Incomplete")</f>
        <v>94.470962609387442</v>
      </c>
      <c r="BX1195" s="91" t="str">
        <f>_xlfn.XLOOKUP(BW1195,'Normative data'!$V$3:$V$6,'Normative data'!$W$3:$W$6,"Not Found",-1)</f>
        <v>High risk</v>
      </c>
      <c r="BY1195" s="91">
        <f>IFERROR(SUM(BT1195+BU1195+BV1195)/(3*(T1195-S1195))*100, "Incomplete")</f>
        <v>95.465393794749403</v>
      </c>
      <c r="BZ1195" s="91" t="str">
        <f>_xlfn.XLOOKUP(BY1195,'Normative data'!$V$3:$V$6,'Normative data'!$W$3:$W$6,"Not Found",-1)</f>
        <v>High risk</v>
      </c>
      <c r="CA1195" s="64">
        <v>31</v>
      </c>
      <c r="CB1195" s="66"/>
      <c r="CC1195" s="20"/>
      <c r="CD1195" s="66"/>
      <c r="CE1195" s="64">
        <v>20</v>
      </c>
      <c r="CF1195" s="66"/>
      <c r="CG1195" s="64">
        <v>18.64</v>
      </c>
      <c r="CH1195" s="20" t="str">
        <f>_xlfn.XLOOKUP(CG1195, 'Normative data'!$S$9:$S$15,'Normative data'!$T$9:$T$15, "Not Found", -1)</f>
        <v>Average</v>
      </c>
      <c r="CI1195" s="64">
        <v>17.8</v>
      </c>
      <c r="CJ1195" s="20" t="str">
        <f>_xlfn.XLOOKUP(CI1195, 'Normative data'!$S$9:$S$15, 'Normative data'!$T$9:$T$15, "Not Found", -1)</f>
        <v>Above Average</v>
      </c>
      <c r="CK1195" s="64">
        <v>2.21</v>
      </c>
      <c r="CL1195" s="64">
        <v>4.5199999999999996</v>
      </c>
      <c r="CM1195" s="66"/>
      <c r="CN1195" s="64">
        <v>6.54</v>
      </c>
      <c r="CO1195" s="64">
        <v>7.65</v>
      </c>
      <c r="CP1195" s="68"/>
      <c r="CQ1195" s="67">
        <v>6.3</v>
      </c>
      <c r="CR1195" s="20" t="str" cm="1">
        <f t="array" ref="CR1195">IF(OR(ISBLANK(E1195),ISBLANK(CQ1195)),"Incomplete",_xlfn.XLOOKUP(CQ1195,_xlfn.XLOOKUP(E1195,'Normative data'!$Y$3:$Y$6,'Normative data'!$Z$3:$AG$6,,-1),'Normative data'!$Z$2:$AG$2,"Not Found",-1))</f>
        <v>Fair</v>
      </c>
      <c r="CS1195" s="68">
        <v>6</v>
      </c>
      <c r="CT1195" s="66">
        <v>3</v>
      </c>
      <c r="CU1195" s="20" cm="1">
        <f t="array" ref="CU1195">_xlfn.XLOOKUP(CS1195&amp;CT1195,(VLOOKUP!$A$3:$A$250)&amp;(VLOOKUP!$B$3:$B$250),VLOOKUP!$C$3:$C$250,"Incomplete",-1)</f>
        <v>880</v>
      </c>
      <c r="CV1195" s="20" t="str" cm="1">
        <f t="array" ref="CV1195">_xlfn.XLOOKUP(CU1195, _xlfn.XLOOKUP(E1195, 'Normative data'!$Y$11:$Y$14, 'Normative data'!$Z$11:$AG$14, ,-1), 'Normative data'!$Z$10:$AG$10, "Not Found", -1)</f>
        <v xml:space="preserve">Fair </v>
      </c>
      <c r="CW1195" s="20" cm="1">
        <f t="array" ref="CW1195">IF(OR(ISBLANK(CS1195),ISBLANK(CT1195)),"Incomplete",_xlfn.XLOOKUP(CS1195&amp;CT1195,VLOOKUP!$A$4:$A$250&amp;VLOOKUP!$B$4:$B$250,VLOOKUP!$D$4:$D$250,"0"))</f>
        <v>34</v>
      </c>
    </row>
    <row r="1196" spans="1:101">
      <c r="A1196" s="64" t="s">
        <v>1264</v>
      </c>
      <c r="B1196" s="64" t="s">
        <v>1853</v>
      </c>
      <c r="C1196" s="64" t="s">
        <v>86</v>
      </c>
      <c r="D1196" s="65">
        <v>41057</v>
      </c>
      <c r="E1196" s="64">
        <v>13.9</v>
      </c>
      <c r="F1196" s="66" t="s">
        <v>107</v>
      </c>
      <c r="G1196" s="64">
        <v>2026</v>
      </c>
      <c r="H1196" s="66"/>
      <c r="I1196" s="66">
        <v>2</v>
      </c>
      <c r="J1196" s="66"/>
      <c r="K1196" s="66"/>
      <c r="L1196" s="66"/>
      <c r="M1196" s="64"/>
      <c r="N1196" s="64"/>
      <c r="O1196" s="64"/>
      <c r="P1196" s="64"/>
      <c r="Q1196" s="64"/>
      <c r="R1196" s="64"/>
      <c r="S1196" s="66">
        <v>83.6</v>
      </c>
      <c r="T1196" s="66">
        <v>163.69999999999999</v>
      </c>
      <c r="U1196" s="64">
        <v>77.400000000000006</v>
      </c>
      <c r="V1196" s="64">
        <v>37</v>
      </c>
      <c r="W1196" s="64">
        <v>26.7</v>
      </c>
      <c r="X1196" s="64">
        <v>50.7</v>
      </c>
      <c r="Y1196" s="64">
        <v>28.5</v>
      </c>
      <c r="Z1196" s="64">
        <v>28.9</v>
      </c>
      <c r="AA1196" s="64">
        <v>34.5</v>
      </c>
      <c r="AB1196" s="64">
        <v>7.95</v>
      </c>
      <c r="AC1196" s="64">
        <v>108.1</v>
      </c>
      <c r="AD1196" s="64">
        <v>7.74</v>
      </c>
      <c r="AE1196" s="64">
        <v>105.3</v>
      </c>
      <c r="AF1196" s="64">
        <v>4</v>
      </c>
      <c r="AG1196" s="64">
        <v>161.30000000000001</v>
      </c>
      <c r="AH1196" s="64">
        <v>3.9</v>
      </c>
      <c r="AI1196" s="64">
        <v>160</v>
      </c>
      <c r="AJ1196" s="64">
        <v>248</v>
      </c>
      <c r="AK1196" s="64">
        <v>260.60000000000002</v>
      </c>
      <c r="AL1196" s="64">
        <v>213.5</v>
      </c>
      <c r="AM1196" s="64">
        <v>223.4</v>
      </c>
      <c r="AN1196" s="64">
        <v>77</v>
      </c>
      <c r="AO1196" s="64">
        <v>0.91</v>
      </c>
      <c r="AP1196" s="64">
        <v>7.9</v>
      </c>
      <c r="AQ1196" s="64"/>
      <c r="AR1196" s="64"/>
      <c r="AS1196" s="64"/>
      <c r="AT1196" s="64"/>
      <c r="AU1196" s="64"/>
      <c r="AV1196" s="64"/>
      <c r="AW1196" s="64"/>
      <c r="AX1196" s="64"/>
      <c r="AY1196" s="41" t="str">
        <f>IF(OR(ISBLANK(U1196), ISBLANK(AQ1196)), "Incomplete", (60.7*AQ1196)+(45.3*U1196)-2055)</f>
        <v>Incomplete</v>
      </c>
      <c r="AZ1196" s="64"/>
      <c r="BA1196" s="20" t="str">
        <f>IF(OR(ISBLANK(U1196), ISBLANK(AS1196)), "Incomplete", (60.7*AS1196)+(45.3*U1196)-2055)</f>
        <v>Incomplete</v>
      </c>
      <c r="BB1196" s="64"/>
      <c r="BC1196" s="20" t="str">
        <f>IF(OR(ISBLANK(U1196), ISBLANK(AU1196)), "Incomplete", (60.7*AU1196)+(45.3*U1196)-2055)</f>
        <v>Incomplete</v>
      </c>
      <c r="BD1196" s="64"/>
      <c r="BE1196" s="20" t="str">
        <f>IF(OR(ISBLANK(U1196), ISBLANK(AW1196)), "Incomplete", (60.7*AW1196)+(45.3*U1196)-2055)</f>
        <v>Incomplete</v>
      </c>
      <c r="BF1196" s="64"/>
      <c r="BG1196" s="64"/>
      <c r="BH1196" s="64">
        <v>24.5</v>
      </c>
      <c r="BI1196" s="20" t="str">
        <f t="shared" si="379"/>
        <v>Incomplete</v>
      </c>
      <c r="BJ1196" s="66"/>
      <c r="BK1196" s="64">
        <v>7.8</v>
      </c>
      <c r="BL1196" s="66"/>
      <c r="BM1196" s="64">
        <v>5.9</v>
      </c>
      <c r="BN1196" s="66"/>
      <c r="BO1196" s="64"/>
      <c r="BP1196" s="64"/>
      <c r="BQ1196" s="64"/>
      <c r="BR1196" s="64"/>
      <c r="BS1196" s="64"/>
      <c r="BT1196" s="64"/>
      <c r="BU1196" s="64"/>
      <c r="BV1196" s="64"/>
      <c r="BW1196" s="91">
        <f>IFERROR(SUM(BQ1196+BR1196+BS1196)/(3*(T1196-S1196))*100, "Incomplete")</f>
        <v>0</v>
      </c>
      <c r="BX1196" s="91" t="str">
        <f>_xlfn.XLOOKUP(BW1196,'Normative data'!$V$3:$V$6,'Normative data'!$W$3:$W$6,"Not Found",-1)</f>
        <v>Not completed</v>
      </c>
      <c r="BY1196" s="91">
        <f>IFERROR(SUM(BT1196+BU1196+BV1196)/(3*(T1196-S1196))*100, "Incomplete")</f>
        <v>0</v>
      </c>
      <c r="BZ1196" s="91" t="str">
        <f>_xlfn.XLOOKUP(BY1196,'Normative data'!$V$3:$V$6,'Normative data'!$W$3:$W$6,"Not Found",-1)</f>
        <v>Not completed</v>
      </c>
      <c r="CA1196" s="66"/>
      <c r="CB1196" s="66"/>
      <c r="CC1196" s="20"/>
      <c r="CD1196" s="66"/>
      <c r="CE1196" s="64">
        <v>28</v>
      </c>
      <c r="CF1196" s="66"/>
      <c r="CG1196" s="66"/>
      <c r="CH1196" s="20" t="str">
        <f>_xlfn.XLOOKUP(CG1196, 'Normative data'!$S$9:$S$15,'Normative data'!$T$9:$T$15, "Not Found", -1)</f>
        <v>not completed</v>
      </c>
      <c r="CI1196" s="66"/>
      <c r="CJ1196" s="20" t="str">
        <f>_xlfn.XLOOKUP(CI1196, 'Normative data'!$S$9:$S$15, 'Normative data'!$T$9:$T$15, "Not Found", -1)</f>
        <v>not completed</v>
      </c>
      <c r="CK1196" s="17">
        <v>2.2000000000000002</v>
      </c>
      <c r="CL1196" s="17">
        <v>4.55</v>
      </c>
      <c r="CN1196" s="17">
        <v>6.94</v>
      </c>
      <c r="CO1196" s="17">
        <v>7.2</v>
      </c>
      <c r="CP1196" s="68"/>
      <c r="CQ1196" s="67"/>
      <c r="CR1196" s="20" t="str" cm="1">
        <f t="array" ref="CR1196">IF(OR(ISBLANK(E1196),ISBLANK(CQ1196)),"Incomplete",_xlfn.XLOOKUP(CQ1196,_xlfn.XLOOKUP(E1196,'Normative data'!$Y$3:$Y$6,'Normative data'!$Z$3:$AG$6,,-1),'Normative data'!$Z$2:$AG$2,"Not Found",-1))</f>
        <v>Incomplete</v>
      </c>
      <c r="CS1196" s="68"/>
      <c r="CT1196" s="66"/>
      <c r="CU1196" s="20" t="str" cm="1">
        <f t="array" ref="CU1196">_xlfn.XLOOKUP(CS1196&amp;CT1196,(VLOOKUP!$A$3:$A$250)&amp;(VLOOKUP!$B$3:$B$250),VLOOKUP!$C$3:$C$250,"Incomplete",-1)</f>
        <v>Incomplete</v>
      </c>
      <c r="CV1196" s="20" t="str" cm="1">
        <f t="array" ref="CV1196">_xlfn.XLOOKUP(CU1196, _xlfn.XLOOKUP(E1196, 'Normative data'!$Y$11:$Y$14, 'Normative data'!$Z$11:$AG$14, ,-1), 'Normative data'!$Z$10:$AG$10, "Not Found", -1)</f>
        <v>Excellent</v>
      </c>
      <c r="CW1196" s="20" t="str" cm="1">
        <f t="array" ref="CW1196">IF(OR(ISBLANK(CS1196),ISBLANK(CT1196)),"Incomplete",_xlfn.XLOOKUP(CS1196&amp;CT1196,VLOOKUP!$A$4:$A$250&amp;VLOOKUP!$B$4:$B$250,VLOOKUP!$D$4:$D$250,"0"))</f>
        <v>Incomplete</v>
      </c>
    </row>
    <row r="1197" spans="1:101">
      <c r="A1197" s="94" t="s">
        <v>563</v>
      </c>
      <c r="B1197" s="94" t="s">
        <v>764</v>
      </c>
      <c r="C1197" s="64" t="s">
        <v>86</v>
      </c>
      <c r="D1197" s="97">
        <v>40751</v>
      </c>
      <c r="E1197" s="64"/>
      <c r="F1197" s="64">
        <v>8</v>
      </c>
      <c r="G1197" s="64">
        <v>2025</v>
      </c>
      <c r="H1197" s="66"/>
      <c r="I1197" s="64"/>
      <c r="J1197" s="64"/>
      <c r="K1197" s="64"/>
      <c r="L1197" s="64"/>
      <c r="M1197" s="64"/>
      <c r="N1197" s="64"/>
      <c r="O1197" s="64"/>
      <c r="P1197" s="64"/>
      <c r="Q1197" s="64"/>
      <c r="R1197" s="64"/>
      <c r="S1197" s="66"/>
      <c r="T1197" s="66" t="s">
        <v>1854</v>
      </c>
      <c r="U1197" s="66" t="s">
        <v>489</v>
      </c>
      <c r="V1197" s="66"/>
      <c r="W1197" s="66"/>
      <c r="X1197" s="66"/>
      <c r="Y1197" s="66"/>
      <c r="Z1197" s="66"/>
      <c r="AA1197" s="66"/>
      <c r="AB1197" s="66"/>
      <c r="AC1197" s="66"/>
      <c r="AD1197" s="66"/>
      <c r="AE1197" s="66"/>
      <c r="AF1197" s="66"/>
      <c r="AG1197" s="66"/>
      <c r="AH1197" s="66"/>
      <c r="AI1197" s="66"/>
      <c r="AJ1197" s="66"/>
      <c r="AK1197" s="66"/>
      <c r="AL1197" s="66"/>
      <c r="AM1197" s="66"/>
      <c r="AN1197" s="66"/>
      <c r="AO1197" s="66"/>
      <c r="AP1197" s="66"/>
      <c r="AQ1197" s="66"/>
      <c r="AR1197" s="66"/>
      <c r="AS1197" s="66"/>
      <c r="AT1197" s="66"/>
      <c r="AU1197" s="66"/>
      <c r="AV1197" s="66"/>
      <c r="AW1197" s="66"/>
      <c r="AX1197" s="66"/>
      <c r="AY1197" s="41" t="str">
        <f>IF(OR(ISBLANK(#REF!), ISBLANK(AQ1197)), "Incomplete", (60.7*AQ1197)+(45.3*#REF!)-2055)</f>
        <v>Incomplete</v>
      </c>
      <c r="AZ1197" s="66"/>
      <c r="BA1197" s="20" t="str">
        <f>IF(OR(ISBLANK(#REF!), ISBLANK(AS1197)), "Incomplete", (60.7*AS1197)+(45.3*#REF!)-2055)</f>
        <v>Incomplete</v>
      </c>
      <c r="BB1197" s="66"/>
      <c r="BC1197" s="20" t="str">
        <f>IF(OR(ISBLANK(#REF!), ISBLANK(AU1197)), "Incomplete", (60.7*AU1197)+(45.3*#REF!)-2055)</f>
        <v>Incomplete</v>
      </c>
      <c r="BD1197" s="66"/>
      <c r="BE1197" s="20" t="str">
        <f>IF(OR(ISBLANK(#REF!), ISBLANK(AW1197)), "Incomplete", (60.7*AW1197)+(45.3*#REF!)-2055)</f>
        <v>Incomplete</v>
      </c>
      <c r="BF1197" s="66"/>
      <c r="BG1197" s="66"/>
      <c r="BH1197" s="66"/>
      <c r="BI1197" s="20" t="str">
        <f t="shared" si="379"/>
        <v>Incomplete</v>
      </c>
      <c r="BJ1197" s="66"/>
      <c r="BK1197" s="66"/>
      <c r="BL1197" s="66"/>
      <c r="BM1197" s="66"/>
      <c r="BN1197" s="66"/>
      <c r="BO1197" s="66"/>
      <c r="BP1197" s="66"/>
      <c r="BQ1197" s="66"/>
      <c r="BR1197" s="66"/>
      <c r="BS1197" s="66"/>
      <c r="BT1197" s="66"/>
      <c r="BU1197" s="66"/>
      <c r="BV1197" s="66"/>
      <c r="BW1197" s="91" t="str">
        <f>IFERROR(SUM(BQ1197+BR1197+BS1197)/(3*(#REF!-S1197))*100, "Incomplete")</f>
        <v>Incomplete</v>
      </c>
      <c r="BX1197" s="91" t="str">
        <f>_xlfn.XLOOKUP(BW1197,'Normative data'!$V$3:$V$6,'Normative data'!$W$3:$W$6,"Not Found",-1)</f>
        <v>Very low risk</v>
      </c>
      <c r="BY1197" s="91" t="str">
        <f>IFERROR(SUM(BT1197+BU1197+BV1197)/(3*(#REF!-S1197))*100, "Incomplete")</f>
        <v>Incomplete</v>
      </c>
      <c r="BZ1197" s="91" t="str">
        <f>_xlfn.XLOOKUP(BY1197,'Normative data'!$V$3:$V$6,'Normative data'!$W$3:$W$6,"Not Found",-1)</f>
        <v>Very low risk</v>
      </c>
      <c r="CA1197" s="66"/>
      <c r="CB1197" s="66"/>
      <c r="CC1197" s="20"/>
      <c r="CD1197" s="66"/>
      <c r="CE1197" s="66">
        <v>2</v>
      </c>
      <c r="CF1197" s="66"/>
      <c r="CG1197" s="66"/>
      <c r="CH1197" s="20" t="str">
        <f>_xlfn.XLOOKUP(CG1197, 'Normative data'!$S$9:$S$15,'Normative data'!$T$9:$T$15, "Not Found", -1)</f>
        <v>not completed</v>
      </c>
      <c r="CI1197" s="66"/>
      <c r="CJ1197" s="20" t="str">
        <f>_xlfn.XLOOKUP(CI1197, 'Normative data'!$S$9:$S$15, 'Normative data'!$T$9:$T$15, "Not Found", -1)</f>
        <v>not completed</v>
      </c>
      <c r="CK1197" s="106">
        <v>2.7</v>
      </c>
      <c r="CL1197" s="106">
        <v>4.6100000000000003</v>
      </c>
      <c r="CM1197" s="106"/>
      <c r="CN1197" s="106">
        <v>6.82</v>
      </c>
      <c r="CO1197" s="106">
        <v>7.33</v>
      </c>
      <c r="CP1197" s="110"/>
      <c r="CQ1197" s="68"/>
      <c r="CR1197" s="20" t="str" cm="1">
        <f t="array" ref="CR1197">IF(OR(ISBLANK(E1197),ISBLANK(CQ1197)),"Incomplete",_xlfn.XLOOKUP(CQ1197,_xlfn.XLOOKUP(E1197,'Normative data'!$Y$3:$Y$6,'Normative data'!$Z$3:$AG$6,,-1),'Normative data'!$Z$2:$AG$2,"Not Found",-1))</f>
        <v>Incomplete</v>
      </c>
      <c r="CS1197" s="68"/>
      <c r="CT1197" s="66"/>
      <c r="CU1197" s="20" t="str" cm="1">
        <f t="array" ref="CU1197">_xlfn.XLOOKUP(CS1197&amp;CT1197,(VLOOKUP!$A$3:$A$250)&amp;(VLOOKUP!$B$3:$B$250),VLOOKUP!$C$3:$C$250,"Incomplete",-1)</f>
        <v>Incomplete</v>
      </c>
      <c r="CV1197" s="20" t="str" cm="1">
        <f t="array" ref="CV1197">_xlfn.XLOOKUP(CU1197, _xlfn.XLOOKUP(E1197, 'Normative data'!$Y$11:$Y$14, 'Normative data'!$Z$11:$AG$14, ,-1), 'Normative data'!$Z$10:$AG$10, "Not Found", -1)</f>
        <v>Excellent</v>
      </c>
      <c r="CW1197" s="20" t="str" cm="1">
        <f t="array" ref="CW1197">IF(OR(ISBLANK(CS1197),ISBLANK(CT1197)),"Incomplete",_xlfn.XLOOKUP(CS1197&amp;CT1197,VLOOKUP!$A$4:$A$250&amp;VLOOKUP!$B$4:$B$250,VLOOKUP!$D$4:$D$250,"0"))</f>
        <v>Incomplete</v>
      </c>
    </row>
    <row r="1198" spans="1:101">
      <c r="A1198" s="94" t="s">
        <v>578</v>
      </c>
      <c r="B1198" s="94" t="s">
        <v>1855</v>
      </c>
      <c r="C1198" s="64" t="s">
        <v>86</v>
      </c>
      <c r="D1198" s="97">
        <v>39626</v>
      </c>
      <c r="E1198" s="64"/>
      <c r="F1198" s="64">
        <v>11</v>
      </c>
      <c r="G1198" s="64">
        <v>2025</v>
      </c>
      <c r="H1198" s="66"/>
      <c r="I1198" s="64"/>
      <c r="J1198" s="64"/>
      <c r="K1198" s="64"/>
      <c r="L1198" s="64"/>
      <c r="M1198" s="64"/>
      <c r="N1198" s="64"/>
      <c r="O1198" s="64"/>
      <c r="P1198" s="64"/>
      <c r="Q1198" s="64"/>
      <c r="R1198" s="64"/>
      <c r="S1198" s="66"/>
      <c r="T1198" s="66"/>
      <c r="U1198" s="66"/>
      <c r="V1198" s="66"/>
      <c r="W1198" s="66"/>
      <c r="X1198" s="66"/>
      <c r="Y1198" s="66"/>
      <c r="Z1198" s="66"/>
      <c r="AA1198" s="66"/>
      <c r="AB1198" s="66"/>
      <c r="AC1198" s="66"/>
      <c r="AD1198" s="66"/>
      <c r="AE1198" s="66"/>
      <c r="AF1198" s="66"/>
      <c r="AG1198" s="66"/>
      <c r="AH1198" s="66"/>
      <c r="AI1198" s="66"/>
      <c r="AJ1198" s="66"/>
      <c r="AK1198" s="66"/>
      <c r="AL1198" s="66"/>
      <c r="AM1198" s="66"/>
      <c r="AN1198" s="66"/>
      <c r="AO1198" s="66"/>
      <c r="AP1198" s="66"/>
      <c r="AQ1198" s="66"/>
      <c r="AR1198" s="66"/>
      <c r="AS1198" s="66"/>
      <c r="AT1198" s="66"/>
      <c r="AU1198" s="66"/>
      <c r="AV1198" s="66"/>
      <c r="AW1198" s="66"/>
      <c r="AX1198" s="66"/>
      <c r="AY1198" s="41" t="str">
        <f t="shared" ref="AY1198:AY1223" si="380">IF(OR(ISBLANK(U1198), ISBLANK(AQ1198)), "Incomplete", (60.7*AQ1198)+(45.3*U1198)-2055)</f>
        <v>Incomplete</v>
      </c>
      <c r="AZ1198" s="66"/>
      <c r="BA1198" s="20" t="str">
        <f t="shared" ref="BA1198:BA1223" si="381">IF(OR(ISBLANK(U1198), ISBLANK(AS1198)), "Incomplete", (60.7*AS1198)+(45.3*U1198)-2055)</f>
        <v>Incomplete</v>
      </c>
      <c r="BB1198" s="66"/>
      <c r="BC1198" s="20" t="str">
        <f t="shared" ref="BC1198:BC1223" si="382">IF(OR(ISBLANK(U1198), ISBLANK(AU1198)), "Incomplete", (60.7*AU1198)+(45.3*U1198)-2055)</f>
        <v>Incomplete</v>
      </c>
      <c r="BD1198" s="66"/>
      <c r="BE1198" s="20" t="str">
        <f t="shared" ref="BE1198:BE1223" si="383">IF(OR(ISBLANK(U1198), ISBLANK(AW1198)), "Incomplete", (60.7*AW1198)+(45.3*U1198)-2055)</f>
        <v>Incomplete</v>
      </c>
      <c r="BF1198" s="66"/>
      <c r="BG1198" s="66">
        <v>11</v>
      </c>
      <c r="BH1198" s="66">
        <v>27</v>
      </c>
      <c r="BI1198" s="20">
        <f t="shared" si="379"/>
        <v>16</v>
      </c>
      <c r="BJ1198" s="66"/>
      <c r="BK1198" s="66">
        <v>9</v>
      </c>
      <c r="BL1198" s="66"/>
      <c r="BM1198" s="66"/>
      <c r="BN1198" s="66"/>
      <c r="BO1198" s="66"/>
      <c r="BP1198" s="66"/>
      <c r="BQ1198" s="66"/>
      <c r="BR1198" s="66"/>
      <c r="BS1198" s="66"/>
      <c r="BT1198" s="66"/>
      <c r="BU1198" s="66"/>
      <c r="BV1198" s="66"/>
      <c r="BW1198" s="91" t="str">
        <f t="shared" ref="BW1198:BW1223" si="384">IFERROR(SUM(BQ1198+BR1198+BS1198)/(3*(T1198-S1198))*100, "Incomplete")</f>
        <v>Incomplete</v>
      </c>
      <c r="BX1198" s="91" t="str">
        <f>_xlfn.XLOOKUP(BW1198,'Normative data'!$V$3:$V$6,'Normative data'!$W$3:$W$6,"Not Found",-1)</f>
        <v>Very low risk</v>
      </c>
      <c r="BY1198" s="91" t="str">
        <f t="shared" ref="BY1198:BY1223" si="385">IFERROR(SUM(BT1198+BU1198+BV1198)/(3*(T1198-S1198))*100, "Incomplete")</f>
        <v>Incomplete</v>
      </c>
      <c r="BZ1198" s="91" t="str">
        <f>_xlfn.XLOOKUP(BY1198,'Normative data'!$V$3:$V$6,'Normative data'!$W$3:$W$6,"Not Found",-1)</f>
        <v>Very low risk</v>
      </c>
      <c r="CA1198" s="66"/>
      <c r="CB1198" s="66"/>
      <c r="CC1198" s="20"/>
      <c r="CD1198" s="66"/>
      <c r="CE1198" s="66">
        <v>20</v>
      </c>
      <c r="CF1198" s="66"/>
      <c r="CG1198" s="66"/>
      <c r="CH1198" s="20" t="str">
        <f>_xlfn.XLOOKUP(CG1198, 'Normative data'!$S$9:$S$15,'Normative data'!$T$9:$T$15, "Not Found", -1)</f>
        <v>not completed</v>
      </c>
      <c r="CI1198" s="66"/>
      <c r="CJ1198" s="20" t="str">
        <f>_xlfn.XLOOKUP(CI1198, 'Normative data'!$S$9:$S$15, 'Normative data'!$T$9:$T$15, "Not Found", -1)</f>
        <v>not completed</v>
      </c>
      <c r="CK1198" s="106">
        <v>2.27</v>
      </c>
      <c r="CL1198" s="106">
        <v>4.41</v>
      </c>
      <c r="CM1198" s="105"/>
      <c r="CN1198" s="106">
        <v>6.79</v>
      </c>
      <c r="CO1198" s="106">
        <v>7.36</v>
      </c>
      <c r="CP1198" s="110"/>
      <c r="CQ1198" s="68"/>
      <c r="CR1198" s="20" t="str" cm="1">
        <f t="array" ref="CR1198">IF(OR(ISBLANK(E1198),ISBLANK(CQ1198)),"Incomplete",_xlfn.XLOOKUP(CQ1198,_xlfn.XLOOKUP(E1198,'Normative data'!$Y$3:$Y$6,'Normative data'!$Z$3:$AG$6,,-1),'Normative data'!$Z$2:$AG$2,"Not Found",-1))</f>
        <v>Incomplete</v>
      </c>
      <c r="CS1198" s="68"/>
      <c r="CT1198" s="66"/>
      <c r="CU1198" s="20" t="str" cm="1">
        <f t="array" ref="CU1198">_xlfn.XLOOKUP(CS1198&amp;CT1198,(VLOOKUP!$A$3:$A$250)&amp;(VLOOKUP!$B$3:$B$250),VLOOKUP!$C$3:$C$250,"Incomplete",-1)</f>
        <v>Incomplete</v>
      </c>
      <c r="CV1198" s="20" t="str" cm="1">
        <f t="array" ref="CV1198">_xlfn.XLOOKUP(CU1198, _xlfn.XLOOKUP(E1198, 'Normative data'!$Y$11:$Y$14, 'Normative data'!$Z$11:$AG$14, ,-1), 'Normative data'!$Z$10:$AG$10, "Not Found", -1)</f>
        <v>Excellent</v>
      </c>
      <c r="CW1198" s="20" t="str" cm="1">
        <f t="array" ref="CW1198">IF(OR(ISBLANK(CS1198),ISBLANK(CT1198)),"Incomplete",_xlfn.XLOOKUP(CS1198&amp;CT1198,VLOOKUP!$A$4:$A$250&amp;VLOOKUP!$B$4:$B$250,VLOOKUP!$D$4:$D$250,"0"))</f>
        <v>Incomplete</v>
      </c>
    </row>
    <row r="1199" spans="1:101">
      <c r="A1199" s="94" t="s">
        <v>578</v>
      </c>
      <c r="B1199" s="94" t="s">
        <v>1855</v>
      </c>
      <c r="C1199" s="64" t="s">
        <v>86</v>
      </c>
      <c r="D1199" s="97">
        <v>39626</v>
      </c>
      <c r="E1199" s="64"/>
      <c r="F1199" s="64">
        <v>11</v>
      </c>
      <c r="G1199" s="64">
        <v>2025</v>
      </c>
      <c r="H1199" s="66"/>
      <c r="I1199" s="64"/>
      <c r="J1199" s="64"/>
      <c r="K1199" s="64"/>
      <c r="L1199" s="64"/>
      <c r="M1199" s="64"/>
      <c r="N1199" s="64"/>
      <c r="O1199" s="64"/>
      <c r="P1199" s="64"/>
      <c r="Q1199" s="64"/>
      <c r="R1199" s="64"/>
      <c r="S1199" s="66"/>
      <c r="T1199" s="66"/>
      <c r="U1199" s="66"/>
      <c r="V1199" s="66"/>
      <c r="W1199" s="66"/>
      <c r="X1199" s="66"/>
      <c r="Y1199" s="66"/>
      <c r="Z1199" s="66"/>
      <c r="AA1199" s="66"/>
      <c r="AB1199" s="66"/>
      <c r="AC1199" s="66"/>
      <c r="AD1199" s="66"/>
      <c r="AE1199" s="66"/>
      <c r="AF1199" s="66"/>
      <c r="AG1199" s="66"/>
      <c r="AH1199" s="66"/>
      <c r="AI1199" s="66"/>
      <c r="AJ1199" s="66"/>
      <c r="AK1199" s="66"/>
      <c r="AL1199" s="66"/>
      <c r="AM1199" s="66"/>
      <c r="AN1199" s="66"/>
      <c r="AO1199" s="66"/>
      <c r="AP1199" s="66"/>
      <c r="AQ1199" s="66"/>
      <c r="AR1199" s="66"/>
      <c r="AS1199" s="66"/>
      <c r="AT1199" s="66"/>
      <c r="AU1199" s="66"/>
      <c r="AV1199" s="66"/>
      <c r="AW1199" s="66"/>
      <c r="AX1199" s="66"/>
      <c r="AY1199" s="41" t="str">
        <f t="shared" si="380"/>
        <v>Incomplete</v>
      </c>
      <c r="AZ1199" s="66"/>
      <c r="BA1199" s="20" t="str">
        <f t="shared" si="381"/>
        <v>Incomplete</v>
      </c>
      <c r="BB1199" s="66"/>
      <c r="BC1199" s="20" t="str">
        <f t="shared" si="382"/>
        <v>Incomplete</v>
      </c>
      <c r="BD1199" s="66"/>
      <c r="BE1199" s="20" t="str">
        <f t="shared" si="383"/>
        <v>Incomplete</v>
      </c>
      <c r="BF1199" s="66"/>
      <c r="BG1199" s="66"/>
      <c r="BH1199" s="20"/>
      <c r="BI1199" s="20" t="str">
        <f t="shared" si="379"/>
        <v>Incomplete</v>
      </c>
      <c r="BJ1199" s="66"/>
      <c r="BK1199" s="66">
        <v>9</v>
      </c>
      <c r="BL1199" s="66"/>
      <c r="BM1199" s="66"/>
      <c r="BN1199" s="66"/>
      <c r="BO1199" s="66"/>
      <c r="BP1199" s="66"/>
      <c r="BQ1199" s="66"/>
      <c r="BR1199" s="66"/>
      <c r="BS1199" s="66"/>
      <c r="BT1199" s="66"/>
      <c r="BU1199" s="66"/>
      <c r="BV1199" s="66"/>
      <c r="BW1199" s="91" t="str">
        <f t="shared" si="384"/>
        <v>Incomplete</v>
      </c>
      <c r="BX1199" s="91" t="str">
        <f>_xlfn.XLOOKUP(BW1199,'Normative data'!$V$3:$V$6,'Normative data'!$W$3:$W$6,"Not Found",-1)</f>
        <v>Very low risk</v>
      </c>
      <c r="BY1199" s="91" t="str">
        <f t="shared" si="385"/>
        <v>Incomplete</v>
      </c>
      <c r="BZ1199" s="91" t="str">
        <f>_xlfn.XLOOKUP(BY1199,'Normative data'!$V$3:$V$6,'Normative data'!$W$3:$W$6,"Not Found",-1)</f>
        <v>Very low risk</v>
      </c>
      <c r="CA1199" s="66"/>
      <c r="CB1199" s="66"/>
      <c r="CC1199" s="20"/>
      <c r="CD1199" s="66"/>
      <c r="CE1199" s="64"/>
      <c r="CF1199" s="66"/>
      <c r="CG1199" s="66"/>
      <c r="CH1199" s="20" t="str">
        <f>_xlfn.XLOOKUP(CG1199, 'Normative data'!$S$9:$S$15,'Normative data'!$T$9:$T$15, "Not Found", -1)</f>
        <v>not completed</v>
      </c>
      <c r="CI1199" s="66"/>
      <c r="CJ1199" s="20" t="str">
        <f>_xlfn.XLOOKUP(CI1199, 'Normative data'!$S$9:$S$15, 'Normative data'!$T$9:$T$15, "Not Found", -1)</f>
        <v>not completed</v>
      </c>
      <c r="CK1199" s="66" t="s">
        <v>344</v>
      </c>
      <c r="CL1199" s="66" t="s">
        <v>345</v>
      </c>
      <c r="CM1199" s="105"/>
      <c r="CN1199" s="66" t="s">
        <v>598</v>
      </c>
      <c r="CO1199" s="66" t="s">
        <v>599</v>
      </c>
      <c r="CP1199" s="110"/>
      <c r="CQ1199" s="68"/>
      <c r="CR1199" s="20" t="str" cm="1">
        <f t="array" ref="CR1199">IF(OR(ISBLANK(E1199),ISBLANK(CQ1199)),"Incomplete",_xlfn.XLOOKUP(CQ1199,_xlfn.XLOOKUP(E1199,'Normative data'!$Y$3:$Y$6,'Normative data'!$Z$3:$AG$6,,-1),'Normative data'!$Z$2:$AG$2,"Not Found",-1))</f>
        <v>Incomplete</v>
      </c>
      <c r="CS1199" s="68"/>
      <c r="CT1199" s="66"/>
      <c r="CU1199" s="20" t="str" cm="1">
        <f t="array" ref="CU1199">_xlfn.XLOOKUP(CS1199&amp;CT1199,(VLOOKUP!$A$3:$A$250)&amp;(VLOOKUP!$B$3:$B$250),VLOOKUP!$C$3:$C$250,"Incomplete",-1)</f>
        <v>Incomplete</v>
      </c>
      <c r="CV1199" s="20" t="str" cm="1">
        <f t="array" ref="CV1199">_xlfn.XLOOKUP(CU1199, _xlfn.XLOOKUP(E1199, 'Normative data'!$Y$11:$Y$14, 'Normative data'!$Z$11:$AG$14, ,-1), 'Normative data'!$Z$10:$AG$10, "Not Found", -1)</f>
        <v>Excellent</v>
      </c>
      <c r="CW1199" s="20" t="str" cm="1">
        <f t="array" ref="CW1199">IF(OR(ISBLANK(CS1199),ISBLANK(CT1199)),"Incomplete",_xlfn.XLOOKUP(CS1199&amp;CT1199,VLOOKUP!$A$4:$A$250&amp;VLOOKUP!$B$4:$B$250,VLOOKUP!$D$4:$D$250,"0"))</f>
        <v>Incomplete</v>
      </c>
    </row>
    <row r="1200" spans="1:101">
      <c r="A1200" s="64" t="s">
        <v>1856</v>
      </c>
      <c r="B1200" s="64" t="s">
        <v>1857</v>
      </c>
      <c r="C1200" s="64" t="s">
        <v>86</v>
      </c>
      <c r="D1200" s="65"/>
      <c r="E1200" s="64"/>
      <c r="F1200" s="64">
        <v>11</v>
      </c>
      <c r="G1200" s="64">
        <v>2025</v>
      </c>
      <c r="H1200" s="66"/>
      <c r="I1200" s="64"/>
      <c r="J1200" s="64"/>
      <c r="K1200" s="64"/>
      <c r="L1200" s="64"/>
      <c r="M1200" s="64"/>
      <c r="N1200" s="64"/>
      <c r="O1200" s="64"/>
      <c r="P1200" s="64"/>
      <c r="Q1200" s="64"/>
      <c r="R1200" s="64"/>
      <c r="S1200" s="66"/>
      <c r="T1200" s="66"/>
      <c r="U1200" s="66"/>
      <c r="V1200" s="66"/>
      <c r="W1200" s="66"/>
      <c r="X1200" s="66"/>
      <c r="Y1200" s="66"/>
      <c r="Z1200" s="66"/>
      <c r="AA1200" s="66"/>
      <c r="AB1200" s="66"/>
      <c r="AC1200" s="66"/>
      <c r="AD1200" s="66"/>
      <c r="AE1200" s="66"/>
      <c r="AF1200" s="66"/>
      <c r="AG1200" s="66"/>
      <c r="AH1200" s="66"/>
      <c r="AI1200" s="66"/>
      <c r="AJ1200" s="66"/>
      <c r="AK1200" s="66"/>
      <c r="AL1200" s="66"/>
      <c r="AM1200" s="66"/>
      <c r="AN1200" s="66"/>
      <c r="AO1200" s="66"/>
      <c r="AP1200" s="66"/>
      <c r="AQ1200" s="66"/>
      <c r="AR1200" s="66"/>
      <c r="AS1200" s="66"/>
      <c r="AT1200" s="66"/>
      <c r="AU1200" s="66"/>
      <c r="AV1200" s="66"/>
      <c r="AW1200" s="66"/>
      <c r="AX1200" s="66"/>
      <c r="AY1200" s="41" t="str">
        <f t="shared" si="380"/>
        <v>Incomplete</v>
      </c>
      <c r="AZ1200" s="66"/>
      <c r="BA1200" s="20" t="str">
        <f t="shared" si="381"/>
        <v>Incomplete</v>
      </c>
      <c r="BB1200" s="66"/>
      <c r="BC1200" s="20" t="str">
        <f t="shared" si="382"/>
        <v>Incomplete</v>
      </c>
      <c r="BD1200" s="66"/>
      <c r="BE1200" s="20" t="str">
        <f t="shared" si="383"/>
        <v>Incomplete</v>
      </c>
      <c r="BF1200" s="66"/>
      <c r="BG1200" s="66">
        <v>14</v>
      </c>
      <c r="BH1200" s="20">
        <v>25.2</v>
      </c>
      <c r="BI1200" s="20">
        <f t="shared" si="379"/>
        <v>11.2</v>
      </c>
      <c r="BJ1200" s="66"/>
      <c r="BK1200" s="66">
        <v>4</v>
      </c>
      <c r="BL1200" s="66"/>
      <c r="BM1200" s="66">
        <v>5</v>
      </c>
      <c r="BN1200" s="66"/>
      <c r="BO1200" s="66"/>
      <c r="BP1200" s="66"/>
      <c r="BQ1200" s="66"/>
      <c r="BR1200" s="66"/>
      <c r="BS1200" s="66"/>
      <c r="BT1200" s="66"/>
      <c r="BU1200" s="66"/>
      <c r="BV1200" s="66"/>
      <c r="BW1200" s="91" t="str">
        <f t="shared" si="384"/>
        <v>Incomplete</v>
      </c>
      <c r="BX1200" s="91" t="str">
        <f>_xlfn.XLOOKUP(BW1200,'Normative data'!$V$3:$V$6,'Normative data'!$W$3:$W$6,"Not Found",-1)</f>
        <v>Very low risk</v>
      </c>
      <c r="BY1200" s="91" t="str">
        <f t="shared" si="385"/>
        <v>Incomplete</v>
      </c>
      <c r="BZ1200" s="91" t="str">
        <f>_xlfn.XLOOKUP(BY1200,'Normative data'!$V$3:$V$6,'Normative data'!$W$3:$W$6,"Not Found",-1)</f>
        <v>Very low risk</v>
      </c>
      <c r="CA1200" s="66"/>
      <c r="CB1200" s="66"/>
      <c r="CC1200" s="20"/>
      <c r="CD1200" s="66"/>
      <c r="CE1200" s="66">
        <v>10</v>
      </c>
      <c r="CF1200" s="66"/>
      <c r="CG1200" s="66"/>
      <c r="CH1200" s="20" t="str">
        <f>_xlfn.XLOOKUP(CG1200, 'Normative data'!$S$9:$S$15,'Normative data'!$T$9:$T$15, "Not Found", -1)</f>
        <v>not completed</v>
      </c>
      <c r="CI1200" s="66"/>
      <c r="CJ1200" s="20" t="str">
        <f>_xlfn.XLOOKUP(CI1200, 'Normative data'!$S$9:$S$15, 'Normative data'!$T$9:$T$15, "Not Found", -1)</f>
        <v>not completed</v>
      </c>
      <c r="CK1200" s="105"/>
      <c r="CL1200" s="105"/>
      <c r="CM1200" s="105"/>
      <c r="CN1200" s="105"/>
      <c r="CO1200" s="105"/>
      <c r="CP1200" s="68"/>
      <c r="CQ1200" s="68"/>
      <c r="CR1200" s="20" t="str" cm="1">
        <f t="array" ref="CR1200">IF(OR(ISBLANK(E1200),ISBLANK(CQ1200)),"Incomplete",_xlfn.XLOOKUP(CQ1200,_xlfn.XLOOKUP(E1200,'Normative data'!$Y$3:$Y$6,'Normative data'!$Z$3:$AG$6,,-1),'Normative data'!$Z$2:$AG$2,"Not Found",-1))</f>
        <v>Incomplete</v>
      </c>
      <c r="CS1200" s="68"/>
      <c r="CT1200" s="66"/>
      <c r="CU1200" s="20" t="str" cm="1">
        <f t="array" ref="CU1200">_xlfn.XLOOKUP(CS1200&amp;CT1200,(VLOOKUP!$A$3:$A$250)&amp;(VLOOKUP!$B$3:$B$250),VLOOKUP!$C$3:$C$250,"Incomplete",-1)</f>
        <v>Incomplete</v>
      </c>
      <c r="CV1200" s="20" t="str" cm="1">
        <f t="array" ref="CV1200">_xlfn.XLOOKUP(CU1200, _xlfn.XLOOKUP(E1200, 'Normative data'!$Y$11:$Y$14, 'Normative data'!$Z$11:$AG$14, ,-1), 'Normative data'!$Z$10:$AG$10, "Not Found", -1)</f>
        <v>Excellent</v>
      </c>
      <c r="CW1200" s="20" t="str" cm="1">
        <f t="array" ref="CW1200">IF(OR(ISBLANK(CS1200),ISBLANK(CT1200)),"Incomplete",_xlfn.XLOOKUP(CS1200&amp;CT1200,VLOOKUP!$A$4:$A$250&amp;VLOOKUP!$B$4:$B$250,VLOOKUP!$D$4:$D$250,"0"))</f>
        <v>Incomplete</v>
      </c>
    </row>
    <row r="1201" spans="1:101">
      <c r="A1201" s="64" t="s">
        <v>1858</v>
      </c>
      <c r="B1201" s="64" t="s">
        <v>1859</v>
      </c>
      <c r="C1201" s="64" t="s">
        <v>86</v>
      </c>
      <c r="D1201" s="65"/>
      <c r="E1201" s="64"/>
      <c r="F1201" s="64">
        <v>11</v>
      </c>
      <c r="G1201" s="64">
        <v>2025</v>
      </c>
      <c r="H1201" s="66"/>
      <c r="I1201" s="64"/>
      <c r="J1201" s="64"/>
      <c r="K1201" s="64"/>
      <c r="L1201" s="64"/>
      <c r="M1201" s="64"/>
      <c r="N1201" s="64"/>
      <c r="O1201" s="64"/>
      <c r="P1201" s="64"/>
      <c r="Q1201" s="64"/>
      <c r="R1201" s="64"/>
      <c r="S1201" s="66"/>
      <c r="T1201" s="66"/>
      <c r="U1201" s="66"/>
      <c r="V1201" s="66"/>
      <c r="W1201" s="66"/>
      <c r="X1201" s="66"/>
      <c r="Y1201" s="66"/>
      <c r="Z1201" s="66"/>
      <c r="AA1201" s="66"/>
      <c r="AB1201" s="66"/>
      <c r="AC1201" s="66"/>
      <c r="AD1201" s="66"/>
      <c r="AE1201" s="66"/>
      <c r="AF1201" s="66"/>
      <c r="AG1201" s="66"/>
      <c r="AH1201" s="66"/>
      <c r="AI1201" s="66"/>
      <c r="AJ1201" s="66"/>
      <c r="AK1201" s="66"/>
      <c r="AL1201" s="66"/>
      <c r="AM1201" s="66"/>
      <c r="AN1201" s="66"/>
      <c r="AO1201" s="66"/>
      <c r="AP1201" s="66"/>
      <c r="AQ1201" s="66"/>
      <c r="AR1201" s="66"/>
      <c r="AS1201" s="66"/>
      <c r="AT1201" s="66"/>
      <c r="AU1201" s="66"/>
      <c r="AV1201" s="66"/>
      <c r="AW1201" s="66"/>
      <c r="AX1201" s="66"/>
      <c r="AY1201" s="41" t="str">
        <f t="shared" si="380"/>
        <v>Incomplete</v>
      </c>
      <c r="AZ1201" s="66"/>
      <c r="BA1201" s="20" t="str">
        <f t="shared" si="381"/>
        <v>Incomplete</v>
      </c>
      <c r="BB1201" s="66"/>
      <c r="BC1201" s="20" t="str">
        <f t="shared" si="382"/>
        <v>Incomplete</v>
      </c>
      <c r="BD1201" s="66"/>
      <c r="BE1201" s="20" t="str">
        <f t="shared" si="383"/>
        <v>Incomplete</v>
      </c>
      <c r="BF1201" s="66"/>
      <c r="BG1201" s="66">
        <v>14.6</v>
      </c>
      <c r="BH1201" s="20">
        <v>27.3</v>
      </c>
      <c r="BI1201" s="20">
        <f t="shared" si="379"/>
        <v>12.700000000000001</v>
      </c>
      <c r="BJ1201" s="66"/>
      <c r="BK1201" s="66">
        <v>7</v>
      </c>
      <c r="BL1201" s="66"/>
      <c r="BM1201" s="66">
        <v>10</v>
      </c>
      <c r="BN1201" s="66"/>
      <c r="BO1201" s="66"/>
      <c r="BP1201" s="66"/>
      <c r="BQ1201" s="66"/>
      <c r="BR1201" s="66"/>
      <c r="BS1201" s="66"/>
      <c r="BT1201" s="66"/>
      <c r="BU1201" s="66"/>
      <c r="BV1201" s="66"/>
      <c r="BW1201" s="91" t="str">
        <f t="shared" si="384"/>
        <v>Incomplete</v>
      </c>
      <c r="BX1201" s="91" t="str">
        <f>_xlfn.XLOOKUP(BW1201,'Normative data'!$V$3:$V$6,'Normative data'!$W$3:$W$6,"Not Found",-1)</f>
        <v>Very low risk</v>
      </c>
      <c r="BY1201" s="91" t="str">
        <f t="shared" si="385"/>
        <v>Incomplete</v>
      </c>
      <c r="BZ1201" s="91" t="str">
        <f>_xlfn.XLOOKUP(BY1201,'Normative data'!$V$3:$V$6,'Normative data'!$W$3:$W$6,"Not Found",-1)</f>
        <v>Very low risk</v>
      </c>
      <c r="CA1201" s="66"/>
      <c r="CB1201" s="66"/>
      <c r="CC1201" s="20"/>
      <c r="CD1201" s="66"/>
      <c r="CE1201" s="66">
        <v>10</v>
      </c>
      <c r="CF1201" s="66"/>
      <c r="CG1201" s="66"/>
      <c r="CH1201" s="20" t="str">
        <f>_xlfn.XLOOKUP(CG1201, 'Normative data'!$S$9:$S$15,'Normative data'!$T$9:$T$15, "Not Found", -1)</f>
        <v>not completed</v>
      </c>
      <c r="CI1201" s="66"/>
      <c r="CJ1201" s="20" t="str">
        <f>_xlfn.XLOOKUP(CI1201, 'Normative data'!$S$9:$S$15, 'Normative data'!$T$9:$T$15, "Not Found", -1)</f>
        <v>not completed</v>
      </c>
      <c r="CK1201" s="66" t="s">
        <v>1112</v>
      </c>
      <c r="CL1201" s="66" t="s">
        <v>998</v>
      </c>
      <c r="CM1201" s="105"/>
      <c r="CN1201" s="66" t="s">
        <v>981</v>
      </c>
      <c r="CO1201" s="66" t="s">
        <v>802</v>
      </c>
      <c r="CP1201" s="68"/>
      <c r="CQ1201" s="68"/>
      <c r="CR1201" s="20" t="str" cm="1">
        <f t="array" ref="CR1201">IF(OR(ISBLANK(E1201),ISBLANK(CQ1201)),"Incomplete",_xlfn.XLOOKUP(CQ1201,_xlfn.XLOOKUP(E1201,'Normative data'!$Y$3:$Y$6,'Normative data'!$Z$3:$AG$6,,-1),'Normative data'!$Z$2:$AG$2,"Not Found",-1))</f>
        <v>Incomplete</v>
      </c>
      <c r="CS1201" s="68"/>
      <c r="CT1201" s="66"/>
      <c r="CU1201" s="20" t="str" cm="1">
        <f t="array" ref="CU1201">_xlfn.XLOOKUP(CS1201&amp;CT1201,(VLOOKUP!$A$3:$A$250)&amp;(VLOOKUP!$B$3:$B$250),VLOOKUP!$C$3:$C$250,"Incomplete",-1)</f>
        <v>Incomplete</v>
      </c>
      <c r="CV1201" s="20" t="str" cm="1">
        <f t="array" ref="CV1201">_xlfn.XLOOKUP(CU1201, _xlfn.XLOOKUP(E1201, 'Normative data'!$Y$11:$Y$14, 'Normative data'!$Z$11:$AG$14, ,-1), 'Normative data'!$Z$10:$AG$10, "Not Found", -1)</f>
        <v>Excellent</v>
      </c>
      <c r="CW1201" s="20" t="str" cm="1">
        <f t="array" ref="CW1201">IF(OR(ISBLANK(CS1201),ISBLANK(CT1201)),"Incomplete",_xlfn.XLOOKUP(CS1201&amp;CT1201,VLOOKUP!$A$4:$A$250&amp;VLOOKUP!$B$4:$B$250,VLOOKUP!$D$4:$D$250,"0"))</f>
        <v>Incomplete</v>
      </c>
    </row>
    <row r="1202" spans="1:101">
      <c r="A1202" s="64" t="s">
        <v>1649</v>
      </c>
      <c r="B1202" s="64" t="s">
        <v>1648</v>
      </c>
      <c r="C1202" s="64" t="s">
        <v>86</v>
      </c>
      <c r="D1202" s="65"/>
      <c r="E1202" s="64"/>
      <c r="F1202" s="66" t="s">
        <v>186</v>
      </c>
      <c r="G1202" s="64">
        <v>2026</v>
      </c>
      <c r="H1202" s="66"/>
      <c r="I1202" s="66">
        <v>2</v>
      </c>
      <c r="J1202" s="66"/>
      <c r="K1202" s="66"/>
      <c r="L1202" s="66"/>
      <c r="M1202" s="64"/>
      <c r="N1202" s="64"/>
      <c r="O1202" s="64"/>
      <c r="P1202" s="64"/>
      <c r="Q1202" s="64"/>
      <c r="R1202" s="64"/>
      <c r="S1202" s="66"/>
      <c r="T1202" s="66"/>
      <c r="U1202" s="64"/>
      <c r="V1202" s="64"/>
      <c r="W1202" s="64"/>
      <c r="X1202" s="64"/>
      <c r="Y1202" s="64"/>
      <c r="Z1202" s="64"/>
      <c r="AA1202" s="64"/>
      <c r="AB1202" s="64"/>
      <c r="AC1202" s="64"/>
      <c r="AD1202" s="64"/>
      <c r="AE1202" s="64"/>
      <c r="AF1202" s="64"/>
      <c r="AG1202" s="64"/>
      <c r="AH1202" s="64"/>
      <c r="AI1202" s="64"/>
      <c r="AJ1202" s="64"/>
      <c r="AK1202" s="64"/>
      <c r="AL1202" s="64"/>
      <c r="AM1202" s="64"/>
      <c r="AN1202" s="64"/>
      <c r="AO1202" s="64"/>
      <c r="AP1202" s="64"/>
      <c r="AQ1202" s="64"/>
      <c r="AR1202" s="64"/>
      <c r="AS1202" s="64"/>
      <c r="AT1202" s="64"/>
      <c r="AU1202" s="64"/>
      <c r="AV1202" s="64"/>
      <c r="AW1202" s="64"/>
      <c r="AX1202" s="64"/>
      <c r="AY1202" s="41" t="str">
        <f t="shared" si="380"/>
        <v>Incomplete</v>
      </c>
      <c r="AZ1202" s="64"/>
      <c r="BA1202" s="20" t="str">
        <f t="shared" si="381"/>
        <v>Incomplete</v>
      </c>
      <c r="BB1202" s="64"/>
      <c r="BC1202" s="20" t="str">
        <f t="shared" si="382"/>
        <v>Incomplete</v>
      </c>
      <c r="BD1202" s="64"/>
      <c r="BE1202" s="20" t="str">
        <f t="shared" si="383"/>
        <v>Incomplete</v>
      </c>
      <c r="BF1202" s="64"/>
      <c r="BG1202" s="64"/>
      <c r="BH1202" s="20"/>
      <c r="BI1202" s="20" t="str">
        <f t="shared" si="379"/>
        <v>Incomplete</v>
      </c>
      <c r="BJ1202" s="66"/>
      <c r="BK1202" s="64">
        <v>13</v>
      </c>
      <c r="BL1202" s="66"/>
      <c r="BM1202" s="64">
        <v>13</v>
      </c>
      <c r="BN1202" s="66"/>
      <c r="BO1202" s="64"/>
      <c r="BP1202" s="64"/>
      <c r="BQ1202" s="64">
        <v>69</v>
      </c>
      <c r="BR1202" s="64">
        <v>80</v>
      </c>
      <c r="BS1202" s="64">
        <v>74</v>
      </c>
      <c r="BT1202" s="64">
        <v>70</v>
      </c>
      <c r="BU1202" s="64">
        <v>85</v>
      </c>
      <c r="BV1202" s="64">
        <v>68</v>
      </c>
      <c r="BW1202" s="91" t="str">
        <f t="shared" si="384"/>
        <v>Incomplete</v>
      </c>
      <c r="BX1202" s="91" t="str">
        <f>_xlfn.XLOOKUP(BW1202,'Normative data'!$V$3:$V$6,'Normative data'!$W$3:$W$6,"Not Found",-1)</f>
        <v>Very low risk</v>
      </c>
      <c r="BY1202" s="91" t="str">
        <f t="shared" si="385"/>
        <v>Incomplete</v>
      </c>
      <c r="BZ1202" s="91" t="str">
        <f>_xlfn.XLOOKUP(BY1202,'Normative data'!$V$3:$V$6,'Normative data'!$W$3:$W$6,"Not Found",-1)</f>
        <v>Very low risk</v>
      </c>
      <c r="CA1202" s="64">
        <v>26</v>
      </c>
      <c r="CB1202" s="66"/>
      <c r="CC1202" s="20"/>
      <c r="CD1202" s="66"/>
      <c r="CE1202" s="64">
        <v>20</v>
      </c>
      <c r="CF1202" s="66"/>
      <c r="CG1202" s="64">
        <v>20.59</v>
      </c>
      <c r="CH1202" s="20" t="str">
        <f>_xlfn.XLOOKUP(CG1202, 'Normative data'!$S$9:$S$15,'Normative data'!$T$9:$T$15, "Not Found", -1)</f>
        <v>Average</v>
      </c>
      <c r="CI1202" s="64">
        <v>19.28</v>
      </c>
      <c r="CJ1202" s="20" t="str">
        <f>_xlfn.XLOOKUP(CI1202, 'Normative data'!$S$9:$S$15, 'Normative data'!$T$9:$T$15, "Not Found", -1)</f>
        <v>Average</v>
      </c>
      <c r="CK1202" s="64">
        <v>2.37</v>
      </c>
      <c r="CL1202" s="64">
        <v>4.22</v>
      </c>
      <c r="CM1202" s="66"/>
      <c r="CN1202" s="64">
        <v>7.28</v>
      </c>
      <c r="CO1202" s="64">
        <v>6.87</v>
      </c>
      <c r="CP1202" s="68"/>
      <c r="CQ1202" s="67"/>
      <c r="CR1202" s="20" t="str" cm="1">
        <f t="array" ref="CR1202">IF(OR(ISBLANK(E1202),ISBLANK(CQ1202)),"Incomplete",_xlfn.XLOOKUP(CQ1202,_xlfn.XLOOKUP(E1202,'Normative data'!$Y$3:$Y$6,'Normative data'!$Z$3:$AG$6,,-1),'Normative data'!$Z$2:$AG$2,"Not Found",-1))</f>
        <v>Incomplete</v>
      </c>
      <c r="CS1202" s="68"/>
      <c r="CT1202" s="66"/>
      <c r="CU1202" s="20" t="str" cm="1">
        <f t="array" ref="CU1202">_xlfn.XLOOKUP(CS1202&amp;CT1202,(VLOOKUP!$A$3:$A$250)&amp;(VLOOKUP!$B$3:$B$250),VLOOKUP!$C$3:$C$250,"Incomplete",-1)</f>
        <v>Incomplete</v>
      </c>
      <c r="CV1202" s="20" t="str" cm="1">
        <f t="array" ref="CV1202">_xlfn.XLOOKUP(CU1202, _xlfn.XLOOKUP(E1202, 'Normative data'!$Y$11:$Y$14, 'Normative data'!$Z$11:$AG$14, ,-1), 'Normative data'!$Z$10:$AG$10, "Not Found", -1)</f>
        <v>Excellent</v>
      </c>
      <c r="CW1202" s="20" t="str" cm="1">
        <f t="array" ref="CW1202">IF(OR(ISBLANK(CS1202),ISBLANK(CT1202)),"Incomplete",_xlfn.XLOOKUP(CS1202&amp;CT1202,VLOOKUP!$A$4:$A$250&amp;VLOOKUP!$B$4:$B$250,VLOOKUP!$D$4:$D$250,"0"))</f>
        <v>Incomplete</v>
      </c>
    </row>
    <row r="1203" spans="1:101">
      <c r="A1203" s="69" t="s">
        <v>1157</v>
      </c>
      <c r="B1203" s="69" t="s">
        <v>1167</v>
      </c>
      <c r="C1203" s="69" t="s">
        <v>86</v>
      </c>
      <c r="D1203" s="77"/>
      <c r="E1203" s="69"/>
      <c r="F1203" s="75" t="s">
        <v>151</v>
      </c>
      <c r="G1203" s="64">
        <v>2026</v>
      </c>
      <c r="H1203" s="75"/>
      <c r="I1203" s="66">
        <v>2</v>
      </c>
      <c r="J1203" s="75" t="s">
        <v>122</v>
      </c>
      <c r="K1203" s="75" t="s">
        <v>228</v>
      </c>
      <c r="L1203" s="75"/>
      <c r="M1203" s="69"/>
      <c r="N1203" s="69"/>
      <c r="O1203" s="69"/>
      <c r="P1203" s="69"/>
      <c r="Q1203" s="69"/>
      <c r="R1203" s="69"/>
      <c r="S1203" s="75"/>
      <c r="T1203" s="75"/>
      <c r="U1203" s="69"/>
      <c r="V1203" s="69"/>
      <c r="W1203" s="69"/>
      <c r="X1203" s="69"/>
      <c r="Y1203" s="69"/>
      <c r="Z1203" s="69"/>
      <c r="AA1203" s="69"/>
      <c r="AB1203" s="69"/>
      <c r="AC1203" s="69"/>
      <c r="AD1203" s="69"/>
      <c r="AE1203" s="69"/>
      <c r="AF1203" s="69"/>
      <c r="AG1203" s="69"/>
      <c r="AH1203" s="69"/>
      <c r="AI1203" s="69"/>
      <c r="AJ1203" s="69"/>
      <c r="AK1203" s="69"/>
      <c r="AL1203" s="69"/>
      <c r="AM1203" s="69"/>
      <c r="AN1203" s="69"/>
      <c r="AO1203" s="69"/>
      <c r="AP1203" s="69"/>
      <c r="AQ1203" s="75"/>
      <c r="AR1203" s="75"/>
      <c r="AS1203" s="75"/>
      <c r="AT1203" s="75"/>
      <c r="AU1203" s="75"/>
      <c r="AV1203" s="75"/>
      <c r="AW1203" s="75"/>
      <c r="AX1203" s="75"/>
      <c r="AY1203" s="41" t="str">
        <f t="shared" si="380"/>
        <v>Incomplete</v>
      </c>
      <c r="AZ1203" s="64"/>
      <c r="BA1203" s="20" t="str">
        <f t="shared" si="381"/>
        <v>Incomplete</v>
      </c>
      <c r="BB1203" s="64"/>
      <c r="BC1203" s="20" t="str">
        <f t="shared" si="382"/>
        <v>Incomplete</v>
      </c>
      <c r="BD1203" s="64"/>
      <c r="BE1203" s="20" t="str">
        <f t="shared" si="383"/>
        <v>Incomplete</v>
      </c>
      <c r="BF1203" s="69"/>
      <c r="BG1203" s="69"/>
      <c r="BH1203" s="75"/>
      <c r="BI1203" s="20" t="str">
        <f t="shared" si="379"/>
        <v>Incomplete</v>
      </c>
      <c r="BJ1203" s="66"/>
      <c r="BK1203" s="69"/>
      <c r="BL1203" s="66"/>
      <c r="BM1203" s="75"/>
      <c r="BN1203" s="66"/>
      <c r="BO1203" s="69"/>
      <c r="BP1203" s="69"/>
      <c r="BQ1203" s="69"/>
      <c r="BR1203" s="69"/>
      <c r="BS1203" s="69"/>
      <c r="BT1203" s="69"/>
      <c r="BU1203" s="69"/>
      <c r="BV1203" s="69"/>
      <c r="BW1203" s="91" t="str">
        <f t="shared" si="384"/>
        <v>Incomplete</v>
      </c>
      <c r="BX1203" s="91" t="str">
        <f>_xlfn.XLOOKUP(BW1203,'Normative data'!$V$3:$V$6,'Normative data'!$W$3:$W$6,"Not Found",-1)</f>
        <v>Very low risk</v>
      </c>
      <c r="BY1203" s="91" t="str">
        <f t="shared" si="385"/>
        <v>Incomplete</v>
      </c>
      <c r="BZ1203" s="91" t="str">
        <f>_xlfn.XLOOKUP(BY1203,'Normative data'!$V$3:$V$6,'Normative data'!$W$3:$W$6,"Not Found",-1)</f>
        <v>Very low risk</v>
      </c>
      <c r="CA1203" s="69">
        <v>27</v>
      </c>
      <c r="CB1203" s="75"/>
      <c r="CC1203" s="20"/>
      <c r="CD1203" s="75"/>
      <c r="CE1203" s="69">
        <v>10</v>
      </c>
      <c r="CF1203" s="75"/>
      <c r="CG1203" s="64">
        <v>17.55</v>
      </c>
      <c r="CH1203" s="20" t="str">
        <f>_xlfn.XLOOKUP(CG1203, 'Normative data'!$S$9:$S$15,'Normative data'!$T$9:$T$15, "Not Found", -1)</f>
        <v>Above Average</v>
      </c>
      <c r="CI1203" s="64">
        <v>17.670000000000002</v>
      </c>
      <c r="CJ1203" s="20" t="str">
        <f>_xlfn.XLOOKUP(CI1203, 'Normative data'!$S$9:$S$15, 'Normative data'!$T$9:$T$15, "Not Found", -1)</f>
        <v>Above Average</v>
      </c>
      <c r="CK1203" s="69">
        <v>2.16</v>
      </c>
      <c r="CL1203" s="69">
        <v>4.63</v>
      </c>
      <c r="CM1203" s="75"/>
      <c r="CN1203" s="69">
        <v>6.5</v>
      </c>
      <c r="CO1203" s="69">
        <v>7.69</v>
      </c>
      <c r="CP1203" s="128"/>
      <c r="CQ1203" s="78"/>
      <c r="CR1203" s="20" t="str" cm="1">
        <f t="array" ref="CR1203">IF(OR(ISBLANK(E1203),ISBLANK(CQ1203)),"Incomplete",_xlfn.XLOOKUP(CQ1203,_xlfn.XLOOKUP(E1203,'Normative data'!$Y$3:$Y$6,'Normative data'!$Z$3:$AG$6,,-1),'Normative data'!$Z$2:$AG$2,"Not Found",-1))</f>
        <v>Incomplete</v>
      </c>
      <c r="CS1203" s="68"/>
      <c r="CT1203" s="66"/>
      <c r="CU1203" s="20" t="str" cm="1">
        <f t="array" ref="CU1203">_xlfn.XLOOKUP(CS1203&amp;CT1203,(VLOOKUP!$A$3:$A$250)&amp;(VLOOKUP!$B$3:$B$250),VLOOKUP!$C$3:$C$250,"Incomplete",-1)</f>
        <v>Incomplete</v>
      </c>
      <c r="CV1203" s="20" t="str" cm="1">
        <f t="array" ref="CV1203">_xlfn.XLOOKUP(CU1203, _xlfn.XLOOKUP(E1203, 'Normative data'!$Y$11:$Y$14, 'Normative data'!$Z$11:$AG$14, ,-1), 'Normative data'!$Z$10:$AG$10, "Not Found", -1)</f>
        <v>Excellent</v>
      </c>
      <c r="CW1203" s="20" t="str" cm="1">
        <f t="array" ref="CW1203">IF(OR(ISBLANK(CS1203),ISBLANK(CT1203)),"Incomplete",_xlfn.XLOOKUP(CS1203&amp;CT1203,VLOOKUP!$A$4:$A$250&amp;VLOOKUP!$B$4:$B$250,VLOOKUP!$D$4:$D$250,"0"))</f>
        <v>Incomplete</v>
      </c>
    </row>
    <row r="1204" spans="1:101">
      <c r="A1204" s="64" t="s">
        <v>916</v>
      </c>
      <c r="B1204" s="64" t="s">
        <v>917</v>
      </c>
      <c r="C1204" s="64" t="s">
        <v>86</v>
      </c>
      <c r="D1204" s="65">
        <v>40755</v>
      </c>
      <c r="E1204" s="64">
        <v>14.9</v>
      </c>
      <c r="F1204" s="66" t="s">
        <v>104</v>
      </c>
      <c r="G1204" s="64">
        <v>2026</v>
      </c>
      <c r="H1204" s="66"/>
      <c r="I1204" s="66">
        <v>2</v>
      </c>
      <c r="J1204" s="66" t="s">
        <v>122</v>
      </c>
      <c r="K1204" s="66" t="s">
        <v>297</v>
      </c>
      <c r="L1204" s="66" t="s">
        <v>224</v>
      </c>
      <c r="M1204" s="64"/>
      <c r="N1204" s="64"/>
      <c r="O1204" s="64"/>
      <c r="P1204" s="64"/>
      <c r="Q1204" s="64"/>
      <c r="R1204" s="64"/>
      <c r="S1204" s="66">
        <v>82</v>
      </c>
      <c r="T1204" s="66">
        <v>160.4</v>
      </c>
      <c r="U1204" s="64">
        <v>62.4</v>
      </c>
      <c r="V1204" s="64">
        <v>34.4</v>
      </c>
      <c r="W1204" s="64">
        <v>15.2</v>
      </c>
      <c r="X1204" s="64">
        <v>47.2</v>
      </c>
      <c r="Y1204" s="64">
        <v>26.1</v>
      </c>
      <c r="Z1204" s="64">
        <v>24.4</v>
      </c>
      <c r="AA1204" s="64">
        <v>24.4</v>
      </c>
      <c r="AB1204" s="64">
        <v>7.02</v>
      </c>
      <c r="AC1204" s="64">
        <v>111.8</v>
      </c>
      <c r="AD1204" s="64">
        <v>7.02</v>
      </c>
      <c r="AE1204" s="64">
        <v>111.8</v>
      </c>
      <c r="AF1204" s="64">
        <v>2.5</v>
      </c>
      <c r="AG1204" s="64">
        <v>116.6</v>
      </c>
      <c r="AH1204" s="64">
        <v>2.5</v>
      </c>
      <c r="AI1204" s="64">
        <v>115.8</v>
      </c>
      <c r="AJ1204" s="64">
        <v>261.39999999999998</v>
      </c>
      <c r="AK1204" s="64">
        <v>258.5</v>
      </c>
      <c r="AL1204" s="64">
        <v>226.2</v>
      </c>
      <c r="AM1204" s="64">
        <v>225.4</v>
      </c>
      <c r="AN1204" s="64">
        <v>97</v>
      </c>
      <c r="AO1204" s="64">
        <v>0.79</v>
      </c>
      <c r="AP1204" s="64">
        <v>7.3</v>
      </c>
      <c r="AQ1204" s="64">
        <v>27.3</v>
      </c>
      <c r="AR1204" s="64">
        <v>0.47199999999999998</v>
      </c>
      <c r="AS1204" s="64">
        <v>28.8</v>
      </c>
      <c r="AT1204" s="64">
        <v>0.48499999999999999</v>
      </c>
      <c r="AU1204" s="64">
        <v>13.1</v>
      </c>
      <c r="AV1204" s="64">
        <v>0.32700000000000001</v>
      </c>
      <c r="AW1204" s="64">
        <v>15.2</v>
      </c>
      <c r="AX1204" s="64">
        <v>0.35199999999999998</v>
      </c>
      <c r="AY1204" s="41">
        <f t="shared" si="380"/>
        <v>2428.83</v>
      </c>
      <c r="AZ1204" s="64"/>
      <c r="BA1204" s="20">
        <f t="shared" si="381"/>
        <v>2519.88</v>
      </c>
      <c r="BB1204" s="64"/>
      <c r="BC1204" s="20">
        <f t="shared" si="382"/>
        <v>1566.8899999999999</v>
      </c>
      <c r="BD1204" s="64"/>
      <c r="BE1204" s="20">
        <f t="shared" si="383"/>
        <v>1694.3599999999997</v>
      </c>
      <c r="BF1204" s="64"/>
      <c r="BG1204" s="64">
        <v>17.399999999999999</v>
      </c>
      <c r="BH1204" s="64">
        <v>51.4</v>
      </c>
      <c r="BI1204" s="20">
        <f t="shared" si="379"/>
        <v>34</v>
      </c>
      <c r="BJ1204" s="66"/>
      <c r="BK1204" s="64">
        <v>13</v>
      </c>
      <c r="BL1204" s="66"/>
      <c r="BM1204" s="64">
        <v>12.5</v>
      </c>
      <c r="BN1204" s="66"/>
      <c r="BO1204" s="64">
        <v>52</v>
      </c>
      <c r="BP1204" s="64">
        <v>50</v>
      </c>
      <c r="BQ1204" s="64">
        <v>83</v>
      </c>
      <c r="BR1204" s="64">
        <v>80</v>
      </c>
      <c r="BS1204" s="64">
        <v>82</v>
      </c>
      <c r="BT1204" s="64">
        <v>80</v>
      </c>
      <c r="BU1204" s="64">
        <v>77</v>
      </c>
      <c r="BV1204" s="64">
        <v>75</v>
      </c>
      <c r="BW1204" s="91">
        <f t="shared" si="384"/>
        <v>104.16666666666666</v>
      </c>
      <c r="BX1204" s="91" t="str">
        <f>_xlfn.XLOOKUP(BW1204,'Normative data'!$V$3:$V$6,'Normative data'!$W$3:$W$6,"Not Found",-1)</f>
        <v>Low risk</v>
      </c>
      <c r="BY1204" s="91">
        <f t="shared" si="385"/>
        <v>98.639455782312908</v>
      </c>
      <c r="BZ1204" s="91" t="str">
        <f>_xlfn.XLOOKUP(BY1204,'Normative data'!$V$3:$V$6,'Normative data'!$W$3:$W$6,"Not Found",-1)</f>
        <v>Low risk</v>
      </c>
      <c r="CA1204" s="64">
        <v>29</v>
      </c>
      <c r="CB1204" s="66"/>
      <c r="CC1204" s="20"/>
      <c r="CD1204" s="66"/>
      <c r="CE1204" s="64">
        <v>30</v>
      </c>
      <c r="CF1204" s="66"/>
      <c r="CG1204" s="66"/>
      <c r="CH1204" s="20" t="str">
        <f>_xlfn.XLOOKUP(CG1204, 'Normative data'!$S$9:$S$15,'Normative data'!$T$9:$T$15, "Not Found", -1)</f>
        <v>not completed</v>
      </c>
      <c r="CI1204" s="66"/>
      <c r="CJ1204" s="20" t="str">
        <f>_xlfn.XLOOKUP(CI1204, 'Normative data'!$S$9:$S$15, 'Normative data'!$T$9:$T$15, "Not Found", -1)</f>
        <v>not completed</v>
      </c>
      <c r="CK1204" s="64">
        <v>2.02</v>
      </c>
      <c r="CL1204" s="64">
        <v>4.95</v>
      </c>
      <c r="CM1204" s="66"/>
      <c r="CN1204" s="64">
        <v>6.35</v>
      </c>
      <c r="CO1204" s="64">
        <v>7.87</v>
      </c>
      <c r="CP1204" s="68"/>
      <c r="CQ1204" s="67"/>
      <c r="CR1204" s="20" t="str" cm="1">
        <f t="array" ref="CR1204">IF(OR(ISBLANK(E1204),ISBLANK(CQ1204)),"Incomplete",_xlfn.XLOOKUP(CQ1204,_xlfn.XLOOKUP(E1204,'Normative data'!$Y$3:$Y$6,'Normative data'!$Z$3:$AG$6,,-1),'Normative data'!$Z$2:$AG$2,"Not Found",-1))</f>
        <v>Incomplete</v>
      </c>
      <c r="CS1204" s="68"/>
      <c r="CT1204" s="66"/>
      <c r="CU1204" s="20" t="str" cm="1">
        <f t="array" ref="CU1204">_xlfn.XLOOKUP(CS1204&amp;CT1204,(VLOOKUP!$A$3:$A$250)&amp;(VLOOKUP!$B$3:$B$250),VLOOKUP!$C$3:$C$250,"Incomplete",-1)</f>
        <v>Incomplete</v>
      </c>
      <c r="CV1204" s="20" t="str" cm="1">
        <f t="array" ref="CV1204">_xlfn.XLOOKUP(CU1204, _xlfn.XLOOKUP(E1204, 'Normative data'!$Y$11:$Y$14, 'Normative data'!$Z$11:$AG$14, ,-1), 'Normative data'!$Z$10:$AG$10, "Not Found", -1)</f>
        <v>Excellent</v>
      </c>
      <c r="CW1204" s="20" t="str" cm="1">
        <f t="array" ref="CW1204">IF(OR(ISBLANK(CS1204),ISBLANK(CT1204)),"Incomplete",_xlfn.XLOOKUP(CS1204&amp;CT1204,VLOOKUP!$A$4:$A$250&amp;VLOOKUP!$B$4:$B$250,VLOOKUP!$D$4:$D$250,"0"))</f>
        <v>Incomplete</v>
      </c>
    </row>
    <row r="1205" spans="1:101">
      <c r="A1205" s="64" t="s">
        <v>1860</v>
      </c>
      <c r="B1205" s="64" t="s">
        <v>917</v>
      </c>
      <c r="C1205" s="64" t="s">
        <v>86</v>
      </c>
      <c r="D1205" s="65">
        <v>41044</v>
      </c>
      <c r="E1205" s="64">
        <v>13.9</v>
      </c>
      <c r="F1205" s="66" t="s">
        <v>235</v>
      </c>
      <c r="G1205" s="64">
        <v>2026</v>
      </c>
      <c r="H1205" s="66"/>
      <c r="I1205" s="66">
        <v>2</v>
      </c>
      <c r="J1205" s="66" t="s">
        <v>88</v>
      </c>
      <c r="K1205" s="66" t="s">
        <v>236</v>
      </c>
      <c r="L1205" s="66"/>
      <c r="M1205" s="64"/>
      <c r="N1205" s="64"/>
      <c r="O1205" s="64"/>
      <c r="P1205" s="64"/>
      <c r="Q1205" s="64"/>
      <c r="R1205" s="64"/>
      <c r="S1205" s="66">
        <v>87</v>
      </c>
      <c r="T1205" s="66">
        <v>162.69999999999999</v>
      </c>
      <c r="U1205" s="64">
        <v>69.8</v>
      </c>
      <c r="V1205" s="64">
        <v>33.5</v>
      </c>
      <c r="W1205" s="64">
        <v>24</v>
      </c>
      <c r="X1205" s="64">
        <v>45.8</v>
      </c>
      <c r="Y1205" s="64">
        <v>25.2</v>
      </c>
      <c r="Z1205" s="64">
        <v>26.4</v>
      </c>
      <c r="AA1205" s="64">
        <v>34.299999999999997</v>
      </c>
      <c r="AB1205" s="64">
        <v>6.69</v>
      </c>
      <c r="AC1205" s="64">
        <v>96.7</v>
      </c>
      <c r="AD1205" s="64">
        <v>6.64</v>
      </c>
      <c r="AE1205" s="64">
        <v>96</v>
      </c>
      <c r="AF1205" s="64">
        <v>3.4</v>
      </c>
      <c r="AG1205" s="64">
        <v>144.6</v>
      </c>
      <c r="AH1205" s="64">
        <v>3.4</v>
      </c>
      <c r="AI1205" s="64">
        <v>143.69999999999999</v>
      </c>
      <c r="AJ1205" s="64">
        <v>298.60000000000002</v>
      </c>
      <c r="AK1205" s="64">
        <v>302.3</v>
      </c>
      <c r="AL1205" s="64">
        <v>262.89999999999998</v>
      </c>
      <c r="AM1205" s="64">
        <v>267.39999999999998</v>
      </c>
      <c r="AN1205" s="64">
        <v>81</v>
      </c>
      <c r="AO1205" s="64">
        <v>0.93</v>
      </c>
      <c r="AP1205" s="64">
        <v>6.8</v>
      </c>
      <c r="AQ1205" s="64">
        <v>24.6</v>
      </c>
      <c r="AR1205" s="64">
        <v>0.44800000000000001</v>
      </c>
      <c r="AS1205" s="64">
        <v>27.1</v>
      </c>
      <c r="AT1205" s="64">
        <v>0.47</v>
      </c>
      <c r="AU1205" s="64">
        <v>11.9</v>
      </c>
      <c r="AV1205" s="64">
        <v>0.311</v>
      </c>
      <c r="AW1205" s="64">
        <v>14.3</v>
      </c>
      <c r="AX1205" s="64">
        <v>0.34200000000000003</v>
      </c>
      <c r="AY1205" s="41">
        <f t="shared" si="380"/>
        <v>2600.16</v>
      </c>
      <c r="AZ1205" s="64"/>
      <c r="BA1205" s="20">
        <f t="shared" si="381"/>
        <v>2751.91</v>
      </c>
      <c r="BB1205" s="64"/>
      <c r="BC1205" s="20">
        <f t="shared" si="382"/>
        <v>1829.2699999999995</v>
      </c>
      <c r="BD1205" s="64"/>
      <c r="BE1205" s="20">
        <f t="shared" si="383"/>
        <v>1974.9499999999998</v>
      </c>
      <c r="BF1205" s="64"/>
      <c r="BG1205" s="64">
        <v>13</v>
      </c>
      <c r="BH1205" s="17">
        <v>40</v>
      </c>
      <c r="BI1205" s="20">
        <f t="shared" si="379"/>
        <v>27</v>
      </c>
      <c r="BJ1205" s="66"/>
      <c r="BK1205" s="64">
        <v>8</v>
      </c>
      <c r="BL1205" s="66"/>
      <c r="BM1205" s="64">
        <v>7</v>
      </c>
      <c r="BN1205" s="66"/>
      <c r="BO1205" s="64">
        <v>56</v>
      </c>
      <c r="BP1205" s="64">
        <v>55</v>
      </c>
      <c r="BQ1205" s="64">
        <v>76</v>
      </c>
      <c r="BR1205" s="64">
        <v>74</v>
      </c>
      <c r="BS1205" s="64">
        <v>73</v>
      </c>
      <c r="BT1205" s="64">
        <v>81</v>
      </c>
      <c r="BU1205" s="64">
        <v>74</v>
      </c>
      <c r="BV1205" s="64">
        <v>71</v>
      </c>
      <c r="BW1205" s="91">
        <f t="shared" si="384"/>
        <v>98.194627917217105</v>
      </c>
      <c r="BX1205" s="91" t="str">
        <f>_xlfn.XLOOKUP(BW1205,'Normative data'!$V$3:$V$6,'Normative data'!$W$3:$W$6,"Not Found",-1)</f>
        <v>Low risk</v>
      </c>
      <c r="BY1205" s="91">
        <f t="shared" si="385"/>
        <v>99.515631880228995</v>
      </c>
      <c r="BZ1205" s="91" t="str">
        <f>_xlfn.XLOOKUP(BY1205,'Normative data'!$V$3:$V$6,'Normative data'!$W$3:$W$6,"Not Found",-1)</f>
        <v>Low risk</v>
      </c>
      <c r="CA1205" s="17">
        <v>50</v>
      </c>
      <c r="CB1205" s="66"/>
      <c r="CC1205" s="20"/>
      <c r="CD1205" s="66"/>
      <c r="CE1205" s="64">
        <v>15</v>
      </c>
      <c r="CF1205" s="66"/>
      <c r="CG1205" s="64"/>
      <c r="CH1205" s="20" t="str">
        <f>_xlfn.XLOOKUP(CG1205, 'Normative data'!$S$9:$S$15,'Normative data'!$T$9:$T$15, "Not Found", -1)</f>
        <v>not completed</v>
      </c>
      <c r="CI1205" s="64">
        <v>18.18</v>
      </c>
      <c r="CJ1205" s="20" t="str">
        <f>_xlfn.XLOOKUP(CI1205, 'Normative data'!$S$9:$S$15, 'Normative data'!$T$9:$T$15, "Not Found", -1)</f>
        <v>Average</v>
      </c>
      <c r="CK1205" s="64">
        <v>2.2999999999999998</v>
      </c>
      <c r="CL1205" s="64">
        <v>4.3499999999999996</v>
      </c>
      <c r="CM1205" s="66"/>
      <c r="CN1205" s="64">
        <v>7.58</v>
      </c>
      <c r="CO1205" s="64">
        <v>6.6</v>
      </c>
      <c r="CP1205" s="68"/>
      <c r="CQ1205" s="67">
        <v>6.4</v>
      </c>
      <c r="CR1205" s="20" t="str" cm="1">
        <f t="array" ref="CR1205">IF(OR(ISBLANK(E1205),ISBLANK(CQ1205)),"Incomplete",_xlfn.XLOOKUP(CQ1205,_xlfn.XLOOKUP(E1205,'Normative data'!$Y$3:$Y$6,'Normative data'!$Z$3:$AG$6,,-1),'Normative data'!$Z$2:$AG$2,"Not Found",-1))</f>
        <v>Good</v>
      </c>
      <c r="CS1205" s="68">
        <v>6</v>
      </c>
      <c r="CT1205" s="66">
        <v>4</v>
      </c>
      <c r="CU1205" s="20" cm="1">
        <f t="array" ref="CU1205">_xlfn.XLOOKUP(CS1205&amp;CT1205,(VLOOKUP!$A$3:$A$250)&amp;(VLOOKUP!$B$3:$B$250),VLOOKUP!$C$3:$C$250,"Incomplete",-1)</f>
        <v>900</v>
      </c>
      <c r="CV1205" s="20" t="str" cm="1">
        <f t="array" ref="CV1205">_xlfn.XLOOKUP(CU1205, _xlfn.XLOOKUP(E1205, 'Normative data'!$Y$11:$Y$14, 'Normative data'!$Z$11:$AG$14, ,-1), 'Normative data'!$Z$10:$AG$10, "Not Found", -1)</f>
        <v xml:space="preserve">Good </v>
      </c>
      <c r="CW1205" s="20" cm="1">
        <f t="array" ref="CW1205">IF(OR(ISBLANK(CS1205),ISBLANK(CT1205)),"Incomplete",_xlfn.XLOOKUP(CS1205&amp;CT1205,VLOOKUP!$A$4:$A$250&amp;VLOOKUP!$B$4:$B$250,VLOOKUP!$D$4:$D$250,"0"))</f>
        <v>34</v>
      </c>
    </row>
    <row r="1206" spans="1:101">
      <c r="A1206" s="79" t="s">
        <v>1171</v>
      </c>
      <c r="B1206" s="79" t="s">
        <v>917</v>
      </c>
      <c r="C1206" s="79" t="s">
        <v>86</v>
      </c>
      <c r="D1206" s="80">
        <v>40567</v>
      </c>
      <c r="E1206" s="79">
        <v>15.3</v>
      </c>
      <c r="F1206" s="81" t="s">
        <v>104</v>
      </c>
      <c r="G1206" s="64">
        <v>2026</v>
      </c>
      <c r="H1206" s="81"/>
      <c r="I1206" s="66">
        <v>2</v>
      </c>
      <c r="J1206" s="81" t="s">
        <v>88</v>
      </c>
      <c r="K1206" s="81" t="s">
        <v>218</v>
      </c>
      <c r="L1206" s="81"/>
      <c r="M1206" s="79"/>
      <c r="N1206" s="79"/>
      <c r="O1206" s="79"/>
      <c r="P1206" s="79"/>
      <c r="Q1206" s="79"/>
      <c r="R1206" s="79"/>
      <c r="S1206" s="81">
        <v>84.6</v>
      </c>
      <c r="T1206" s="81">
        <v>160</v>
      </c>
      <c r="U1206" s="79">
        <v>48.7</v>
      </c>
      <c r="V1206" s="79">
        <v>27.7</v>
      </c>
      <c r="W1206" s="79">
        <v>10.8</v>
      </c>
      <c r="X1206" s="79">
        <v>37.9</v>
      </c>
      <c r="Y1206" s="79">
        <v>20.5</v>
      </c>
      <c r="Z1206" s="79">
        <v>19</v>
      </c>
      <c r="AA1206" s="79">
        <v>22.1</v>
      </c>
      <c r="AB1206" s="79">
        <v>5.76</v>
      </c>
      <c r="AC1206" s="79">
        <v>102.4</v>
      </c>
      <c r="AD1206" s="79">
        <v>5.78</v>
      </c>
      <c r="AE1206" s="79">
        <v>102.6</v>
      </c>
      <c r="AF1206" s="79">
        <v>1.8</v>
      </c>
      <c r="AG1206" s="79">
        <v>84.1</v>
      </c>
      <c r="AH1206" s="79">
        <v>1.8</v>
      </c>
      <c r="AI1206" s="79">
        <v>84.4</v>
      </c>
      <c r="AJ1206" s="79">
        <v>312.5</v>
      </c>
      <c r="AK1206" s="79">
        <v>311.2</v>
      </c>
      <c r="AL1206" s="79">
        <v>278.3</v>
      </c>
      <c r="AM1206" s="79">
        <v>275.5</v>
      </c>
      <c r="AN1206" s="79">
        <v>98</v>
      </c>
      <c r="AO1206" s="79">
        <v>0.81</v>
      </c>
      <c r="AP1206" s="79">
        <v>5.8</v>
      </c>
      <c r="AQ1206" s="64">
        <v>27.7</v>
      </c>
      <c r="AR1206" s="64">
        <v>0.47499999999999998</v>
      </c>
      <c r="AS1206" s="64">
        <v>34.299999999999997</v>
      </c>
      <c r="AT1206" s="64">
        <v>0.52900000000000003</v>
      </c>
      <c r="AU1206" s="64">
        <v>17.399999999999999</v>
      </c>
      <c r="AV1206" s="64">
        <v>0.377</v>
      </c>
      <c r="AW1206" s="64">
        <v>15.5</v>
      </c>
      <c r="AX1206" s="64">
        <v>0.35599999999999998</v>
      </c>
      <c r="AY1206" s="41">
        <f t="shared" si="380"/>
        <v>1832.5</v>
      </c>
      <c r="AZ1206" s="64"/>
      <c r="BA1206" s="20">
        <f t="shared" si="381"/>
        <v>2233.12</v>
      </c>
      <c r="BB1206" s="64"/>
      <c r="BC1206" s="20">
        <f t="shared" si="382"/>
        <v>1207.29</v>
      </c>
      <c r="BD1206" s="64"/>
      <c r="BE1206" s="20">
        <f t="shared" si="383"/>
        <v>1091.96</v>
      </c>
      <c r="BF1206" s="79"/>
      <c r="BG1206" s="79">
        <v>11.3</v>
      </c>
      <c r="BH1206" s="17">
        <v>37.4</v>
      </c>
      <c r="BI1206" s="20">
        <f t="shared" si="379"/>
        <v>26.099999999999998</v>
      </c>
      <c r="BJ1206" s="66"/>
      <c r="BK1206" s="64">
        <v>6</v>
      </c>
      <c r="BL1206" s="66"/>
      <c r="BM1206" s="64">
        <v>4</v>
      </c>
      <c r="BN1206" s="66"/>
      <c r="BO1206" s="64">
        <v>45.5</v>
      </c>
      <c r="BP1206" s="64">
        <v>43.5</v>
      </c>
      <c r="BQ1206" s="64">
        <v>72</v>
      </c>
      <c r="BR1206" s="64">
        <v>85</v>
      </c>
      <c r="BS1206" s="64">
        <v>80</v>
      </c>
      <c r="BT1206" s="64">
        <v>81</v>
      </c>
      <c r="BU1206" s="64">
        <v>80</v>
      </c>
      <c r="BV1206" s="64">
        <v>83</v>
      </c>
      <c r="BW1206" s="91">
        <f t="shared" si="384"/>
        <v>104.77453580901856</v>
      </c>
      <c r="BX1206" s="91" t="str">
        <f>_xlfn.XLOOKUP(BW1206,'Normative data'!$V$3:$V$6,'Normative data'!$W$3:$W$6,"Not Found",-1)</f>
        <v>Low risk</v>
      </c>
      <c r="BY1206" s="91">
        <f t="shared" si="385"/>
        <v>107.86914235190098</v>
      </c>
      <c r="BZ1206" s="91" t="str">
        <f>_xlfn.XLOOKUP(BY1206,'Normative data'!$V$3:$V$6,'Normative data'!$W$3:$W$6,"Not Found",-1)</f>
        <v>Low risk</v>
      </c>
      <c r="CA1206" s="79">
        <v>26</v>
      </c>
      <c r="CB1206" s="81"/>
      <c r="CC1206" s="20"/>
      <c r="CD1206" s="81"/>
      <c r="CE1206" s="79">
        <v>8</v>
      </c>
      <c r="CF1206" s="81"/>
      <c r="CG1206" s="64">
        <v>18.239999999999998</v>
      </c>
      <c r="CH1206" s="20" t="str">
        <f>_xlfn.XLOOKUP(CG1206, 'Normative data'!$S$9:$S$15,'Normative data'!$T$9:$T$15, "Not Found", -1)</f>
        <v>Average</v>
      </c>
      <c r="CI1206" s="64">
        <v>17.86</v>
      </c>
      <c r="CJ1206" s="20" t="str">
        <f>_xlfn.XLOOKUP(CI1206, 'Normative data'!$S$9:$S$15, 'Normative data'!$T$9:$T$15, "Not Found", -1)</f>
        <v>Above Average</v>
      </c>
      <c r="CK1206" s="79">
        <v>2.0099999999999998</v>
      </c>
      <c r="CL1206" s="79">
        <v>4.9800000000000004</v>
      </c>
      <c r="CM1206" s="81"/>
      <c r="CN1206" s="79">
        <v>6.48</v>
      </c>
      <c r="CO1206" s="79">
        <v>7.72</v>
      </c>
      <c r="CP1206" s="129"/>
      <c r="CQ1206" s="82"/>
      <c r="CR1206" s="20" t="str" cm="1">
        <f t="array" ref="CR1206">IF(OR(ISBLANK(E1206),ISBLANK(CQ1206)),"Incomplete",_xlfn.XLOOKUP(CQ1206,_xlfn.XLOOKUP(E1206,'Normative data'!$Y$3:$Y$6,'Normative data'!$Z$3:$AG$6,,-1),'Normative data'!$Z$2:$AG$2,"Not Found",-1))</f>
        <v>Incomplete</v>
      </c>
      <c r="CS1206" s="68"/>
      <c r="CT1206" s="66"/>
      <c r="CU1206" s="20" t="str" cm="1">
        <f t="array" ref="CU1206">_xlfn.XLOOKUP(CS1206&amp;CT1206,(VLOOKUP!$A$3:$A$250)&amp;(VLOOKUP!$B$3:$B$250),VLOOKUP!$C$3:$C$250,"Incomplete",-1)</f>
        <v>Incomplete</v>
      </c>
      <c r="CV1206" s="20" t="str" cm="1">
        <f t="array" ref="CV1206">_xlfn.XLOOKUP(CU1206, _xlfn.XLOOKUP(E1206, 'Normative data'!$Y$11:$Y$14, 'Normative data'!$Z$11:$AG$14, ,-1), 'Normative data'!$Z$10:$AG$10, "Not Found", -1)</f>
        <v>Excellent</v>
      </c>
      <c r="CW1206" s="20" t="str" cm="1">
        <f t="array" ref="CW1206">IF(OR(ISBLANK(CS1206),ISBLANK(CT1206)),"Incomplete",_xlfn.XLOOKUP(CS1206&amp;CT1206,VLOOKUP!$A$4:$A$250&amp;VLOOKUP!$B$4:$B$250,VLOOKUP!$D$4:$D$250,"0"))</f>
        <v>Incomplete</v>
      </c>
    </row>
    <row r="1207" spans="1:101">
      <c r="A1207" s="64" t="s">
        <v>1180</v>
      </c>
      <c r="B1207" s="64" t="s">
        <v>917</v>
      </c>
      <c r="C1207" s="64" t="s">
        <v>86</v>
      </c>
      <c r="D1207" s="65"/>
      <c r="E1207" s="64"/>
      <c r="F1207" s="66" t="s">
        <v>104</v>
      </c>
      <c r="G1207" s="64">
        <v>2026</v>
      </c>
      <c r="H1207" s="66"/>
      <c r="I1207" s="66">
        <v>2</v>
      </c>
      <c r="J1207" s="66"/>
      <c r="K1207" s="66"/>
      <c r="L1207" s="66"/>
      <c r="M1207" s="64"/>
      <c r="N1207" s="64"/>
      <c r="O1207" s="64"/>
      <c r="P1207" s="64"/>
      <c r="Q1207" s="64"/>
      <c r="R1207" s="64"/>
      <c r="S1207" s="66">
        <v>81.8</v>
      </c>
      <c r="T1207" s="66">
        <v>157.5</v>
      </c>
      <c r="U1207" s="64"/>
      <c r="V1207" s="64"/>
      <c r="W1207" s="64"/>
      <c r="X1207" s="64"/>
      <c r="Y1207" s="64"/>
      <c r="Z1207" s="64"/>
      <c r="AA1207" s="64"/>
      <c r="AB1207" s="64"/>
      <c r="AC1207" s="64"/>
      <c r="AD1207" s="64"/>
      <c r="AE1207" s="64"/>
      <c r="AF1207" s="64"/>
      <c r="AG1207" s="64"/>
      <c r="AH1207" s="64"/>
      <c r="AI1207" s="64"/>
      <c r="AJ1207" s="64"/>
      <c r="AK1207" s="64"/>
      <c r="AL1207" s="64"/>
      <c r="AM1207" s="64"/>
      <c r="AN1207" s="64"/>
      <c r="AO1207" s="64"/>
      <c r="AP1207" s="64"/>
      <c r="AQ1207" s="66"/>
      <c r="AR1207" s="66"/>
      <c r="AS1207" s="66"/>
      <c r="AT1207" s="66"/>
      <c r="AU1207" s="66"/>
      <c r="AV1207" s="66"/>
      <c r="AW1207" s="66"/>
      <c r="AX1207" s="66"/>
      <c r="AY1207" s="41" t="str">
        <f t="shared" si="380"/>
        <v>Incomplete</v>
      </c>
      <c r="AZ1207" s="64"/>
      <c r="BA1207" s="20" t="str">
        <f t="shared" si="381"/>
        <v>Incomplete</v>
      </c>
      <c r="BB1207" s="64"/>
      <c r="BC1207" s="20" t="str">
        <f t="shared" si="382"/>
        <v>Incomplete</v>
      </c>
      <c r="BD1207" s="64"/>
      <c r="BE1207" s="20" t="str">
        <f t="shared" si="383"/>
        <v>Incomplete</v>
      </c>
      <c r="BF1207" s="64"/>
      <c r="BG1207" s="64">
        <v>13.1</v>
      </c>
      <c r="BH1207" s="64">
        <v>30.9</v>
      </c>
      <c r="BI1207" s="20">
        <f t="shared" si="379"/>
        <v>17.799999999999997</v>
      </c>
      <c r="BJ1207" s="66"/>
      <c r="BK1207" s="64"/>
      <c r="BL1207" s="66"/>
      <c r="BM1207" s="66"/>
      <c r="BN1207" s="66"/>
      <c r="BO1207" s="64"/>
      <c r="BP1207" s="64"/>
      <c r="BQ1207" s="64"/>
      <c r="BR1207" s="64"/>
      <c r="BS1207" s="64"/>
      <c r="BT1207" s="64"/>
      <c r="BU1207" s="64"/>
      <c r="BV1207" s="64"/>
      <c r="BW1207" s="91">
        <f t="shared" si="384"/>
        <v>0</v>
      </c>
      <c r="BX1207" s="91" t="str">
        <f>_xlfn.XLOOKUP(BW1207,'Normative data'!$V$3:$V$6,'Normative data'!$W$3:$W$6,"Not Found",-1)</f>
        <v>Not completed</v>
      </c>
      <c r="BY1207" s="91">
        <f t="shared" si="385"/>
        <v>0</v>
      </c>
      <c r="BZ1207" s="91" t="str">
        <f>_xlfn.XLOOKUP(BY1207,'Normative data'!$V$3:$V$6,'Normative data'!$W$3:$W$6,"Not Found",-1)</f>
        <v>Not completed</v>
      </c>
      <c r="CA1207" s="64"/>
      <c r="CB1207" s="66"/>
      <c r="CD1207" s="66"/>
      <c r="CE1207" s="64"/>
      <c r="CF1207" s="66"/>
      <c r="CG1207" s="66"/>
      <c r="CH1207" s="20" t="str">
        <f>_xlfn.XLOOKUP(CG1207, 'Normative data'!$S$9:$S$15,'Normative data'!$T$9:$T$15, "Not Found", -1)</f>
        <v>not completed</v>
      </c>
      <c r="CI1207" s="66"/>
      <c r="CJ1207" s="20" t="str">
        <f>_xlfn.XLOOKUP(CI1207, 'Normative data'!$S$9:$S$15, 'Normative data'!$T$9:$T$15, "Not Found", -1)</f>
        <v>not completed</v>
      </c>
      <c r="CK1207" s="105"/>
      <c r="CL1207" s="105"/>
      <c r="CM1207" s="105"/>
      <c r="CN1207" s="105"/>
      <c r="CO1207" s="105"/>
      <c r="CP1207" s="68"/>
      <c r="CQ1207" s="67"/>
      <c r="CR1207" s="20" t="str" cm="1">
        <f t="array" ref="CR1207">IF(OR(ISBLANK(E1207),ISBLANK(CQ1207)),"Incomplete",_xlfn.XLOOKUP(CQ1207,_xlfn.XLOOKUP(E1207,'Normative data'!$Y$3:$Y$6,'Normative data'!$Z$3:$AG$6,,-1),'Normative data'!$Z$2:$AG$2,"Not Found",-1))</f>
        <v>Incomplete</v>
      </c>
      <c r="CS1207" s="68"/>
      <c r="CT1207" s="66"/>
      <c r="CU1207" s="20" t="str" cm="1">
        <f t="array" ref="CU1207">_xlfn.XLOOKUP(CS1207&amp;CT1207,(VLOOKUP!$A$3:$A$250)&amp;(VLOOKUP!$B$3:$B$250),VLOOKUP!$C$3:$C$250,"Incomplete",-1)</f>
        <v>Incomplete</v>
      </c>
      <c r="CV1207" s="20" t="str" cm="1">
        <f t="array" ref="CV1207">_xlfn.XLOOKUP(CU1207, _xlfn.XLOOKUP(E1207, 'Normative data'!$Y$11:$Y$14, 'Normative data'!$Z$11:$AG$14, ,-1), 'Normative data'!$Z$10:$AG$10, "Not Found", -1)</f>
        <v>Excellent</v>
      </c>
      <c r="CW1207" s="20" t="str" cm="1">
        <f t="array" ref="CW1207">IF(OR(ISBLANK(CS1207),ISBLANK(CT1207)),"Incomplete",_xlfn.XLOOKUP(CS1207&amp;CT1207,VLOOKUP!$A$4:$A$250&amp;VLOOKUP!$B$4:$B$250,VLOOKUP!$D$4:$D$250,"0"))</f>
        <v>Incomplete</v>
      </c>
    </row>
    <row r="1208" spans="1:101">
      <c r="A1208" s="59" t="s">
        <v>1532</v>
      </c>
      <c r="B1208" s="59" t="s">
        <v>917</v>
      </c>
      <c r="C1208" s="59" t="s">
        <v>86</v>
      </c>
      <c r="D1208" s="60"/>
      <c r="E1208" s="59"/>
      <c r="F1208" s="61" t="s">
        <v>104</v>
      </c>
      <c r="G1208" s="64">
        <v>2026</v>
      </c>
      <c r="H1208" s="61"/>
      <c r="I1208" s="66">
        <v>2</v>
      </c>
      <c r="J1208" s="61"/>
      <c r="K1208" s="61"/>
      <c r="L1208" s="61"/>
      <c r="M1208" s="59"/>
      <c r="N1208" s="59"/>
      <c r="O1208" s="59"/>
      <c r="P1208" s="59"/>
      <c r="Q1208" s="59"/>
      <c r="R1208" s="59"/>
      <c r="S1208" s="61">
        <v>85.7</v>
      </c>
      <c r="T1208" s="61">
        <v>162.4</v>
      </c>
      <c r="U1208" s="59"/>
      <c r="V1208" s="59"/>
      <c r="W1208" s="59"/>
      <c r="X1208" s="59"/>
      <c r="Y1208" s="59"/>
      <c r="Z1208" s="59"/>
      <c r="AA1208" s="59"/>
      <c r="AB1208" s="59"/>
      <c r="AC1208" s="59"/>
      <c r="AD1208" s="59"/>
      <c r="AE1208" s="59"/>
      <c r="AF1208" s="59"/>
      <c r="AG1208" s="59"/>
      <c r="AH1208" s="59"/>
      <c r="AI1208" s="59"/>
      <c r="AJ1208" s="59"/>
      <c r="AK1208" s="59"/>
      <c r="AL1208" s="59"/>
      <c r="AM1208" s="59"/>
      <c r="AN1208" s="59"/>
      <c r="AO1208" s="59"/>
      <c r="AP1208" s="59"/>
      <c r="AQ1208" s="64"/>
      <c r="AR1208" s="64"/>
      <c r="AS1208" s="64"/>
      <c r="AT1208" s="64"/>
      <c r="AU1208" s="64"/>
      <c r="AV1208" s="64"/>
      <c r="AW1208" s="64"/>
      <c r="AX1208" s="64"/>
      <c r="AY1208" s="41" t="str">
        <f t="shared" si="380"/>
        <v>Incomplete</v>
      </c>
      <c r="AZ1208" s="64"/>
      <c r="BA1208" s="20" t="str">
        <f t="shared" si="381"/>
        <v>Incomplete</v>
      </c>
      <c r="BB1208" s="64"/>
      <c r="BC1208" s="20" t="str">
        <f t="shared" si="382"/>
        <v>Incomplete</v>
      </c>
      <c r="BD1208" s="64"/>
      <c r="BE1208" s="20" t="str">
        <f t="shared" si="383"/>
        <v>Incomplete</v>
      </c>
      <c r="BF1208" s="59"/>
      <c r="BG1208" s="59">
        <v>10</v>
      </c>
      <c r="BH1208" s="59">
        <v>35.5</v>
      </c>
      <c r="BI1208" s="20">
        <f t="shared" si="379"/>
        <v>25.5</v>
      </c>
      <c r="BJ1208" s="66"/>
      <c r="BK1208" s="64">
        <v>6</v>
      </c>
      <c r="BL1208" s="66"/>
      <c r="BM1208" s="64">
        <v>6</v>
      </c>
      <c r="BN1208" s="66"/>
      <c r="BO1208" s="64">
        <v>44.5</v>
      </c>
      <c r="BP1208" s="64">
        <v>45.5</v>
      </c>
      <c r="BQ1208" s="64">
        <v>71</v>
      </c>
      <c r="BR1208" s="64">
        <v>74</v>
      </c>
      <c r="BS1208" s="64">
        <v>70</v>
      </c>
      <c r="BT1208" s="64">
        <v>67</v>
      </c>
      <c r="BU1208" s="64">
        <v>71</v>
      </c>
      <c r="BV1208" s="64">
        <v>70</v>
      </c>
      <c r="BW1208" s="91">
        <f t="shared" si="384"/>
        <v>93.437635810517165</v>
      </c>
      <c r="BX1208" s="91" t="str">
        <f>_xlfn.XLOOKUP(BW1208,'Normative data'!$V$3:$V$6,'Normative data'!$W$3:$W$6,"Not Found",-1)</f>
        <v>High risk</v>
      </c>
      <c r="BY1208" s="91">
        <f t="shared" si="385"/>
        <v>90.395480225988692</v>
      </c>
      <c r="BZ1208" s="91" t="str">
        <f>_xlfn.XLOOKUP(BY1208,'Normative data'!$V$3:$V$6,'Normative data'!$W$3:$W$6,"Not Found",-1)</f>
        <v>High risk</v>
      </c>
      <c r="CA1208" s="64">
        <v>31</v>
      </c>
      <c r="CB1208" s="66"/>
      <c r="CC1208" s="66"/>
      <c r="CD1208" s="66"/>
      <c r="CE1208" s="64">
        <v>16</v>
      </c>
      <c r="CF1208" s="61"/>
      <c r="CG1208" s="64">
        <v>18.29</v>
      </c>
      <c r="CH1208" s="20" t="str">
        <f>_xlfn.XLOOKUP(CG1208, 'Normative data'!$S$9:$S$15,'Normative data'!$T$9:$T$15, "Not Found", -1)</f>
        <v>Average</v>
      </c>
      <c r="CI1208" s="64">
        <v>18.23</v>
      </c>
      <c r="CJ1208" s="20" t="str">
        <f>_xlfn.XLOOKUP(CI1208, 'Normative data'!$S$9:$S$15, 'Normative data'!$T$9:$T$15, "Not Found", -1)</f>
        <v>Average</v>
      </c>
      <c r="CK1208" s="17">
        <v>2.4</v>
      </c>
      <c r="CL1208" s="17">
        <v>4.17</v>
      </c>
      <c r="CN1208" s="17">
        <v>7.32</v>
      </c>
      <c r="CO1208" s="17">
        <v>6.83</v>
      </c>
      <c r="CP1208" s="63"/>
      <c r="CQ1208" s="62"/>
      <c r="CR1208" s="20" t="str" cm="1">
        <f t="array" ref="CR1208">IF(OR(ISBLANK(E1208),ISBLANK(CQ1208)),"Incomplete",_xlfn.XLOOKUP(CQ1208,_xlfn.XLOOKUP(E1208,'Normative data'!$Y$3:$Y$6,'Normative data'!$Z$3:$AG$6,,-1),'Normative data'!$Z$2:$AG$2,"Not Found",-1))</f>
        <v>Incomplete</v>
      </c>
      <c r="CS1208" s="68"/>
      <c r="CT1208" s="66"/>
      <c r="CU1208" s="20" t="str" cm="1">
        <f t="array" ref="CU1208">_xlfn.XLOOKUP(CS1208&amp;CT1208,(VLOOKUP!$A$3:$A$250)&amp;(VLOOKUP!$B$3:$B$250),VLOOKUP!$C$3:$C$250,"Incomplete",-1)</f>
        <v>Incomplete</v>
      </c>
      <c r="CV1208" s="20" t="str" cm="1">
        <f t="array" ref="CV1208">_xlfn.XLOOKUP(CU1208, _xlfn.XLOOKUP(E1208, 'Normative data'!$Y$11:$Y$14, 'Normative data'!$Z$11:$AG$14, ,-1), 'Normative data'!$Z$10:$AG$10, "Not Found", -1)</f>
        <v>Excellent</v>
      </c>
      <c r="CW1208" s="20" t="str" cm="1">
        <f t="array" ref="CW1208">IF(OR(ISBLANK(CS1208),ISBLANK(CT1208)),"Incomplete",_xlfn.XLOOKUP(CS1208&amp;CT1208,VLOOKUP!$A$4:$A$250&amp;VLOOKUP!$B$4:$B$250,VLOOKUP!$D$4:$D$250,"0"))</f>
        <v>Incomplete</v>
      </c>
    </row>
    <row r="1209" spans="1:101">
      <c r="A1209" s="64" t="s">
        <v>1398</v>
      </c>
      <c r="B1209" s="64" t="s">
        <v>917</v>
      </c>
      <c r="C1209" s="64" t="s">
        <v>86</v>
      </c>
      <c r="D1209" s="65">
        <v>39989</v>
      </c>
      <c r="E1209" s="64">
        <v>16.8</v>
      </c>
      <c r="F1209" s="66" t="s">
        <v>110</v>
      </c>
      <c r="G1209" s="64">
        <v>2026</v>
      </c>
      <c r="H1209" s="66"/>
      <c r="I1209" s="66">
        <v>2</v>
      </c>
      <c r="J1209" s="66" t="s">
        <v>100</v>
      </c>
      <c r="K1209" s="66" t="s">
        <v>95</v>
      </c>
      <c r="L1209" s="66"/>
      <c r="M1209" s="64"/>
      <c r="N1209" s="64"/>
      <c r="O1209" s="64"/>
      <c r="P1209" s="64"/>
      <c r="Q1209" s="64"/>
      <c r="R1209" s="64"/>
      <c r="S1209" s="66">
        <v>84.4</v>
      </c>
      <c r="T1209" s="66">
        <v>164.2</v>
      </c>
      <c r="U1209" s="69">
        <v>61.8</v>
      </c>
      <c r="V1209" s="69">
        <v>34.1</v>
      </c>
      <c r="W1209" s="69">
        <v>14.9</v>
      </c>
      <c r="X1209" s="69">
        <v>46.9</v>
      </c>
      <c r="Y1209" s="69">
        <v>25.8</v>
      </c>
      <c r="Z1209" s="69">
        <v>22.9</v>
      </c>
      <c r="AA1209" s="69">
        <v>24.2</v>
      </c>
      <c r="AB1209" s="69">
        <v>6.87</v>
      </c>
      <c r="AC1209" s="64">
        <v>100.6</v>
      </c>
      <c r="AD1209" s="64">
        <v>6.74</v>
      </c>
      <c r="AE1209" s="64">
        <v>98.7</v>
      </c>
      <c r="AF1209" s="64">
        <v>2.2999999999999998</v>
      </c>
      <c r="AG1209" s="64">
        <v>92.6</v>
      </c>
      <c r="AH1209" s="64">
        <v>2.2999999999999998</v>
      </c>
      <c r="AI1209" s="64">
        <v>92.1</v>
      </c>
      <c r="AJ1209" s="64">
        <v>304.8</v>
      </c>
      <c r="AK1209" s="64">
        <v>318.39999999999998</v>
      </c>
      <c r="AL1209" s="64">
        <v>266.7</v>
      </c>
      <c r="AM1209" s="64">
        <v>277.89999999999998</v>
      </c>
      <c r="AN1209" s="64">
        <v>103</v>
      </c>
      <c r="AO1209" s="64">
        <v>0.85</v>
      </c>
      <c r="AP1209" s="64">
        <v>6.8</v>
      </c>
      <c r="AQ1209" s="64">
        <v>304.8</v>
      </c>
      <c r="AR1209" s="64">
        <v>318.39999999999998</v>
      </c>
      <c r="AS1209" s="64">
        <v>266.7</v>
      </c>
      <c r="AT1209" s="64">
        <v>277.89999999999998</v>
      </c>
      <c r="AU1209" s="64">
        <v>103</v>
      </c>
      <c r="AV1209" s="64"/>
      <c r="AW1209" s="64"/>
      <c r="AX1209" s="64"/>
      <c r="AY1209" s="41">
        <f t="shared" si="380"/>
        <v>19245.900000000001</v>
      </c>
      <c r="AZ1209" s="64"/>
      <c r="BA1209" s="20">
        <f t="shared" si="381"/>
        <v>16933.23</v>
      </c>
      <c r="BB1209" s="64"/>
      <c r="BC1209" s="20">
        <f t="shared" si="382"/>
        <v>6996.6399999999994</v>
      </c>
      <c r="BD1209" s="64"/>
      <c r="BE1209" s="20" t="str">
        <f t="shared" si="383"/>
        <v>Incomplete</v>
      </c>
      <c r="BF1209" s="64"/>
      <c r="BG1209" s="64">
        <v>9.1999999999999993</v>
      </c>
      <c r="BH1209" s="64">
        <v>38.4</v>
      </c>
      <c r="BI1209" s="20">
        <f t="shared" si="379"/>
        <v>29.2</v>
      </c>
      <c r="BJ1209" s="66"/>
      <c r="BK1209" s="64"/>
      <c r="BL1209" s="66"/>
      <c r="BM1209" s="64"/>
      <c r="BN1209" s="66"/>
      <c r="BO1209" s="64"/>
      <c r="BP1209" s="64"/>
      <c r="BQ1209" s="64">
        <v>75</v>
      </c>
      <c r="BR1209" s="64">
        <v>80</v>
      </c>
      <c r="BS1209" s="64">
        <v>81</v>
      </c>
      <c r="BT1209" s="64">
        <v>70</v>
      </c>
      <c r="BU1209" s="64">
        <v>81</v>
      </c>
      <c r="BV1209" s="64">
        <v>78</v>
      </c>
      <c r="BW1209" s="91">
        <f t="shared" si="384"/>
        <v>98.579782790309125</v>
      </c>
      <c r="BX1209" s="91" t="str">
        <f>_xlfn.XLOOKUP(BW1209,'Normative data'!$V$3:$V$6,'Normative data'!$W$3:$W$6,"Not Found",-1)</f>
        <v>Low risk</v>
      </c>
      <c r="BY1209" s="91">
        <f t="shared" si="385"/>
        <v>95.655806182121992</v>
      </c>
      <c r="BZ1209" s="91" t="str">
        <f>_xlfn.XLOOKUP(BY1209,'Normative data'!$V$3:$V$6,'Normative data'!$W$3:$W$6,"Not Found",-1)</f>
        <v>Low risk</v>
      </c>
      <c r="CA1209" s="64"/>
      <c r="CB1209" s="66"/>
      <c r="CD1209" s="66"/>
      <c r="CE1209" s="64"/>
      <c r="CF1209" s="66"/>
      <c r="CG1209" s="64">
        <v>17.96</v>
      </c>
      <c r="CH1209" s="20" t="str">
        <f>_xlfn.XLOOKUP(CG1209, 'Normative data'!$S$9:$S$15,'Normative data'!$T$9:$T$15, "Not Found", -1)</f>
        <v>Above Average</v>
      </c>
      <c r="CI1209" s="64">
        <v>18.71</v>
      </c>
      <c r="CJ1209" s="20" t="str">
        <f>_xlfn.XLOOKUP(CI1209, 'Normative data'!$S$9:$S$15, 'Normative data'!$T$9:$T$15, "Not Found", -1)</f>
        <v>Average</v>
      </c>
      <c r="CK1209" s="105"/>
      <c r="CL1209" s="105"/>
      <c r="CM1209" s="105"/>
      <c r="CN1209" s="105"/>
      <c r="CO1209" s="105"/>
      <c r="CP1209" s="68"/>
      <c r="CQ1209" s="67"/>
      <c r="CR1209" s="20" t="str" cm="1">
        <f t="array" ref="CR1209">IF(OR(ISBLANK(E1209),ISBLANK(CQ1209)),"Incomplete",_xlfn.XLOOKUP(CQ1209,_xlfn.XLOOKUP(E1209,'Normative data'!$Y$3:$Y$6,'Normative data'!$Z$3:$AG$6,,-1),'Normative data'!$Z$2:$AG$2,"Not Found",-1))</f>
        <v>Incomplete</v>
      </c>
      <c r="CS1209" s="68"/>
      <c r="CT1209" s="66"/>
      <c r="CU1209" s="20" t="str" cm="1">
        <f t="array" ref="CU1209">_xlfn.XLOOKUP(CS1209&amp;CT1209,(VLOOKUP!$A$3:$A$250)&amp;(VLOOKUP!$B$3:$B$250),VLOOKUP!$C$3:$C$250,"Incomplete",-1)</f>
        <v>Incomplete</v>
      </c>
      <c r="CV1209" s="20" t="str" cm="1">
        <f t="array" ref="CV1209">_xlfn.XLOOKUP(CU1209, _xlfn.XLOOKUP(E1209, 'Normative data'!$Y$11:$Y$14, 'Normative data'!$Z$11:$AG$14, ,-1), 'Normative data'!$Z$10:$AG$10, "Not Found", -1)</f>
        <v>Excellent</v>
      </c>
      <c r="CW1209" s="20" t="str" cm="1">
        <f t="array" ref="CW1209">IF(OR(ISBLANK(CS1209),ISBLANK(CT1209)),"Incomplete",_xlfn.XLOOKUP(CS1209&amp;CT1209,VLOOKUP!$A$4:$A$250&amp;VLOOKUP!$B$4:$B$250,VLOOKUP!$D$4:$D$250,"0"))</f>
        <v>Incomplete</v>
      </c>
    </row>
    <row r="1210" spans="1:101">
      <c r="A1210" s="64" t="s">
        <v>1139</v>
      </c>
      <c r="B1210" s="64" t="s">
        <v>1138</v>
      </c>
      <c r="C1210" s="64" t="s">
        <v>86</v>
      </c>
      <c r="D1210" s="65">
        <v>40653</v>
      </c>
      <c r="E1210" s="64">
        <v>15.2</v>
      </c>
      <c r="F1210" s="66" t="s">
        <v>87</v>
      </c>
      <c r="G1210" s="64">
        <v>2026</v>
      </c>
      <c r="H1210" s="66"/>
      <c r="I1210" s="66">
        <v>2</v>
      </c>
      <c r="J1210" s="66" t="s">
        <v>88</v>
      </c>
      <c r="K1210" s="66" t="s">
        <v>93</v>
      </c>
      <c r="L1210" s="66"/>
      <c r="M1210" s="64"/>
      <c r="N1210" s="64"/>
      <c r="O1210" s="64"/>
      <c r="P1210" s="64"/>
      <c r="Q1210" s="64"/>
      <c r="R1210" s="64"/>
      <c r="S1210" s="66">
        <v>82.9</v>
      </c>
      <c r="T1210" s="68">
        <v>159.30000000000001</v>
      </c>
      <c r="U1210" s="64">
        <v>66.900000000000006</v>
      </c>
      <c r="V1210" s="64">
        <v>31.2</v>
      </c>
      <c r="W1210" s="71">
        <v>24.2</v>
      </c>
      <c r="X1210" s="71">
        <v>42.7</v>
      </c>
      <c r="Y1210" s="71">
        <v>23.6</v>
      </c>
      <c r="Z1210" s="71"/>
      <c r="AA1210" s="71">
        <v>36.200000000000003</v>
      </c>
      <c r="AB1210" s="64">
        <v>6.35</v>
      </c>
      <c r="AC1210" s="70">
        <v>100.2</v>
      </c>
      <c r="AD1210" s="64">
        <v>6.43</v>
      </c>
      <c r="AE1210" s="64">
        <v>101.4</v>
      </c>
      <c r="AF1210" s="64">
        <v>3.6</v>
      </c>
      <c r="AG1210" s="64">
        <v>167.8</v>
      </c>
      <c r="AH1210" s="64">
        <v>3.6</v>
      </c>
      <c r="AI1210" s="64">
        <v>168.3</v>
      </c>
      <c r="AJ1210" s="64">
        <v>316.10000000000002</v>
      </c>
      <c r="AK1210" s="64">
        <v>307.10000000000002</v>
      </c>
      <c r="AL1210" s="64">
        <v>275.60000000000002</v>
      </c>
      <c r="AM1210" s="64">
        <v>267.39999999999998</v>
      </c>
      <c r="AN1210" s="64">
        <v>71</v>
      </c>
      <c r="AO1210" s="64"/>
      <c r="AP1210" s="64"/>
      <c r="AQ1210" s="66"/>
      <c r="AR1210" s="66"/>
      <c r="AS1210" s="66"/>
      <c r="AT1210" s="66"/>
      <c r="AU1210" s="66"/>
      <c r="AV1210" s="66"/>
      <c r="AW1210" s="66"/>
      <c r="AX1210" s="66"/>
      <c r="AY1210" s="41" t="str">
        <f t="shared" si="380"/>
        <v>Incomplete</v>
      </c>
      <c r="AZ1210" s="64"/>
      <c r="BA1210" s="20" t="str">
        <f t="shared" si="381"/>
        <v>Incomplete</v>
      </c>
      <c r="BB1210" s="64"/>
      <c r="BC1210" s="20" t="str">
        <f t="shared" si="382"/>
        <v>Incomplete</v>
      </c>
      <c r="BD1210" s="64"/>
      <c r="BE1210" s="20" t="str">
        <f t="shared" si="383"/>
        <v>Incomplete</v>
      </c>
      <c r="BF1210" s="64"/>
      <c r="BG1210" s="64">
        <v>10</v>
      </c>
      <c r="BH1210" s="17">
        <v>47</v>
      </c>
      <c r="BI1210" s="20">
        <f t="shared" si="379"/>
        <v>37</v>
      </c>
      <c r="BJ1210" s="66"/>
      <c r="BK1210" s="64">
        <v>4</v>
      </c>
      <c r="BL1210" s="66"/>
      <c r="BM1210" s="64">
        <v>4</v>
      </c>
      <c r="BN1210" s="66"/>
      <c r="BO1210" s="64">
        <v>51</v>
      </c>
      <c r="BP1210" s="64">
        <v>51</v>
      </c>
      <c r="BQ1210" s="64">
        <v>84</v>
      </c>
      <c r="BR1210" s="64">
        <v>80</v>
      </c>
      <c r="BS1210" s="64">
        <v>67</v>
      </c>
      <c r="BT1210" s="64">
        <v>75</v>
      </c>
      <c r="BU1210" s="64">
        <v>70</v>
      </c>
      <c r="BV1210" s="64">
        <v>71</v>
      </c>
      <c r="BW1210" s="91">
        <f t="shared" si="384"/>
        <v>100.78534031413611</v>
      </c>
      <c r="BX1210" s="91" t="str">
        <f>_xlfn.XLOOKUP(BW1210,'Normative data'!$V$3:$V$6,'Normative data'!$W$3:$W$6,"Not Found",-1)</f>
        <v>Low risk</v>
      </c>
      <c r="BY1210" s="91">
        <f t="shared" si="385"/>
        <v>94.240837696335063</v>
      </c>
      <c r="BZ1210" s="91" t="str">
        <f>_xlfn.XLOOKUP(BY1210,'Normative data'!$V$3:$V$6,'Normative data'!$W$3:$W$6,"Not Found",-1)</f>
        <v>High risk</v>
      </c>
      <c r="CA1210" s="64">
        <v>23</v>
      </c>
      <c r="CB1210" s="66"/>
      <c r="CC1210" s="20"/>
      <c r="CD1210" s="66"/>
      <c r="CE1210" s="64">
        <v>10</v>
      </c>
      <c r="CF1210" s="66"/>
      <c r="CG1210" s="66"/>
      <c r="CH1210" s="20" t="str">
        <f>_xlfn.XLOOKUP(CG1210, 'Normative data'!$S$9:$S$15,'Normative data'!$T$9:$T$15, "Not Found", -1)</f>
        <v>not completed</v>
      </c>
      <c r="CI1210" s="66"/>
      <c r="CJ1210" s="20" t="str">
        <f>_xlfn.XLOOKUP(CI1210, 'Normative data'!$S$9:$S$15, 'Normative data'!$T$9:$T$15, "Not Found", -1)</f>
        <v>not completed</v>
      </c>
      <c r="CK1210" s="64">
        <v>2.2799999999999998</v>
      </c>
      <c r="CL1210" s="64">
        <v>4.3899999999999997</v>
      </c>
      <c r="CM1210" s="66"/>
      <c r="CN1210" s="64">
        <v>6.94</v>
      </c>
      <c r="CO1210" s="64">
        <v>7.2</v>
      </c>
      <c r="CP1210" s="68"/>
      <c r="CQ1210" s="67"/>
      <c r="CR1210" s="20" t="str" cm="1">
        <f t="array" ref="CR1210">IF(OR(ISBLANK(E1210),ISBLANK(CQ1210)),"Incomplete",_xlfn.XLOOKUP(CQ1210,_xlfn.XLOOKUP(E1210,'Normative data'!$Y$3:$Y$6,'Normative data'!$Z$3:$AG$6,,-1),'Normative data'!$Z$2:$AG$2,"Not Found",-1))</f>
        <v>Incomplete</v>
      </c>
      <c r="CS1210" s="68"/>
      <c r="CT1210" s="66"/>
      <c r="CU1210" s="20" t="str" cm="1">
        <f t="array" ref="CU1210">_xlfn.XLOOKUP(CS1210&amp;CT1210,(VLOOKUP!$A$3:$A$250)&amp;(VLOOKUP!$B$3:$B$250),VLOOKUP!$C$3:$C$250,"Incomplete",-1)</f>
        <v>Incomplete</v>
      </c>
      <c r="CV1210" s="20" t="str" cm="1">
        <f t="array" ref="CV1210">_xlfn.XLOOKUP(CU1210, _xlfn.XLOOKUP(E1210, 'Normative data'!$Y$11:$Y$14, 'Normative data'!$Z$11:$AG$14, ,-1), 'Normative data'!$Z$10:$AG$10, "Not Found", -1)</f>
        <v>Excellent</v>
      </c>
      <c r="CW1210" s="20" t="str" cm="1">
        <f t="array" ref="CW1210">IF(OR(ISBLANK(CS1210),ISBLANK(CT1210)),"Incomplete",_xlfn.XLOOKUP(CS1210&amp;CT1210,VLOOKUP!$A$4:$A$250&amp;VLOOKUP!$B$4:$B$250,VLOOKUP!$D$4:$D$250,"0"))</f>
        <v>Incomplete</v>
      </c>
    </row>
    <row r="1211" spans="1:101">
      <c r="A1211" s="64" t="s">
        <v>731</v>
      </c>
      <c r="B1211" s="64" t="s">
        <v>730</v>
      </c>
      <c r="C1211" s="64" t="s">
        <v>86</v>
      </c>
      <c r="D1211" s="65"/>
      <c r="E1211" s="64"/>
      <c r="F1211" s="66" t="s">
        <v>192</v>
      </c>
      <c r="G1211" s="64">
        <v>2026</v>
      </c>
      <c r="H1211" s="66"/>
      <c r="I1211" s="66">
        <v>2</v>
      </c>
      <c r="J1211" s="66"/>
      <c r="K1211" s="66"/>
      <c r="L1211" s="66"/>
      <c r="M1211" s="64"/>
      <c r="N1211" s="64"/>
      <c r="O1211" s="64"/>
      <c r="P1211" s="64"/>
      <c r="Q1211" s="64"/>
      <c r="R1211" s="64"/>
      <c r="S1211" s="66">
        <v>78.5</v>
      </c>
      <c r="T1211" s="66">
        <v>150.4</v>
      </c>
      <c r="U1211" s="59"/>
      <c r="V1211" s="79"/>
      <c r="W1211" s="79"/>
      <c r="X1211" s="79"/>
      <c r="Y1211" s="79"/>
      <c r="Z1211" s="79"/>
      <c r="AA1211" s="79"/>
      <c r="AB1211" s="79"/>
      <c r="AC1211" s="69"/>
      <c r="AD1211" s="69"/>
      <c r="AE1211" s="69"/>
      <c r="AF1211" s="69"/>
      <c r="AG1211" s="69"/>
      <c r="AH1211" s="69"/>
      <c r="AI1211" s="69"/>
      <c r="AJ1211" s="69"/>
      <c r="AK1211" s="69"/>
      <c r="AL1211" s="69"/>
      <c r="AM1211" s="69"/>
      <c r="AN1211" s="69"/>
      <c r="AO1211" s="69"/>
      <c r="AP1211" s="69"/>
      <c r="AQ1211" s="66"/>
      <c r="AR1211" s="66"/>
      <c r="AS1211" s="66"/>
      <c r="AT1211" s="66"/>
      <c r="AU1211" s="66"/>
      <c r="AV1211" s="66"/>
      <c r="AW1211" s="66"/>
      <c r="AX1211" s="66"/>
      <c r="AY1211" s="41" t="str">
        <f t="shared" si="380"/>
        <v>Incomplete</v>
      </c>
      <c r="AZ1211" s="64"/>
      <c r="BA1211" s="20" t="str">
        <f t="shared" si="381"/>
        <v>Incomplete</v>
      </c>
      <c r="BB1211" s="64"/>
      <c r="BC1211" s="20" t="str">
        <f t="shared" si="382"/>
        <v>Incomplete</v>
      </c>
      <c r="BD1211" s="64"/>
      <c r="BE1211" s="20" t="str">
        <f t="shared" si="383"/>
        <v>Incomplete</v>
      </c>
      <c r="BF1211" s="64"/>
      <c r="BG1211" s="64">
        <v>14.6</v>
      </c>
      <c r="BH1211" s="64">
        <v>34.4</v>
      </c>
      <c r="BI1211" s="20">
        <f t="shared" si="379"/>
        <v>19.799999999999997</v>
      </c>
      <c r="BJ1211" s="66"/>
      <c r="BK1211" s="64"/>
      <c r="BL1211" s="66"/>
      <c r="BM1211" s="66"/>
      <c r="BN1211" s="66"/>
      <c r="BO1211" s="64"/>
      <c r="BP1211" s="64"/>
      <c r="BQ1211" s="64"/>
      <c r="BR1211" s="64"/>
      <c r="BS1211" s="64"/>
      <c r="BT1211" s="64"/>
      <c r="BU1211" s="64"/>
      <c r="BV1211" s="64"/>
      <c r="BW1211" s="91">
        <f t="shared" si="384"/>
        <v>0</v>
      </c>
      <c r="BX1211" s="91" t="str">
        <f>_xlfn.XLOOKUP(BW1211,'Normative data'!$V$3:$V$6,'Normative data'!$W$3:$W$6,"Not Found",-1)</f>
        <v>Not completed</v>
      </c>
      <c r="BY1211" s="91">
        <f t="shared" si="385"/>
        <v>0</v>
      </c>
      <c r="BZ1211" s="91" t="str">
        <f>_xlfn.XLOOKUP(BY1211,'Normative data'!$V$3:$V$6,'Normative data'!$W$3:$W$6,"Not Found",-1)</f>
        <v>Not completed</v>
      </c>
      <c r="CA1211" s="64"/>
      <c r="CB1211" s="66"/>
      <c r="CC1211" s="64"/>
      <c r="CD1211" s="66"/>
      <c r="CE1211" s="64"/>
      <c r="CF1211" s="66"/>
      <c r="CG1211" s="66"/>
      <c r="CH1211" s="20" t="str">
        <f>_xlfn.XLOOKUP(CG1211, 'Normative data'!$S$9:$S$15,'Normative data'!$T$9:$T$15, "Not Found", -1)</f>
        <v>not completed</v>
      </c>
      <c r="CI1211" s="66"/>
      <c r="CJ1211" s="20" t="str">
        <f>_xlfn.XLOOKUP(CI1211, 'Normative data'!$S$9:$S$15, 'Normative data'!$T$9:$T$15, "Not Found", -1)</f>
        <v>not completed</v>
      </c>
      <c r="CK1211" s="21"/>
      <c r="CL1211" s="21"/>
      <c r="CM1211" s="21"/>
      <c r="CN1211" s="21"/>
      <c r="CO1211" s="21"/>
      <c r="CP1211" s="68"/>
      <c r="CQ1211" s="67"/>
      <c r="CR1211" s="20" t="str" cm="1">
        <f t="array" ref="CR1211">IF(OR(ISBLANK(E1211),ISBLANK(CQ1211)),"Incomplete",_xlfn.XLOOKUP(CQ1211,_xlfn.XLOOKUP(E1211,'Normative data'!$Y$3:$Y$6,'Normative data'!$Z$3:$AG$6,,-1),'Normative data'!$Z$2:$AG$2,"Not Found",-1))</f>
        <v>Incomplete</v>
      </c>
      <c r="CS1211" s="68"/>
      <c r="CT1211" s="66"/>
      <c r="CU1211" s="20" t="str" cm="1">
        <f t="array" ref="CU1211">_xlfn.XLOOKUP(CS1211&amp;CT1211,(VLOOKUP!$A$3:$A$250)&amp;(VLOOKUP!$B$3:$B$250),VLOOKUP!$C$3:$C$250,"Incomplete",-1)</f>
        <v>Incomplete</v>
      </c>
      <c r="CV1211" s="20" t="str" cm="1">
        <f t="array" ref="CV1211">_xlfn.XLOOKUP(CU1211, _xlfn.XLOOKUP(E1211, 'Normative data'!$Y$11:$Y$14, 'Normative data'!$Z$11:$AG$14, ,-1), 'Normative data'!$Z$10:$AG$10, "Not Found", -1)</f>
        <v>Excellent</v>
      </c>
      <c r="CW1211" s="20" t="str" cm="1">
        <f t="array" ref="CW1211">IF(OR(ISBLANK(CS1211),ISBLANK(CT1211)),"Incomplete",_xlfn.XLOOKUP(CS1211&amp;CT1211,VLOOKUP!$A$4:$A$250&amp;VLOOKUP!$B$4:$B$250,VLOOKUP!$D$4:$D$250,"0"))</f>
        <v>Incomplete</v>
      </c>
    </row>
    <row r="1212" spans="1:101">
      <c r="A1212" s="64" t="s">
        <v>1676</v>
      </c>
      <c r="B1212" s="64" t="s">
        <v>1675</v>
      </c>
      <c r="C1212" s="64" t="s">
        <v>86</v>
      </c>
      <c r="D1212" s="65"/>
      <c r="E1212" s="64"/>
      <c r="F1212" s="66" t="s">
        <v>110</v>
      </c>
      <c r="G1212" s="64">
        <v>2026</v>
      </c>
      <c r="H1212" s="66"/>
      <c r="I1212" s="66">
        <v>2</v>
      </c>
      <c r="J1212" s="66" t="s">
        <v>722</v>
      </c>
      <c r="K1212" s="66" t="s">
        <v>101</v>
      </c>
      <c r="L1212" s="66"/>
      <c r="M1212" s="64"/>
      <c r="N1212" s="64"/>
      <c r="O1212" s="64"/>
      <c r="P1212" s="64"/>
      <c r="Q1212" s="64"/>
      <c r="R1212" s="64"/>
      <c r="S1212" s="66">
        <v>81.7</v>
      </c>
      <c r="T1212" s="66">
        <v>156.1</v>
      </c>
      <c r="U1212" s="67"/>
      <c r="V1212" s="67"/>
      <c r="W1212" s="64"/>
      <c r="X1212" s="64"/>
      <c r="Y1212" s="64"/>
      <c r="Z1212" s="64"/>
      <c r="AA1212" s="64"/>
      <c r="AB1212" s="64"/>
      <c r="AC1212" s="64"/>
      <c r="AD1212" s="64"/>
      <c r="AE1212" s="64"/>
      <c r="AF1212" s="64"/>
      <c r="AG1212" s="64"/>
      <c r="AH1212" s="64"/>
      <c r="AI1212" s="64"/>
      <c r="AJ1212" s="64"/>
      <c r="AK1212" s="64"/>
      <c r="AL1212" s="64"/>
      <c r="AM1212" s="64"/>
      <c r="AN1212" s="64"/>
      <c r="AO1212" s="64"/>
      <c r="AP1212" s="64"/>
      <c r="AQ1212" s="70"/>
      <c r="AR1212" s="64"/>
      <c r="AS1212" s="64"/>
      <c r="AT1212" s="64"/>
      <c r="AU1212" s="64"/>
      <c r="AV1212" s="64"/>
      <c r="AW1212" s="64"/>
      <c r="AX1212" s="64"/>
      <c r="AY1212" s="41" t="str">
        <f t="shared" si="380"/>
        <v>Incomplete</v>
      </c>
      <c r="AZ1212" s="64"/>
      <c r="BA1212" s="20" t="str">
        <f t="shared" si="381"/>
        <v>Incomplete</v>
      </c>
      <c r="BB1212" s="64"/>
      <c r="BC1212" s="20" t="str">
        <f t="shared" si="382"/>
        <v>Incomplete</v>
      </c>
      <c r="BD1212" s="64"/>
      <c r="BE1212" s="20" t="str">
        <f t="shared" si="383"/>
        <v>Incomplete</v>
      </c>
      <c r="BF1212" s="64"/>
      <c r="BG1212" s="64">
        <v>15</v>
      </c>
      <c r="BH1212" s="64">
        <v>40.299999999999997</v>
      </c>
      <c r="BI1212" s="20">
        <f t="shared" si="379"/>
        <v>25.299999999999997</v>
      </c>
      <c r="BJ1212" s="66"/>
      <c r="BK1212" s="64"/>
      <c r="BL1212" s="66"/>
      <c r="BM1212" s="64"/>
      <c r="BN1212" s="66"/>
      <c r="BO1212" s="64"/>
      <c r="BP1212" s="64"/>
      <c r="BQ1212" s="64">
        <v>67</v>
      </c>
      <c r="BR1212" s="64">
        <v>78</v>
      </c>
      <c r="BS1212" s="64">
        <v>72</v>
      </c>
      <c r="BT1212" s="64">
        <v>70</v>
      </c>
      <c r="BU1212" s="64">
        <v>81</v>
      </c>
      <c r="BV1212" s="64">
        <v>76</v>
      </c>
      <c r="BW1212" s="91">
        <f t="shared" si="384"/>
        <v>97.222222222222229</v>
      </c>
      <c r="BX1212" s="91" t="str">
        <f>_xlfn.XLOOKUP(BW1212,'Normative data'!$V$3:$V$6,'Normative data'!$W$3:$W$6,"Not Found",-1)</f>
        <v>Low risk</v>
      </c>
      <c r="BY1212" s="91">
        <f t="shared" si="385"/>
        <v>101.7025089605735</v>
      </c>
      <c r="BZ1212" s="91" t="str">
        <f>_xlfn.XLOOKUP(BY1212,'Normative data'!$V$3:$V$6,'Normative data'!$W$3:$W$6,"Not Found",-1)</f>
        <v>Low risk</v>
      </c>
      <c r="CA1212" s="64"/>
      <c r="CB1212" s="66"/>
      <c r="CD1212" s="66"/>
      <c r="CE1212" s="64"/>
      <c r="CF1212" s="66"/>
      <c r="CG1212" s="64">
        <v>17.41</v>
      </c>
      <c r="CH1212" s="20" t="str">
        <f>_xlfn.XLOOKUP(CG1212, 'Normative data'!$S$9:$S$15,'Normative data'!$T$9:$T$15, "Not Found", -1)</f>
        <v>Above Average</v>
      </c>
      <c r="CI1212" s="64">
        <v>17.54</v>
      </c>
      <c r="CJ1212" s="20" t="str">
        <f>_xlfn.XLOOKUP(CI1212, 'Normative data'!$S$9:$S$15, 'Normative data'!$T$9:$T$15, "Not Found", -1)</f>
        <v>Above Average</v>
      </c>
      <c r="CK1212" s="105"/>
      <c r="CL1212" s="105"/>
      <c r="CM1212" s="105"/>
      <c r="CN1212" s="105"/>
      <c r="CO1212" s="105"/>
      <c r="CP1212" s="68"/>
      <c r="CQ1212" s="67"/>
      <c r="CR1212" s="20" t="str" cm="1">
        <f t="array" ref="CR1212">IF(OR(ISBLANK(E1212),ISBLANK(CQ1212)),"Incomplete",_xlfn.XLOOKUP(CQ1212,_xlfn.XLOOKUP(E1212,'Normative data'!$Y$3:$Y$6,'Normative data'!$Z$3:$AG$6,,-1),'Normative data'!$Z$2:$AG$2,"Not Found",-1))</f>
        <v>Incomplete</v>
      </c>
      <c r="CS1212" s="68"/>
      <c r="CT1212" s="66"/>
      <c r="CU1212" s="20" t="str" cm="1">
        <f t="array" ref="CU1212">_xlfn.XLOOKUP(CS1212&amp;CT1212,(VLOOKUP!$A$3:$A$250)&amp;(VLOOKUP!$B$3:$B$250),VLOOKUP!$C$3:$C$250,"Incomplete",-1)</f>
        <v>Incomplete</v>
      </c>
      <c r="CV1212" s="20" t="str" cm="1">
        <f t="array" ref="CV1212">_xlfn.XLOOKUP(CU1212, _xlfn.XLOOKUP(E1212, 'Normative data'!$Y$11:$Y$14, 'Normative data'!$Z$11:$AG$14, ,-1), 'Normative data'!$Z$10:$AG$10, "Not Found", -1)</f>
        <v>Excellent</v>
      </c>
      <c r="CW1212" s="20" t="str" cm="1">
        <f t="array" ref="CW1212">IF(OR(ISBLANK(CS1212),ISBLANK(CT1212)),"Incomplete",_xlfn.XLOOKUP(CS1212&amp;CT1212,VLOOKUP!$A$4:$A$250&amp;VLOOKUP!$B$4:$B$250,VLOOKUP!$D$4:$D$250,"0"))</f>
        <v>Incomplete</v>
      </c>
    </row>
    <row r="1213" spans="1:101">
      <c r="A1213" s="69" t="s">
        <v>113</v>
      </c>
      <c r="B1213" s="69" t="s">
        <v>115</v>
      </c>
      <c r="C1213" s="69" t="s">
        <v>86</v>
      </c>
      <c r="D1213" s="77"/>
      <c r="E1213" s="69"/>
      <c r="F1213" s="75" t="s">
        <v>192</v>
      </c>
      <c r="G1213" s="64">
        <v>2026</v>
      </c>
      <c r="H1213" s="75"/>
      <c r="I1213" s="66">
        <v>2</v>
      </c>
      <c r="J1213" s="75" t="s">
        <v>122</v>
      </c>
      <c r="K1213" s="75" t="s">
        <v>228</v>
      </c>
      <c r="L1213" s="75"/>
      <c r="M1213" s="69"/>
      <c r="N1213" s="69"/>
      <c r="O1213" s="69"/>
      <c r="P1213" s="69"/>
      <c r="Q1213" s="69"/>
      <c r="R1213" s="69"/>
      <c r="S1213" s="75">
        <v>79.2</v>
      </c>
      <c r="T1213" s="75">
        <v>151.9</v>
      </c>
      <c r="U1213" s="69"/>
      <c r="V1213" s="79"/>
      <c r="W1213" s="79"/>
      <c r="X1213" s="79"/>
      <c r="Y1213" s="79"/>
      <c r="Z1213" s="79"/>
      <c r="AA1213" s="79"/>
      <c r="AB1213" s="79"/>
      <c r="AC1213" s="79"/>
      <c r="AD1213" s="79"/>
      <c r="AE1213" s="79"/>
      <c r="AF1213" s="79"/>
      <c r="AG1213" s="79"/>
      <c r="AH1213" s="79"/>
      <c r="AI1213" s="79"/>
      <c r="AJ1213" s="79"/>
      <c r="AK1213" s="79"/>
      <c r="AL1213" s="79"/>
      <c r="AM1213" s="79"/>
      <c r="AN1213" s="79"/>
      <c r="AO1213" s="79"/>
      <c r="AP1213" s="79"/>
      <c r="AQ1213" s="66"/>
      <c r="AR1213" s="66"/>
      <c r="AS1213" s="66"/>
      <c r="AT1213" s="66"/>
      <c r="AU1213" s="66"/>
      <c r="AV1213" s="66"/>
      <c r="AW1213" s="66"/>
      <c r="AX1213" s="66"/>
      <c r="AY1213" s="41" t="str">
        <f t="shared" si="380"/>
        <v>Incomplete</v>
      </c>
      <c r="AZ1213" s="64"/>
      <c r="BA1213" s="20" t="str">
        <f t="shared" si="381"/>
        <v>Incomplete</v>
      </c>
      <c r="BB1213" s="64"/>
      <c r="BC1213" s="20" t="str">
        <f t="shared" si="382"/>
        <v>Incomplete</v>
      </c>
      <c r="BD1213" s="64"/>
      <c r="BE1213" s="20" t="str">
        <f t="shared" si="383"/>
        <v>Incomplete</v>
      </c>
      <c r="BF1213" s="69"/>
      <c r="BG1213" s="69">
        <v>15</v>
      </c>
      <c r="BH1213" s="17">
        <v>35.6</v>
      </c>
      <c r="BI1213" s="20">
        <f t="shared" si="379"/>
        <v>20.6</v>
      </c>
      <c r="BJ1213" s="66"/>
      <c r="BK1213" s="69">
        <v>3.5</v>
      </c>
      <c r="BL1213" s="66"/>
      <c r="BM1213" s="69">
        <v>6.4</v>
      </c>
      <c r="BN1213" s="66"/>
      <c r="BO1213" s="64">
        <v>53</v>
      </c>
      <c r="BP1213" s="64">
        <v>53.5</v>
      </c>
      <c r="BQ1213" s="64">
        <v>69</v>
      </c>
      <c r="BR1213" s="64">
        <v>81</v>
      </c>
      <c r="BS1213" s="64">
        <v>76</v>
      </c>
      <c r="BT1213" s="64">
        <v>72</v>
      </c>
      <c r="BU1213" s="64">
        <v>74</v>
      </c>
      <c r="BV1213" s="64">
        <v>76</v>
      </c>
      <c r="BW1213" s="91">
        <f t="shared" si="384"/>
        <v>103.62219165520403</v>
      </c>
      <c r="BX1213" s="91" t="str">
        <f>_xlfn.XLOOKUP(BW1213,'Normative data'!$V$3:$V$6,'Normative data'!$W$3:$W$6,"Not Found",-1)</f>
        <v>Low risk</v>
      </c>
      <c r="BY1213" s="91">
        <f t="shared" si="385"/>
        <v>101.78817056396147</v>
      </c>
      <c r="BZ1213" s="91" t="str">
        <f>_xlfn.XLOOKUP(BY1213,'Normative data'!$V$3:$V$6,'Normative data'!$W$3:$W$6,"Not Found",-1)</f>
        <v>Low risk</v>
      </c>
      <c r="CA1213" s="17">
        <v>22</v>
      </c>
      <c r="CB1213" s="75"/>
      <c r="CC1213" s="20"/>
      <c r="CD1213" s="75"/>
      <c r="CE1213" s="69">
        <v>12</v>
      </c>
      <c r="CF1213" s="75"/>
      <c r="CG1213" s="75"/>
      <c r="CH1213" s="20" t="str">
        <f>_xlfn.XLOOKUP(CG1213, 'Normative data'!$S$9:$S$15,'Normative data'!$T$9:$T$15, "Not Found", -1)</f>
        <v>not completed</v>
      </c>
      <c r="CI1213" s="75"/>
      <c r="CJ1213" s="20" t="str">
        <f>_xlfn.XLOOKUP(CI1213, 'Normative data'!$S$9:$S$15, 'Normative data'!$T$9:$T$15, "Not Found", -1)</f>
        <v>not completed</v>
      </c>
      <c r="CK1213" s="108"/>
      <c r="CL1213" s="108"/>
      <c r="CM1213" s="108"/>
      <c r="CN1213" s="108"/>
      <c r="CO1213" s="108"/>
      <c r="CP1213" s="128"/>
      <c r="CQ1213" s="78">
        <v>6.4</v>
      </c>
      <c r="CR1213" s="20" t="str" cm="1">
        <f t="array" ref="CR1213">IF(OR(ISBLANK(E1213),ISBLANK(CQ1213)),"Incomplete",_xlfn.XLOOKUP(CQ1213,_xlfn.XLOOKUP(E1213,'Normative data'!$Y$3:$Y$6,'Normative data'!$Z$3:$AG$6,,-1),'Normative data'!$Z$2:$AG$2,"Not Found",-1))</f>
        <v>Incomplete</v>
      </c>
      <c r="CS1213" s="68">
        <v>6</v>
      </c>
      <c r="CT1213" s="66">
        <v>4</v>
      </c>
      <c r="CU1213" s="20" cm="1">
        <f t="array" ref="CU1213">_xlfn.XLOOKUP(CS1213&amp;CT1213,(VLOOKUP!$A$3:$A$250)&amp;(VLOOKUP!$B$3:$B$250),VLOOKUP!$C$3:$C$250,"Incomplete",-1)</f>
        <v>900</v>
      </c>
      <c r="CV1213" s="20" t="str" cm="1">
        <f t="array" ref="CV1213">_xlfn.XLOOKUP(CU1213, _xlfn.XLOOKUP(E1213, 'Normative data'!$Y$11:$Y$14, 'Normative data'!$Z$11:$AG$14, ,-1), 'Normative data'!$Z$10:$AG$10, "Not Found", -1)</f>
        <v xml:space="preserve">Fair </v>
      </c>
      <c r="CW1213" s="20" cm="1">
        <f t="array" ref="CW1213">IF(OR(ISBLANK(CS1213),ISBLANK(CT1213)),"Incomplete",_xlfn.XLOOKUP(CS1213&amp;CT1213,VLOOKUP!$A$4:$A$250&amp;VLOOKUP!$B$4:$B$250,VLOOKUP!$D$4:$D$250,"0"))</f>
        <v>34</v>
      </c>
    </row>
    <row r="1214" spans="1:101">
      <c r="A1214" s="64" t="s">
        <v>1861</v>
      </c>
      <c r="B1214" s="64" t="s">
        <v>1862</v>
      </c>
      <c r="C1214" s="64" t="s">
        <v>86</v>
      </c>
      <c r="D1214" s="65"/>
      <c r="E1214" s="64"/>
      <c r="F1214" s="66" t="s">
        <v>251</v>
      </c>
      <c r="G1214" s="64">
        <v>2026</v>
      </c>
      <c r="H1214" s="66"/>
      <c r="I1214" s="66">
        <v>2</v>
      </c>
      <c r="J1214" s="66" t="s">
        <v>88</v>
      </c>
      <c r="K1214" s="66" t="s">
        <v>1863</v>
      </c>
      <c r="L1214" s="66"/>
      <c r="M1214" s="64"/>
      <c r="N1214" s="64"/>
      <c r="O1214" s="64"/>
      <c r="P1214" s="64"/>
      <c r="Q1214" s="64"/>
      <c r="R1214" s="64"/>
      <c r="S1214" s="66">
        <v>78.3</v>
      </c>
      <c r="T1214" s="66">
        <v>164.8</v>
      </c>
      <c r="U1214" s="64"/>
      <c r="V1214" s="64"/>
      <c r="W1214" s="64"/>
      <c r="X1214" s="64"/>
      <c r="Y1214" s="64"/>
      <c r="Z1214" s="64"/>
      <c r="AA1214" s="64"/>
      <c r="AB1214" s="64"/>
      <c r="AC1214" s="64"/>
      <c r="AD1214" s="64"/>
      <c r="AE1214" s="64"/>
      <c r="AF1214" s="64"/>
      <c r="AG1214" s="64"/>
      <c r="AH1214" s="64"/>
      <c r="AI1214" s="64"/>
      <c r="AJ1214" s="64"/>
      <c r="AK1214" s="64"/>
      <c r="AL1214" s="64"/>
      <c r="AM1214" s="64"/>
      <c r="AN1214" s="64"/>
      <c r="AO1214" s="64"/>
      <c r="AP1214" s="64"/>
      <c r="AQ1214" s="66"/>
      <c r="AR1214" s="66"/>
      <c r="AS1214" s="66"/>
      <c r="AT1214" s="66"/>
      <c r="AU1214" s="66"/>
      <c r="AV1214" s="66"/>
      <c r="AW1214" s="66"/>
      <c r="AX1214" s="66"/>
      <c r="AY1214" s="41" t="str">
        <f t="shared" si="380"/>
        <v>Incomplete</v>
      </c>
      <c r="AZ1214" s="64"/>
      <c r="BA1214" s="20" t="str">
        <f t="shared" si="381"/>
        <v>Incomplete</v>
      </c>
      <c r="BB1214" s="64"/>
      <c r="BC1214" s="20" t="str">
        <f t="shared" si="382"/>
        <v>Incomplete</v>
      </c>
      <c r="BD1214" s="64"/>
      <c r="BE1214" s="20" t="str">
        <f t="shared" si="383"/>
        <v>Incomplete</v>
      </c>
      <c r="BF1214" s="64"/>
      <c r="BG1214" s="64"/>
      <c r="BH1214" s="64">
        <v>23.5</v>
      </c>
      <c r="BI1214" s="20" t="str">
        <f t="shared" si="379"/>
        <v>Incomplete</v>
      </c>
      <c r="BJ1214" s="66"/>
      <c r="BK1214" s="64">
        <v>4</v>
      </c>
      <c r="BL1214" s="66"/>
      <c r="BM1214" s="64">
        <v>4</v>
      </c>
      <c r="BN1214" s="66"/>
      <c r="BO1214" s="64"/>
      <c r="BP1214" s="64"/>
      <c r="BQ1214" s="64"/>
      <c r="BR1214" s="64"/>
      <c r="BS1214" s="64"/>
      <c r="BT1214" s="64"/>
      <c r="BU1214" s="64"/>
      <c r="BV1214" s="64"/>
      <c r="BW1214" s="91">
        <f t="shared" si="384"/>
        <v>0</v>
      </c>
      <c r="BX1214" s="91" t="str">
        <f>_xlfn.XLOOKUP(BW1214,'Normative data'!$V$3:$V$6,'Normative data'!$W$3:$W$6,"Not Found",-1)</f>
        <v>Not completed</v>
      </c>
      <c r="BY1214" s="91">
        <f t="shared" si="385"/>
        <v>0</v>
      </c>
      <c r="BZ1214" s="91" t="str">
        <f>_xlfn.XLOOKUP(BY1214,'Normative data'!$V$3:$V$6,'Normative data'!$W$3:$W$6,"Not Found",-1)</f>
        <v>Not completed</v>
      </c>
      <c r="CA1214" s="64"/>
      <c r="CB1214" s="66"/>
      <c r="CD1214" s="66"/>
      <c r="CE1214" s="64"/>
      <c r="CF1214" s="66"/>
      <c r="CG1214" s="64">
        <v>19.29</v>
      </c>
      <c r="CH1214" s="20" t="str">
        <f>_xlfn.XLOOKUP(CG1214, 'Normative data'!$S$9:$S$15,'Normative data'!$T$9:$T$15, "Not Found", -1)</f>
        <v>Average</v>
      </c>
      <c r="CI1214" s="64">
        <v>18.440000000000001</v>
      </c>
      <c r="CJ1214" s="20" t="str">
        <f>_xlfn.XLOOKUP(CI1214, 'Normative data'!$S$9:$S$15, 'Normative data'!$T$9:$T$15, "Not Found", -1)</f>
        <v>Average</v>
      </c>
      <c r="CK1214" s="17">
        <v>2.0699999999999998</v>
      </c>
      <c r="CL1214" s="17">
        <v>4.83</v>
      </c>
      <c r="CN1214" s="17">
        <v>7.01</v>
      </c>
      <c r="CO1214" s="17">
        <v>7.13</v>
      </c>
      <c r="CP1214" s="68"/>
      <c r="CQ1214" s="67">
        <v>4.4000000000000004</v>
      </c>
      <c r="CR1214" s="20" t="str" cm="1">
        <f t="array" ref="CR1214">IF(OR(ISBLANK(E1214),ISBLANK(CQ1214)),"Incomplete",_xlfn.XLOOKUP(CQ1214,_xlfn.XLOOKUP(E1214,'Normative data'!$Y$3:$Y$6,'Normative data'!$Z$3:$AG$6,,-1),'Normative data'!$Z$2:$AG$2,"Not Found",-1))</f>
        <v>Incomplete</v>
      </c>
      <c r="CS1214" s="68">
        <v>4</v>
      </c>
      <c r="CT1214" s="66">
        <v>4</v>
      </c>
      <c r="CU1214" s="20" cm="1">
        <f t="array" ref="CU1214">_xlfn.XLOOKUP(CS1214&amp;CT1214,(VLOOKUP!$A$3:$A$250)&amp;(VLOOKUP!$B$3:$B$250),VLOOKUP!$C$3:$C$250,"Incomplete",-1)</f>
        <v>540</v>
      </c>
      <c r="CV1214" s="20" t="str" cm="1">
        <f t="array" ref="CV1214">_xlfn.XLOOKUP(CU1214, _xlfn.XLOOKUP(E1214, 'Normative data'!$Y$11:$Y$14, 'Normative data'!$Z$11:$AG$14, ,-1), 'Normative data'!$Z$10:$AG$10, "Not Found", -1)</f>
        <v xml:space="preserve">Very poor </v>
      </c>
      <c r="CW1214" s="20" cm="1">
        <f t="array" ref="CW1214">IF(OR(ISBLANK(CS1214),ISBLANK(CT1214)),"Incomplete",_xlfn.XLOOKUP(CS1214&amp;CT1214,VLOOKUP!$A$4:$A$250&amp;VLOOKUP!$B$4:$B$250,VLOOKUP!$D$4:$D$250,"0"))</f>
        <v>28</v>
      </c>
    </row>
    <row r="1215" spans="1:101">
      <c r="A1215" s="59" t="s">
        <v>517</v>
      </c>
      <c r="B1215" s="59" t="s">
        <v>516</v>
      </c>
      <c r="C1215" s="59" t="s">
        <v>86</v>
      </c>
      <c r="D1215" s="60"/>
      <c r="E1215" s="59"/>
      <c r="F1215" s="61" t="s">
        <v>178</v>
      </c>
      <c r="G1215" s="64">
        <v>2026</v>
      </c>
      <c r="H1215" s="61"/>
      <c r="I1215" s="66">
        <v>2</v>
      </c>
      <c r="J1215" s="61"/>
      <c r="K1215" s="61"/>
      <c r="L1215" s="61"/>
      <c r="M1215" s="59"/>
      <c r="N1215" s="59"/>
      <c r="O1215" s="59"/>
      <c r="P1215" s="59"/>
      <c r="Q1215" s="59"/>
      <c r="R1215" s="59"/>
      <c r="S1215" s="61">
        <v>78.5</v>
      </c>
      <c r="T1215" s="61">
        <v>148.1</v>
      </c>
      <c r="U1215" s="59"/>
      <c r="V1215" s="59"/>
      <c r="W1215" s="59"/>
      <c r="X1215" s="59"/>
      <c r="Y1215" s="59"/>
      <c r="Z1215" s="59"/>
      <c r="AA1215" s="59"/>
      <c r="AB1215" s="59"/>
      <c r="AC1215" s="59"/>
      <c r="AD1215" s="59"/>
      <c r="AE1215" s="59"/>
      <c r="AF1215" s="59"/>
      <c r="AG1215" s="59"/>
      <c r="AH1215" s="59"/>
      <c r="AI1215" s="59"/>
      <c r="AJ1215" s="59"/>
      <c r="AK1215" s="59"/>
      <c r="AL1215" s="59"/>
      <c r="AM1215" s="59"/>
      <c r="AN1215" s="59"/>
      <c r="AO1215" s="59"/>
      <c r="AP1215" s="59"/>
      <c r="AQ1215" s="66"/>
      <c r="AR1215" s="66"/>
      <c r="AS1215" s="66"/>
      <c r="AT1215" s="66"/>
      <c r="AU1215" s="66"/>
      <c r="AV1215" s="66"/>
      <c r="AW1215" s="66"/>
      <c r="AX1215" s="66"/>
      <c r="AY1215" s="41" t="str">
        <f t="shared" si="380"/>
        <v>Incomplete</v>
      </c>
      <c r="AZ1215" s="64"/>
      <c r="BA1215" s="20" t="str">
        <f t="shared" si="381"/>
        <v>Incomplete</v>
      </c>
      <c r="BB1215" s="64"/>
      <c r="BC1215" s="20" t="str">
        <f t="shared" si="382"/>
        <v>Incomplete</v>
      </c>
      <c r="BD1215" s="64"/>
      <c r="BE1215" s="20" t="str">
        <f t="shared" si="383"/>
        <v>Incomplete</v>
      </c>
      <c r="BF1215" s="59"/>
      <c r="BG1215" s="59"/>
      <c r="BH1215" s="61"/>
      <c r="BI1215" s="20" t="str">
        <f t="shared" si="379"/>
        <v>Incomplete</v>
      </c>
      <c r="BJ1215" s="66"/>
      <c r="BK1215" s="59">
        <v>12.4</v>
      </c>
      <c r="BL1215" s="66"/>
      <c r="BM1215" s="59">
        <v>12</v>
      </c>
      <c r="BN1215" s="66"/>
      <c r="BO1215" s="64"/>
      <c r="BP1215" s="64"/>
      <c r="BQ1215" s="64"/>
      <c r="BR1215" s="64"/>
      <c r="BS1215" s="64"/>
      <c r="BT1215" s="64"/>
      <c r="BU1215" s="64"/>
      <c r="BV1215" s="64"/>
      <c r="BW1215" s="91">
        <f t="shared" si="384"/>
        <v>0</v>
      </c>
      <c r="BX1215" s="91" t="str">
        <f>_xlfn.XLOOKUP(BW1215,'Normative data'!$V$3:$V$6,'Normative data'!$W$3:$W$6,"Not Found",-1)</f>
        <v>Not completed</v>
      </c>
      <c r="BY1215" s="91">
        <f t="shared" si="385"/>
        <v>0</v>
      </c>
      <c r="BZ1215" s="91" t="str">
        <f>_xlfn.XLOOKUP(BY1215,'Normative data'!$V$3:$V$6,'Normative data'!$W$3:$W$6,"Not Found",-1)</f>
        <v>Not completed</v>
      </c>
      <c r="CA1215" s="20"/>
      <c r="CB1215" s="61"/>
      <c r="CC1215" s="20"/>
      <c r="CD1215" s="61"/>
      <c r="CE1215" s="59">
        <v>30</v>
      </c>
      <c r="CF1215" s="61"/>
      <c r="CG1215" s="66"/>
      <c r="CH1215" s="20" t="str">
        <f>_xlfn.XLOOKUP(CG1215, 'Normative data'!$S$9:$S$15,'Normative data'!$T$9:$T$15, "Not Found", -1)</f>
        <v>not completed</v>
      </c>
      <c r="CI1215" s="66"/>
      <c r="CJ1215" s="20" t="str">
        <f>_xlfn.XLOOKUP(CI1215, 'Normative data'!$S$9:$S$15, 'Normative data'!$T$9:$T$15, "Not Found", -1)</f>
        <v>not completed</v>
      </c>
      <c r="CK1215" s="59">
        <v>2.31</v>
      </c>
      <c r="CL1215" s="59">
        <v>4.33</v>
      </c>
      <c r="CM1215" s="61"/>
      <c r="CN1215" s="59">
        <v>7.23</v>
      </c>
      <c r="CO1215" s="59">
        <v>7.92</v>
      </c>
      <c r="CP1215" s="63"/>
      <c r="CQ1215" s="62">
        <v>5.2</v>
      </c>
      <c r="CR1215" s="20" t="str" cm="1">
        <f t="array" ref="CR1215">IF(OR(ISBLANK(E1215),ISBLANK(CQ1215)),"Incomplete",_xlfn.XLOOKUP(CQ1215,_xlfn.XLOOKUP(E1215,'Normative data'!$Y$3:$Y$6,'Normative data'!$Z$3:$AG$6,,-1),'Normative data'!$Z$2:$AG$2,"Not Found",-1))</f>
        <v>Incomplete</v>
      </c>
      <c r="CS1215" s="68">
        <v>5</v>
      </c>
      <c r="CT1215" s="66">
        <v>2</v>
      </c>
      <c r="CU1215" s="20" cm="1">
        <f t="array" ref="CU1215">_xlfn.XLOOKUP(CS1215&amp;CT1215,(VLOOKUP!$A$3:$A$250)&amp;(VLOOKUP!$B$3:$B$250),VLOOKUP!$C$3:$C$250,"Incomplete",-1)</f>
        <v>680</v>
      </c>
      <c r="CV1215" s="20" t="str" cm="1">
        <f t="array" ref="CV1215">_xlfn.XLOOKUP(CU1215, _xlfn.XLOOKUP(E1215, 'Normative data'!$Y$11:$Y$14, 'Normative data'!$Z$11:$AG$14, ,-1), 'Normative data'!$Z$10:$AG$10, "Not Found", -1)</f>
        <v xml:space="preserve">Poor </v>
      </c>
      <c r="CW1215" s="20" cm="1">
        <f t="array" ref="CW1215">IF(OR(ISBLANK(CS1215),ISBLANK(CT1215)),"Incomplete",_xlfn.XLOOKUP(CS1215&amp;CT1215,VLOOKUP!$A$4:$A$250&amp;VLOOKUP!$B$4:$B$250,VLOOKUP!$D$4:$D$250,"0"))</f>
        <v>30</v>
      </c>
    </row>
    <row r="1216" spans="1:101">
      <c r="A1216" s="59" t="s">
        <v>1864</v>
      </c>
      <c r="B1216" s="59" t="s">
        <v>1865</v>
      </c>
      <c r="C1216" s="59" t="s">
        <v>86</v>
      </c>
      <c r="D1216" s="61"/>
      <c r="E1216" s="59"/>
      <c r="F1216" s="61" t="s">
        <v>251</v>
      </c>
      <c r="G1216" s="64">
        <v>2026</v>
      </c>
      <c r="H1216" s="61"/>
      <c r="I1216" s="66">
        <v>2</v>
      </c>
      <c r="J1216" s="61" t="s">
        <v>1062</v>
      </c>
      <c r="K1216" s="61" t="s">
        <v>236</v>
      </c>
      <c r="L1216" s="61"/>
      <c r="M1216" s="59"/>
      <c r="N1216" s="59"/>
      <c r="O1216" s="59"/>
      <c r="P1216" s="59"/>
      <c r="Q1216" s="59"/>
      <c r="R1216" s="59"/>
      <c r="S1216" s="61"/>
      <c r="T1216" s="61"/>
      <c r="U1216" s="59"/>
      <c r="V1216" s="59"/>
      <c r="W1216" s="59"/>
      <c r="X1216" s="59"/>
      <c r="Y1216" s="59"/>
      <c r="Z1216" s="59"/>
      <c r="AA1216" s="59"/>
      <c r="AB1216" s="59"/>
      <c r="AC1216" s="59"/>
      <c r="AD1216" s="59"/>
      <c r="AE1216" s="59"/>
      <c r="AF1216" s="59"/>
      <c r="AG1216" s="59"/>
      <c r="AH1216" s="59"/>
      <c r="AI1216" s="59"/>
      <c r="AJ1216" s="59"/>
      <c r="AK1216" s="59"/>
      <c r="AL1216" s="59"/>
      <c r="AM1216" s="59"/>
      <c r="AN1216" s="59"/>
      <c r="AO1216" s="59"/>
      <c r="AP1216" s="59"/>
      <c r="AQ1216" s="66"/>
      <c r="AR1216" s="66"/>
      <c r="AS1216" s="66"/>
      <c r="AT1216" s="66"/>
      <c r="AU1216" s="66"/>
      <c r="AV1216" s="66"/>
      <c r="AW1216" s="66"/>
      <c r="AX1216" s="66"/>
      <c r="AY1216" s="41" t="str">
        <f t="shared" si="380"/>
        <v>Incomplete</v>
      </c>
      <c r="AZ1216" s="64"/>
      <c r="BA1216" s="20" t="str">
        <f t="shared" si="381"/>
        <v>Incomplete</v>
      </c>
      <c r="BB1216" s="64"/>
      <c r="BC1216" s="20" t="str">
        <f t="shared" si="382"/>
        <v>Incomplete</v>
      </c>
      <c r="BD1216" s="64"/>
      <c r="BE1216" s="20" t="str">
        <f t="shared" si="383"/>
        <v>Incomplete</v>
      </c>
      <c r="BF1216" s="59"/>
      <c r="BG1216" s="59"/>
      <c r="BH1216" s="61"/>
      <c r="BI1216" s="20" t="str">
        <f t="shared" si="379"/>
        <v>Incomplete</v>
      </c>
      <c r="BJ1216" s="66"/>
      <c r="BK1216" s="64"/>
      <c r="BL1216" s="66"/>
      <c r="BM1216" s="66"/>
      <c r="BN1216" s="66"/>
      <c r="BO1216" s="64"/>
      <c r="BP1216" s="64"/>
      <c r="BQ1216" s="59"/>
      <c r="BR1216" s="59"/>
      <c r="BS1216" s="59"/>
      <c r="BT1216" s="59"/>
      <c r="BU1216" s="59"/>
      <c r="BV1216" s="59"/>
      <c r="BW1216" s="91" t="str">
        <f t="shared" si="384"/>
        <v>Incomplete</v>
      </c>
      <c r="BX1216" s="91" t="str">
        <f>_xlfn.XLOOKUP(BW1216,'Normative data'!$V$3:$V$6,'Normative data'!$W$3:$W$6,"Not Found",-1)</f>
        <v>Very low risk</v>
      </c>
      <c r="BY1216" s="91" t="str">
        <f t="shared" si="385"/>
        <v>Incomplete</v>
      </c>
      <c r="BZ1216" s="91" t="str">
        <f>_xlfn.XLOOKUP(BY1216,'Normative data'!$V$3:$V$6,'Normative data'!$W$3:$W$6,"Not Found",-1)</f>
        <v>Very low risk</v>
      </c>
      <c r="CB1216" s="61"/>
      <c r="CD1216" s="61"/>
      <c r="CE1216" s="59"/>
      <c r="CF1216" s="61"/>
      <c r="CG1216" s="61"/>
      <c r="CH1216" s="20" t="str">
        <f>_xlfn.XLOOKUP(CG1216, 'Normative data'!$S$9:$S$15,'Normative data'!$T$9:$T$15, "Not Found", -1)</f>
        <v>not completed</v>
      </c>
      <c r="CI1216" s="61"/>
      <c r="CJ1216" s="20" t="str">
        <f>_xlfn.XLOOKUP(CI1216, 'Normative data'!$S$9:$S$15, 'Normative data'!$T$9:$T$15, "Not Found", -1)</f>
        <v>not completed</v>
      </c>
      <c r="CK1216" s="107"/>
      <c r="CL1216" s="107"/>
      <c r="CM1216" s="107"/>
      <c r="CN1216" s="107"/>
      <c r="CO1216" s="107"/>
      <c r="CP1216" s="63"/>
      <c r="CQ1216" s="62"/>
      <c r="CR1216" s="20" t="str" cm="1">
        <f t="array" ref="CR1216">IF(OR(ISBLANK(E1216),ISBLANK(CQ1216)),"Incomplete",_xlfn.XLOOKUP(CQ1216,_xlfn.XLOOKUP(E1216,'Normative data'!$Y$3:$Y$6,'Normative data'!$Z$3:$AG$6,,-1),'Normative data'!$Z$2:$AG$2,"Not Found",-1))</f>
        <v>Incomplete</v>
      </c>
      <c r="CS1216" s="68"/>
      <c r="CT1216" s="66"/>
      <c r="CU1216" s="20" t="str" cm="1">
        <f t="array" ref="CU1216">_xlfn.XLOOKUP(CS1216&amp;CT1216,(VLOOKUP!$A$3:$A$250)&amp;(VLOOKUP!$B$3:$B$250),VLOOKUP!$C$3:$C$250,"Incomplete",-1)</f>
        <v>Incomplete</v>
      </c>
      <c r="CV1216" s="20" t="str" cm="1">
        <f t="array" ref="CV1216">_xlfn.XLOOKUP(CU1216, _xlfn.XLOOKUP(E1216, 'Normative data'!$Y$11:$Y$14, 'Normative data'!$Z$11:$AG$14, ,-1), 'Normative data'!$Z$10:$AG$10, "Not Found", -1)</f>
        <v>Excellent</v>
      </c>
      <c r="CW1216" s="20" t="str" cm="1">
        <f t="array" ref="CW1216">IF(OR(ISBLANK(CS1216),ISBLANK(CT1216)),"Incomplete",_xlfn.XLOOKUP(CS1216&amp;CT1216,VLOOKUP!$A$4:$A$250&amp;VLOOKUP!$B$4:$B$250,VLOOKUP!$D$4:$D$250,"0"))</f>
        <v>Incomplete</v>
      </c>
    </row>
    <row r="1217" spans="1:101">
      <c r="A1217" s="64" t="s">
        <v>1866</v>
      </c>
      <c r="B1217" s="64" t="s">
        <v>1867</v>
      </c>
      <c r="C1217" s="64" t="s">
        <v>86</v>
      </c>
      <c r="D1217" s="65">
        <v>39974</v>
      </c>
      <c r="E1217" s="64">
        <v>17</v>
      </c>
      <c r="F1217" s="66" t="s">
        <v>181</v>
      </c>
      <c r="G1217" s="64">
        <v>2026</v>
      </c>
      <c r="H1217" s="66"/>
      <c r="I1217" s="66">
        <v>2</v>
      </c>
      <c r="J1217" s="66"/>
      <c r="K1217" s="66"/>
      <c r="L1217" s="66"/>
      <c r="M1217" s="64"/>
      <c r="N1217" s="64"/>
      <c r="O1217" s="64"/>
      <c r="P1217" s="64"/>
      <c r="Q1217" s="64"/>
      <c r="R1217" s="64"/>
      <c r="S1217" s="66">
        <v>81.900000000000006</v>
      </c>
      <c r="T1217" s="66">
        <v>153.9</v>
      </c>
      <c r="U1217" s="64">
        <v>70.8</v>
      </c>
      <c r="V1217" s="64">
        <v>29.2</v>
      </c>
      <c r="W1217" s="64">
        <v>30.9</v>
      </c>
      <c r="X1217" s="64">
        <v>39.9</v>
      </c>
      <c r="Y1217" s="64">
        <v>21.8</v>
      </c>
      <c r="Z1217" s="64">
        <v>29.9</v>
      </c>
      <c r="AA1217" s="64">
        <v>43.7</v>
      </c>
      <c r="AB1217" s="64">
        <v>5.79</v>
      </c>
      <c r="AC1217" s="64">
        <v>94.5</v>
      </c>
      <c r="AD1217" s="64">
        <v>5.76</v>
      </c>
      <c r="AE1217" s="64">
        <v>93.9</v>
      </c>
      <c r="AF1217" s="64">
        <v>4.5999999999999996</v>
      </c>
      <c r="AG1217" s="64">
        <v>265.2</v>
      </c>
      <c r="AH1217" s="64">
        <v>4.5</v>
      </c>
      <c r="AI1217" s="64">
        <v>263.7</v>
      </c>
      <c r="AJ1217" s="64">
        <v>291.3</v>
      </c>
      <c r="AK1217" s="64">
        <v>293.5</v>
      </c>
      <c r="AL1217" s="64">
        <v>256.89999999999998</v>
      </c>
      <c r="AM1217" s="64">
        <v>259.89999999999998</v>
      </c>
      <c r="AN1217" s="64">
        <v>49</v>
      </c>
      <c r="AO1217" s="64"/>
      <c r="AP1217" s="64"/>
      <c r="AQ1217" s="64">
        <v>15.2</v>
      </c>
      <c r="AR1217" s="64">
        <v>0.35199999999999998</v>
      </c>
      <c r="AS1217" s="64">
        <v>21.6</v>
      </c>
      <c r="AT1217" s="64">
        <v>0.42</v>
      </c>
      <c r="AU1217" s="64">
        <v>8.3000000000000007</v>
      </c>
      <c r="AV1217" s="64">
        <v>0.26</v>
      </c>
      <c r="AW1217" s="64">
        <v>10.9</v>
      </c>
      <c r="AX1217" s="64">
        <v>0.29799999999999999</v>
      </c>
      <c r="AY1217" s="41">
        <f t="shared" si="380"/>
        <v>2074.88</v>
      </c>
      <c r="AZ1217" s="64"/>
      <c r="BA1217" s="20">
        <f t="shared" si="381"/>
        <v>2463.3599999999997</v>
      </c>
      <c r="BB1217" s="64"/>
      <c r="BC1217" s="20">
        <f t="shared" si="382"/>
        <v>1656.0499999999997</v>
      </c>
      <c r="BD1217" s="64"/>
      <c r="BE1217" s="20">
        <f t="shared" si="383"/>
        <v>1813.87</v>
      </c>
      <c r="BF1217" s="64"/>
      <c r="BG1217" s="64">
        <v>11.9</v>
      </c>
      <c r="BH1217" s="64">
        <v>46.5</v>
      </c>
      <c r="BI1217" s="20">
        <f t="shared" si="379"/>
        <v>34.6</v>
      </c>
      <c r="BJ1217" s="66"/>
      <c r="BK1217" s="64">
        <v>3</v>
      </c>
      <c r="BL1217" s="66"/>
      <c r="BM1217" s="64">
        <v>6</v>
      </c>
      <c r="BN1217" s="66"/>
      <c r="BO1217" s="64">
        <v>60</v>
      </c>
      <c r="BP1217" s="64">
        <v>61</v>
      </c>
      <c r="BQ1217" s="64">
        <v>62</v>
      </c>
      <c r="BR1217" s="64">
        <v>65</v>
      </c>
      <c r="BS1217" s="64">
        <v>62</v>
      </c>
      <c r="BT1217" s="64">
        <v>60</v>
      </c>
      <c r="BU1217" s="64">
        <v>62</v>
      </c>
      <c r="BV1217" s="64">
        <v>61</v>
      </c>
      <c r="BW1217" s="91">
        <f t="shared" si="384"/>
        <v>87.5</v>
      </c>
      <c r="BX1217" s="91" t="str">
        <f>_xlfn.XLOOKUP(BW1217,'Normative data'!$V$3:$V$6,'Normative data'!$W$3:$W$6,"Not Found",-1)</f>
        <v>High risk</v>
      </c>
      <c r="BY1217" s="91">
        <f t="shared" si="385"/>
        <v>84.722222222222214</v>
      </c>
      <c r="BZ1217" s="91" t="str">
        <f>_xlfn.XLOOKUP(BY1217,'Normative data'!$V$3:$V$6,'Normative data'!$W$3:$W$6,"Not Found",-1)</f>
        <v>High risk</v>
      </c>
      <c r="CA1217" s="64">
        <v>29</v>
      </c>
      <c r="CB1217" s="66"/>
      <c r="CC1217" s="66"/>
      <c r="CD1217" s="66"/>
      <c r="CE1217" s="64">
        <v>6</v>
      </c>
      <c r="CF1217" s="66"/>
      <c r="CG1217" s="66"/>
      <c r="CH1217" s="20" t="str">
        <f>_xlfn.XLOOKUP(CG1217, 'Normative data'!$S$9:$S$15,'Normative data'!$T$9:$T$15, "Not Found", -1)</f>
        <v>not completed</v>
      </c>
      <c r="CI1217" s="66"/>
      <c r="CJ1217" s="20" t="str">
        <f>_xlfn.XLOOKUP(CI1217, 'Normative data'!$S$9:$S$15, 'Normative data'!$T$9:$T$15, "Not Found", -1)</f>
        <v>not completed</v>
      </c>
      <c r="CK1217" s="17">
        <v>2.4</v>
      </c>
      <c r="CL1217" s="17">
        <v>4.17</v>
      </c>
      <c r="CN1217" s="17">
        <v>7.75</v>
      </c>
      <c r="CO1217" s="17">
        <v>6.45</v>
      </c>
      <c r="CP1217" s="68"/>
      <c r="CQ1217" s="67"/>
      <c r="CR1217" s="20" t="str" cm="1">
        <f t="array" ref="CR1217">IF(OR(ISBLANK(E1217),ISBLANK(CQ1217)),"Incomplete",_xlfn.XLOOKUP(CQ1217,_xlfn.XLOOKUP(E1217,'Normative data'!$Y$3:$Y$6,'Normative data'!$Z$3:$AG$6,,-1),'Normative data'!$Z$2:$AG$2,"Not Found",-1))</f>
        <v>Incomplete</v>
      </c>
      <c r="CS1217" s="68"/>
      <c r="CT1217" s="66"/>
      <c r="CU1217" s="20" t="str" cm="1">
        <f t="array" ref="CU1217">_xlfn.XLOOKUP(CS1217&amp;CT1217,(VLOOKUP!$A$3:$A$250)&amp;(VLOOKUP!$B$3:$B$250),VLOOKUP!$C$3:$C$250,"Incomplete",-1)</f>
        <v>Incomplete</v>
      </c>
      <c r="CV1217" s="20" t="str" cm="1">
        <f t="array" ref="CV1217">_xlfn.XLOOKUP(CU1217, _xlfn.XLOOKUP(E1217, 'Normative data'!$Y$11:$Y$14, 'Normative data'!$Z$11:$AG$14, ,-1), 'Normative data'!$Z$10:$AG$10, "Not Found", -1)</f>
        <v>Excellent</v>
      </c>
      <c r="CW1217" s="20" t="str" cm="1">
        <f t="array" ref="CW1217">IF(OR(ISBLANK(CS1217),ISBLANK(CT1217)),"Incomplete",_xlfn.XLOOKUP(CS1217&amp;CT1217,VLOOKUP!$A$4:$A$250&amp;VLOOKUP!$B$4:$B$250,VLOOKUP!$D$4:$D$250,"0"))</f>
        <v>Incomplete</v>
      </c>
    </row>
    <row r="1218" spans="1:101">
      <c r="A1218" s="64" t="s">
        <v>968</v>
      </c>
      <c r="B1218" s="64" t="s">
        <v>1612</v>
      </c>
      <c r="C1218" s="64" t="s">
        <v>86</v>
      </c>
      <c r="D1218" s="65"/>
      <c r="E1218" s="64"/>
      <c r="F1218" s="66" t="s">
        <v>99</v>
      </c>
      <c r="G1218" s="64">
        <v>2026</v>
      </c>
      <c r="H1218" s="66"/>
      <c r="I1218" s="66">
        <v>2</v>
      </c>
      <c r="J1218" s="66"/>
      <c r="K1218" s="66"/>
      <c r="L1218" s="66"/>
      <c r="M1218" s="64"/>
      <c r="N1218" s="64"/>
      <c r="O1218" s="64"/>
      <c r="P1218" s="64"/>
      <c r="Q1218" s="64"/>
      <c r="R1218" s="64"/>
      <c r="S1218" s="66">
        <v>86.5</v>
      </c>
      <c r="T1218" s="66">
        <v>166.8</v>
      </c>
      <c r="U1218" s="64"/>
      <c r="V1218" s="64"/>
      <c r="W1218" s="64"/>
      <c r="X1218" s="64"/>
      <c r="Y1218" s="64"/>
      <c r="Z1218" s="64"/>
      <c r="AA1218" s="64"/>
      <c r="AB1218" s="64"/>
      <c r="AC1218" s="64"/>
      <c r="AD1218" s="64"/>
      <c r="AE1218" s="64"/>
      <c r="AF1218" s="64"/>
      <c r="AG1218" s="64"/>
      <c r="AH1218" s="64"/>
      <c r="AI1218" s="64"/>
      <c r="AJ1218" s="64"/>
      <c r="AK1218" s="64"/>
      <c r="AL1218" s="64"/>
      <c r="AM1218" s="64"/>
      <c r="AN1218" s="64"/>
      <c r="AO1218" s="64"/>
      <c r="AP1218" s="64"/>
      <c r="AQ1218" s="66"/>
      <c r="AR1218" s="66"/>
      <c r="AS1218" s="66"/>
      <c r="AT1218" s="66"/>
      <c r="AU1218" s="66"/>
      <c r="AV1218" s="66"/>
      <c r="AW1218" s="66"/>
      <c r="AX1218" s="66"/>
      <c r="AY1218" s="41" t="str">
        <f t="shared" si="380"/>
        <v>Incomplete</v>
      </c>
      <c r="AZ1218" s="64"/>
      <c r="BA1218" s="20" t="str">
        <f t="shared" si="381"/>
        <v>Incomplete</v>
      </c>
      <c r="BB1218" s="64"/>
      <c r="BC1218" s="20" t="str">
        <f t="shared" si="382"/>
        <v>Incomplete</v>
      </c>
      <c r="BD1218" s="64"/>
      <c r="BE1218" s="20" t="str">
        <f t="shared" si="383"/>
        <v>Incomplete</v>
      </c>
      <c r="BF1218" s="64"/>
      <c r="BG1218" s="64">
        <v>9.4</v>
      </c>
      <c r="BH1218" s="64">
        <v>41</v>
      </c>
      <c r="BI1218" s="20">
        <f t="shared" si="379"/>
        <v>31.6</v>
      </c>
      <c r="BJ1218" s="66"/>
      <c r="BK1218" s="64"/>
      <c r="BL1218" s="66"/>
      <c r="BM1218" s="66"/>
      <c r="BN1218" s="66"/>
      <c r="BO1218" s="64"/>
      <c r="BP1218" s="64"/>
      <c r="BQ1218" s="64"/>
      <c r="BR1218" s="64"/>
      <c r="BS1218" s="64"/>
      <c r="BT1218" s="64"/>
      <c r="BU1218" s="64"/>
      <c r="BV1218" s="64"/>
      <c r="BW1218" s="91">
        <f t="shared" si="384"/>
        <v>0</v>
      </c>
      <c r="BX1218" s="91" t="str">
        <f>_xlfn.XLOOKUP(BW1218,'Normative data'!$V$3:$V$6,'Normative data'!$W$3:$W$6,"Not Found",-1)</f>
        <v>Not completed</v>
      </c>
      <c r="BY1218" s="91">
        <f t="shared" si="385"/>
        <v>0</v>
      </c>
      <c r="BZ1218" s="91" t="str">
        <f>_xlfn.XLOOKUP(BY1218,'Normative data'!$V$3:$V$6,'Normative data'!$W$3:$W$6,"Not Found",-1)</f>
        <v>Not completed</v>
      </c>
      <c r="CA1218" s="66"/>
      <c r="CB1218" s="66"/>
      <c r="CC1218" s="66"/>
      <c r="CD1218" s="66"/>
      <c r="CE1218" s="64">
        <v>6</v>
      </c>
      <c r="CF1218" s="66"/>
      <c r="CG1218" s="64">
        <v>24.1</v>
      </c>
      <c r="CH1218" s="20" t="str">
        <f>_xlfn.XLOOKUP(CG1218, 'Normative data'!$S$9:$S$15,'Normative data'!$T$9:$T$15, "Not Found", -1)</f>
        <v>Poor</v>
      </c>
      <c r="CI1218" s="64">
        <v>23.41</v>
      </c>
      <c r="CJ1218" s="20" t="str">
        <f>_xlfn.XLOOKUP(CI1218, 'Normative data'!$S$9:$S$15, 'Normative data'!$T$9:$T$15, "Not Found", -1)</f>
        <v>Poor</v>
      </c>
      <c r="CK1218" s="17">
        <v>2.74</v>
      </c>
      <c r="CL1218" s="17">
        <v>3.65</v>
      </c>
      <c r="CN1218" s="17">
        <v>9</v>
      </c>
      <c r="CO1218" s="17">
        <v>5.56</v>
      </c>
      <c r="CP1218" s="68"/>
      <c r="CQ1218" s="67">
        <v>2.2999999999999998</v>
      </c>
      <c r="CR1218" s="20" t="str" cm="1">
        <f t="array" ref="CR1218">IF(OR(ISBLANK(E1218),ISBLANK(CQ1218)),"Incomplete",_xlfn.XLOOKUP(CQ1218,_xlfn.XLOOKUP(E1218,'Normative data'!$Y$3:$Y$6,'Normative data'!$Z$3:$AG$6,,-1),'Normative data'!$Z$2:$AG$2,"Not Found",-1))</f>
        <v>Incomplete</v>
      </c>
      <c r="CS1218" s="68">
        <v>2</v>
      </c>
      <c r="CT1218" s="66">
        <v>3</v>
      </c>
      <c r="CU1218" s="20" cm="1">
        <f t="array" ref="CU1218">_xlfn.XLOOKUP(CS1218&amp;CT1218,(VLOOKUP!$A$3:$A$250)&amp;(VLOOKUP!$B$3:$B$250),VLOOKUP!$C$3:$C$250,"Incomplete",-1)</f>
        <v>200</v>
      </c>
      <c r="CV1218" s="20" t="str" cm="1">
        <f t="array" ref="CV1218">_xlfn.XLOOKUP(CU1218, _xlfn.XLOOKUP(E1218, 'Normative data'!$Y$11:$Y$14, 'Normative data'!$Z$11:$AG$14, ,-1), 'Normative data'!$Z$10:$AG$10, "Not Found", -1)</f>
        <v xml:space="preserve">Very poor </v>
      </c>
      <c r="CW1218" s="20" cm="1">
        <f t="array" ref="CW1218">IF(OR(ISBLANK(CS1218),ISBLANK(CT1218)),"Incomplete",_xlfn.XLOOKUP(CS1218&amp;CT1218,VLOOKUP!$A$4:$A$250&amp;VLOOKUP!$B$4:$B$250,VLOOKUP!$D$4:$D$250,"0"))</f>
        <v>20</v>
      </c>
    </row>
    <row r="1219" spans="1:101">
      <c r="A1219" s="64" t="s">
        <v>1868</v>
      </c>
      <c r="B1219" s="64" t="s">
        <v>1612</v>
      </c>
      <c r="C1219" s="64" t="s">
        <v>86</v>
      </c>
      <c r="D1219" s="65"/>
      <c r="E1219" s="64"/>
      <c r="F1219" s="66" t="s">
        <v>107</v>
      </c>
      <c r="G1219" s="64">
        <v>2026</v>
      </c>
      <c r="H1219" s="66"/>
      <c r="I1219" s="66">
        <v>2</v>
      </c>
      <c r="J1219" s="66" t="s">
        <v>88</v>
      </c>
      <c r="K1219" s="66" t="s">
        <v>184</v>
      </c>
      <c r="L1219" s="66"/>
      <c r="M1219" s="64"/>
      <c r="N1219" s="64"/>
      <c r="O1219" s="64"/>
      <c r="P1219" s="64"/>
      <c r="Q1219" s="64"/>
      <c r="R1219" s="64"/>
      <c r="S1219" s="66">
        <v>90.1</v>
      </c>
      <c r="T1219" s="66">
        <v>173.7</v>
      </c>
      <c r="U1219" s="64"/>
      <c r="V1219" s="64"/>
      <c r="W1219" s="64"/>
      <c r="X1219" s="64"/>
      <c r="Y1219" s="64"/>
      <c r="Z1219" s="64"/>
      <c r="AA1219" s="64"/>
      <c r="AB1219" s="64"/>
      <c r="AC1219" s="64"/>
      <c r="AD1219" s="64"/>
      <c r="AE1219" s="64"/>
      <c r="AF1219" s="64"/>
      <c r="AG1219" s="64"/>
      <c r="AH1219" s="64"/>
      <c r="AI1219" s="64"/>
      <c r="AJ1219" s="64"/>
      <c r="AK1219" s="64"/>
      <c r="AL1219" s="64"/>
      <c r="AM1219" s="64"/>
      <c r="AN1219" s="64"/>
      <c r="AO1219" s="64"/>
      <c r="AP1219" s="64"/>
      <c r="AQ1219" s="66"/>
      <c r="AR1219" s="66"/>
      <c r="AS1219" s="66"/>
      <c r="AT1219" s="66"/>
      <c r="AU1219" s="66"/>
      <c r="AV1219" s="66"/>
      <c r="AW1219" s="66"/>
      <c r="AX1219" s="66"/>
      <c r="AY1219" s="41" t="str">
        <f t="shared" si="380"/>
        <v>Incomplete</v>
      </c>
      <c r="AZ1219" s="64"/>
      <c r="BA1219" s="20" t="str">
        <f t="shared" si="381"/>
        <v>Incomplete</v>
      </c>
      <c r="BB1219" s="64"/>
      <c r="BC1219" s="20" t="str">
        <f t="shared" si="382"/>
        <v>Incomplete</v>
      </c>
      <c r="BD1219" s="64"/>
      <c r="BE1219" s="20" t="str">
        <f t="shared" si="383"/>
        <v>Incomplete</v>
      </c>
      <c r="BF1219" s="64"/>
      <c r="BG1219" s="64"/>
      <c r="BH1219" s="17">
        <v>15.2</v>
      </c>
      <c r="BI1219" s="20" t="str">
        <f t="shared" si="379"/>
        <v>Incomplete</v>
      </c>
      <c r="BJ1219" s="66"/>
      <c r="BK1219" s="64">
        <v>10.5</v>
      </c>
      <c r="BL1219" s="66"/>
      <c r="BM1219" s="64">
        <v>11.5</v>
      </c>
      <c r="BN1219" s="66"/>
      <c r="BO1219" s="64"/>
      <c r="BP1219" s="64"/>
      <c r="BQ1219" s="64"/>
      <c r="BR1219" s="64"/>
      <c r="BS1219" s="64"/>
      <c r="BT1219" s="64"/>
      <c r="BU1219" s="64"/>
      <c r="BV1219" s="64"/>
      <c r="BW1219" s="91">
        <f t="shared" si="384"/>
        <v>0</v>
      </c>
      <c r="BX1219" s="91" t="str">
        <f>_xlfn.XLOOKUP(BW1219,'Normative data'!$V$3:$V$6,'Normative data'!$W$3:$W$6,"Not Found",-1)</f>
        <v>Not completed</v>
      </c>
      <c r="BY1219" s="91">
        <f t="shared" si="385"/>
        <v>0</v>
      </c>
      <c r="BZ1219" s="91" t="str">
        <f>_xlfn.XLOOKUP(BY1219,'Normative data'!$V$3:$V$6,'Normative data'!$W$3:$W$6,"Not Found",-1)</f>
        <v>Not completed</v>
      </c>
      <c r="CA1219" s="20"/>
      <c r="CB1219" s="66"/>
      <c r="CC1219" s="20"/>
      <c r="CD1219" s="66"/>
      <c r="CE1219" s="64">
        <v>8</v>
      </c>
      <c r="CF1219" s="66"/>
      <c r="CG1219" s="64">
        <v>20.61</v>
      </c>
      <c r="CH1219" s="20" t="str">
        <f>_xlfn.XLOOKUP(CG1219, 'Normative data'!$S$9:$S$15,'Normative data'!$T$9:$T$15, "Not Found", -1)</f>
        <v>Average</v>
      </c>
      <c r="CI1219" s="64">
        <v>20.92</v>
      </c>
      <c r="CJ1219" s="20" t="str">
        <f>_xlfn.XLOOKUP(CI1219, 'Normative data'!$S$9:$S$15, 'Normative data'!$T$9:$T$15, "Not Found", -1)</f>
        <v>Average</v>
      </c>
      <c r="CK1219" s="64">
        <v>2.5299999999999998</v>
      </c>
      <c r="CL1219" s="64">
        <v>3.95</v>
      </c>
      <c r="CM1219" s="66"/>
      <c r="CN1219" s="64">
        <v>7.63</v>
      </c>
      <c r="CO1219" s="64">
        <v>6.55</v>
      </c>
      <c r="CP1219" s="68"/>
      <c r="CQ1219" s="67">
        <v>5.3</v>
      </c>
      <c r="CR1219" s="20" t="str" cm="1">
        <f t="array" ref="CR1219">IF(OR(ISBLANK(E1219),ISBLANK(CQ1219)),"Incomplete",_xlfn.XLOOKUP(CQ1219,_xlfn.XLOOKUP(E1219,'Normative data'!$Y$3:$Y$6,'Normative data'!$Z$3:$AG$6,,-1),'Normative data'!$Z$2:$AG$2,"Not Found",-1))</f>
        <v>Incomplete</v>
      </c>
      <c r="CS1219" s="68">
        <v>5</v>
      </c>
      <c r="CT1219" s="66">
        <v>3</v>
      </c>
      <c r="CU1219" s="20" cm="1">
        <f t="array" ref="CU1219">_xlfn.XLOOKUP(CS1219&amp;CT1219,(VLOOKUP!$A$3:$A$250)&amp;(VLOOKUP!$B$3:$B$250),VLOOKUP!$C$3:$C$250,"Incomplete",-1)</f>
        <v>700</v>
      </c>
      <c r="CV1219" s="20" t="str" cm="1">
        <f t="array" ref="CV1219">_xlfn.XLOOKUP(CU1219, _xlfn.XLOOKUP(E1219, 'Normative data'!$Y$11:$Y$14, 'Normative data'!$Z$11:$AG$14, ,-1), 'Normative data'!$Z$10:$AG$10, "Not Found", -1)</f>
        <v xml:space="preserve">Poor </v>
      </c>
      <c r="CW1219" s="20" cm="1">
        <f t="array" ref="CW1219">IF(OR(ISBLANK(CS1219),ISBLANK(CT1219)),"Incomplete",_xlfn.XLOOKUP(CS1219&amp;CT1219,VLOOKUP!$A$4:$A$250&amp;VLOOKUP!$B$4:$B$250,VLOOKUP!$D$4:$D$250,"0"))</f>
        <v>31</v>
      </c>
    </row>
    <row r="1220" spans="1:101">
      <c r="A1220" s="64" t="s">
        <v>1611</v>
      </c>
      <c r="B1220" s="64" t="s">
        <v>1612</v>
      </c>
      <c r="C1220" s="64" t="s">
        <v>86</v>
      </c>
      <c r="D1220" s="65">
        <v>40851</v>
      </c>
      <c r="E1220" s="64">
        <v>15.2</v>
      </c>
      <c r="F1220" s="66" t="s">
        <v>217</v>
      </c>
      <c r="G1220" s="64">
        <v>2026</v>
      </c>
      <c r="H1220" s="66"/>
      <c r="I1220" s="66">
        <v>2</v>
      </c>
      <c r="J1220" s="66" t="s">
        <v>122</v>
      </c>
      <c r="K1220" s="66" t="s">
        <v>297</v>
      </c>
      <c r="L1220" s="66" t="s">
        <v>102</v>
      </c>
      <c r="M1220" s="64"/>
      <c r="N1220" s="64"/>
      <c r="O1220" s="64"/>
      <c r="P1220" s="64"/>
      <c r="Q1220" s="64"/>
      <c r="R1220" s="64"/>
      <c r="S1220" s="66">
        <v>86.2</v>
      </c>
      <c r="T1220" s="66">
        <v>165.7</v>
      </c>
      <c r="U1220" s="64">
        <v>57.8</v>
      </c>
      <c r="V1220" s="64">
        <v>32.299999999999997</v>
      </c>
      <c r="W1220" s="64">
        <v>13.6</v>
      </c>
      <c r="X1220" s="64">
        <v>44.2</v>
      </c>
      <c r="Y1220" s="64">
        <v>24.2</v>
      </c>
      <c r="Z1220" s="64">
        <v>21.1</v>
      </c>
      <c r="AA1220" s="64">
        <v>23.5</v>
      </c>
      <c r="AB1220" s="64">
        <v>6.72</v>
      </c>
      <c r="AC1220" s="64">
        <v>100.6</v>
      </c>
      <c r="AD1220" s="64">
        <v>6.73</v>
      </c>
      <c r="AE1220" s="64">
        <v>100.8</v>
      </c>
      <c r="AF1220" s="64">
        <v>2.2000000000000002</v>
      </c>
      <c r="AG1220" s="64">
        <v>85.6</v>
      </c>
      <c r="AH1220" s="64">
        <v>2.2000000000000002</v>
      </c>
      <c r="AI1220" s="64">
        <v>85.4</v>
      </c>
      <c r="AJ1220" s="64">
        <v>309.2</v>
      </c>
      <c r="AK1220" s="64">
        <v>307.10000000000002</v>
      </c>
      <c r="AL1220" s="64">
        <v>275.60000000000002</v>
      </c>
      <c r="AM1220" s="64">
        <v>267.39999999999998</v>
      </c>
      <c r="AN1220" s="64">
        <v>71</v>
      </c>
      <c r="AO1220" s="64">
        <v>0.48</v>
      </c>
      <c r="AP1220" s="64">
        <v>6.4</v>
      </c>
      <c r="AQ1220" s="64">
        <v>25</v>
      </c>
      <c r="AR1220" s="64">
        <v>0.45200000000000001</v>
      </c>
      <c r="AS1220" s="64">
        <v>29.2</v>
      </c>
      <c r="AT1220" s="64">
        <v>0.48799999999999999</v>
      </c>
      <c r="AU1220" s="64">
        <v>9.1</v>
      </c>
      <c r="AV1220" s="64">
        <v>0.27300000000000002</v>
      </c>
      <c r="AW1220" s="64">
        <v>12</v>
      </c>
      <c r="AX1220" s="64">
        <v>0.313</v>
      </c>
      <c r="AY1220" s="41">
        <f t="shared" si="380"/>
        <v>2080.84</v>
      </c>
      <c r="AZ1220" s="64"/>
      <c r="BA1220" s="20">
        <f t="shared" si="381"/>
        <v>2335.7799999999997</v>
      </c>
      <c r="BB1220" s="64"/>
      <c r="BC1220" s="20">
        <f t="shared" si="382"/>
        <v>1115.7099999999996</v>
      </c>
      <c r="BD1220" s="64"/>
      <c r="BE1220" s="20">
        <f t="shared" si="383"/>
        <v>1291.7399999999998</v>
      </c>
      <c r="BF1220" s="64"/>
      <c r="BG1220" s="64">
        <v>15</v>
      </c>
      <c r="BH1220" s="64">
        <v>41</v>
      </c>
      <c r="BI1220" s="20">
        <f t="shared" si="379"/>
        <v>26</v>
      </c>
      <c r="BJ1220" s="66"/>
      <c r="BK1220" s="64">
        <v>14.3</v>
      </c>
      <c r="BL1220" s="66"/>
      <c r="BM1220" s="64">
        <v>14.7</v>
      </c>
      <c r="BN1220" s="66"/>
      <c r="BO1220" s="64">
        <v>50</v>
      </c>
      <c r="BP1220" s="64">
        <v>51</v>
      </c>
      <c r="BQ1220" s="64">
        <v>79</v>
      </c>
      <c r="BR1220" s="64">
        <v>82</v>
      </c>
      <c r="BS1220" s="64">
        <v>78</v>
      </c>
      <c r="BT1220" s="64">
        <v>82</v>
      </c>
      <c r="BU1220" s="64">
        <v>85</v>
      </c>
      <c r="BV1220" s="64">
        <v>75</v>
      </c>
      <c r="BW1220" s="91">
        <f t="shared" si="384"/>
        <v>100.20964360587004</v>
      </c>
      <c r="BX1220" s="91" t="str">
        <f>_xlfn.XLOOKUP(BW1220,'Normative data'!$V$3:$V$6,'Normative data'!$W$3:$W$6,"Not Found",-1)</f>
        <v>Low risk</v>
      </c>
      <c r="BY1220" s="91">
        <f t="shared" si="385"/>
        <v>101.46750524109017</v>
      </c>
      <c r="BZ1220" s="91" t="str">
        <f>_xlfn.XLOOKUP(BY1220,'Normative data'!$V$3:$V$6,'Normative data'!$W$3:$W$6,"Not Found",-1)</f>
        <v>Low risk</v>
      </c>
      <c r="CA1220" s="64">
        <v>29</v>
      </c>
      <c r="CB1220" s="66"/>
      <c r="CC1220" s="20"/>
      <c r="CD1220" s="66"/>
      <c r="CE1220" s="64">
        <v>22</v>
      </c>
      <c r="CF1220" s="66"/>
      <c r="CG1220" s="64">
        <v>17.37</v>
      </c>
      <c r="CH1220" s="20" t="str">
        <f>_xlfn.XLOOKUP(CG1220, 'Normative data'!$S$9:$S$15,'Normative data'!$T$9:$T$15, "Not Found", -1)</f>
        <v>Above Average</v>
      </c>
      <c r="CI1220" s="64">
        <v>17.62</v>
      </c>
      <c r="CJ1220" s="20" t="str">
        <f>_xlfn.XLOOKUP(CI1220, 'Normative data'!$S$9:$S$15, 'Normative data'!$T$9:$T$15, "Not Found", -1)</f>
        <v>Above Average</v>
      </c>
      <c r="CK1220" s="64">
        <v>2.15</v>
      </c>
      <c r="CL1220" s="64">
        <v>4.6500000000000004</v>
      </c>
      <c r="CM1220" s="66"/>
      <c r="CN1220" s="64">
        <v>6.72</v>
      </c>
      <c r="CO1220" s="64">
        <v>7.44</v>
      </c>
      <c r="CP1220" s="68"/>
      <c r="CQ1220" s="67">
        <v>8.3000000000000007</v>
      </c>
      <c r="CR1220" s="20" t="str" cm="1">
        <f t="array" ref="CR1220">IF(OR(ISBLANK(E1220),ISBLANK(CQ1220)),"Incomplete",_xlfn.XLOOKUP(CQ1220,_xlfn.XLOOKUP(E1220,'Normative data'!$Y$3:$Y$6,'Normative data'!$Z$3:$AG$6,,-1),'Normative data'!$Z$2:$AG$2,"Not Found",-1))</f>
        <v>Good</v>
      </c>
      <c r="CS1220" s="68">
        <v>8</v>
      </c>
      <c r="CT1220" s="66">
        <v>3</v>
      </c>
      <c r="CU1220" s="20" cm="1">
        <f t="array" ref="CU1220">_xlfn.XLOOKUP(CS1220&amp;CT1220,(VLOOKUP!$A$3:$A$250)&amp;(VLOOKUP!$B$3:$B$250),VLOOKUP!$C$3:$C$250,"Incomplete",-1)</f>
        <v>1280</v>
      </c>
      <c r="CV1220" s="20" t="str" cm="1">
        <f t="array" ref="CV1220">_xlfn.XLOOKUP(CU1220, _xlfn.XLOOKUP(E1220, 'Normative data'!$Y$11:$Y$14, 'Normative data'!$Z$11:$AG$14, ,-1), 'Normative data'!$Z$10:$AG$10, "Not Found", -1)</f>
        <v>Average</v>
      </c>
      <c r="CW1220" s="20" cm="1">
        <f t="array" ref="CW1220">IF(OR(ISBLANK(CS1220),ISBLANK(CT1220)),"Incomplete",_xlfn.XLOOKUP(CS1220&amp;CT1220,VLOOKUP!$A$4:$A$250&amp;VLOOKUP!$B$4:$B$250,VLOOKUP!$D$4:$D$250,"0"))</f>
        <v>41</v>
      </c>
    </row>
    <row r="1221" spans="1:101">
      <c r="A1221" s="69" t="s">
        <v>1157</v>
      </c>
      <c r="B1221" s="69" t="s">
        <v>1869</v>
      </c>
      <c r="C1221" s="69" t="s">
        <v>86</v>
      </c>
      <c r="D1221" s="77"/>
      <c r="E1221" s="69"/>
      <c r="F1221" s="75" t="s">
        <v>151</v>
      </c>
      <c r="G1221" s="64">
        <v>2026</v>
      </c>
      <c r="H1221" s="75"/>
      <c r="I1221" s="66">
        <v>2</v>
      </c>
      <c r="J1221" s="75"/>
      <c r="K1221" s="75"/>
      <c r="L1221" s="75"/>
      <c r="M1221" s="69"/>
      <c r="N1221" s="69"/>
      <c r="O1221" s="69"/>
      <c r="P1221" s="69"/>
      <c r="Q1221" s="69"/>
      <c r="R1221" s="69"/>
      <c r="S1221" s="75"/>
      <c r="T1221" s="75"/>
      <c r="U1221" s="69"/>
      <c r="V1221" s="69"/>
      <c r="W1221" s="69"/>
      <c r="X1221" s="69"/>
      <c r="Y1221" s="69"/>
      <c r="Z1221" s="69"/>
      <c r="AA1221" s="69"/>
      <c r="AB1221" s="69"/>
      <c r="AC1221" s="69"/>
      <c r="AD1221" s="69"/>
      <c r="AE1221" s="69"/>
      <c r="AF1221" s="69"/>
      <c r="AG1221" s="69"/>
      <c r="AH1221" s="69"/>
      <c r="AI1221" s="69"/>
      <c r="AJ1221" s="69"/>
      <c r="AK1221" s="69"/>
      <c r="AL1221" s="69"/>
      <c r="AM1221" s="69"/>
      <c r="AN1221" s="69"/>
      <c r="AO1221" s="69"/>
      <c r="AP1221" s="69"/>
      <c r="AQ1221" s="75"/>
      <c r="AR1221" s="75"/>
      <c r="AS1221" s="75"/>
      <c r="AT1221" s="75"/>
      <c r="AU1221" s="75"/>
      <c r="AV1221" s="75"/>
      <c r="AW1221" s="75"/>
      <c r="AX1221" s="75"/>
      <c r="AY1221" s="41" t="str">
        <f t="shared" si="380"/>
        <v>Incomplete</v>
      </c>
      <c r="AZ1221" s="64"/>
      <c r="BA1221" s="20" t="str">
        <f t="shared" si="381"/>
        <v>Incomplete</v>
      </c>
      <c r="BB1221" s="64"/>
      <c r="BC1221" s="20" t="str">
        <f t="shared" si="382"/>
        <v>Incomplete</v>
      </c>
      <c r="BD1221" s="64"/>
      <c r="BE1221" s="20" t="str">
        <f t="shared" si="383"/>
        <v>Incomplete</v>
      </c>
      <c r="BF1221" s="69"/>
      <c r="BG1221" s="69"/>
      <c r="BH1221" s="75"/>
      <c r="BI1221" s="20" t="str">
        <f t="shared" si="379"/>
        <v>Incomplete</v>
      </c>
      <c r="BJ1221" s="66"/>
      <c r="BK1221" s="64"/>
      <c r="BL1221" s="66"/>
      <c r="BM1221" s="66"/>
      <c r="BN1221" s="66"/>
      <c r="BO1221" s="69"/>
      <c r="BP1221" s="69"/>
      <c r="BQ1221" s="69">
        <v>78</v>
      </c>
      <c r="BR1221" s="69">
        <v>67</v>
      </c>
      <c r="BS1221" s="69">
        <v>62</v>
      </c>
      <c r="BT1221" s="69">
        <v>76</v>
      </c>
      <c r="BU1221" s="69">
        <v>67</v>
      </c>
      <c r="BV1221" s="69">
        <v>67</v>
      </c>
      <c r="BW1221" s="91" t="str">
        <f t="shared" si="384"/>
        <v>Incomplete</v>
      </c>
      <c r="BX1221" s="91" t="str">
        <f>_xlfn.XLOOKUP(BW1221,'Normative data'!$V$3:$V$6,'Normative data'!$W$3:$W$6,"Not Found",-1)</f>
        <v>Very low risk</v>
      </c>
      <c r="BY1221" s="91" t="str">
        <f t="shared" si="385"/>
        <v>Incomplete</v>
      </c>
      <c r="BZ1221" s="91" t="str">
        <f>_xlfn.XLOOKUP(BY1221,'Normative data'!$V$3:$V$6,'Normative data'!$W$3:$W$6,"Not Found",-1)</f>
        <v>Very low risk</v>
      </c>
      <c r="CA1221" s="69">
        <v>20</v>
      </c>
      <c r="CB1221" s="75"/>
      <c r="CC1221" s="20"/>
      <c r="CD1221" s="75"/>
      <c r="CE1221" s="69">
        <v>3</v>
      </c>
      <c r="CF1221" s="75"/>
      <c r="CG1221" s="69">
        <v>19.989999999999998</v>
      </c>
      <c r="CH1221" s="20" t="str">
        <f>_xlfn.XLOOKUP(CG1221, 'Normative data'!$S$9:$S$15,'Normative data'!$T$9:$T$15, "Not Found", -1)</f>
        <v>Average</v>
      </c>
      <c r="CI1221" s="69">
        <v>20.07</v>
      </c>
      <c r="CJ1221" s="20" t="str">
        <f>_xlfn.XLOOKUP(CI1221, 'Normative data'!$S$9:$S$15, 'Normative data'!$T$9:$T$15, "Not Found", -1)</f>
        <v>Average</v>
      </c>
      <c r="CK1221" s="69">
        <v>2.2000000000000002</v>
      </c>
      <c r="CL1221" s="69">
        <v>4.55</v>
      </c>
      <c r="CM1221" s="75"/>
      <c r="CN1221" s="69">
        <v>8.1300000000000008</v>
      </c>
      <c r="CO1221" s="69">
        <v>6.15</v>
      </c>
      <c r="CP1221" s="128"/>
      <c r="CQ1221" s="78"/>
      <c r="CR1221" s="20" t="str" cm="1">
        <f t="array" ref="CR1221">IF(OR(ISBLANK(E1221),ISBLANK(CQ1221)),"Incomplete",_xlfn.XLOOKUP(CQ1221,_xlfn.XLOOKUP(E1221,'Normative data'!$Y$3:$Y$6,'Normative data'!$Z$3:$AG$6,,-1),'Normative data'!$Z$2:$AG$2,"Not Found",-1))</f>
        <v>Incomplete</v>
      </c>
      <c r="CS1221" s="68"/>
      <c r="CT1221" s="66"/>
      <c r="CU1221" s="20" t="str" cm="1">
        <f t="array" ref="CU1221">_xlfn.XLOOKUP(CS1221&amp;CT1221,(VLOOKUP!$A$3:$A$250)&amp;(VLOOKUP!$B$3:$B$250),VLOOKUP!$C$3:$C$250,"Incomplete",-1)</f>
        <v>Incomplete</v>
      </c>
      <c r="CV1221" s="20" t="str" cm="1">
        <f t="array" ref="CV1221">_xlfn.XLOOKUP(CU1221, _xlfn.XLOOKUP(E1221, 'Normative data'!$Y$11:$Y$14, 'Normative data'!$Z$11:$AG$14, ,-1), 'Normative data'!$Z$10:$AG$10, "Not Found", -1)</f>
        <v>Excellent</v>
      </c>
      <c r="CW1221" s="20" t="str" cm="1">
        <f t="array" ref="CW1221">IF(OR(ISBLANK(CS1221),ISBLANK(CT1221)),"Incomplete",_xlfn.XLOOKUP(CS1221&amp;CT1221,VLOOKUP!$A$4:$A$250&amp;VLOOKUP!$B$4:$B$250,VLOOKUP!$D$4:$D$250,"0"))</f>
        <v>Incomplete</v>
      </c>
    </row>
    <row r="1222" spans="1:101">
      <c r="A1222" s="64" t="s">
        <v>896</v>
      </c>
      <c r="B1222" s="64" t="s">
        <v>895</v>
      </c>
      <c r="C1222" s="64" t="s">
        <v>86</v>
      </c>
      <c r="D1222" s="65">
        <v>40604</v>
      </c>
      <c r="E1222" s="64"/>
      <c r="F1222" s="66" t="s">
        <v>87</v>
      </c>
      <c r="G1222" s="64">
        <v>2026</v>
      </c>
      <c r="H1222" s="66"/>
      <c r="I1222" s="66">
        <v>2</v>
      </c>
      <c r="J1222" s="66" t="s">
        <v>100</v>
      </c>
      <c r="K1222" s="66" t="s">
        <v>173</v>
      </c>
      <c r="L1222" s="66"/>
      <c r="M1222" s="64"/>
      <c r="N1222" s="64"/>
      <c r="O1222" s="64"/>
      <c r="P1222" s="64"/>
      <c r="Q1222" s="64"/>
      <c r="R1222" s="64"/>
      <c r="S1222" s="66">
        <v>78.900000000000006</v>
      </c>
      <c r="T1222" s="66">
        <v>154.5</v>
      </c>
      <c r="U1222" s="64">
        <v>54.5</v>
      </c>
      <c r="V1222" s="64">
        <v>27.3</v>
      </c>
      <c r="W1222" s="64">
        <v>14</v>
      </c>
      <c r="X1222" s="64">
        <v>37.5</v>
      </c>
      <c r="Y1222" s="64">
        <v>20.2</v>
      </c>
      <c r="Z1222" s="64"/>
      <c r="AA1222" s="64">
        <v>27.3</v>
      </c>
      <c r="AB1222" s="64">
        <v>5.17</v>
      </c>
      <c r="AC1222" s="64">
        <v>93.6</v>
      </c>
      <c r="AD1222" s="64">
        <v>5.15</v>
      </c>
      <c r="AE1222" s="64">
        <v>93.3</v>
      </c>
      <c r="AF1222" s="64">
        <v>2.2000000000000002</v>
      </c>
      <c r="AG1222" s="64">
        <v>128.30000000000001</v>
      </c>
      <c r="AH1222" s="64">
        <v>2.2000000000000002</v>
      </c>
      <c r="AI1222" s="64">
        <v>128.30000000000001</v>
      </c>
      <c r="AJ1222" s="64">
        <v>322.5</v>
      </c>
      <c r="AK1222" s="64">
        <v>324.5</v>
      </c>
      <c r="AL1222" s="64">
        <v>285.10000000000002</v>
      </c>
      <c r="AM1222" s="64">
        <v>286.39999999999998</v>
      </c>
      <c r="AN1222" s="64">
        <v>78</v>
      </c>
      <c r="AO1222" s="64"/>
      <c r="AP1222" s="64"/>
      <c r="AQ1222" s="64">
        <v>12.6</v>
      </c>
      <c r="AR1222" s="64">
        <v>0.32</v>
      </c>
      <c r="AS1222" s="64">
        <v>16.3</v>
      </c>
      <c r="AT1222" s="64">
        <v>0.36499999999999999</v>
      </c>
      <c r="AU1222" s="64">
        <v>1.3</v>
      </c>
      <c r="AV1222" s="64">
        <v>0.104</v>
      </c>
      <c r="AW1222" s="64">
        <v>5.5</v>
      </c>
      <c r="AX1222" s="64">
        <v>0.21199999999999999</v>
      </c>
      <c r="AY1222" s="41">
        <f t="shared" si="380"/>
        <v>1178.67</v>
      </c>
      <c r="AZ1222" s="64"/>
      <c r="BA1222" s="20">
        <f t="shared" si="381"/>
        <v>1403.2600000000002</v>
      </c>
      <c r="BB1222" s="64"/>
      <c r="BC1222" s="20">
        <f t="shared" si="382"/>
        <v>492.75999999999976</v>
      </c>
      <c r="BD1222" s="64"/>
      <c r="BE1222" s="20">
        <f t="shared" si="383"/>
        <v>747.69999999999982</v>
      </c>
      <c r="BF1222" s="64"/>
      <c r="BG1222" s="64">
        <v>17.5</v>
      </c>
      <c r="BH1222" s="64">
        <v>35</v>
      </c>
      <c r="BI1222" s="20">
        <f t="shared" si="379"/>
        <v>17.5</v>
      </c>
      <c r="BJ1222" s="66"/>
      <c r="BK1222" s="64">
        <v>12</v>
      </c>
      <c r="BL1222" s="66"/>
      <c r="BM1222" s="64">
        <v>14</v>
      </c>
      <c r="BN1222" s="66"/>
      <c r="BO1222" s="64">
        <v>44</v>
      </c>
      <c r="BP1222" s="64">
        <v>44</v>
      </c>
      <c r="BQ1222" s="64">
        <v>70</v>
      </c>
      <c r="BR1222" s="64">
        <v>83</v>
      </c>
      <c r="BS1222" s="64">
        <v>60</v>
      </c>
      <c r="BT1222" s="64">
        <v>78</v>
      </c>
      <c r="BU1222" s="64">
        <v>70</v>
      </c>
      <c r="BV1222" s="64">
        <v>70</v>
      </c>
      <c r="BW1222" s="91">
        <f t="shared" si="384"/>
        <v>93.915343915343925</v>
      </c>
      <c r="BX1222" s="91" t="str">
        <f>_xlfn.XLOOKUP(BW1222,'Normative data'!$V$3:$V$6,'Normative data'!$W$3:$W$6,"Not Found",-1)</f>
        <v>High risk</v>
      </c>
      <c r="BY1222" s="91">
        <f t="shared" si="385"/>
        <v>96.119929453262799</v>
      </c>
      <c r="BZ1222" s="91" t="str">
        <f>_xlfn.XLOOKUP(BY1222,'Normative data'!$V$3:$V$6,'Normative data'!$W$3:$W$6,"Not Found",-1)</f>
        <v>Low risk</v>
      </c>
      <c r="CA1222" s="64">
        <v>17</v>
      </c>
      <c r="CB1222" s="66"/>
      <c r="CC1222" s="66"/>
      <c r="CD1222" s="66"/>
      <c r="CE1222" s="64">
        <v>1</v>
      </c>
      <c r="CF1222" s="66"/>
      <c r="CG1222" s="64">
        <v>21</v>
      </c>
      <c r="CH1222" s="20" t="str">
        <f>_xlfn.XLOOKUP(CG1222, 'Normative data'!$S$9:$S$15,'Normative data'!$T$9:$T$15, "Not Found", -1)</f>
        <v>Average</v>
      </c>
      <c r="CI1222" s="64">
        <v>21.87</v>
      </c>
      <c r="CJ1222" s="20" t="str">
        <f>_xlfn.XLOOKUP(CI1222, 'Normative data'!$S$9:$S$15, 'Normative data'!$T$9:$T$15, "Not Found", -1)</f>
        <v>Below Average</v>
      </c>
      <c r="CK1222" s="17">
        <v>2.29</v>
      </c>
      <c r="CL1222" s="17">
        <v>4.37</v>
      </c>
      <c r="CN1222" s="17">
        <v>7.69</v>
      </c>
      <c r="CO1222" s="17">
        <v>6.5</v>
      </c>
      <c r="CP1222" s="68"/>
      <c r="CQ1222" s="67"/>
      <c r="CR1222" s="20" t="str" cm="1">
        <f t="array" ref="CR1222">IF(OR(ISBLANK(E1222),ISBLANK(CQ1222)),"Incomplete",_xlfn.XLOOKUP(CQ1222,_xlfn.XLOOKUP(E1222,'Normative data'!$Y$3:$Y$6,'Normative data'!$Z$3:$AG$6,,-1),'Normative data'!$Z$2:$AG$2,"Not Found",-1))</f>
        <v>Incomplete</v>
      </c>
      <c r="CS1222" s="68"/>
      <c r="CT1222" s="66"/>
      <c r="CU1222" s="20" t="str" cm="1">
        <f t="array" ref="CU1222">_xlfn.XLOOKUP(CS1222&amp;CT1222,(VLOOKUP!$A$3:$A$250)&amp;(VLOOKUP!$B$3:$B$250),VLOOKUP!$C$3:$C$250,"Incomplete",-1)</f>
        <v>Incomplete</v>
      </c>
      <c r="CV1222" s="20" t="str" cm="1">
        <f t="array" ref="CV1222">_xlfn.XLOOKUP(CU1222, _xlfn.XLOOKUP(E1222, 'Normative data'!$Y$11:$Y$14, 'Normative data'!$Z$11:$AG$14, ,-1), 'Normative data'!$Z$10:$AG$10, "Not Found", -1)</f>
        <v>Excellent</v>
      </c>
      <c r="CW1222" s="20" t="str" cm="1">
        <f t="array" ref="CW1222">IF(OR(ISBLANK(CS1222),ISBLANK(CT1222)),"Incomplete",_xlfn.XLOOKUP(CS1222&amp;CT1222,VLOOKUP!$A$4:$A$250&amp;VLOOKUP!$B$4:$B$250,VLOOKUP!$D$4:$D$250,"0"))</f>
        <v>Incomplete</v>
      </c>
    </row>
    <row r="1223" spans="1:101">
      <c r="A1223" s="64"/>
      <c r="B1223" s="64"/>
      <c r="C1223" s="64"/>
      <c r="D1223" s="65"/>
      <c r="E1223" s="64"/>
      <c r="F1223" s="66"/>
      <c r="G1223" s="66"/>
      <c r="H1223" s="66"/>
      <c r="I1223" s="66"/>
      <c r="J1223" s="66"/>
      <c r="K1223" s="66"/>
      <c r="L1223" s="66"/>
      <c r="M1223" s="64"/>
      <c r="N1223" s="64"/>
      <c r="O1223" s="64"/>
      <c r="P1223" s="64"/>
      <c r="Q1223" s="64"/>
      <c r="R1223" s="64"/>
      <c r="S1223" s="66"/>
      <c r="T1223" s="66"/>
      <c r="U1223" s="64"/>
      <c r="V1223" s="64"/>
      <c r="W1223" s="64"/>
      <c r="X1223" s="64"/>
      <c r="Y1223" s="64"/>
      <c r="Z1223" s="64"/>
      <c r="AA1223" s="64"/>
      <c r="AB1223" s="64"/>
      <c r="AC1223" s="64"/>
      <c r="AD1223" s="64"/>
      <c r="AE1223" s="64"/>
      <c r="AF1223" s="64"/>
      <c r="AG1223" s="64"/>
      <c r="AH1223" s="64"/>
      <c r="AI1223" s="64"/>
      <c r="AJ1223" s="64"/>
      <c r="AK1223" s="64"/>
      <c r="AL1223" s="64"/>
      <c r="AM1223" s="64"/>
      <c r="AN1223" s="64"/>
      <c r="AO1223" s="64"/>
      <c r="AP1223" s="64"/>
      <c r="AQ1223" s="64"/>
      <c r="AR1223" s="64"/>
      <c r="AS1223" s="64"/>
      <c r="AT1223" s="64"/>
      <c r="AU1223" s="64"/>
      <c r="AV1223" s="64"/>
      <c r="AW1223" s="64"/>
      <c r="AX1223" s="64"/>
      <c r="AY1223" s="41" t="str">
        <f t="shared" si="380"/>
        <v>Incomplete</v>
      </c>
      <c r="AZ1223" s="64"/>
      <c r="BA1223" s="20" t="str">
        <f t="shared" si="381"/>
        <v>Incomplete</v>
      </c>
      <c r="BB1223" s="64"/>
      <c r="BC1223" s="20" t="str">
        <f t="shared" si="382"/>
        <v>Incomplete</v>
      </c>
      <c r="BD1223" s="64"/>
      <c r="BE1223" s="20" t="str">
        <f t="shared" si="383"/>
        <v>Incomplete</v>
      </c>
      <c r="BF1223" s="64"/>
      <c r="BG1223" s="64"/>
      <c r="BH1223" s="20"/>
      <c r="BI1223" s="20" t="str">
        <f t="shared" si="379"/>
        <v>Incomplete</v>
      </c>
      <c r="BJ1223" s="66"/>
      <c r="BK1223" s="64"/>
      <c r="BL1223" s="66"/>
      <c r="BM1223" s="64"/>
      <c r="BN1223" s="66"/>
      <c r="BO1223" s="64"/>
      <c r="BP1223" s="64"/>
      <c r="BQ1223" s="64"/>
      <c r="BR1223" s="64"/>
      <c r="BS1223" s="64"/>
      <c r="BT1223" s="64"/>
      <c r="BU1223" s="64"/>
      <c r="BV1223" s="64"/>
      <c r="BW1223" s="91" t="str">
        <f t="shared" si="384"/>
        <v>Incomplete</v>
      </c>
      <c r="BX1223" s="91" t="str">
        <f>_xlfn.XLOOKUP(BW1223,'Normative data'!$V$3:$V$6,'Normative data'!$W$3:$W$6,"Not Found",-1)</f>
        <v>Very low risk</v>
      </c>
      <c r="BY1223" s="91" t="str">
        <f t="shared" si="385"/>
        <v>Incomplete</v>
      </c>
      <c r="BZ1223" s="91" t="str">
        <f>_xlfn.XLOOKUP(BY1223,'Normative data'!$V$3:$V$6,'Normative data'!$W$3:$W$6,"Not Found",-1)</f>
        <v>Very low risk</v>
      </c>
      <c r="CA1223" s="64"/>
      <c r="CB1223" s="66"/>
      <c r="CC1223" s="64"/>
      <c r="CD1223" s="66"/>
      <c r="CE1223" s="64"/>
      <c r="CF1223" s="66"/>
      <c r="CG1223" s="64"/>
      <c r="CH1223" s="20" t="str">
        <f>_xlfn.XLOOKUP(CG1223, 'Normative data'!$S$9:$S$15,'Normative data'!$T$9:$T$15, "Not Found", -1)</f>
        <v>not completed</v>
      </c>
      <c r="CI1223" s="64"/>
      <c r="CJ1223" s="20" t="str">
        <f>_xlfn.XLOOKUP(CI1223, 'Normative data'!$S$9:$S$15, 'Normative data'!$T$9:$T$15, "Not Found", -1)</f>
        <v>not completed</v>
      </c>
      <c r="CK1223" s="64"/>
      <c r="CL1223" s="64"/>
      <c r="CM1223" s="66"/>
      <c r="CN1223" s="64"/>
      <c r="CO1223" s="64"/>
      <c r="CP1223" s="68"/>
      <c r="CQ1223" s="67"/>
      <c r="CR1223" s="68"/>
      <c r="CS1223" s="68"/>
      <c r="CT1223" s="66"/>
      <c r="CU1223" s="66"/>
      <c r="CV1223" s="66"/>
      <c r="CW1223" s="66"/>
    </row>
  </sheetData>
  <autoFilter ref="A1:CW1223" xr:uid="{049E988C-CF8C-4AFC-8B18-0C2596297012}">
    <sortState xmlns:xlrd2="http://schemas.microsoft.com/office/spreadsheetml/2017/richdata2" ref="A2:CW1223">
      <sortCondition ref="B1:B1223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F461-A097-4DC8-BF17-37001F56B0CF}">
  <dimension ref="A1:AG23"/>
  <sheetViews>
    <sheetView topLeftCell="D1" workbookViewId="0">
      <selection activeCell="V6" sqref="V6"/>
    </sheetView>
  </sheetViews>
  <sheetFormatPr defaultRowHeight="14.45"/>
  <cols>
    <col min="1" max="1" width="9.85546875" customWidth="1"/>
    <col min="2" max="2" width="13.28515625" customWidth="1"/>
    <col min="3" max="3" width="3.140625" customWidth="1"/>
    <col min="6" max="6" width="3.5703125" customWidth="1"/>
    <col min="8" max="8" width="14.5703125" customWidth="1"/>
    <col min="9" max="9" width="3.140625" customWidth="1"/>
    <col min="17" max="17" width="2.85546875" customWidth="1"/>
    <col min="19" max="19" width="10.140625" customWidth="1"/>
    <col min="20" max="20" width="14.42578125" customWidth="1"/>
    <col min="21" max="21" width="2.28515625" customWidth="1"/>
    <col min="22" max="22" width="13.7109375" customWidth="1"/>
    <col min="23" max="23" width="14.42578125" customWidth="1"/>
    <col min="24" max="24" width="2.42578125" customWidth="1"/>
    <col min="26" max="26" width="10.7109375" customWidth="1"/>
  </cols>
  <sheetData>
    <row r="1" spans="1:33">
      <c r="A1" s="136" t="s">
        <v>1870</v>
      </c>
      <c r="B1" s="136"/>
      <c r="C1" s="46"/>
      <c r="D1" s="137" t="s">
        <v>1871</v>
      </c>
      <c r="E1" s="137"/>
      <c r="F1" s="1"/>
      <c r="G1" s="138" t="s">
        <v>1872</v>
      </c>
      <c r="H1" s="138"/>
      <c r="J1" s="131" t="s">
        <v>1873</v>
      </c>
      <c r="K1" s="132"/>
      <c r="L1" s="132"/>
      <c r="M1" s="132"/>
      <c r="N1" s="132"/>
      <c r="O1" s="132"/>
      <c r="P1" s="132"/>
      <c r="R1" s="138" t="s">
        <v>1874</v>
      </c>
      <c r="S1" s="138"/>
      <c r="T1" s="138"/>
      <c r="V1" s="138" t="s">
        <v>1875</v>
      </c>
      <c r="W1" s="138"/>
      <c r="Y1" s="134" t="s">
        <v>79</v>
      </c>
      <c r="Z1" s="135"/>
      <c r="AA1" s="135"/>
      <c r="AB1" s="135"/>
      <c r="AC1" s="135"/>
      <c r="AD1" s="135"/>
      <c r="AE1" s="135"/>
      <c r="AF1" s="135"/>
      <c r="AG1" s="135"/>
    </row>
    <row r="2" spans="1:33">
      <c r="A2" s="47" t="s">
        <v>1876</v>
      </c>
      <c r="B2" s="47" t="s">
        <v>1877</v>
      </c>
      <c r="C2" s="46"/>
      <c r="D2" s="48" t="s">
        <v>1878</v>
      </c>
      <c r="E2" s="48" t="s">
        <v>1877</v>
      </c>
      <c r="F2" s="1"/>
      <c r="G2" s="48" t="s">
        <v>1879</v>
      </c>
      <c r="H2" s="48" t="s">
        <v>1880</v>
      </c>
      <c r="J2" s="52" t="s">
        <v>1881</v>
      </c>
      <c r="K2" s="52" t="s">
        <v>1882</v>
      </c>
      <c r="L2" s="52" t="s">
        <v>1883</v>
      </c>
      <c r="M2" s="52" t="s">
        <v>1884</v>
      </c>
      <c r="N2" s="52" t="s">
        <v>1885</v>
      </c>
      <c r="O2" s="88" t="s">
        <v>1886</v>
      </c>
      <c r="P2" s="88" t="s">
        <v>1887</v>
      </c>
      <c r="R2" s="48"/>
      <c r="S2" s="48" t="s">
        <v>1888</v>
      </c>
      <c r="T2" s="48" t="s">
        <v>1889</v>
      </c>
      <c r="V2" s="47" t="s">
        <v>1890</v>
      </c>
      <c r="W2" s="47" t="s">
        <v>1890</v>
      </c>
      <c r="Y2" s="92" t="s">
        <v>1881</v>
      </c>
      <c r="Z2" s="28" t="s">
        <v>1890</v>
      </c>
      <c r="AA2" s="92" t="s">
        <v>1891</v>
      </c>
      <c r="AB2" s="92" t="s">
        <v>1882</v>
      </c>
      <c r="AC2" s="92" t="s">
        <v>799</v>
      </c>
      <c r="AD2" s="92" t="s">
        <v>1884</v>
      </c>
      <c r="AE2" s="92" t="s">
        <v>1885</v>
      </c>
      <c r="AF2" s="92" t="s">
        <v>1892</v>
      </c>
      <c r="AG2" s="92" t="s">
        <v>1887</v>
      </c>
    </row>
    <row r="3" spans="1:33">
      <c r="A3" s="49">
        <v>0</v>
      </c>
      <c r="B3" s="49" t="s">
        <v>1882</v>
      </c>
      <c r="C3" s="46"/>
      <c r="D3" s="50">
        <v>0</v>
      </c>
      <c r="E3" s="50" t="s">
        <v>1893</v>
      </c>
      <c r="F3" s="1"/>
      <c r="G3" s="49">
        <v>0</v>
      </c>
      <c r="H3" s="49" t="s">
        <v>1891</v>
      </c>
      <c r="J3" s="50">
        <v>13</v>
      </c>
      <c r="K3" s="50">
        <v>0</v>
      </c>
      <c r="L3" s="50">
        <v>8</v>
      </c>
      <c r="M3" s="50">
        <v>14</v>
      </c>
      <c r="N3" s="50">
        <v>20</v>
      </c>
      <c r="O3" s="50">
        <v>25</v>
      </c>
      <c r="P3" s="50">
        <v>31</v>
      </c>
      <c r="R3" s="49">
        <v>14</v>
      </c>
      <c r="S3" s="49">
        <v>17</v>
      </c>
      <c r="T3" s="83" t="s">
        <v>1887</v>
      </c>
      <c r="V3" s="47">
        <v>0</v>
      </c>
      <c r="W3" s="47" t="s">
        <v>1890</v>
      </c>
      <c r="Y3" s="85">
        <v>13</v>
      </c>
      <c r="Z3" s="47">
        <v>0</v>
      </c>
      <c r="AA3" s="85">
        <v>1</v>
      </c>
      <c r="AB3" s="85">
        <v>2.6</v>
      </c>
      <c r="AC3" s="85">
        <v>3.6</v>
      </c>
      <c r="AD3" s="85">
        <v>5.2</v>
      </c>
      <c r="AE3" s="85">
        <v>6.2</v>
      </c>
      <c r="AF3" s="85">
        <v>7.5</v>
      </c>
      <c r="AG3" s="85">
        <v>9.3000000000000007</v>
      </c>
    </row>
    <row r="4" spans="1:33">
      <c r="A4" s="51">
        <v>16.100000000000001</v>
      </c>
      <c r="B4" s="51" t="s">
        <v>799</v>
      </c>
      <c r="C4" s="46"/>
      <c r="D4" s="52">
        <v>12.5</v>
      </c>
      <c r="E4" s="52" t="s">
        <v>1894</v>
      </c>
      <c r="F4" s="1"/>
      <c r="G4" s="53">
        <v>36.1</v>
      </c>
      <c r="H4" s="51" t="s">
        <v>1882</v>
      </c>
      <c r="J4" s="52">
        <v>14</v>
      </c>
      <c r="K4" s="52">
        <v>0</v>
      </c>
      <c r="L4" s="52">
        <v>9</v>
      </c>
      <c r="M4" s="52">
        <v>15</v>
      </c>
      <c r="N4" s="52">
        <v>21</v>
      </c>
      <c r="O4" s="52">
        <v>26</v>
      </c>
      <c r="P4" s="52">
        <v>32</v>
      </c>
      <c r="R4" s="51">
        <v>16.899999999999999</v>
      </c>
      <c r="S4" s="51">
        <v>17.899999999999999</v>
      </c>
      <c r="T4" s="47" t="s">
        <v>1895</v>
      </c>
      <c r="V4" s="47">
        <v>1</v>
      </c>
      <c r="W4" s="52" t="s">
        <v>1896</v>
      </c>
      <c r="Y4" s="85">
        <v>14</v>
      </c>
      <c r="Z4" s="47">
        <v>0</v>
      </c>
      <c r="AA4" s="85">
        <v>1</v>
      </c>
      <c r="AB4" s="85">
        <v>3.3</v>
      </c>
      <c r="AC4" s="85">
        <v>5.3</v>
      </c>
      <c r="AD4" s="85">
        <v>6.5</v>
      </c>
      <c r="AE4" s="85">
        <v>7.6</v>
      </c>
      <c r="AF4" s="85">
        <v>8.8000000000000007</v>
      </c>
      <c r="AG4" s="85">
        <v>10.7</v>
      </c>
    </row>
    <row r="5" spans="1:33">
      <c r="A5" s="49">
        <v>21.1</v>
      </c>
      <c r="B5" s="49" t="s">
        <v>1885</v>
      </c>
      <c r="C5" s="46"/>
      <c r="D5" s="50">
        <v>30</v>
      </c>
      <c r="E5" s="54"/>
      <c r="G5" s="55">
        <v>50.1</v>
      </c>
      <c r="H5" s="49" t="s">
        <v>1897</v>
      </c>
      <c r="J5" s="50">
        <v>15</v>
      </c>
      <c r="K5" s="50">
        <v>0</v>
      </c>
      <c r="L5" s="50">
        <v>10</v>
      </c>
      <c r="M5" s="50">
        <v>16</v>
      </c>
      <c r="N5" s="50">
        <v>22</v>
      </c>
      <c r="O5" s="50">
        <v>27</v>
      </c>
      <c r="P5" s="50">
        <v>33</v>
      </c>
      <c r="R5" s="49">
        <v>18</v>
      </c>
      <c r="S5" s="49">
        <v>21.7</v>
      </c>
      <c r="T5" s="83" t="s">
        <v>1884</v>
      </c>
      <c r="V5" s="83">
        <v>95.6</v>
      </c>
      <c r="W5" s="84" t="s">
        <v>1898</v>
      </c>
      <c r="Y5" s="85">
        <v>16</v>
      </c>
      <c r="Z5" s="47">
        <v>0</v>
      </c>
      <c r="AA5" s="85">
        <v>1</v>
      </c>
      <c r="AB5" s="85">
        <v>4.2</v>
      </c>
      <c r="AC5" s="85">
        <v>5.7</v>
      </c>
      <c r="AD5" s="85">
        <v>7.2</v>
      </c>
      <c r="AE5" s="85">
        <v>8.5</v>
      </c>
      <c r="AF5" s="85">
        <v>9.8000000000000007</v>
      </c>
      <c r="AG5" s="85">
        <v>11.1</v>
      </c>
    </row>
    <row r="6" spans="1:33">
      <c r="A6" s="51">
        <v>25.1</v>
      </c>
      <c r="B6" s="51" t="s">
        <v>1899</v>
      </c>
      <c r="C6" s="46"/>
      <c r="G6" s="51">
        <v>58.1</v>
      </c>
      <c r="H6" s="51" t="s">
        <v>1900</v>
      </c>
      <c r="J6" s="52">
        <v>16</v>
      </c>
      <c r="K6" s="52">
        <v>0</v>
      </c>
      <c r="L6" s="52">
        <v>11</v>
      </c>
      <c r="M6" s="52">
        <v>17</v>
      </c>
      <c r="N6" s="52">
        <v>23</v>
      </c>
      <c r="O6" s="52">
        <v>28</v>
      </c>
      <c r="P6" s="52">
        <v>34</v>
      </c>
      <c r="R6" s="51">
        <v>21.8</v>
      </c>
      <c r="S6" s="51">
        <v>22.9</v>
      </c>
      <c r="T6" s="47" t="s">
        <v>1901</v>
      </c>
      <c r="V6" s="47">
        <v>120</v>
      </c>
      <c r="W6" s="52" t="s">
        <v>1902</v>
      </c>
      <c r="Y6" s="85">
        <v>18</v>
      </c>
      <c r="Z6" s="47">
        <v>0</v>
      </c>
      <c r="AA6" s="85">
        <v>1</v>
      </c>
      <c r="AB6" s="85">
        <v>4.5</v>
      </c>
      <c r="AC6" s="85">
        <v>5.8</v>
      </c>
      <c r="AD6" s="85">
        <v>7.3</v>
      </c>
      <c r="AE6" s="85">
        <v>8.6999999999999993</v>
      </c>
      <c r="AF6" s="85">
        <v>10.199999999999999</v>
      </c>
      <c r="AG6" s="85">
        <v>12.7</v>
      </c>
    </row>
    <row r="7" spans="1:33">
      <c r="A7" s="49">
        <v>29.1</v>
      </c>
      <c r="B7" s="49" t="s">
        <v>1887</v>
      </c>
      <c r="C7" s="46"/>
      <c r="G7" s="49">
        <v>66.099999999999994</v>
      </c>
      <c r="H7" s="49" t="s">
        <v>1903</v>
      </c>
      <c r="J7" s="50">
        <v>17</v>
      </c>
      <c r="K7" s="50">
        <v>0</v>
      </c>
      <c r="L7" s="50">
        <v>12</v>
      </c>
      <c r="M7" s="50">
        <v>18</v>
      </c>
      <c r="N7" s="50">
        <v>24</v>
      </c>
      <c r="O7" s="50">
        <v>30</v>
      </c>
      <c r="P7" s="50">
        <v>36</v>
      </c>
      <c r="R7" s="49">
        <v>23</v>
      </c>
      <c r="S7" s="49">
        <v>60</v>
      </c>
      <c r="T7" s="83" t="s">
        <v>1882</v>
      </c>
      <c r="Y7" s="86"/>
      <c r="Z7" s="87"/>
      <c r="AA7" s="87"/>
      <c r="AB7" s="87"/>
      <c r="AC7" s="87"/>
      <c r="AD7" s="87"/>
      <c r="AE7" s="87"/>
      <c r="AF7" s="87"/>
    </row>
    <row r="8" spans="1:33">
      <c r="A8" s="51">
        <v>60.1</v>
      </c>
      <c r="B8" s="51" t="s">
        <v>1904</v>
      </c>
      <c r="C8" s="46"/>
      <c r="G8" s="51">
        <v>74.099999999999994</v>
      </c>
      <c r="H8" s="51" t="s">
        <v>1885</v>
      </c>
      <c r="J8" s="52">
        <v>18</v>
      </c>
      <c r="K8" s="52">
        <v>0</v>
      </c>
      <c r="L8" s="52">
        <v>12</v>
      </c>
      <c r="M8" s="52">
        <v>18</v>
      </c>
      <c r="N8" s="52">
        <v>25</v>
      </c>
      <c r="O8" s="52">
        <v>30</v>
      </c>
      <c r="P8" s="52">
        <v>36</v>
      </c>
      <c r="Y8" s="86"/>
      <c r="Z8" s="87"/>
      <c r="AA8" s="87"/>
      <c r="AB8" s="87"/>
      <c r="AC8" s="87"/>
      <c r="AD8" s="87"/>
      <c r="AE8" s="87"/>
      <c r="AF8" s="87"/>
    </row>
    <row r="9" spans="1:33">
      <c r="G9" s="49">
        <v>86</v>
      </c>
      <c r="H9" s="49" t="s">
        <v>1905</v>
      </c>
      <c r="S9" s="47"/>
      <c r="T9" s="115" t="s">
        <v>1906</v>
      </c>
      <c r="Y9" s="133" t="s">
        <v>1907</v>
      </c>
      <c r="Z9" s="133"/>
      <c r="AA9" s="133"/>
      <c r="AB9" s="133"/>
      <c r="AC9" s="133"/>
      <c r="AD9" s="133"/>
      <c r="AE9" s="133"/>
      <c r="AF9" s="133"/>
      <c r="AG9" s="133"/>
    </row>
    <row r="10" spans="1:33">
      <c r="G10" s="49">
        <v>100</v>
      </c>
      <c r="S10" s="47">
        <v>14</v>
      </c>
      <c r="T10" s="114" t="s">
        <v>1887</v>
      </c>
      <c r="Y10" s="88" t="s">
        <v>1908</v>
      </c>
      <c r="Z10" s="28" t="s">
        <v>1890</v>
      </c>
      <c r="AA10" s="88" t="s">
        <v>1909</v>
      </c>
      <c r="AB10" s="88" t="s">
        <v>1910</v>
      </c>
      <c r="AC10" s="88" t="s">
        <v>801</v>
      </c>
      <c r="AD10" s="88" t="s">
        <v>1884</v>
      </c>
      <c r="AE10" s="88" t="s">
        <v>1911</v>
      </c>
      <c r="AF10" s="88" t="s">
        <v>1886</v>
      </c>
      <c r="AG10" s="88" t="s">
        <v>1887</v>
      </c>
    </row>
    <row r="11" spans="1:33">
      <c r="S11" s="47">
        <v>16.899999999999999</v>
      </c>
      <c r="T11" s="115" t="s">
        <v>1895</v>
      </c>
      <c r="Y11" s="40">
        <v>13</v>
      </c>
      <c r="Z11" s="47">
        <v>0</v>
      </c>
      <c r="AA11" s="40">
        <v>1</v>
      </c>
      <c r="AB11" s="89">
        <v>260</v>
      </c>
      <c r="AC11" s="89">
        <v>420</v>
      </c>
      <c r="AD11" s="89">
        <v>680</v>
      </c>
      <c r="AE11" s="89">
        <v>860</v>
      </c>
      <c r="AF11" s="89">
        <v>1120</v>
      </c>
      <c r="AG11" s="89">
        <v>1500</v>
      </c>
    </row>
    <row r="12" spans="1:33">
      <c r="S12" s="47">
        <v>18</v>
      </c>
      <c r="T12" s="114" t="s">
        <v>1884</v>
      </c>
      <c r="Y12" s="40">
        <v>14</v>
      </c>
      <c r="Z12" s="47">
        <v>0</v>
      </c>
      <c r="AA12" s="40">
        <v>1</v>
      </c>
      <c r="AB12" s="90">
        <v>360</v>
      </c>
      <c r="AC12" s="90">
        <v>700</v>
      </c>
      <c r="AD12" s="90">
        <v>920</v>
      </c>
      <c r="AE12" s="90">
        <v>1380</v>
      </c>
      <c r="AF12" s="90">
        <v>1380</v>
      </c>
      <c r="AG12" s="90">
        <v>1800</v>
      </c>
    </row>
    <row r="13" spans="1:33">
      <c r="S13" s="47">
        <v>21.8</v>
      </c>
      <c r="T13" s="115" t="s">
        <v>1901</v>
      </c>
      <c r="Y13" s="40">
        <v>16</v>
      </c>
      <c r="Z13" s="47">
        <v>0</v>
      </c>
      <c r="AA13" s="40">
        <v>1</v>
      </c>
      <c r="AB13" s="90">
        <v>500</v>
      </c>
      <c r="AC13" s="90">
        <v>780</v>
      </c>
      <c r="AD13" s="90">
        <v>1060</v>
      </c>
      <c r="AE13" s="90">
        <v>1600</v>
      </c>
      <c r="AF13" s="90">
        <v>1600</v>
      </c>
      <c r="AG13" s="90">
        <v>2080</v>
      </c>
    </row>
    <row r="14" spans="1:33">
      <c r="S14" s="47">
        <v>23</v>
      </c>
      <c r="T14" s="114" t="s">
        <v>1882</v>
      </c>
      <c r="Y14" s="40">
        <v>18</v>
      </c>
      <c r="Z14" s="47">
        <v>0</v>
      </c>
      <c r="AA14" s="40">
        <v>1</v>
      </c>
      <c r="AB14" s="90">
        <v>560</v>
      </c>
      <c r="AC14" s="90">
        <v>800</v>
      </c>
      <c r="AD14" s="90">
        <v>1080</v>
      </c>
      <c r="AE14" s="90">
        <v>1700</v>
      </c>
      <c r="AF14" s="90">
        <v>1700</v>
      </c>
      <c r="AG14" s="90">
        <v>2260</v>
      </c>
    </row>
    <row r="15" spans="1:33">
      <c r="S15" s="47">
        <v>60</v>
      </c>
      <c r="T15" s="114" t="s">
        <v>1882</v>
      </c>
    </row>
    <row r="17" spans="7:7">
      <c r="G17" s="116"/>
    </row>
    <row r="18" spans="7:7">
      <c r="G18" s="116"/>
    </row>
    <row r="19" spans="7:7">
      <c r="G19" s="117"/>
    </row>
    <row r="20" spans="7:7">
      <c r="G20" s="117"/>
    </row>
    <row r="21" spans="7:7">
      <c r="G21" s="117"/>
    </row>
    <row r="22" spans="7:7">
      <c r="G22" s="117"/>
    </row>
    <row r="23" spans="7:7">
      <c r="G23" s="117"/>
    </row>
  </sheetData>
  <mergeCells count="8">
    <mergeCell ref="J1:P1"/>
    <mergeCell ref="Y9:AG9"/>
    <mergeCell ref="Y1:AG1"/>
    <mergeCell ref="A1:B1"/>
    <mergeCell ref="D1:E1"/>
    <mergeCell ref="G1:H1"/>
    <mergeCell ref="V1:W1"/>
    <mergeCell ref="R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4A705-43D8-49F5-96A7-6167C735B2E3}">
  <dimension ref="A1:D250"/>
  <sheetViews>
    <sheetView workbookViewId="0">
      <selection activeCell="A3" sqref="A3"/>
    </sheetView>
  </sheetViews>
  <sheetFormatPr defaultRowHeight="14.45"/>
  <cols>
    <col min="1" max="4" width="12.28515625" customWidth="1"/>
  </cols>
  <sheetData>
    <row r="1" spans="1:4">
      <c r="A1" s="139" t="s">
        <v>79</v>
      </c>
      <c r="B1" s="140"/>
      <c r="C1" s="140"/>
      <c r="D1" s="140"/>
    </row>
    <row r="2" spans="1:4">
      <c r="A2" s="2" t="s">
        <v>1912</v>
      </c>
      <c r="B2" s="2" t="s">
        <v>1913</v>
      </c>
      <c r="C2" s="2" t="s">
        <v>82</v>
      </c>
      <c r="D2" s="2" t="s">
        <v>1914</v>
      </c>
    </row>
    <row r="3" spans="1:4">
      <c r="A3" s="4">
        <v>0</v>
      </c>
      <c r="B3" s="4">
        <v>0</v>
      </c>
      <c r="C3" s="4">
        <v>0</v>
      </c>
      <c r="D3" s="4">
        <v>0</v>
      </c>
    </row>
    <row r="4" spans="1:4">
      <c r="A4" s="3">
        <v>1</v>
      </c>
      <c r="B4" s="3">
        <v>1</v>
      </c>
      <c r="C4" s="3">
        <v>20</v>
      </c>
      <c r="D4" s="3">
        <v>16</v>
      </c>
    </row>
    <row r="5" spans="1:4">
      <c r="A5" s="4">
        <v>1</v>
      </c>
      <c r="B5" s="4">
        <v>2</v>
      </c>
      <c r="C5" s="4">
        <v>40</v>
      </c>
      <c r="D5" s="4">
        <v>17</v>
      </c>
    </row>
    <row r="6" spans="1:4">
      <c r="A6" s="3">
        <v>1</v>
      </c>
      <c r="B6" s="3">
        <v>3</v>
      </c>
      <c r="C6" s="3">
        <v>60</v>
      </c>
      <c r="D6" s="3">
        <v>17</v>
      </c>
    </row>
    <row r="7" spans="1:4">
      <c r="A7" s="4">
        <v>1</v>
      </c>
      <c r="B7" s="4">
        <v>4</v>
      </c>
      <c r="C7" s="4">
        <v>80</v>
      </c>
      <c r="D7" s="4">
        <v>18</v>
      </c>
    </row>
    <row r="8" spans="1:4">
      <c r="A8" s="3">
        <v>1</v>
      </c>
      <c r="B8" s="3">
        <v>5</v>
      </c>
      <c r="C8" s="3">
        <v>100</v>
      </c>
      <c r="D8" s="3">
        <v>18</v>
      </c>
    </row>
    <row r="9" spans="1:4">
      <c r="A9" s="4">
        <v>1</v>
      </c>
      <c r="B9" s="4">
        <v>6</v>
      </c>
      <c r="C9" s="4">
        <v>120</v>
      </c>
      <c r="D9" s="4">
        <v>18</v>
      </c>
    </row>
    <row r="10" spans="1:4">
      <c r="A10" s="3">
        <v>1</v>
      </c>
      <c r="B10" s="3">
        <v>7</v>
      </c>
      <c r="C10" s="3">
        <v>140</v>
      </c>
      <c r="D10" s="3">
        <v>19</v>
      </c>
    </row>
    <row r="11" spans="1:4">
      <c r="A11" s="4">
        <v>2</v>
      </c>
      <c r="B11" s="4">
        <v>1</v>
      </c>
      <c r="C11" s="4">
        <v>160</v>
      </c>
      <c r="D11" s="4">
        <v>20</v>
      </c>
    </row>
    <row r="12" spans="1:4">
      <c r="A12" s="3">
        <v>2</v>
      </c>
      <c r="B12" s="3">
        <v>2</v>
      </c>
      <c r="C12" s="3">
        <v>180</v>
      </c>
      <c r="D12" s="3">
        <v>20</v>
      </c>
    </row>
    <row r="13" spans="1:4">
      <c r="A13" s="4">
        <v>2</v>
      </c>
      <c r="B13" s="4">
        <v>3</v>
      </c>
      <c r="C13" s="4">
        <v>200</v>
      </c>
      <c r="D13" s="4">
        <v>20</v>
      </c>
    </row>
    <row r="14" spans="1:4">
      <c r="A14" s="3">
        <v>2</v>
      </c>
      <c r="B14" s="3">
        <v>4</v>
      </c>
      <c r="C14" s="3">
        <v>220</v>
      </c>
      <c r="D14" s="3">
        <v>21</v>
      </c>
    </row>
    <row r="15" spans="1:4">
      <c r="A15" s="4">
        <v>2</v>
      </c>
      <c r="B15" s="4">
        <v>5</v>
      </c>
      <c r="C15" s="4">
        <v>240</v>
      </c>
      <c r="D15" s="4">
        <v>21</v>
      </c>
    </row>
    <row r="16" spans="1:4">
      <c r="A16" s="3">
        <v>2</v>
      </c>
      <c r="B16" s="3">
        <v>6</v>
      </c>
      <c r="C16" s="3">
        <v>260</v>
      </c>
      <c r="D16" s="3">
        <v>22</v>
      </c>
    </row>
    <row r="17" spans="1:4">
      <c r="A17" s="4">
        <v>2</v>
      </c>
      <c r="B17" s="4">
        <v>7</v>
      </c>
      <c r="C17" s="4">
        <v>280</v>
      </c>
      <c r="D17" s="4">
        <v>22</v>
      </c>
    </row>
    <row r="18" spans="1:4">
      <c r="A18" s="3">
        <v>2</v>
      </c>
      <c r="B18" s="3">
        <v>8</v>
      </c>
      <c r="C18" s="3">
        <v>300</v>
      </c>
      <c r="D18" s="3">
        <v>23</v>
      </c>
    </row>
    <row r="19" spans="1:4">
      <c r="A19" s="4">
        <v>3</v>
      </c>
      <c r="B19" s="4">
        <v>1</v>
      </c>
      <c r="C19" s="4">
        <v>320</v>
      </c>
      <c r="D19" s="4">
        <v>23</v>
      </c>
    </row>
    <row r="20" spans="1:4">
      <c r="A20" s="3">
        <v>3</v>
      </c>
      <c r="B20" s="3">
        <v>2</v>
      </c>
      <c r="C20" s="3">
        <v>340</v>
      </c>
      <c r="D20" s="3">
        <v>23</v>
      </c>
    </row>
    <row r="21" spans="1:4">
      <c r="A21" s="4">
        <v>3</v>
      </c>
      <c r="B21" s="4">
        <v>3</v>
      </c>
      <c r="C21" s="4">
        <v>360</v>
      </c>
      <c r="D21" s="4">
        <v>24</v>
      </c>
    </row>
    <row r="22" spans="1:4">
      <c r="A22" s="3">
        <v>3</v>
      </c>
      <c r="B22" s="3">
        <v>4</v>
      </c>
      <c r="C22" s="3">
        <v>380</v>
      </c>
      <c r="D22" s="3">
        <v>24</v>
      </c>
    </row>
    <row r="23" spans="1:4">
      <c r="A23" s="4">
        <v>3</v>
      </c>
      <c r="B23" s="4">
        <v>5</v>
      </c>
      <c r="C23" s="4">
        <v>400</v>
      </c>
      <c r="D23" s="4">
        <v>25</v>
      </c>
    </row>
    <row r="24" spans="1:4">
      <c r="A24" s="3">
        <v>3</v>
      </c>
      <c r="B24" s="3">
        <v>6</v>
      </c>
      <c r="C24" s="3">
        <v>420</v>
      </c>
      <c r="D24" s="3">
        <v>25</v>
      </c>
    </row>
    <row r="25" spans="1:4">
      <c r="A25" s="4">
        <v>3</v>
      </c>
      <c r="B25" s="4">
        <v>7</v>
      </c>
      <c r="C25" s="4">
        <v>440</v>
      </c>
      <c r="D25" s="4">
        <v>25</v>
      </c>
    </row>
    <row r="26" spans="1:4">
      <c r="A26" s="3">
        <v>3</v>
      </c>
      <c r="B26" s="3">
        <v>8</v>
      </c>
      <c r="C26" s="3">
        <v>460</v>
      </c>
      <c r="D26" s="3">
        <v>26</v>
      </c>
    </row>
    <row r="27" spans="1:4">
      <c r="A27" s="4">
        <v>4</v>
      </c>
      <c r="B27" s="4">
        <v>1</v>
      </c>
      <c r="C27" s="4">
        <v>480</v>
      </c>
      <c r="D27" s="4">
        <v>26</v>
      </c>
    </row>
    <row r="28" spans="1:4">
      <c r="A28" s="3">
        <v>4</v>
      </c>
      <c r="B28" s="3">
        <v>2</v>
      </c>
      <c r="C28" s="3">
        <v>500</v>
      </c>
      <c r="D28" s="3">
        <v>27</v>
      </c>
    </row>
    <row r="29" spans="1:4">
      <c r="A29" s="4">
        <v>4</v>
      </c>
      <c r="B29" s="4">
        <v>3</v>
      </c>
      <c r="C29" s="4">
        <v>520</v>
      </c>
      <c r="D29" s="4">
        <v>27</v>
      </c>
    </row>
    <row r="30" spans="1:4">
      <c r="A30" s="3">
        <v>4</v>
      </c>
      <c r="B30" s="3">
        <v>4</v>
      </c>
      <c r="C30" s="3">
        <v>540</v>
      </c>
      <c r="D30" s="3">
        <v>28</v>
      </c>
    </row>
    <row r="31" spans="1:4">
      <c r="A31" s="4">
        <v>4</v>
      </c>
      <c r="B31" s="4">
        <v>5</v>
      </c>
      <c r="C31" s="4">
        <v>560</v>
      </c>
      <c r="D31" s="4">
        <v>28</v>
      </c>
    </row>
    <row r="32" spans="1:4">
      <c r="A32" s="3">
        <v>4</v>
      </c>
      <c r="B32" s="3">
        <v>6</v>
      </c>
      <c r="C32" s="3">
        <v>580</v>
      </c>
      <c r="D32" s="3">
        <v>28</v>
      </c>
    </row>
    <row r="33" spans="1:4">
      <c r="A33" s="4">
        <v>4</v>
      </c>
      <c r="B33" s="4">
        <v>7</v>
      </c>
      <c r="C33" s="4">
        <v>600</v>
      </c>
      <c r="D33" s="4">
        <v>29</v>
      </c>
    </row>
    <row r="34" spans="1:4">
      <c r="A34" s="3">
        <v>4</v>
      </c>
      <c r="B34" s="3">
        <v>8</v>
      </c>
      <c r="C34" s="3">
        <v>620</v>
      </c>
      <c r="D34" s="3">
        <v>29</v>
      </c>
    </row>
    <row r="35" spans="1:4">
      <c r="A35" s="4">
        <v>4</v>
      </c>
      <c r="B35" s="4">
        <v>9</v>
      </c>
      <c r="C35" s="4">
        <v>640</v>
      </c>
      <c r="D35" s="4">
        <v>30</v>
      </c>
    </row>
    <row r="36" spans="1:4">
      <c r="A36" s="3">
        <v>5</v>
      </c>
      <c r="B36" s="3">
        <v>1</v>
      </c>
      <c r="C36" s="3">
        <v>660</v>
      </c>
      <c r="D36" s="3">
        <v>30</v>
      </c>
    </row>
    <row r="37" spans="1:4">
      <c r="A37" s="4">
        <v>5</v>
      </c>
      <c r="B37" s="4">
        <v>2</v>
      </c>
      <c r="C37" s="4">
        <v>680</v>
      </c>
      <c r="D37" s="4">
        <v>30</v>
      </c>
    </row>
    <row r="38" spans="1:4">
      <c r="A38" s="3">
        <v>5</v>
      </c>
      <c r="B38" s="3">
        <v>3</v>
      </c>
      <c r="C38" s="3">
        <v>700</v>
      </c>
      <c r="D38" s="3">
        <v>31</v>
      </c>
    </row>
    <row r="39" spans="1:4">
      <c r="A39" s="4">
        <v>5</v>
      </c>
      <c r="B39" s="4">
        <v>4</v>
      </c>
      <c r="C39" s="4">
        <v>720</v>
      </c>
      <c r="D39" s="4">
        <v>31</v>
      </c>
    </row>
    <row r="40" spans="1:4">
      <c r="A40" s="3">
        <v>5</v>
      </c>
      <c r="B40" s="3">
        <v>5</v>
      </c>
      <c r="C40" s="3">
        <v>740</v>
      </c>
      <c r="D40" s="3">
        <v>31</v>
      </c>
    </row>
    <row r="41" spans="1:4">
      <c r="A41" s="4">
        <v>5</v>
      </c>
      <c r="B41" s="4">
        <v>6</v>
      </c>
      <c r="C41" s="4">
        <v>760</v>
      </c>
      <c r="D41" s="4">
        <v>32</v>
      </c>
    </row>
    <row r="42" spans="1:4">
      <c r="A42" s="3">
        <v>5</v>
      </c>
      <c r="B42" s="3">
        <v>7</v>
      </c>
      <c r="C42" s="3">
        <v>780</v>
      </c>
      <c r="D42" s="3">
        <v>32</v>
      </c>
    </row>
    <row r="43" spans="1:4">
      <c r="A43" s="4">
        <v>5</v>
      </c>
      <c r="B43" s="4">
        <v>8</v>
      </c>
      <c r="C43" s="4">
        <v>800</v>
      </c>
      <c r="D43" s="4">
        <v>33</v>
      </c>
    </row>
    <row r="44" spans="1:4">
      <c r="A44" s="3">
        <v>5</v>
      </c>
      <c r="B44" s="3">
        <v>9</v>
      </c>
      <c r="C44" s="3">
        <v>820</v>
      </c>
      <c r="D44" s="3">
        <v>33</v>
      </c>
    </row>
    <row r="45" spans="1:4">
      <c r="A45" s="4">
        <v>6</v>
      </c>
      <c r="B45" s="4">
        <v>1</v>
      </c>
      <c r="C45" s="4">
        <v>840</v>
      </c>
      <c r="D45" s="4">
        <v>33</v>
      </c>
    </row>
    <row r="46" spans="1:4">
      <c r="A46" s="3">
        <v>6</v>
      </c>
      <c r="B46" s="3">
        <v>2</v>
      </c>
      <c r="C46" s="3">
        <v>860</v>
      </c>
      <c r="D46" s="3">
        <v>34</v>
      </c>
    </row>
    <row r="47" spans="1:4">
      <c r="A47" s="4">
        <v>6</v>
      </c>
      <c r="B47" s="4">
        <v>3</v>
      </c>
      <c r="C47" s="4">
        <v>880</v>
      </c>
      <c r="D47" s="4">
        <v>34</v>
      </c>
    </row>
    <row r="48" spans="1:4">
      <c r="A48" s="3">
        <v>6</v>
      </c>
      <c r="B48" s="3">
        <v>4</v>
      </c>
      <c r="C48" s="3">
        <v>900</v>
      </c>
      <c r="D48" s="3">
        <v>34</v>
      </c>
    </row>
    <row r="49" spans="1:4">
      <c r="A49" s="4">
        <v>6</v>
      </c>
      <c r="B49" s="4">
        <v>5</v>
      </c>
      <c r="C49" s="4">
        <v>920</v>
      </c>
      <c r="D49" s="4">
        <v>35</v>
      </c>
    </row>
    <row r="50" spans="1:4">
      <c r="A50" s="3">
        <v>6</v>
      </c>
      <c r="B50" s="3">
        <v>6</v>
      </c>
      <c r="C50" s="3">
        <v>940</v>
      </c>
      <c r="D50" s="3">
        <v>35</v>
      </c>
    </row>
    <row r="51" spans="1:4">
      <c r="A51" s="4">
        <v>6</v>
      </c>
      <c r="B51" s="4">
        <v>7</v>
      </c>
      <c r="C51" s="4">
        <v>960</v>
      </c>
      <c r="D51" s="4">
        <v>35</v>
      </c>
    </row>
    <row r="52" spans="1:4">
      <c r="A52" s="3">
        <v>6</v>
      </c>
      <c r="B52" s="3">
        <v>8</v>
      </c>
      <c r="C52" s="3">
        <v>980</v>
      </c>
      <c r="D52" s="3">
        <v>36</v>
      </c>
    </row>
    <row r="53" spans="1:4">
      <c r="A53" s="4">
        <v>6</v>
      </c>
      <c r="B53" s="4">
        <v>9</v>
      </c>
      <c r="C53" s="4">
        <v>1000</v>
      </c>
      <c r="D53" s="4">
        <v>36</v>
      </c>
    </row>
    <row r="54" spans="1:4">
      <c r="A54" s="3">
        <v>6</v>
      </c>
      <c r="B54" s="3">
        <v>10</v>
      </c>
      <c r="C54" s="3">
        <v>1020</v>
      </c>
      <c r="D54" s="3">
        <v>37</v>
      </c>
    </row>
    <row r="55" spans="1:4">
      <c r="A55" s="4">
        <v>7</v>
      </c>
      <c r="B55" s="4">
        <v>1</v>
      </c>
      <c r="C55" s="4">
        <v>1040</v>
      </c>
      <c r="D55" s="4">
        <v>37</v>
      </c>
    </row>
    <row r="56" spans="1:4">
      <c r="A56" s="3">
        <v>7</v>
      </c>
      <c r="B56" s="3">
        <v>2</v>
      </c>
      <c r="C56" s="3">
        <v>1060</v>
      </c>
      <c r="D56" s="3">
        <v>37</v>
      </c>
    </row>
    <row r="57" spans="1:4">
      <c r="A57" s="4">
        <v>7</v>
      </c>
      <c r="B57" s="4">
        <v>3</v>
      </c>
      <c r="C57" s="4">
        <v>1080</v>
      </c>
      <c r="D57" s="4">
        <v>37</v>
      </c>
    </row>
    <row r="58" spans="1:4">
      <c r="A58" s="3">
        <v>7</v>
      </c>
      <c r="B58" s="3">
        <v>4</v>
      </c>
      <c r="C58" s="3">
        <v>1100</v>
      </c>
      <c r="D58" s="3">
        <v>38</v>
      </c>
    </row>
    <row r="59" spans="1:4">
      <c r="A59" s="4">
        <v>7</v>
      </c>
      <c r="B59" s="4">
        <v>5</v>
      </c>
      <c r="C59" s="4">
        <v>1120</v>
      </c>
      <c r="D59" s="4">
        <v>38</v>
      </c>
    </row>
    <row r="60" spans="1:4">
      <c r="A60" s="3">
        <v>7</v>
      </c>
      <c r="B60" s="3">
        <v>6</v>
      </c>
      <c r="C60" s="3">
        <v>1140</v>
      </c>
      <c r="D60" s="3">
        <v>38</v>
      </c>
    </row>
    <row r="61" spans="1:4">
      <c r="A61" s="4">
        <v>7</v>
      </c>
      <c r="B61" s="4">
        <v>7</v>
      </c>
      <c r="C61" s="4">
        <v>1160</v>
      </c>
      <c r="D61" s="4">
        <v>39</v>
      </c>
    </row>
    <row r="62" spans="1:4">
      <c r="A62" s="3">
        <v>7</v>
      </c>
      <c r="B62" s="3">
        <v>8</v>
      </c>
      <c r="C62" s="3">
        <v>1180</v>
      </c>
      <c r="D62" s="3">
        <v>39</v>
      </c>
    </row>
    <row r="63" spans="1:4">
      <c r="A63" s="4">
        <v>7</v>
      </c>
      <c r="B63" s="4">
        <v>9</v>
      </c>
      <c r="C63" s="4">
        <v>1200</v>
      </c>
      <c r="D63" s="4">
        <v>40</v>
      </c>
    </row>
    <row r="64" spans="1:4">
      <c r="A64" s="3">
        <v>7</v>
      </c>
      <c r="B64" s="3">
        <v>10</v>
      </c>
      <c r="C64" s="3">
        <v>1220</v>
      </c>
      <c r="D64" s="3">
        <v>40</v>
      </c>
    </row>
    <row r="65" spans="1:4">
      <c r="A65" s="4">
        <v>8</v>
      </c>
      <c r="B65" s="4">
        <v>1</v>
      </c>
      <c r="C65" s="4">
        <v>1240</v>
      </c>
      <c r="D65" s="4">
        <v>40</v>
      </c>
    </row>
    <row r="66" spans="1:4">
      <c r="A66" s="3">
        <v>8</v>
      </c>
      <c r="B66" s="3">
        <v>2</v>
      </c>
      <c r="C66" s="3">
        <v>1260</v>
      </c>
      <c r="D66" s="3">
        <v>41</v>
      </c>
    </row>
    <row r="67" spans="1:4">
      <c r="A67" s="4">
        <v>8</v>
      </c>
      <c r="B67" s="4">
        <v>3</v>
      </c>
      <c r="C67" s="4">
        <v>1280</v>
      </c>
      <c r="D67" s="4">
        <v>41</v>
      </c>
    </row>
    <row r="68" spans="1:4">
      <c r="A68" s="3">
        <v>8</v>
      </c>
      <c r="B68" s="3">
        <v>4</v>
      </c>
      <c r="C68" s="3">
        <v>1300</v>
      </c>
      <c r="D68" s="3">
        <v>41</v>
      </c>
    </row>
    <row r="69" spans="1:4">
      <c r="A69" s="4">
        <v>8</v>
      </c>
      <c r="B69" s="4">
        <v>5</v>
      </c>
      <c r="C69" s="4">
        <v>1320</v>
      </c>
      <c r="D69" s="4">
        <v>42</v>
      </c>
    </row>
    <row r="70" spans="1:4">
      <c r="A70" s="3">
        <v>8</v>
      </c>
      <c r="B70" s="3">
        <v>6</v>
      </c>
      <c r="C70" s="3">
        <v>1340</v>
      </c>
      <c r="D70" s="3">
        <v>42</v>
      </c>
    </row>
    <row r="71" spans="1:4">
      <c r="A71" s="4">
        <v>8</v>
      </c>
      <c r="B71" s="4">
        <v>7</v>
      </c>
      <c r="C71" s="4">
        <v>1360</v>
      </c>
      <c r="D71" s="4">
        <v>42</v>
      </c>
    </row>
    <row r="72" spans="1:4">
      <c r="A72" s="3">
        <v>8</v>
      </c>
      <c r="B72" s="3">
        <v>8</v>
      </c>
      <c r="C72" s="3">
        <v>1380</v>
      </c>
      <c r="D72" s="3">
        <v>43</v>
      </c>
    </row>
    <row r="73" spans="1:4">
      <c r="A73" s="4">
        <v>8</v>
      </c>
      <c r="B73" s="4">
        <v>9</v>
      </c>
      <c r="C73" s="4">
        <v>1400</v>
      </c>
      <c r="D73" s="4">
        <v>43</v>
      </c>
    </row>
    <row r="74" spans="1:4">
      <c r="A74" s="3">
        <v>8</v>
      </c>
      <c r="B74" s="3">
        <v>10</v>
      </c>
      <c r="C74" s="3">
        <v>1420</v>
      </c>
      <c r="D74" s="3">
        <v>43</v>
      </c>
    </row>
    <row r="75" spans="1:4">
      <c r="A75" s="4">
        <v>8</v>
      </c>
      <c r="B75" s="4">
        <v>11</v>
      </c>
      <c r="C75" s="4">
        <v>1440</v>
      </c>
      <c r="D75" s="4">
        <v>44</v>
      </c>
    </row>
    <row r="76" spans="1:4">
      <c r="A76" s="3">
        <v>9</v>
      </c>
      <c r="B76" s="3">
        <v>1</v>
      </c>
      <c r="C76" s="3">
        <v>1460</v>
      </c>
      <c r="D76" s="3">
        <v>44</v>
      </c>
    </row>
    <row r="77" spans="1:4">
      <c r="A77" s="4">
        <v>9</v>
      </c>
      <c r="B77" s="4">
        <v>2</v>
      </c>
      <c r="C77" s="4">
        <v>1480</v>
      </c>
      <c r="D77" s="4">
        <v>44</v>
      </c>
    </row>
    <row r="78" spans="1:4">
      <c r="A78" s="3">
        <v>9</v>
      </c>
      <c r="B78" s="3">
        <v>3</v>
      </c>
      <c r="C78" s="3">
        <v>1500</v>
      </c>
      <c r="D78" s="3">
        <v>44</v>
      </c>
    </row>
    <row r="79" spans="1:4">
      <c r="A79" s="4">
        <v>9</v>
      </c>
      <c r="B79" s="4">
        <v>4</v>
      </c>
      <c r="C79" s="4">
        <v>1520</v>
      </c>
      <c r="D79" s="4">
        <v>45</v>
      </c>
    </row>
    <row r="80" spans="1:4">
      <c r="A80" s="3">
        <v>9</v>
      </c>
      <c r="B80" s="3">
        <v>5</v>
      </c>
      <c r="C80" s="3">
        <v>1540</v>
      </c>
      <c r="D80" s="3">
        <v>45</v>
      </c>
    </row>
    <row r="81" spans="1:4">
      <c r="A81" s="4">
        <v>9</v>
      </c>
      <c r="B81" s="4">
        <v>6</v>
      </c>
      <c r="C81" s="4">
        <v>1560</v>
      </c>
      <c r="D81" s="4">
        <v>45</v>
      </c>
    </row>
    <row r="82" spans="1:4">
      <c r="A82" s="3">
        <v>9</v>
      </c>
      <c r="B82" s="3">
        <v>7</v>
      </c>
      <c r="C82" s="3">
        <v>1580</v>
      </c>
      <c r="D82" s="3">
        <v>46</v>
      </c>
    </row>
    <row r="83" spans="1:4">
      <c r="A83" s="4">
        <v>9</v>
      </c>
      <c r="B83" s="4">
        <v>8</v>
      </c>
      <c r="C83" s="4">
        <v>1600</v>
      </c>
      <c r="D83" s="4">
        <v>46</v>
      </c>
    </row>
    <row r="84" spans="1:4">
      <c r="A84" s="3">
        <v>9</v>
      </c>
      <c r="B84" s="3">
        <v>9</v>
      </c>
      <c r="C84" s="3">
        <v>1620</v>
      </c>
      <c r="D84" s="3">
        <v>46</v>
      </c>
    </row>
    <row r="85" spans="1:4">
      <c r="A85" s="4">
        <v>9</v>
      </c>
      <c r="B85" s="4">
        <v>10</v>
      </c>
      <c r="C85" s="4">
        <v>1640</v>
      </c>
      <c r="D85" s="4">
        <v>47</v>
      </c>
    </row>
    <row r="86" spans="1:4">
      <c r="A86" s="3">
        <v>9</v>
      </c>
      <c r="B86" s="3">
        <v>11</v>
      </c>
      <c r="C86" s="3">
        <v>1660</v>
      </c>
      <c r="D86" s="3">
        <v>47</v>
      </c>
    </row>
    <row r="87" spans="1:4">
      <c r="A87" s="4">
        <v>10</v>
      </c>
      <c r="B87" s="4">
        <v>1</v>
      </c>
      <c r="C87" s="4">
        <v>1680</v>
      </c>
      <c r="D87" s="4">
        <v>47</v>
      </c>
    </row>
    <row r="88" spans="1:4">
      <c r="A88" s="3">
        <v>10</v>
      </c>
      <c r="B88" s="3">
        <v>2</v>
      </c>
      <c r="C88" s="3">
        <v>1700</v>
      </c>
      <c r="D88" s="3">
        <v>47</v>
      </c>
    </row>
    <row r="89" spans="1:4">
      <c r="A89" s="4">
        <v>10</v>
      </c>
      <c r="B89" s="4">
        <v>3</v>
      </c>
      <c r="C89" s="4">
        <v>1720</v>
      </c>
      <c r="D89" s="4">
        <v>48</v>
      </c>
    </row>
    <row r="90" spans="1:4">
      <c r="A90" s="3">
        <v>10</v>
      </c>
      <c r="B90" s="3">
        <v>4</v>
      </c>
      <c r="C90" s="3">
        <v>1740</v>
      </c>
      <c r="D90" s="3">
        <v>48</v>
      </c>
    </row>
    <row r="91" spans="1:4">
      <c r="A91" s="4">
        <v>10</v>
      </c>
      <c r="B91" s="4">
        <v>5</v>
      </c>
      <c r="C91" s="4">
        <v>1760</v>
      </c>
      <c r="D91" s="4">
        <v>48</v>
      </c>
    </row>
    <row r="92" spans="1:4">
      <c r="A92" s="3">
        <v>10</v>
      </c>
      <c r="B92" s="3">
        <v>6</v>
      </c>
      <c r="C92" s="3">
        <v>1780</v>
      </c>
      <c r="D92" s="3">
        <v>49</v>
      </c>
    </row>
    <row r="93" spans="1:4">
      <c r="A93" s="4">
        <v>10</v>
      </c>
      <c r="B93" s="4">
        <v>7</v>
      </c>
      <c r="C93" s="4">
        <v>1800</v>
      </c>
      <c r="D93" s="4">
        <v>49</v>
      </c>
    </row>
    <row r="94" spans="1:4">
      <c r="A94" s="3">
        <v>10</v>
      </c>
      <c r="B94" s="3">
        <v>8</v>
      </c>
      <c r="C94" s="3">
        <v>1820</v>
      </c>
      <c r="D94" s="3">
        <v>49</v>
      </c>
    </row>
    <row r="95" spans="1:4">
      <c r="A95" s="4">
        <v>10</v>
      </c>
      <c r="B95" s="4">
        <v>9</v>
      </c>
      <c r="C95" s="4">
        <v>1840</v>
      </c>
      <c r="D95" s="4">
        <v>50</v>
      </c>
    </row>
    <row r="96" spans="1:4">
      <c r="A96" s="3">
        <v>10</v>
      </c>
      <c r="B96" s="3">
        <v>10</v>
      </c>
      <c r="C96" s="3">
        <v>1860</v>
      </c>
      <c r="D96" s="3">
        <v>50</v>
      </c>
    </row>
    <row r="97" spans="1:4">
      <c r="A97" s="4">
        <v>10</v>
      </c>
      <c r="B97" s="4">
        <v>11</v>
      </c>
      <c r="C97" s="4">
        <v>1880</v>
      </c>
      <c r="D97" s="4">
        <v>50</v>
      </c>
    </row>
    <row r="98" spans="1:4">
      <c r="A98" s="3">
        <v>11</v>
      </c>
      <c r="B98" s="3">
        <v>1</v>
      </c>
      <c r="C98" s="3">
        <v>1900</v>
      </c>
      <c r="D98" s="3">
        <v>51</v>
      </c>
    </row>
    <row r="99" spans="1:4">
      <c r="A99" s="4">
        <v>11</v>
      </c>
      <c r="B99" s="4">
        <v>2</v>
      </c>
      <c r="C99" s="4">
        <v>1920</v>
      </c>
      <c r="D99" s="4">
        <v>51</v>
      </c>
    </row>
    <row r="100" spans="1:4">
      <c r="A100" s="3">
        <v>11</v>
      </c>
      <c r="B100" s="3">
        <v>3</v>
      </c>
      <c r="C100" s="3">
        <v>1940</v>
      </c>
      <c r="D100" s="3">
        <v>51</v>
      </c>
    </row>
    <row r="101" spans="1:4">
      <c r="A101" s="4">
        <v>11</v>
      </c>
      <c r="B101" s="4">
        <v>4</v>
      </c>
      <c r="C101" s="4">
        <v>1960</v>
      </c>
      <c r="D101" s="4">
        <v>51</v>
      </c>
    </row>
    <row r="102" spans="1:4">
      <c r="A102" s="3">
        <v>11</v>
      </c>
      <c r="B102" s="3">
        <v>5</v>
      </c>
      <c r="C102" s="3">
        <v>1980</v>
      </c>
      <c r="D102" s="3">
        <v>52</v>
      </c>
    </row>
    <row r="103" spans="1:4">
      <c r="A103" s="4">
        <v>11</v>
      </c>
      <c r="B103" s="4">
        <v>6</v>
      </c>
      <c r="C103" s="4">
        <v>2000</v>
      </c>
      <c r="D103" s="4">
        <v>52</v>
      </c>
    </row>
    <row r="104" spans="1:4">
      <c r="A104" s="3">
        <v>11</v>
      </c>
      <c r="B104" s="3">
        <v>7</v>
      </c>
      <c r="C104" s="3">
        <v>2020</v>
      </c>
      <c r="D104" s="3">
        <v>52</v>
      </c>
    </row>
    <row r="105" spans="1:4">
      <c r="A105" s="4">
        <v>11</v>
      </c>
      <c r="B105" s="4">
        <v>8</v>
      </c>
      <c r="C105" s="4">
        <v>2040</v>
      </c>
      <c r="D105" s="4">
        <v>53</v>
      </c>
    </row>
    <row r="106" spans="1:4">
      <c r="A106" s="3">
        <v>11</v>
      </c>
      <c r="B106" s="3">
        <v>9</v>
      </c>
      <c r="C106" s="3">
        <v>2060</v>
      </c>
      <c r="D106" s="3">
        <v>53</v>
      </c>
    </row>
    <row r="107" spans="1:4">
      <c r="A107" s="4">
        <v>11</v>
      </c>
      <c r="B107" s="4">
        <v>10</v>
      </c>
      <c r="C107" s="4">
        <v>2080</v>
      </c>
      <c r="D107" s="4">
        <v>53</v>
      </c>
    </row>
    <row r="108" spans="1:4">
      <c r="A108" s="3">
        <v>11</v>
      </c>
      <c r="B108" s="3">
        <v>11</v>
      </c>
      <c r="C108" s="3">
        <v>2100</v>
      </c>
      <c r="D108" s="3">
        <v>53</v>
      </c>
    </row>
    <row r="109" spans="1:4">
      <c r="A109" s="4">
        <v>11</v>
      </c>
      <c r="B109" s="4">
        <v>12</v>
      </c>
      <c r="C109" s="4">
        <v>2120</v>
      </c>
      <c r="D109" s="4">
        <v>54</v>
      </c>
    </row>
    <row r="110" spans="1:4">
      <c r="A110" s="3">
        <v>12</v>
      </c>
      <c r="B110" s="3">
        <v>1</v>
      </c>
      <c r="C110" s="3">
        <v>2140</v>
      </c>
      <c r="D110" s="3">
        <v>54</v>
      </c>
    </row>
    <row r="111" spans="1:4">
      <c r="A111" s="4">
        <v>12</v>
      </c>
      <c r="B111" s="4">
        <v>2</v>
      </c>
      <c r="C111" s="4">
        <v>2160</v>
      </c>
      <c r="D111" s="4">
        <v>54</v>
      </c>
    </row>
    <row r="112" spans="1:4">
      <c r="A112" s="3">
        <v>12</v>
      </c>
      <c r="B112" s="3">
        <v>3</v>
      </c>
      <c r="C112" s="3">
        <v>2180</v>
      </c>
      <c r="D112" s="3">
        <v>55</v>
      </c>
    </row>
    <row r="113" spans="1:4">
      <c r="A113" s="4">
        <v>12</v>
      </c>
      <c r="B113" s="4">
        <v>4</v>
      </c>
      <c r="C113" s="4">
        <v>2200</v>
      </c>
      <c r="D113" s="4">
        <v>55</v>
      </c>
    </row>
    <row r="114" spans="1:4">
      <c r="A114" s="3">
        <v>12</v>
      </c>
      <c r="B114" s="3">
        <v>5</v>
      </c>
      <c r="C114" s="3">
        <v>2220</v>
      </c>
      <c r="D114" s="3">
        <v>55</v>
      </c>
    </row>
    <row r="115" spans="1:4">
      <c r="A115" s="4">
        <v>12</v>
      </c>
      <c r="B115" s="4">
        <v>6</v>
      </c>
      <c r="C115" s="4">
        <v>2240</v>
      </c>
      <c r="D115" s="4">
        <v>55</v>
      </c>
    </row>
    <row r="116" spans="1:4">
      <c r="A116" s="3">
        <v>12</v>
      </c>
      <c r="B116" s="3">
        <v>7</v>
      </c>
      <c r="C116" s="3">
        <v>2260</v>
      </c>
      <c r="D116" s="3">
        <v>56</v>
      </c>
    </row>
    <row r="117" spans="1:4">
      <c r="A117" s="4">
        <v>12</v>
      </c>
      <c r="B117" s="4">
        <v>8</v>
      </c>
      <c r="C117" s="4">
        <v>2280</v>
      </c>
      <c r="D117" s="4">
        <v>56</v>
      </c>
    </row>
    <row r="118" spans="1:4">
      <c r="A118" s="3">
        <v>12</v>
      </c>
      <c r="B118" s="3">
        <v>9</v>
      </c>
      <c r="C118" s="3">
        <v>2300</v>
      </c>
      <c r="D118" s="3">
        <v>56</v>
      </c>
    </row>
    <row r="119" spans="1:4">
      <c r="A119" s="4">
        <v>12</v>
      </c>
      <c r="B119" s="4">
        <v>10</v>
      </c>
      <c r="C119" s="4">
        <v>2320</v>
      </c>
      <c r="D119" s="4">
        <v>57</v>
      </c>
    </row>
    <row r="120" spans="1:4">
      <c r="A120" s="3">
        <v>12</v>
      </c>
      <c r="B120" s="3">
        <v>11</v>
      </c>
      <c r="C120" s="3">
        <v>2340</v>
      </c>
      <c r="D120" s="3">
        <v>57</v>
      </c>
    </row>
    <row r="121" spans="1:4">
      <c r="A121" s="4">
        <v>12</v>
      </c>
      <c r="B121" s="4">
        <v>12</v>
      </c>
      <c r="C121" s="4">
        <v>2360</v>
      </c>
      <c r="D121" s="4">
        <v>57</v>
      </c>
    </row>
    <row r="122" spans="1:4">
      <c r="A122" s="3">
        <v>13</v>
      </c>
      <c r="B122" s="3">
        <v>1</v>
      </c>
      <c r="C122" s="3">
        <v>2380</v>
      </c>
      <c r="D122" s="3">
        <v>57</v>
      </c>
    </row>
    <row r="123" spans="1:4">
      <c r="A123" s="4">
        <v>13</v>
      </c>
      <c r="B123" s="4">
        <v>2</v>
      </c>
      <c r="C123" s="4">
        <v>2400</v>
      </c>
      <c r="D123" s="4">
        <v>58</v>
      </c>
    </row>
    <row r="124" spans="1:4">
      <c r="A124" s="3">
        <v>13</v>
      </c>
      <c r="B124" s="3">
        <v>3</v>
      </c>
      <c r="C124" s="3">
        <v>2420</v>
      </c>
      <c r="D124" s="3">
        <v>58</v>
      </c>
    </row>
    <row r="125" spans="1:4">
      <c r="A125" s="4">
        <v>13</v>
      </c>
      <c r="B125" s="4">
        <v>4</v>
      </c>
      <c r="C125" s="4">
        <v>2440</v>
      </c>
      <c r="D125" s="4">
        <v>58</v>
      </c>
    </row>
    <row r="126" spans="1:4">
      <c r="A126" s="3">
        <v>13</v>
      </c>
      <c r="B126" s="3">
        <v>5</v>
      </c>
      <c r="C126" s="3">
        <v>2460</v>
      </c>
      <c r="D126" s="3">
        <v>59</v>
      </c>
    </row>
    <row r="127" spans="1:4">
      <c r="A127" s="4">
        <v>13</v>
      </c>
      <c r="B127" s="4">
        <v>6</v>
      </c>
      <c r="C127" s="4">
        <v>2480</v>
      </c>
      <c r="D127" s="4">
        <v>59</v>
      </c>
    </row>
    <row r="128" spans="1:4">
      <c r="A128" s="3">
        <v>13</v>
      </c>
      <c r="B128" s="3">
        <v>7</v>
      </c>
      <c r="C128" s="3">
        <v>2500</v>
      </c>
      <c r="D128" s="3">
        <v>59</v>
      </c>
    </row>
    <row r="129" spans="1:4">
      <c r="A129" s="4">
        <v>13</v>
      </c>
      <c r="B129" s="4">
        <v>8</v>
      </c>
      <c r="C129" s="4">
        <v>2520</v>
      </c>
      <c r="D129" s="4">
        <v>59</v>
      </c>
    </row>
    <row r="130" spans="1:4">
      <c r="A130" s="3">
        <v>13</v>
      </c>
      <c r="B130" s="3">
        <v>9</v>
      </c>
      <c r="C130" s="3">
        <v>2540</v>
      </c>
      <c r="D130" s="3">
        <v>60</v>
      </c>
    </row>
    <row r="131" spans="1:4">
      <c r="A131" s="4">
        <v>13</v>
      </c>
      <c r="B131" s="4">
        <v>10</v>
      </c>
      <c r="C131" s="4">
        <v>2560</v>
      </c>
      <c r="D131" s="4">
        <v>60</v>
      </c>
    </row>
    <row r="132" spans="1:4">
      <c r="A132" s="3">
        <v>13</v>
      </c>
      <c r="B132" s="3">
        <v>11</v>
      </c>
      <c r="C132" s="3">
        <v>2580</v>
      </c>
      <c r="D132" s="3">
        <v>60</v>
      </c>
    </row>
    <row r="133" spans="1:4">
      <c r="A133" s="4">
        <v>13</v>
      </c>
      <c r="B133" s="4">
        <v>12</v>
      </c>
      <c r="C133" s="4">
        <v>2600</v>
      </c>
      <c r="D133" s="4">
        <v>60</v>
      </c>
    </row>
    <row r="134" spans="1:4">
      <c r="A134" s="3">
        <v>13</v>
      </c>
      <c r="B134" s="3">
        <v>13</v>
      </c>
      <c r="C134" s="3">
        <v>2620</v>
      </c>
      <c r="D134" s="3">
        <v>61</v>
      </c>
    </row>
    <row r="135" spans="1:4">
      <c r="A135" s="4">
        <v>14</v>
      </c>
      <c r="B135" s="4">
        <v>1</v>
      </c>
      <c r="C135" s="4">
        <v>2640</v>
      </c>
      <c r="D135" s="4">
        <v>61</v>
      </c>
    </row>
    <row r="136" spans="1:4">
      <c r="A136" s="3">
        <v>14</v>
      </c>
      <c r="B136" s="3">
        <v>2</v>
      </c>
      <c r="C136" s="3">
        <v>2660</v>
      </c>
      <c r="D136" s="3">
        <v>61</v>
      </c>
    </row>
    <row r="137" spans="1:4">
      <c r="A137" s="4">
        <v>14</v>
      </c>
      <c r="B137" s="4">
        <v>3</v>
      </c>
      <c r="C137" s="4">
        <v>2680</v>
      </c>
      <c r="D137" s="4">
        <v>61</v>
      </c>
    </row>
    <row r="138" spans="1:4">
      <c r="A138" s="3">
        <v>14</v>
      </c>
      <c r="B138" s="3">
        <v>4</v>
      </c>
      <c r="C138" s="3">
        <v>2700</v>
      </c>
      <c r="D138" s="3">
        <v>62</v>
      </c>
    </row>
    <row r="139" spans="1:4">
      <c r="A139" s="4">
        <v>14</v>
      </c>
      <c r="B139" s="4">
        <v>5</v>
      </c>
      <c r="C139" s="4">
        <v>2720</v>
      </c>
      <c r="D139" s="4">
        <v>62</v>
      </c>
    </row>
    <row r="140" spans="1:4">
      <c r="A140" s="3">
        <v>14</v>
      </c>
      <c r="B140" s="3">
        <v>6</v>
      </c>
      <c r="C140" s="3">
        <v>2740</v>
      </c>
      <c r="D140" s="3">
        <v>62</v>
      </c>
    </row>
    <row r="141" spans="1:4">
      <c r="A141" s="4">
        <v>14</v>
      </c>
      <c r="B141" s="4">
        <v>7</v>
      </c>
      <c r="C141" s="4">
        <v>2760</v>
      </c>
      <c r="D141" s="4">
        <v>62</v>
      </c>
    </row>
    <row r="142" spans="1:4">
      <c r="A142" s="3">
        <v>14</v>
      </c>
      <c r="B142" s="3">
        <v>8</v>
      </c>
      <c r="C142" s="3">
        <v>2780</v>
      </c>
      <c r="D142" s="3">
        <v>63</v>
      </c>
    </row>
    <row r="143" spans="1:4">
      <c r="A143" s="4">
        <v>14</v>
      </c>
      <c r="B143" s="4">
        <v>9</v>
      </c>
      <c r="C143" s="4">
        <v>2800</v>
      </c>
      <c r="D143" s="4">
        <v>63</v>
      </c>
    </row>
    <row r="144" spans="1:4">
      <c r="A144" s="3">
        <v>14</v>
      </c>
      <c r="B144" s="3">
        <v>10</v>
      </c>
      <c r="C144" s="3">
        <v>2820</v>
      </c>
      <c r="D144" s="3">
        <v>63</v>
      </c>
    </row>
    <row r="145" spans="1:4">
      <c r="A145" s="4">
        <v>14</v>
      </c>
      <c r="B145" s="4">
        <v>11</v>
      </c>
      <c r="C145" s="4">
        <v>2840</v>
      </c>
      <c r="D145" s="4">
        <v>64</v>
      </c>
    </row>
    <row r="146" spans="1:4">
      <c r="A146" s="3">
        <v>14</v>
      </c>
      <c r="B146" s="3">
        <v>12</v>
      </c>
      <c r="C146" s="3">
        <v>2860</v>
      </c>
      <c r="D146" s="3">
        <v>64</v>
      </c>
    </row>
    <row r="147" spans="1:4">
      <c r="A147" s="4">
        <v>14</v>
      </c>
      <c r="B147" s="4">
        <v>13</v>
      </c>
      <c r="C147" s="4">
        <v>2880</v>
      </c>
      <c r="D147" s="4">
        <v>64</v>
      </c>
    </row>
    <row r="148" spans="1:4">
      <c r="A148" s="3">
        <v>15</v>
      </c>
      <c r="B148" s="3">
        <v>1</v>
      </c>
      <c r="C148" s="3">
        <v>2900</v>
      </c>
      <c r="D148" s="3">
        <v>64</v>
      </c>
    </row>
    <row r="149" spans="1:4">
      <c r="A149" s="4">
        <v>15</v>
      </c>
      <c r="B149" s="4">
        <v>2</v>
      </c>
      <c r="C149" s="4">
        <v>2920</v>
      </c>
      <c r="D149" s="4">
        <v>65</v>
      </c>
    </row>
    <row r="150" spans="1:4">
      <c r="A150" s="3">
        <v>15</v>
      </c>
      <c r="B150" s="3">
        <v>3</v>
      </c>
      <c r="C150" s="3">
        <v>2940</v>
      </c>
      <c r="D150" s="3">
        <v>65</v>
      </c>
    </row>
    <row r="151" spans="1:4">
      <c r="A151" s="4">
        <v>15</v>
      </c>
      <c r="B151" s="4">
        <v>4</v>
      </c>
      <c r="C151" s="4">
        <v>2960</v>
      </c>
      <c r="D151" s="4">
        <v>65</v>
      </c>
    </row>
    <row r="152" spans="1:4">
      <c r="A152" s="3">
        <v>15</v>
      </c>
      <c r="B152" s="3">
        <v>5</v>
      </c>
      <c r="C152" s="3">
        <v>2980</v>
      </c>
      <c r="D152" s="3">
        <v>65</v>
      </c>
    </row>
    <row r="153" spans="1:4">
      <c r="A153" s="4">
        <v>15</v>
      </c>
      <c r="B153" s="4">
        <v>6</v>
      </c>
      <c r="C153" s="4">
        <v>3000</v>
      </c>
      <c r="D153" s="4">
        <v>66</v>
      </c>
    </row>
    <row r="154" spans="1:4">
      <c r="A154" s="3">
        <v>15</v>
      </c>
      <c r="B154" s="3">
        <v>7</v>
      </c>
      <c r="C154" s="3">
        <v>3020</v>
      </c>
      <c r="D154" s="3">
        <v>66</v>
      </c>
    </row>
    <row r="155" spans="1:4">
      <c r="A155" s="4">
        <v>15</v>
      </c>
      <c r="B155" s="4">
        <v>8</v>
      </c>
      <c r="C155" s="4">
        <v>3040</v>
      </c>
      <c r="D155" s="4">
        <v>66</v>
      </c>
    </row>
    <row r="156" spans="1:4">
      <c r="A156" s="3">
        <v>15</v>
      </c>
      <c r="B156" s="3">
        <v>9</v>
      </c>
      <c r="C156" s="3">
        <v>3060</v>
      </c>
      <c r="D156" s="3">
        <v>66</v>
      </c>
    </row>
    <row r="157" spans="1:4">
      <c r="A157" s="4">
        <v>15</v>
      </c>
      <c r="B157" s="4">
        <v>10</v>
      </c>
      <c r="C157" s="4">
        <v>3080</v>
      </c>
      <c r="D157" s="4">
        <v>67</v>
      </c>
    </row>
    <row r="158" spans="1:4">
      <c r="A158" s="3">
        <v>15</v>
      </c>
      <c r="B158" s="3">
        <v>11</v>
      </c>
      <c r="C158" s="3">
        <v>3100</v>
      </c>
      <c r="D158" s="3">
        <v>67</v>
      </c>
    </row>
    <row r="159" spans="1:4">
      <c r="A159" s="4">
        <v>15</v>
      </c>
      <c r="B159" s="4">
        <v>12</v>
      </c>
      <c r="C159" s="4">
        <v>3120</v>
      </c>
      <c r="D159" s="4">
        <v>67</v>
      </c>
    </row>
    <row r="160" spans="1:4">
      <c r="A160" s="3">
        <v>15</v>
      </c>
      <c r="B160" s="3">
        <v>13</v>
      </c>
      <c r="C160" s="3">
        <v>3140</v>
      </c>
      <c r="D160" s="3">
        <v>67</v>
      </c>
    </row>
    <row r="161" spans="1:4">
      <c r="A161" s="4">
        <v>16</v>
      </c>
      <c r="B161" s="4">
        <v>1</v>
      </c>
      <c r="C161" s="4">
        <v>3160</v>
      </c>
      <c r="D161" s="4">
        <v>68</v>
      </c>
    </row>
    <row r="162" spans="1:4">
      <c r="A162" s="3">
        <v>16</v>
      </c>
      <c r="B162" s="3">
        <v>2</v>
      </c>
      <c r="C162" s="3">
        <v>3180</v>
      </c>
      <c r="D162" s="3">
        <v>68</v>
      </c>
    </row>
    <row r="163" spans="1:4">
      <c r="A163" s="4">
        <v>16</v>
      </c>
      <c r="B163" s="4">
        <v>3</v>
      </c>
      <c r="C163" s="4">
        <v>3200</v>
      </c>
      <c r="D163" s="4">
        <v>68</v>
      </c>
    </row>
    <row r="164" spans="1:4">
      <c r="A164" s="3">
        <v>16</v>
      </c>
      <c r="B164" s="3">
        <v>4</v>
      </c>
      <c r="C164" s="3">
        <v>3220</v>
      </c>
      <c r="D164" s="3">
        <v>69</v>
      </c>
    </row>
    <row r="165" spans="1:4">
      <c r="A165" s="4">
        <v>16</v>
      </c>
      <c r="B165" s="4">
        <v>5</v>
      </c>
      <c r="C165" s="4">
        <v>3240</v>
      </c>
      <c r="D165" s="4">
        <v>69</v>
      </c>
    </row>
    <row r="166" spans="1:4">
      <c r="A166" s="3">
        <v>16</v>
      </c>
      <c r="B166" s="3">
        <v>6</v>
      </c>
      <c r="C166" s="3">
        <v>3260</v>
      </c>
      <c r="D166" s="3">
        <v>69</v>
      </c>
    </row>
    <row r="167" spans="1:4">
      <c r="A167" s="4">
        <v>16</v>
      </c>
      <c r="B167" s="4">
        <v>7</v>
      </c>
      <c r="C167" s="4">
        <v>3280</v>
      </c>
      <c r="D167" s="4">
        <v>69</v>
      </c>
    </row>
    <row r="168" spans="1:4">
      <c r="A168" s="3">
        <v>16</v>
      </c>
      <c r="B168" s="3">
        <v>8</v>
      </c>
      <c r="C168" s="3">
        <v>3300</v>
      </c>
      <c r="D168" s="3">
        <v>70</v>
      </c>
    </row>
    <row r="169" spans="1:4">
      <c r="A169" s="4">
        <v>16</v>
      </c>
      <c r="B169" s="4">
        <v>9</v>
      </c>
      <c r="C169" s="4">
        <v>3320</v>
      </c>
      <c r="D169" s="4">
        <v>70</v>
      </c>
    </row>
    <row r="170" spans="1:4">
      <c r="A170" s="3">
        <v>16</v>
      </c>
      <c r="B170" s="3">
        <v>10</v>
      </c>
      <c r="C170" s="3">
        <v>3340</v>
      </c>
      <c r="D170" s="3">
        <v>70</v>
      </c>
    </row>
    <row r="171" spans="1:4">
      <c r="A171" s="4">
        <v>16</v>
      </c>
      <c r="B171" s="4">
        <v>11</v>
      </c>
      <c r="C171" s="4">
        <v>3360</v>
      </c>
      <c r="D171" s="4">
        <v>70</v>
      </c>
    </row>
    <row r="172" spans="1:4">
      <c r="A172" s="3">
        <v>16</v>
      </c>
      <c r="B172" s="3">
        <v>12</v>
      </c>
      <c r="C172" s="3">
        <v>3380</v>
      </c>
      <c r="D172" s="3">
        <v>71</v>
      </c>
    </row>
    <row r="173" spans="1:4">
      <c r="A173" s="4">
        <v>16</v>
      </c>
      <c r="B173" s="4">
        <v>13</v>
      </c>
      <c r="C173" s="4">
        <v>3400</v>
      </c>
      <c r="D173" s="4">
        <v>71</v>
      </c>
    </row>
    <row r="174" spans="1:4">
      <c r="A174" s="3">
        <v>16</v>
      </c>
      <c r="B174" s="3">
        <v>14</v>
      </c>
      <c r="C174" s="3">
        <v>3420</v>
      </c>
      <c r="D174" s="3">
        <v>71</v>
      </c>
    </row>
    <row r="175" spans="1:4">
      <c r="A175" s="4">
        <v>17</v>
      </c>
      <c r="B175" s="4">
        <v>1</v>
      </c>
      <c r="C175" s="4">
        <v>3440</v>
      </c>
      <c r="D175" s="4">
        <v>71</v>
      </c>
    </row>
    <row r="176" spans="1:4">
      <c r="A176" s="3">
        <v>17</v>
      </c>
      <c r="B176" s="3">
        <v>2</v>
      </c>
      <c r="C176" s="3">
        <v>3460</v>
      </c>
      <c r="D176" s="3">
        <v>72</v>
      </c>
    </row>
    <row r="177" spans="1:4">
      <c r="A177" s="4">
        <v>17</v>
      </c>
      <c r="B177" s="4">
        <v>3</v>
      </c>
      <c r="C177" s="4">
        <v>3480</v>
      </c>
      <c r="D177" s="4">
        <v>72</v>
      </c>
    </row>
    <row r="178" spans="1:4">
      <c r="A178" s="3">
        <v>17</v>
      </c>
      <c r="B178" s="3">
        <v>4</v>
      </c>
      <c r="C178" s="3">
        <v>3500</v>
      </c>
      <c r="D178" s="3">
        <v>72</v>
      </c>
    </row>
    <row r="179" spans="1:4">
      <c r="A179" s="4">
        <v>17</v>
      </c>
      <c r="B179" s="4">
        <v>5</v>
      </c>
      <c r="C179" s="4">
        <v>3520</v>
      </c>
      <c r="D179" s="4">
        <v>72</v>
      </c>
    </row>
    <row r="180" spans="1:4">
      <c r="A180" s="3">
        <v>17</v>
      </c>
      <c r="B180" s="3">
        <v>6</v>
      </c>
      <c r="C180" s="3">
        <v>3540</v>
      </c>
      <c r="D180" s="3">
        <v>72</v>
      </c>
    </row>
    <row r="181" spans="1:4">
      <c r="A181" s="4">
        <v>17</v>
      </c>
      <c r="B181" s="4">
        <v>7</v>
      </c>
      <c r="C181" s="4">
        <v>3560</v>
      </c>
      <c r="D181" s="4">
        <v>73</v>
      </c>
    </row>
    <row r="182" spans="1:4">
      <c r="A182" s="3">
        <v>17</v>
      </c>
      <c r="B182" s="3">
        <v>8</v>
      </c>
      <c r="C182" s="3">
        <v>3580</v>
      </c>
      <c r="D182" s="3">
        <v>73</v>
      </c>
    </row>
    <row r="183" spans="1:4">
      <c r="A183" s="4">
        <v>17</v>
      </c>
      <c r="B183" s="4">
        <v>9</v>
      </c>
      <c r="C183" s="4">
        <v>3600</v>
      </c>
      <c r="D183" s="4">
        <v>73</v>
      </c>
    </row>
    <row r="184" spans="1:4">
      <c r="A184" s="3">
        <v>17</v>
      </c>
      <c r="B184" s="3">
        <v>10</v>
      </c>
      <c r="C184" s="3">
        <v>3620</v>
      </c>
      <c r="D184" s="3">
        <v>73</v>
      </c>
    </row>
    <row r="185" spans="1:4">
      <c r="A185" s="4">
        <v>17</v>
      </c>
      <c r="B185" s="4">
        <v>11</v>
      </c>
      <c r="C185" s="4">
        <v>3640</v>
      </c>
      <c r="D185" s="4">
        <v>74</v>
      </c>
    </row>
    <row r="186" spans="1:4">
      <c r="A186" s="3">
        <v>17</v>
      </c>
      <c r="B186" s="3">
        <v>12</v>
      </c>
      <c r="C186" s="3">
        <v>3660</v>
      </c>
      <c r="D186" s="3">
        <v>74</v>
      </c>
    </row>
    <row r="187" spans="1:4">
      <c r="A187" s="4">
        <v>17</v>
      </c>
      <c r="B187" s="4">
        <v>13</v>
      </c>
      <c r="C187" s="4">
        <v>3680</v>
      </c>
      <c r="D187" s="4">
        <v>74</v>
      </c>
    </row>
    <row r="188" spans="1:4">
      <c r="A188" s="3">
        <v>17</v>
      </c>
      <c r="B188" s="3">
        <v>14</v>
      </c>
      <c r="C188" s="3">
        <v>3700</v>
      </c>
      <c r="D188" s="3">
        <v>74</v>
      </c>
    </row>
    <row r="189" spans="1:4">
      <c r="A189" s="4">
        <v>18</v>
      </c>
      <c r="B189" s="4">
        <v>1</v>
      </c>
      <c r="C189" s="4">
        <v>3720</v>
      </c>
      <c r="D189" s="4">
        <v>75</v>
      </c>
    </row>
    <row r="190" spans="1:4">
      <c r="A190" s="3">
        <v>18</v>
      </c>
      <c r="B190" s="3">
        <v>2</v>
      </c>
      <c r="C190" s="3">
        <v>3740</v>
      </c>
      <c r="D190" s="3">
        <v>75</v>
      </c>
    </row>
    <row r="191" spans="1:4">
      <c r="A191" s="4">
        <v>18</v>
      </c>
      <c r="B191" s="4">
        <v>3</v>
      </c>
      <c r="C191" s="4">
        <v>3760</v>
      </c>
      <c r="D191" s="4">
        <v>75</v>
      </c>
    </row>
    <row r="192" spans="1:4">
      <c r="A192" s="3">
        <v>18</v>
      </c>
      <c r="B192" s="3">
        <v>4</v>
      </c>
      <c r="C192" s="3">
        <v>3780</v>
      </c>
      <c r="D192" s="3">
        <v>75</v>
      </c>
    </row>
    <row r="193" spans="1:4">
      <c r="A193" s="4">
        <v>18</v>
      </c>
      <c r="B193" s="4">
        <v>5</v>
      </c>
      <c r="C193" s="4">
        <v>3800</v>
      </c>
      <c r="D193" s="4">
        <v>76</v>
      </c>
    </row>
    <row r="194" spans="1:4">
      <c r="A194" s="3">
        <v>18</v>
      </c>
      <c r="B194" s="3">
        <v>6</v>
      </c>
      <c r="C194" s="3">
        <v>3820</v>
      </c>
      <c r="D194" s="3">
        <v>76</v>
      </c>
    </row>
    <row r="195" spans="1:4">
      <c r="A195" s="4">
        <v>18</v>
      </c>
      <c r="B195" s="4">
        <v>7</v>
      </c>
      <c r="C195" s="4">
        <v>3840</v>
      </c>
      <c r="D195" s="4">
        <v>76</v>
      </c>
    </row>
    <row r="196" spans="1:4">
      <c r="A196" s="3">
        <v>18</v>
      </c>
      <c r="B196" s="3">
        <v>8</v>
      </c>
      <c r="C196" s="3">
        <v>3860</v>
      </c>
      <c r="D196" s="3">
        <v>76</v>
      </c>
    </row>
    <row r="197" spans="1:4">
      <c r="A197" s="4">
        <v>18</v>
      </c>
      <c r="B197" s="4">
        <v>9</v>
      </c>
      <c r="C197" s="4">
        <v>3880</v>
      </c>
      <c r="D197" s="4">
        <v>77</v>
      </c>
    </row>
    <row r="198" spans="1:4">
      <c r="A198" s="3">
        <v>18</v>
      </c>
      <c r="B198" s="3">
        <v>10</v>
      </c>
      <c r="C198" s="3">
        <v>3900</v>
      </c>
      <c r="D198" s="3">
        <v>77</v>
      </c>
    </row>
    <row r="199" spans="1:4">
      <c r="A199" s="4">
        <v>18</v>
      </c>
      <c r="B199" s="4">
        <v>11</v>
      </c>
      <c r="C199" s="4">
        <v>3920</v>
      </c>
      <c r="D199" s="4">
        <v>77</v>
      </c>
    </row>
    <row r="200" spans="1:4">
      <c r="A200" s="3">
        <v>18</v>
      </c>
      <c r="B200" s="3">
        <v>12</v>
      </c>
      <c r="C200" s="3">
        <v>3940</v>
      </c>
      <c r="D200" s="3">
        <v>77</v>
      </c>
    </row>
    <row r="201" spans="1:4">
      <c r="A201" s="4">
        <v>18</v>
      </c>
      <c r="B201" s="4">
        <v>13</v>
      </c>
      <c r="C201" s="4">
        <v>3960</v>
      </c>
      <c r="D201" s="4">
        <v>78</v>
      </c>
    </row>
    <row r="202" spans="1:4">
      <c r="A202" s="3">
        <v>18</v>
      </c>
      <c r="B202" s="3">
        <v>14</v>
      </c>
      <c r="C202" s="3">
        <v>3980</v>
      </c>
      <c r="D202" s="3">
        <v>78</v>
      </c>
    </row>
    <row r="203" spans="1:4">
      <c r="A203" s="4">
        <v>18</v>
      </c>
      <c r="B203" s="4">
        <v>15</v>
      </c>
      <c r="C203" s="4">
        <v>4000</v>
      </c>
      <c r="D203" s="4">
        <v>78</v>
      </c>
    </row>
    <row r="204" spans="1:4">
      <c r="A204" s="3">
        <v>19</v>
      </c>
      <c r="B204" s="3">
        <v>1</v>
      </c>
      <c r="C204" s="3">
        <v>4020</v>
      </c>
      <c r="D204" s="3">
        <v>78</v>
      </c>
    </row>
    <row r="205" spans="1:4">
      <c r="A205" s="4">
        <v>19</v>
      </c>
      <c r="B205" s="4">
        <v>2</v>
      </c>
      <c r="C205" s="4">
        <v>4040</v>
      </c>
      <c r="D205" s="4">
        <v>78</v>
      </c>
    </row>
    <row r="206" spans="1:4">
      <c r="A206" s="3">
        <v>19</v>
      </c>
      <c r="B206" s="3">
        <v>3</v>
      </c>
      <c r="C206" s="3">
        <v>4060</v>
      </c>
      <c r="D206" s="3">
        <v>79</v>
      </c>
    </row>
    <row r="207" spans="1:4">
      <c r="A207" s="4">
        <v>19</v>
      </c>
      <c r="B207" s="4">
        <v>4</v>
      </c>
      <c r="C207" s="4">
        <v>4080</v>
      </c>
      <c r="D207" s="4">
        <v>79</v>
      </c>
    </row>
    <row r="208" spans="1:4">
      <c r="A208" s="3">
        <v>19</v>
      </c>
      <c r="B208" s="3">
        <v>5</v>
      </c>
      <c r="C208" s="3">
        <v>4100</v>
      </c>
      <c r="D208" s="3">
        <v>79</v>
      </c>
    </row>
    <row r="209" spans="1:4">
      <c r="A209" s="4">
        <v>19</v>
      </c>
      <c r="B209" s="4">
        <v>6</v>
      </c>
      <c r="C209" s="4">
        <v>4120</v>
      </c>
      <c r="D209" s="4">
        <v>79</v>
      </c>
    </row>
    <row r="210" spans="1:4">
      <c r="A210" s="3">
        <v>19</v>
      </c>
      <c r="B210" s="3">
        <v>7</v>
      </c>
      <c r="C210" s="3">
        <v>4140</v>
      </c>
      <c r="D210" s="3">
        <v>80</v>
      </c>
    </row>
    <row r="211" spans="1:4">
      <c r="A211" s="4">
        <v>19</v>
      </c>
      <c r="B211" s="4">
        <v>8</v>
      </c>
      <c r="C211" s="4">
        <v>4160</v>
      </c>
      <c r="D211" s="4">
        <v>80</v>
      </c>
    </row>
    <row r="212" spans="1:4">
      <c r="A212" s="3">
        <v>19</v>
      </c>
      <c r="B212" s="3">
        <v>9</v>
      </c>
      <c r="C212" s="3">
        <v>4180</v>
      </c>
      <c r="D212" s="3">
        <v>80</v>
      </c>
    </row>
    <row r="213" spans="1:4">
      <c r="A213" s="4">
        <v>19</v>
      </c>
      <c r="B213" s="4">
        <v>10</v>
      </c>
      <c r="C213" s="4">
        <v>4200</v>
      </c>
      <c r="D213" s="4">
        <v>80</v>
      </c>
    </row>
    <row r="214" spans="1:4">
      <c r="A214" s="3">
        <v>19</v>
      </c>
      <c r="B214" s="3">
        <v>11</v>
      </c>
      <c r="C214" s="3">
        <v>4220</v>
      </c>
      <c r="D214" s="3">
        <v>80</v>
      </c>
    </row>
    <row r="215" spans="1:4">
      <c r="A215" s="4">
        <v>19</v>
      </c>
      <c r="B215" s="4">
        <v>12</v>
      </c>
      <c r="C215" s="4">
        <v>4240</v>
      </c>
      <c r="D215" s="4">
        <v>81</v>
      </c>
    </row>
    <row r="216" spans="1:4">
      <c r="A216" s="3">
        <v>19</v>
      </c>
      <c r="B216" s="3">
        <v>13</v>
      </c>
      <c r="C216" s="3">
        <v>4260</v>
      </c>
      <c r="D216" s="3">
        <v>81</v>
      </c>
    </row>
    <row r="217" spans="1:4">
      <c r="A217" s="4">
        <v>19</v>
      </c>
      <c r="B217" s="4">
        <v>14</v>
      </c>
      <c r="C217" s="4">
        <v>4280</v>
      </c>
      <c r="D217" s="4">
        <v>81</v>
      </c>
    </row>
    <row r="218" spans="1:4">
      <c r="A218" s="3">
        <v>19</v>
      </c>
      <c r="B218" s="3">
        <v>15</v>
      </c>
      <c r="C218" s="3">
        <v>4300</v>
      </c>
      <c r="D218" s="3">
        <v>81</v>
      </c>
    </row>
    <row r="219" spans="1:4">
      <c r="A219" s="4">
        <v>20</v>
      </c>
      <c r="B219" s="4">
        <v>1</v>
      </c>
      <c r="C219" s="4">
        <v>4320</v>
      </c>
      <c r="D219" s="4">
        <v>82</v>
      </c>
    </row>
    <row r="220" spans="1:4">
      <c r="A220" s="3">
        <v>20</v>
      </c>
      <c r="B220" s="3">
        <v>2</v>
      </c>
      <c r="C220" s="3">
        <v>4340</v>
      </c>
      <c r="D220" s="3">
        <v>82</v>
      </c>
    </row>
    <row r="221" spans="1:4">
      <c r="A221" s="4">
        <v>20</v>
      </c>
      <c r="B221" s="4">
        <v>3</v>
      </c>
      <c r="C221" s="4">
        <v>4360</v>
      </c>
      <c r="D221" s="4">
        <v>82</v>
      </c>
    </row>
    <row r="222" spans="1:4">
      <c r="A222" s="3">
        <v>20</v>
      </c>
      <c r="B222" s="3">
        <v>4</v>
      </c>
      <c r="C222" s="3">
        <v>4380</v>
      </c>
      <c r="D222" s="3">
        <v>82</v>
      </c>
    </row>
    <row r="223" spans="1:4">
      <c r="A223" s="4">
        <v>20</v>
      </c>
      <c r="B223" s="4">
        <v>5</v>
      </c>
      <c r="C223" s="4">
        <v>4400</v>
      </c>
      <c r="D223" s="4">
        <v>83</v>
      </c>
    </row>
    <row r="224" spans="1:4">
      <c r="A224" s="3">
        <v>20</v>
      </c>
      <c r="B224" s="3">
        <v>6</v>
      </c>
      <c r="C224" s="3">
        <v>4420</v>
      </c>
      <c r="D224" s="3">
        <v>83</v>
      </c>
    </row>
    <row r="225" spans="1:4">
      <c r="A225" s="4">
        <v>20</v>
      </c>
      <c r="B225" s="4">
        <v>7</v>
      </c>
      <c r="C225" s="4">
        <v>4440</v>
      </c>
      <c r="D225" s="4">
        <v>83</v>
      </c>
    </row>
    <row r="226" spans="1:4">
      <c r="A226" s="3">
        <v>20</v>
      </c>
      <c r="B226" s="3">
        <v>8</v>
      </c>
      <c r="C226" s="3">
        <v>4460</v>
      </c>
      <c r="D226" s="3">
        <v>83</v>
      </c>
    </row>
    <row r="227" spans="1:4">
      <c r="A227" s="4">
        <v>20</v>
      </c>
      <c r="B227" s="4">
        <v>9</v>
      </c>
      <c r="C227" s="4">
        <v>4480</v>
      </c>
      <c r="D227" s="4">
        <v>83</v>
      </c>
    </row>
    <row r="228" spans="1:4">
      <c r="A228" s="3">
        <v>20</v>
      </c>
      <c r="B228" s="3">
        <v>10</v>
      </c>
      <c r="C228" s="3">
        <v>4500</v>
      </c>
      <c r="D228" s="3">
        <v>84</v>
      </c>
    </row>
    <row r="229" spans="1:4">
      <c r="A229" s="4">
        <v>20</v>
      </c>
      <c r="B229" s="4">
        <v>11</v>
      </c>
      <c r="C229" s="4">
        <v>4520</v>
      </c>
      <c r="D229" s="4">
        <v>84</v>
      </c>
    </row>
    <row r="230" spans="1:4">
      <c r="A230" s="3">
        <v>20</v>
      </c>
      <c r="B230" s="3">
        <v>12</v>
      </c>
      <c r="C230" s="3">
        <v>4540</v>
      </c>
      <c r="D230" s="3">
        <v>84</v>
      </c>
    </row>
    <row r="231" spans="1:4">
      <c r="A231" s="4">
        <v>20</v>
      </c>
      <c r="B231" s="4">
        <v>13</v>
      </c>
      <c r="C231" s="4">
        <v>4560</v>
      </c>
      <c r="D231" s="4">
        <v>84</v>
      </c>
    </row>
    <row r="232" spans="1:4">
      <c r="A232" s="3">
        <v>20</v>
      </c>
      <c r="B232" s="3">
        <v>14</v>
      </c>
      <c r="C232" s="3">
        <v>4580</v>
      </c>
      <c r="D232" s="3">
        <v>84</v>
      </c>
    </row>
    <row r="233" spans="1:4">
      <c r="A233" s="4">
        <v>20</v>
      </c>
      <c r="B233" s="4">
        <v>15</v>
      </c>
      <c r="C233" s="4">
        <v>4600</v>
      </c>
      <c r="D233" s="4">
        <v>85</v>
      </c>
    </row>
    <row r="234" spans="1:4">
      <c r="A234" s="3">
        <v>20</v>
      </c>
      <c r="B234" s="3">
        <v>16</v>
      </c>
      <c r="C234" s="3">
        <v>4620</v>
      </c>
      <c r="D234" s="3">
        <v>85</v>
      </c>
    </row>
    <row r="235" spans="1:4">
      <c r="A235" s="4">
        <v>21</v>
      </c>
      <c r="B235" s="4">
        <v>1</v>
      </c>
      <c r="C235" s="4">
        <v>4640</v>
      </c>
      <c r="D235" s="4">
        <v>85</v>
      </c>
    </row>
    <row r="236" spans="1:4">
      <c r="A236" s="3">
        <v>21</v>
      </c>
      <c r="B236" s="3">
        <v>2</v>
      </c>
      <c r="C236" s="3">
        <v>4660</v>
      </c>
      <c r="D236" s="3">
        <v>85</v>
      </c>
    </row>
    <row r="237" spans="1:4">
      <c r="A237" s="4">
        <v>21</v>
      </c>
      <c r="B237" s="4">
        <v>3</v>
      </c>
      <c r="C237" s="4">
        <v>4680</v>
      </c>
      <c r="D237" s="4">
        <v>86</v>
      </c>
    </row>
    <row r="238" spans="1:4">
      <c r="A238" s="3">
        <v>21</v>
      </c>
      <c r="B238" s="3">
        <v>4</v>
      </c>
      <c r="C238" s="3">
        <v>4700</v>
      </c>
      <c r="D238" s="3">
        <v>86</v>
      </c>
    </row>
    <row r="239" spans="1:4">
      <c r="A239" s="4">
        <v>21</v>
      </c>
      <c r="B239" s="4">
        <v>5</v>
      </c>
      <c r="C239" s="4">
        <v>4720</v>
      </c>
      <c r="D239" s="4">
        <v>86</v>
      </c>
    </row>
    <row r="240" spans="1:4">
      <c r="A240" s="3">
        <v>21</v>
      </c>
      <c r="B240" s="3">
        <v>6</v>
      </c>
      <c r="C240" s="3">
        <v>4740</v>
      </c>
      <c r="D240" s="3">
        <v>86</v>
      </c>
    </row>
    <row r="241" spans="1:4">
      <c r="A241" s="4">
        <v>21</v>
      </c>
      <c r="B241" s="4">
        <v>7</v>
      </c>
      <c r="C241" s="4">
        <v>4760</v>
      </c>
      <c r="D241" s="4">
        <v>86</v>
      </c>
    </row>
    <row r="242" spans="1:4">
      <c r="A242" s="3">
        <v>21</v>
      </c>
      <c r="B242" s="3">
        <v>8</v>
      </c>
      <c r="C242" s="3">
        <v>4780</v>
      </c>
      <c r="D242" s="3">
        <v>87</v>
      </c>
    </row>
    <row r="243" spans="1:4">
      <c r="A243" s="4">
        <v>21</v>
      </c>
      <c r="B243" s="4">
        <v>9</v>
      </c>
      <c r="C243" s="4">
        <v>4800</v>
      </c>
      <c r="D243" s="4">
        <v>87</v>
      </c>
    </row>
    <row r="244" spans="1:4">
      <c r="A244" s="3">
        <v>21</v>
      </c>
      <c r="B244" s="3">
        <v>10</v>
      </c>
      <c r="C244" s="3">
        <v>4820</v>
      </c>
      <c r="D244" s="3">
        <v>87</v>
      </c>
    </row>
    <row r="245" spans="1:4">
      <c r="A245" s="4">
        <v>21</v>
      </c>
      <c r="B245" s="4">
        <v>11</v>
      </c>
      <c r="C245" s="4">
        <v>4840</v>
      </c>
      <c r="D245" s="4">
        <v>87</v>
      </c>
    </row>
    <row r="246" spans="1:4">
      <c r="A246" s="3">
        <v>21</v>
      </c>
      <c r="B246" s="3">
        <v>12</v>
      </c>
      <c r="C246" s="3">
        <v>4860</v>
      </c>
      <c r="D246" s="3">
        <v>87</v>
      </c>
    </row>
    <row r="247" spans="1:4">
      <c r="A247" s="4">
        <v>21</v>
      </c>
      <c r="B247" s="4">
        <v>13</v>
      </c>
      <c r="C247" s="4">
        <v>4880</v>
      </c>
      <c r="D247" s="4">
        <v>88</v>
      </c>
    </row>
    <row r="248" spans="1:4">
      <c r="A248" s="3">
        <v>21</v>
      </c>
      <c r="B248" s="3">
        <v>14</v>
      </c>
      <c r="C248" s="3">
        <v>4900</v>
      </c>
      <c r="D248" s="3">
        <v>88</v>
      </c>
    </row>
    <row r="249" spans="1:4">
      <c r="A249" s="4">
        <v>21</v>
      </c>
      <c r="B249" s="4">
        <v>15</v>
      </c>
      <c r="C249" s="4">
        <v>4920</v>
      </c>
      <c r="D249" s="4">
        <v>88</v>
      </c>
    </row>
    <row r="250" spans="1:4">
      <c r="A250" s="3">
        <v>21</v>
      </c>
      <c r="B250" s="3">
        <v>16</v>
      </c>
      <c r="C250" s="3">
        <v>4940</v>
      </c>
      <c r="D250" s="3">
        <v>88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Herschel Girls School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Annemie Klopper</dc:creator>
  <cp:keywords/>
  <dc:description/>
  <cp:lastModifiedBy/>
  <cp:revision/>
  <dcterms:created xsi:type="dcterms:W3CDTF">2026-06-09T06:41:10Z</dcterms:created>
  <dcterms:modified xsi:type="dcterms:W3CDTF">2026-09-12T21:56:25Z</dcterms:modified>
  <cp:category/>
  <cp:contentStatus/>
</cp:coreProperties>
</file>